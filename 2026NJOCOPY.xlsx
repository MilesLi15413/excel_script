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a9887d36eec4f17/Desktop/onedrive/"/>
    </mc:Choice>
  </mc:AlternateContent>
  <xr:revisionPtr revIDLastSave="8" documentId="13_ncr:1_{0AAA2361-88C2-4449-A37F-48994C4A106F}" xr6:coauthVersionLast="47" xr6:coauthVersionMax="47" xr10:uidLastSave="{8258A6C9-4BEA-44C5-A73A-14B0FC7A8B9B}"/>
  <bookViews>
    <workbookView xWindow="-96" yWindow="0" windowWidth="11712" windowHeight="13056" firstSheet="6" activeTab="8" xr2:uid="{9AE10A45-5B6B-4FFF-89A4-941813886C18}"/>
  </bookViews>
  <sheets>
    <sheet name="CHICLETS MASTER S1" sheetId="12" r:id="rId1"/>
    <sheet name="10U_F_Champ-18 teams" sheetId="1" r:id="rId2"/>
    <sheet name="10U_Coed_Champ_36" sheetId="2" r:id="rId3"/>
    <sheet name="10U_Coed_Classic 22 from 23" sheetId="3" r:id="rId4"/>
    <sheet name="12U_Coed_Champ-45" sheetId="4" r:id="rId5"/>
    <sheet name="12U_F_Champ-52" sheetId="11" r:id="rId6"/>
    <sheet name="14U_F_Champ" sheetId="5" r:id="rId7"/>
    <sheet name="16U_F_Champ" sheetId="6" r:id="rId8"/>
    <sheet name="18U_F_Champ" sheetId="10" r:id="rId9"/>
    <sheet name="14U_F_Classic-39 from 40" sheetId="7" r:id="rId10"/>
    <sheet name="16U_F_Classic-45" sheetId="8" r:id="rId11"/>
    <sheet name="18U_F_Classic-44" sheetId="9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convert" localSheetId="2">#REF!</definedName>
    <definedName name="convert" localSheetId="3">#REF!</definedName>
    <definedName name="convert" localSheetId="1">'[1]Scratch Sheet'!$B$159:$D$166</definedName>
    <definedName name="convert" localSheetId="5">#REF!</definedName>
    <definedName name="convert" localSheetId="9">#REF!</definedName>
    <definedName name="convert" localSheetId="11">'[1]Scratch Sheet'!$B$159:$D$166</definedName>
    <definedName name="convert">#REF!</definedName>
    <definedName name="goldlook" localSheetId="2">#REF!</definedName>
    <definedName name="goldlook" localSheetId="3">#REF!</definedName>
    <definedName name="goldlook" localSheetId="1">'[1]Scratch Sheet'!$B$62:$C$68</definedName>
    <definedName name="goldlook" localSheetId="5">#REF!</definedName>
    <definedName name="goldlook" localSheetId="9">#REF!</definedName>
    <definedName name="goldlook" localSheetId="11">'[1]Scratch Sheet'!$B$62:$C$68</definedName>
    <definedName name="goldlook">#REF!</definedName>
    <definedName name="goldlook2" localSheetId="4">#REF!</definedName>
    <definedName name="goldlook2" localSheetId="5">#REF!</definedName>
    <definedName name="goldlook2" localSheetId="6">#REF!</definedName>
    <definedName name="goldlook2" localSheetId="7">#REF!</definedName>
    <definedName name="goldlook2" localSheetId="10">#REF!</definedName>
    <definedName name="goldlook2" localSheetId="8">#REF!</definedName>
    <definedName name="goldlook2">#REF!</definedName>
    <definedName name="grouplook" localSheetId="2">#REF!</definedName>
    <definedName name="grouplook" localSheetId="3">#REF!</definedName>
    <definedName name="grouplook" localSheetId="1">[2]Sheet1!$E$5:$F$52</definedName>
    <definedName name="grouplook" localSheetId="5">#REF!</definedName>
    <definedName name="grouplook" localSheetId="9">#REF!</definedName>
    <definedName name="grouplook" localSheetId="11">[2]Sheet1!$E$5:$F$52</definedName>
    <definedName name="grouplook">#REF!</definedName>
    <definedName name="platlook" localSheetId="2">#REF!</definedName>
    <definedName name="platlook" localSheetId="3">#REF!</definedName>
    <definedName name="platlook" localSheetId="1">'[1]Scratch Sheet'!$B$56:$E$59</definedName>
    <definedName name="platlook" localSheetId="5">#REF!</definedName>
    <definedName name="platlook" localSheetId="9">#REF!</definedName>
    <definedName name="platlook" localSheetId="11">'[1]Scratch Sheet'!$B$56:$E$59</definedName>
    <definedName name="platlook">#REF!</definedName>
    <definedName name="RRput" localSheetId="2">#REF!</definedName>
    <definedName name="RRput" localSheetId="3">#REF!</definedName>
    <definedName name="RRput" localSheetId="1">[3]Sheet3!$Q$226:$R$275</definedName>
    <definedName name="RRput" localSheetId="5">#REF!</definedName>
    <definedName name="RRput" localSheetId="9">#REF!</definedName>
    <definedName name="RRput" localSheetId="11">[3]Sheet3!$Q$226:$R$275</definedName>
    <definedName name="RRput">#REF!</definedName>
    <definedName name="RRput4" localSheetId="2">#REF!</definedName>
    <definedName name="RRput4" localSheetId="3">#REF!</definedName>
    <definedName name="RRput4" localSheetId="1">[4]Sheet3!$G$4:$I$53</definedName>
    <definedName name="RRput4" localSheetId="5">#REF!</definedName>
    <definedName name="RRput4" localSheetId="9">#REF!</definedName>
    <definedName name="RRput4" localSheetId="11">[4]Sheet3!$G$4:$I$53</definedName>
    <definedName name="RRput4">#REF!</definedName>
    <definedName name="translate" localSheetId="2">#REF!</definedName>
    <definedName name="translate" localSheetId="3">#REF!</definedName>
    <definedName name="translate" localSheetId="1">[5]advancement!$O$181:$P$236</definedName>
    <definedName name="translate" localSheetId="5">#REF!</definedName>
    <definedName name="translate" localSheetId="9">#REF!</definedName>
    <definedName name="translate" localSheetId="11">[6]advancement!$O$181:$P$236</definedName>
    <definedName name="translat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B90" i="7" l="1"/>
  <c r="B89" i="7"/>
  <c r="B88" i="7"/>
  <c r="B85" i="7"/>
  <c r="B84" i="7"/>
  <c r="B83" i="7"/>
  <c r="B81" i="7"/>
  <c r="B80" i="7"/>
  <c r="B79" i="7"/>
  <c r="B78" i="7"/>
  <c r="B77" i="7"/>
  <c r="D225" i="5"/>
  <c r="B241" i="11"/>
  <c r="B242" i="11"/>
  <c r="B243" i="11"/>
  <c r="B244" i="11"/>
  <c r="B245" i="11"/>
  <c r="B246" i="11"/>
  <c r="B247" i="11"/>
  <c r="B248" i="11"/>
  <c r="B249" i="11"/>
  <c r="B250" i="11"/>
  <c r="B251" i="11"/>
  <c r="B252" i="11"/>
  <c r="B253" i="11"/>
  <c r="B240" i="11"/>
  <c r="B258" i="11"/>
  <c r="B259" i="11"/>
  <c r="B260" i="11"/>
  <c r="B261" i="11"/>
  <c r="B262" i="11"/>
  <c r="B263" i="11"/>
  <c r="B264" i="11"/>
  <c r="B265" i="11"/>
  <c r="B266" i="11"/>
  <c r="B267" i="11"/>
  <c r="B268" i="11"/>
  <c r="B269" i="11"/>
  <c r="B270" i="11"/>
  <c r="B257" i="11"/>
  <c r="B276" i="11"/>
  <c r="B277" i="11"/>
  <c r="B278" i="11"/>
  <c r="B279" i="11"/>
  <c r="B280" i="11"/>
  <c r="B281" i="11"/>
  <c r="B282" i="11"/>
  <c r="B283" i="11"/>
  <c r="B284" i="11"/>
  <c r="B285" i="11"/>
  <c r="B286" i="11"/>
  <c r="B287" i="11"/>
  <c r="B288" i="11"/>
  <c r="B289" i="11"/>
  <c r="B275" i="11"/>
  <c r="B294" i="11"/>
  <c r="T54" i="12" s="1"/>
  <c r="B295" i="11"/>
  <c r="T55" i="12" s="1"/>
  <c r="B296" i="11"/>
  <c r="T56" i="12" s="1"/>
  <c r="B297" i="11"/>
  <c r="T57" i="12" s="1"/>
  <c r="B298" i="11"/>
  <c r="T58" i="12" s="1"/>
  <c r="B299" i="11"/>
  <c r="T59" i="12" s="1"/>
  <c r="B300" i="11"/>
  <c r="T60" i="12" s="1"/>
  <c r="B301" i="11"/>
  <c r="T61" i="12" s="1"/>
  <c r="B302" i="11"/>
  <c r="T62" i="12" s="1"/>
  <c r="B303" i="11"/>
  <c r="T63" i="12" s="1"/>
  <c r="B304" i="11"/>
  <c r="T64" i="12" s="1"/>
  <c r="B305" i="11"/>
  <c r="T65" i="12" s="1"/>
  <c r="B306" i="11"/>
  <c r="T66" i="12" s="1"/>
  <c r="B307" i="11"/>
  <c r="T67" i="12" s="1"/>
  <c r="B293" i="11"/>
  <c r="B252" i="6"/>
  <c r="B253" i="6"/>
  <c r="B254" i="6"/>
  <c r="B251" i="6"/>
  <c r="B247" i="6"/>
  <c r="B248" i="6"/>
  <c r="B249" i="6"/>
  <c r="B246" i="6"/>
  <c r="B259" i="6"/>
  <c r="B258" i="6"/>
  <c r="B242" i="6"/>
  <c r="B241" i="6"/>
  <c r="D256" i="6"/>
  <c r="D244" i="6"/>
  <c r="D239" i="6"/>
  <c r="B275" i="6"/>
  <c r="B276" i="6"/>
  <c r="B277" i="6"/>
  <c r="B278" i="6"/>
  <c r="B279" i="6"/>
  <c r="B280" i="6"/>
  <c r="B281" i="6"/>
  <c r="B274" i="6"/>
  <c r="B286" i="6"/>
  <c r="B287" i="6"/>
  <c r="B288" i="6"/>
  <c r="B285" i="6"/>
  <c r="B299" i="6"/>
  <c r="D283" i="6"/>
  <c r="L154" i="3"/>
  <c r="L147" i="3"/>
  <c r="L140" i="3"/>
  <c r="L139" i="3"/>
  <c r="D32" i="10"/>
  <c r="B65" i="3"/>
  <c r="B66" i="3"/>
  <c r="B67" i="3"/>
  <c r="B68" i="3"/>
  <c r="B69" i="3"/>
  <c r="B70" i="3"/>
  <c r="B71" i="3"/>
  <c r="B72" i="3"/>
  <c r="B73" i="3"/>
  <c r="B74" i="3"/>
  <c r="B75" i="3"/>
  <c r="B64" i="3"/>
  <c r="B250" i="4"/>
  <c r="B251" i="4"/>
  <c r="B249" i="4"/>
  <c r="D239" i="4"/>
  <c r="D225" i="4"/>
  <c r="D191" i="4"/>
  <c r="D254" i="9"/>
  <c r="D247" i="9"/>
  <c r="D219" i="2"/>
  <c r="D221" i="2" s="1"/>
  <c r="B210" i="2"/>
  <c r="B209" i="2"/>
  <c r="B206" i="2"/>
  <c r="B226" i="2"/>
  <c r="B227" i="2"/>
  <c r="B228" i="2"/>
  <c r="B229" i="2"/>
  <c r="B225" i="2"/>
  <c r="B240" i="2"/>
  <c r="B233" i="2"/>
  <c r="B202" i="2"/>
  <c r="B201" i="2"/>
  <c r="B199" i="2"/>
  <c r="D197" i="2"/>
  <c r="D199" i="2" s="1"/>
  <c r="B139" i="1"/>
  <c r="B154" i="3"/>
  <c r="B150" i="3"/>
  <c r="B149" i="3"/>
  <c r="B147" i="3"/>
  <c r="D152" i="3"/>
  <c r="D154" i="3" s="1"/>
  <c r="D145" i="3"/>
  <c r="D46" i="11"/>
  <c r="B63" i="11"/>
  <c r="B62" i="11"/>
  <c r="B49" i="11"/>
  <c r="B50" i="11"/>
  <c r="B51" i="11"/>
  <c r="B52" i="11"/>
  <c r="B53" i="11"/>
  <c r="B54" i="11"/>
  <c r="B55" i="11"/>
  <c r="B56" i="11"/>
  <c r="B57" i="11"/>
  <c r="B58" i="11"/>
  <c r="B59" i="11"/>
  <c r="B48" i="11"/>
  <c r="D63" i="11"/>
  <c r="D62" i="11"/>
  <c r="D59" i="11"/>
  <c r="D58" i="11"/>
  <c r="D57" i="11"/>
  <c r="D56" i="11"/>
  <c r="D55" i="11"/>
  <c r="D54" i="11"/>
  <c r="D53" i="11"/>
  <c r="D52" i="11"/>
  <c r="D51" i="11"/>
  <c r="D50" i="11"/>
  <c r="D49" i="11"/>
  <c r="D48" i="11"/>
  <c r="B43" i="11"/>
  <c r="B30" i="11"/>
  <c r="B31" i="11"/>
  <c r="B32" i="11"/>
  <c r="B33" i="11"/>
  <c r="B34" i="11"/>
  <c r="B35" i="11"/>
  <c r="B36" i="11"/>
  <c r="B37" i="11"/>
  <c r="B38" i="11"/>
  <c r="B39" i="11"/>
  <c r="B40" i="11"/>
  <c r="D27" i="11"/>
  <c r="B82" i="11"/>
  <c r="B83" i="11"/>
  <c r="B69" i="11"/>
  <c r="B70" i="11"/>
  <c r="B72" i="11"/>
  <c r="B73" i="11"/>
  <c r="B74" i="11"/>
  <c r="B75" i="11"/>
  <c r="B76" i="11"/>
  <c r="B77" i="11"/>
  <c r="B78" i="11"/>
  <c r="B79" i="11"/>
  <c r="B71" i="11"/>
  <c r="B118" i="1"/>
  <c r="B117" i="1"/>
  <c r="B115" i="1"/>
  <c r="B114" i="1"/>
  <c r="B112" i="1"/>
  <c r="B111" i="1"/>
  <c r="D109" i="1"/>
  <c r="D94" i="1"/>
  <c r="B96" i="1"/>
  <c r="B306" i="10"/>
  <c r="B302" i="10"/>
  <c r="B283" i="10"/>
  <c r="B284" i="10"/>
  <c r="B285" i="10"/>
  <c r="B286" i="10"/>
  <c r="B287" i="10"/>
  <c r="B288" i="10"/>
  <c r="B282" i="10"/>
  <c r="B273" i="10"/>
  <c r="B265" i="10"/>
  <c r="B266" i="10"/>
  <c r="B267" i="10"/>
  <c r="B268" i="10"/>
  <c r="B269" i="10"/>
  <c r="B264" i="10"/>
  <c r="B248" i="10"/>
  <c r="B249" i="10"/>
  <c r="B250" i="10"/>
  <c r="B251" i="10"/>
  <c r="B252" i="10"/>
  <c r="B253" i="10"/>
  <c r="B254" i="10"/>
  <c r="B255" i="10"/>
  <c r="B256" i="10"/>
  <c r="B257" i="10"/>
  <c r="B258" i="10"/>
  <c r="B247" i="10"/>
  <c r="BE72" i="12"/>
  <c r="BE51" i="12"/>
  <c r="BE27" i="12"/>
  <c r="BE3" i="12"/>
  <c r="D304" i="10"/>
  <c r="D306" i="10" s="1"/>
  <c r="D300" i="10"/>
  <c r="D302" i="10" s="1"/>
  <c r="D305" i="6"/>
  <c r="D307" i="6" s="1"/>
  <c r="D301" i="6"/>
  <c r="D303" i="6" s="1"/>
  <c r="D300" i="5"/>
  <c r="D302" i="5" s="1"/>
  <c r="D296" i="5"/>
  <c r="D298" i="5" s="1"/>
  <c r="D297" i="4"/>
  <c r="D299" i="4" s="1"/>
  <c r="D293" i="4"/>
  <c r="D295" i="4" s="1"/>
  <c r="D237" i="2"/>
  <c r="D240" i="2" s="1"/>
  <c r="D231" i="2"/>
  <c r="D142" i="1"/>
  <c r="D144" i="1" s="1"/>
  <c r="D135" i="1"/>
  <c r="D355" i="11"/>
  <c r="D357" i="11" s="1"/>
  <c r="D351" i="11"/>
  <c r="B357" i="11"/>
  <c r="B353" i="11"/>
  <c r="B146" i="1"/>
  <c r="B140" i="1"/>
  <c r="D129" i="1"/>
  <c r="B124" i="1"/>
  <c r="B125" i="1"/>
  <c r="B126" i="1"/>
  <c r="B127" i="1"/>
  <c r="B131" i="1"/>
  <c r="B132" i="1"/>
  <c r="B144" i="1"/>
  <c r="D250" i="7"/>
  <c r="D258" i="7"/>
  <c r="D241" i="7"/>
  <c r="B244" i="7"/>
  <c r="B245" i="7"/>
  <c r="B246" i="7"/>
  <c r="B247" i="7"/>
  <c r="B248" i="7"/>
  <c r="B243" i="7"/>
  <c r="B253" i="7"/>
  <c r="B254" i="7"/>
  <c r="B255" i="7"/>
  <c r="B256" i="7"/>
  <c r="B252" i="7"/>
  <c r="B261" i="7"/>
  <c r="B262" i="7"/>
  <c r="B263" i="7"/>
  <c r="B264" i="7"/>
  <c r="B260" i="7"/>
  <c r="D266" i="7"/>
  <c r="B269" i="7"/>
  <c r="B270" i="7"/>
  <c r="B271" i="7"/>
  <c r="B272" i="7"/>
  <c r="B273" i="7"/>
  <c r="B274" i="7"/>
  <c r="B275" i="7"/>
  <c r="B268" i="7"/>
  <c r="B230" i="7"/>
  <c r="B231" i="7"/>
  <c r="B232" i="7"/>
  <c r="B233" i="7"/>
  <c r="B234" i="7"/>
  <c r="B235" i="7"/>
  <c r="B236" i="7"/>
  <c r="B237" i="7"/>
  <c r="B229" i="7"/>
  <c r="B217" i="7"/>
  <c r="B218" i="7"/>
  <c r="B219" i="7"/>
  <c r="B220" i="7"/>
  <c r="B221" i="7"/>
  <c r="B222" i="7"/>
  <c r="B223" i="7"/>
  <c r="B224" i="7"/>
  <c r="B225" i="7"/>
  <c r="B216" i="7"/>
  <c r="B204" i="7"/>
  <c r="B205" i="7"/>
  <c r="B206" i="7"/>
  <c r="B207" i="7"/>
  <c r="B208" i="7"/>
  <c r="B209" i="7"/>
  <c r="B210" i="7"/>
  <c r="B211" i="7"/>
  <c r="B212" i="7"/>
  <c r="B203" i="7"/>
  <c r="B191" i="7"/>
  <c r="B192" i="7"/>
  <c r="B193" i="7"/>
  <c r="B194" i="7"/>
  <c r="B195" i="7"/>
  <c r="B196" i="7"/>
  <c r="B197" i="7"/>
  <c r="B198" i="7"/>
  <c r="B199" i="7"/>
  <c r="B190" i="7"/>
  <c r="D227" i="7"/>
  <c r="D201" i="7"/>
  <c r="D212" i="7" s="1"/>
  <c r="D188" i="7"/>
  <c r="D214" i="7"/>
  <c r="D112" i="7"/>
  <c r="D129" i="7"/>
  <c r="D146" i="7"/>
  <c r="D162" i="7"/>
  <c r="B177" i="7"/>
  <c r="B174" i="7"/>
  <c r="B173" i="7"/>
  <c r="B172" i="7"/>
  <c r="B171" i="7"/>
  <c r="B170" i="7"/>
  <c r="B168" i="7"/>
  <c r="B167" i="7"/>
  <c r="B166" i="7"/>
  <c r="B165" i="7"/>
  <c r="B164" i="7"/>
  <c r="B160" i="7"/>
  <c r="B157" i="7"/>
  <c r="B156" i="7"/>
  <c r="B155" i="7"/>
  <c r="B154" i="7"/>
  <c r="B152" i="7"/>
  <c r="B151" i="7"/>
  <c r="B150" i="7"/>
  <c r="B149" i="7"/>
  <c r="B148" i="7"/>
  <c r="B144" i="7"/>
  <c r="B141" i="7"/>
  <c r="B140" i="7"/>
  <c r="B139" i="7"/>
  <c r="B138" i="7"/>
  <c r="B137" i="7"/>
  <c r="B135" i="7"/>
  <c r="B134" i="7"/>
  <c r="B133" i="7"/>
  <c r="B132" i="7"/>
  <c r="B131" i="7"/>
  <c r="B127" i="7"/>
  <c r="B124" i="7"/>
  <c r="B123" i="7"/>
  <c r="B122" i="7"/>
  <c r="B121" i="7"/>
  <c r="B120" i="7"/>
  <c r="B118" i="7"/>
  <c r="B117" i="7"/>
  <c r="B116" i="7"/>
  <c r="B115" i="7"/>
  <c r="B114" i="7"/>
  <c r="D177" i="7"/>
  <c r="B76" i="7"/>
  <c r="B72" i="7"/>
  <c r="B71" i="7"/>
  <c r="B70" i="7"/>
  <c r="B68" i="7"/>
  <c r="B67" i="7"/>
  <c r="B66" i="7"/>
  <c r="B65" i="7"/>
  <c r="B63" i="7"/>
  <c r="B62" i="7"/>
  <c r="B61" i="7"/>
  <c r="B60" i="7"/>
  <c r="B59" i="7"/>
  <c r="B58" i="7"/>
  <c r="B54" i="7"/>
  <c r="B53" i="7"/>
  <c r="B52" i="7"/>
  <c r="B50" i="7"/>
  <c r="B49" i="7"/>
  <c r="B48" i="7"/>
  <c r="B47" i="7"/>
  <c r="B45" i="7"/>
  <c r="B44" i="7"/>
  <c r="B43" i="7"/>
  <c r="B42" i="7"/>
  <c r="B41" i="7"/>
  <c r="B40" i="7"/>
  <c r="B36" i="7"/>
  <c r="B35" i="7"/>
  <c r="B34" i="7"/>
  <c r="B32" i="7"/>
  <c r="B31" i="7"/>
  <c r="B30" i="7"/>
  <c r="B29" i="7"/>
  <c r="B27" i="7"/>
  <c r="B26" i="7"/>
  <c r="B25" i="7"/>
  <c r="B24" i="7"/>
  <c r="B23" i="7"/>
  <c r="B22" i="7"/>
  <c r="D20" i="7"/>
  <c r="D56" i="7"/>
  <c r="D74" i="7"/>
  <c r="D38" i="7"/>
  <c r="B334" i="11"/>
  <c r="B335" i="11"/>
  <c r="B336" i="11"/>
  <c r="B337" i="11"/>
  <c r="B338" i="11"/>
  <c r="B339" i="11"/>
  <c r="B344" i="11"/>
  <c r="B345" i="11"/>
  <c r="B346" i="11"/>
  <c r="B347" i="11"/>
  <c r="B348" i="11"/>
  <c r="B349" i="11"/>
  <c r="B343" i="11"/>
  <c r="B333" i="11"/>
  <c r="D353" i="11"/>
  <c r="D311" i="11"/>
  <c r="D321" i="11"/>
  <c r="D331" i="11"/>
  <c r="D333" i="11" s="1"/>
  <c r="D341" i="11"/>
  <c r="N305" i="11"/>
  <c r="D291" i="11"/>
  <c r="D273" i="11"/>
  <c r="D287" i="11" s="1"/>
  <c r="D255" i="11"/>
  <c r="D238" i="11"/>
  <c r="L198" i="11"/>
  <c r="D204" i="11"/>
  <c r="D186" i="11"/>
  <c r="B220" i="11"/>
  <c r="B219" i="11"/>
  <c r="B217" i="11"/>
  <c r="B216" i="11"/>
  <c r="B215" i="11"/>
  <c r="B214" i="11"/>
  <c r="B213" i="11"/>
  <c r="B212" i="11"/>
  <c r="B211" i="11"/>
  <c r="B210" i="11"/>
  <c r="B209" i="11"/>
  <c r="B208" i="11"/>
  <c r="B207" i="11"/>
  <c r="B206" i="11"/>
  <c r="B189" i="11"/>
  <c r="B190" i="11"/>
  <c r="B191" i="11"/>
  <c r="B192" i="11"/>
  <c r="B193" i="11"/>
  <c r="B194" i="11"/>
  <c r="B195" i="11"/>
  <c r="B196" i="11"/>
  <c r="B197" i="11"/>
  <c r="B198" i="11"/>
  <c r="B199" i="11"/>
  <c r="B200" i="11"/>
  <c r="B201" i="11"/>
  <c r="B202" i="11"/>
  <c r="B188" i="11"/>
  <c r="D171" i="11"/>
  <c r="D156" i="11"/>
  <c r="B174" i="11"/>
  <c r="B175" i="11"/>
  <c r="B176" i="11"/>
  <c r="B177" i="11"/>
  <c r="B178" i="11"/>
  <c r="B179" i="11"/>
  <c r="B180" i="11"/>
  <c r="B181" i="11"/>
  <c r="B182" i="11"/>
  <c r="B183" i="11"/>
  <c r="B184" i="11"/>
  <c r="B173" i="11"/>
  <c r="B159" i="11"/>
  <c r="B160" i="11"/>
  <c r="B161" i="11"/>
  <c r="B162" i="11"/>
  <c r="B163" i="11"/>
  <c r="B164" i="11"/>
  <c r="B165" i="11"/>
  <c r="B166" i="11"/>
  <c r="B167" i="11"/>
  <c r="B168" i="11"/>
  <c r="B169" i="11"/>
  <c r="B158" i="11"/>
  <c r="N191" i="11"/>
  <c r="B121" i="11"/>
  <c r="B118" i="11"/>
  <c r="B117" i="11"/>
  <c r="B116" i="11"/>
  <c r="B115" i="11"/>
  <c r="B114" i="11"/>
  <c r="B113" i="11"/>
  <c r="B112" i="11"/>
  <c r="B111" i="11"/>
  <c r="B110" i="11"/>
  <c r="B109" i="11"/>
  <c r="B108" i="11"/>
  <c r="B107" i="11"/>
  <c r="B103" i="11"/>
  <c r="B102" i="11"/>
  <c r="B99" i="11"/>
  <c r="B98" i="11"/>
  <c r="B97" i="11"/>
  <c r="B96" i="11"/>
  <c r="B95" i="11"/>
  <c r="B94" i="11"/>
  <c r="B93" i="11"/>
  <c r="B92" i="11"/>
  <c r="B91" i="11"/>
  <c r="B90" i="11"/>
  <c r="B89" i="11"/>
  <c r="B88" i="11"/>
  <c r="B68" i="11"/>
  <c r="B29" i="11"/>
  <c r="D105" i="11"/>
  <c r="D86" i="11"/>
  <c r="D66" i="11"/>
  <c r="D334" i="11"/>
  <c r="D346" i="11"/>
  <c r="D335" i="11"/>
  <c r="B324" i="11"/>
  <c r="B325" i="11"/>
  <c r="B326" i="11"/>
  <c r="B327" i="11"/>
  <c r="B328" i="11"/>
  <c r="B329" i="11"/>
  <c r="B323" i="11"/>
  <c r="B314" i="11"/>
  <c r="B315" i="11"/>
  <c r="B316" i="11"/>
  <c r="B317" i="11"/>
  <c r="B318" i="11"/>
  <c r="B319" i="11"/>
  <c r="B313" i="11"/>
  <c r="D155" i="5"/>
  <c r="L305" i="11"/>
  <c r="A305" i="11"/>
  <c r="D198" i="11"/>
  <c r="A192" i="11"/>
  <c r="A193" i="11"/>
  <c r="A194" i="11"/>
  <c r="A195" i="11"/>
  <c r="A196" i="11"/>
  <c r="A197" i="11"/>
  <c r="A198" i="11"/>
  <c r="A199" i="11"/>
  <c r="A200" i="11"/>
  <c r="A201" i="11"/>
  <c r="N198" i="11"/>
  <c r="L191" i="11"/>
  <c r="D191" i="11"/>
  <c r="A191" i="11"/>
  <c r="F215" i="11"/>
  <c r="F212" i="11"/>
  <c r="F211" i="11"/>
  <c r="F209" i="11"/>
  <c r="F207" i="11"/>
  <c r="F206" i="11"/>
  <c r="F199" i="11"/>
  <c r="F195" i="11"/>
  <c r="F194" i="11"/>
  <c r="F193" i="11"/>
  <c r="F190" i="11"/>
  <c r="F188" i="11"/>
  <c r="H295" i="11"/>
  <c r="H294" i="11"/>
  <c r="H283" i="11"/>
  <c r="H281" i="11"/>
  <c r="H280" i="11"/>
  <c r="F280" i="11"/>
  <c r="F279" i="11"/>
  <c r="H277" i="11"/>
  <c r="H276" i="11"/>
  <c r="H184" i="11"/>
  <c r="H183" i="11"/>
  <c r="H180" i="11"/>
  <c r="H179" i="11"/>
  <c r="H178" i="11"/>
  <c r="H177" i="11"/>
  <c r="H174" i="11"/>
  <c r="H173" i="11"/>
  <c r="H169" i="11"/>
  <c r="H168" i="11"/>
  <c r="H165" i="11"/>
  <c r="H164" i="11"/>
  <c r="H163" i="11"/>
  <c r="H162" i="11"/>
  <c r="H159" i="11"/>
  <c r="H158" i="11"/>
  <c r="L37" i="11"/>
  <c r="P12" i="12" s="1"/>
  <c r="L38" i="11"/>
  <c r="P13" i="12" s="1"/>
  <c r="A30" i="11"/>
  <c r="A121" i="11"/>
  <c r="A37" i="11"/>
  <c r="A38" i="11"/>
  <c r="A59" i="11"/>
  <c r="A43" i="11"/>
  <c r="A63" i="11"/>
  <c r="H38" i="11"/>
  <c r="F38" i="11"/>
  <c r="H37" i="11"/>
  <c r="F37" i="11"/>
  <c r="H34" i="11"/>
  <c r="F34" i="11"/>
  <c r="F33" i="11"/>
  <c r="L48" i="11"/>
  <c r="L30" i="11"/>
  <c r="H29" i="11"/>
  <c r="H30" i="11"/>
  <c r="F30" i="11"/>
  <c r="AH53" i="12"/>
  <c r="AH54" i="12"/>
  <c r="AH55" i="12"/>
  <c r="AH57" i="12"/>
  <c r="AH58" i="12"/>
  <c r="AH59" i="12"/>
  <c r="AH61" i="12"/>
  <c r="AH62" i="12"/>
  <c r="AH63" i="12"/>
  <c r="B225" i="8"/>
  <c r="AF53" i="12" s="1"/>
  <c r="B226" i="8"/>
  <c r="AF54" i="12" s="1"/>
  <c r="B227" i="8"/>
  <c r="AF55" i="12" s="1"/>
  <c r="B228" i="8"/>
  <c r="AF56" i="12" s="1"/>
  <c r="B229" i="8"/>
  <c r="AF57" i="12" s="1"/>
  <c r="B230" i="8"/>
  <c r="AF58" i="12" s="1"/>
  <c r="B231" i="8"/>
  <c r="AF59" i="12" s="1"/>
  <c r="B232" i="8"/>
  <c r="AF60" i="12" s="1"/>
  <c r="B233" i="8"/>
  <c r="AF61" i="12" s="1"/>
  <c r="B234" i="8"/>
  <c r="AF62" i="12" s="1"/>
  <c r="B224" i="8"/>
  <c r="AF52" i="12" s="1"/>
  <c r="B216" i="8"/>
  <c r="AG64" i="12" s="1"/>
  <c r="B215" i="8"/>
  <c r="AG63" i="12" s="1"/>
  <c r="B214" i="8"/>
  <c r="AG62" i="12" s="1"/>
  <c r="B213" i="8"/>
  <c r="AG61" i="12" s="1"/>
  <c r="B212" i="8"/>
  <c r="AG60" i="12" s="1"/>
  <c r="B211" i="8"/>
  <c r="AG59" i="12" s="1"/>
  <c r="B210" i="8"/>
  <c r="AG58" i="12" s="1"/>
  <c r="B209" i="8"/>
  <c r="AG57" i="12" s="1"/>
  <c r="B208" i="8"/>
  <c r="AG56" i="12" s="1"/>
  <c r="B207" i="8"/>
  <c r="AG55" i="12" s="1"/>
  <c r="B206" i="8"/>
  <c r="AG54" i="12" s="1"/>
  <c r="B205" i="8"/>
  <c r="AG53" i="12" s="1"/>
  <c r="B201" i="8"/>
  <c r="AI64" i="12" s="1"/>
  <c r="B200" i="8"/>
  <c r="AI63" i="12" s="1"/>
  <c r="B199" i="8"/>
  <c r="AI62" i="12" s="1"/>
  <c r="B198" i="8"/>
  <c r="AI61" i="12" s="1"/>
  <c r="B197" i="8"/>
  <c r="AI60" i="12" s="1"/>
  <c r="B196" i="8"/>
  <c r="AI59" i="12" s="1"/>
  <c r="B195" i="8"/>
  <c r="AI58" i="12" s="1"/>
  <c r="B194" i="8"/>
  <c r="AI57" i="12" s="1"/>
  <c r="B193" i="8"/>
  <c r="AI56" i="12" s="1"/>
  <c r="B192" i="8"/>
  <c r="AI55" i="12" s="1"/>
  <c r="B191" i="8"/>
  <c r="AI54" i="12" s="1"/>
  <c r="B190" i="8"/>
  <c r="AI53" i="12" s="1"/>
  <c r="D283" i="8"/>
  <c r="D265" i="8"/>
  <c r="D274" i="8"/>
  <c r="D236" i="8"/>
  <c r="D188" i="8"/>
  <c r="D222" i="8"/>
  <c r="B184" i="8"/>
  <c r="AG43" i="12" s="1"/>
  <c r="B183" i="8"/>
  <c r="AG42" i="12" s="1"/>
  <c r="B182" i="8"/>
  <c r="AG41" i="12" s="1"/>
  <c r="B180" i="8"/>
  <c r="AG39" i="12" s="1"/>
  <c r="B179" i="8"/>
  <c r="AG38" i="12" s="1"/>
  <c r="B178" i="8"/>
  <c r="AG37" i="12" s="1"/>
  <c r="B177" i="8"/>
  <c r="AG36" i="12" s="1"/>
  <c r="B176" i="8"/>
  <c r="AG35" i="12" s="1"/>
  <c r="B175" i="8"/>
  <c r="AG34" i="12" s="1"/>
  <c r="B174" i="8"/>
  <c r="AG33" i="12" s="1"/>
  <c r="B173" i="8"/>
  <c r="AG32" i="12" s="1"/>
  <c r="B172" i="8"/>
  <c r="AG31" i="12" s="1"/>
  <c r="B171" i="8"/>
  <c r="AG30" i="12" s="1"/>
  <c r="B170" i="8"/>
  <c r="AG29" i="12" s="1"/>
  <c r="B169" i="8"/>
  <c r="AG28" i="12" s="1"/>
  <c r="B165" i="8"/>
  <c r="AI43" i="12" s="1"/>
  <c r="B164" i="8"/>
  <c r="AI42" i="12" s="1"/>
  <c r="B163" i="8"/>
  <c r="AI41" i="12" s="1"/>
  <c r="B161" i="8"/>
  <c r="AI39" i="12" s="1"/>
  <c r="B160" i="8"/>
  <c r="AI38" i="12" s="1"/>
  <c r="B159" i="8"/>
  <c r="AI37" i="12" s="1"/>
  <c r="B158" i="8"/>
  <c r="AI36" i="12" s="1"/>
  <c r="B157" i="8"/>
  <c r="AI35" i="12" s="1"/>
  <c r="B156" i="8"/>
  <c r="AI34" i="12" s="1"/>
  <c r="B155" i="8"/>
  <c r="AI33" i="12" s="1"/>
  <c r="B154" i="8"/>
  <c r="AI32" i="12" s="1"/>
  <c r="B153" i="8"/>
  <c r="AI31" i="12" s="1"/>
  <c r="B152" i="8"/>
  <c r="AI30" i="12" s="1"/>
  <c r="B151" i="8"/>
  <c r="AI29" i="12" s="1"/>
  <c r="B150" i="8"/>
  <c r="AI28" i="12" s="1"/>
  <c r="B146" i="8"/>
  <c r="AH40" i="12" s="1"/>
  <c r="B145" i="8"/>
  <c r="AH39" i="12" s="1"/>
  <c r="B144" i="8"/>
  <c r="AH38" i="12" s="1"/>
  <c r="B143" i="8"/>
  <c r="AH37" i="12" s="1"/>
  <c r="B141" i="8"/>
  <c r="AH35" i="12" s="1"/>
  <c r="B140" i="8"/>
  <c r="AH34" i="12" s="1"/>
  <c r="B139" i="8"/>
  <c r="AH33" i="12" s="1"/>
  <c r="B137" i="8"/>
  <c r="AH31" i="12" s="1"/>
  <c r="B136" i="8"/>
  <c r="AH30" i="12" s="1"/>
  <c r="B135" i="8"/>
  <c r="AH29" i="12" s="1"/>
  <c r="B134" i="8"/>
  <c r="AH28" i="12" s="1"/>
  <c r="B130" i="8"/>
  <c r="AF42" i="12" s="1"/>
  <c r="B129" i="8"/>
  <c r="AF41" i="12" s="1"/>
  <c r="B127" i="8"/>
  <c r="AF39" i="12" s="1"/>
  <c r="B126" i="8"/>
  <c r="AF38" i="12" s="1"/>
  <c r="B125" i="8"/>
  <c r="AF37" i="12" s="1"/>
  <c r="B124" i="8"/>
  <c r="AF36" i="12" s="1"/>
  <c r="B123" i="8"/>
  <c r="AF35" i="12" s="1"/>
  <c r="B122" i="8"/>
  <c r="AF34" i="12" s="1"/>
  <c r="B121" i="8"/>
  <c r="AF33" i="12" s="1"/>
  <c r="B120" i="8"/>
  <c r="AF32" i="12" s="1"/>
  <c r="B119" i="8"/>
  <c r="AF31" i="12" s="1"/>
  <c r="B118" i="8"/>
  <c r="AF30" i="12" s="1"/>
  <c r="B117" i="8"/>
  <c r="AF29" i="12" s="1"/>
  <c r="B116" i="8"/>
  <c r="AF28" i="12" s="1"/>
  <c r="D114" i="8"/>
  <c r="D132" i="8"/>
  <c r="D148" i="8"/>
  <c r="B89" i="8"/>
  <c r="AH18" i="12" s="1"/>
  <c r="B88" i="8"/>
  <c r="AH17" i="12" s="1"/>
  <c r="B87" i="8"/>
  <c r="AH16" i="12" s="1"/>
  <c r="B85" i="8"/>
  <c r="AH14" i="12" s="1"/>
  <c r="B84" i="8"/>
  <c r="AH13" i="12" s="1"/>
  <c r="B83" i="8"/>
  <c r="AH12" i="12" s="1"/>
  <c r="B82" i="8"/>
  <c r="AH11" i="12" s="1"/>
  <c r="B81" i="8"/>
  <c r="AH10" i="12" s="1"/>
  <c r="B80" i="8"/>
  <c r="AH9" i="12" s="1"/>
  <c r="B79" i="8"/>
  <c r="AH8" i="12" s="1"/>
  <c r="B78" i="8"/>
  <c r="AH7" i="12" s="1"/>
  <c r="B77" i="8"/>
  <c r="AH6" i="12" s="1"/>
  <c r="B76" i="8"/>
  <c r="AH5" i="12" s="1"/>
  <c r="B75" i="8"/>
  <c r="AH4" i="12" s="1"/>
  <c r="B71" i="8"/>
  <c r="AI18" i="12" s="1"/>
  <c r="B70" i="8"/>
  <c r="AI17" i="12" s="1"/>
  <c r="B69" i="8"/>
  <c r="AI16" i="12" s="1"/>
  <c r="B67" i="8"/>
  <c r="AI14" i="12" s="1"/>
  <c r="B66" i="8"/>
  <c r="AI13" i="12" s="1"/>
  <c r="B65" i="8"/>
  <c r="AI12" i="12" s="1"/>
  <c r="B64" i="8"/>
  <c r="AI11" i="12" s="1"/>
  <c r="B63" i="8"/>
  <c r="AI10" i="12" s="1"/>
  <c r="B62" i="8"/>
  <c r="AI9" i="12" s="1"/>
  <c r="B61" i="8"/>
  <c r="AI8" i="12" s="1"/>
  <c r="B60" i="8"/>
  <c r="AI7" i="12" s="1"/>
  <c r="B59" i="8"/>
  <c r="AI6" i="12" s="1"/>
  <c r="B58" i="8"/>
  <c r="AI5" i="12" s="1"/>
  <c r="B57" i="8"/>
  <c r="AI4" i="12" s="1"/>
  <c r="B53" i="8"/>
  <c r="AF19" i="12" s="1"/>
  <c r="B52" i="8"/>
  <c r="AF18" i="12" s="1"/>
  <c r="B51" i="8"/>
  <c r="AF17" i="12" s="1"/>
  <c r="B49" i="8"/>
  <c r="AF15" i="12" s="1"/>
  <c r="B48" i="8"/>
  <c r="AF14" i="12" s="1"/>
  <c r="B47" i="8"/>
  <c r="AF13" i="12" s="1"/>
  <c r="B46" i="8"/>
  <c r="AF12" i="12" s="1"/>
  <c r="B45" i="8"/>
  <c r="AF11" i="12" s="1"/>
  <c r="B44" i="8"/>
  <c r="AF10" i="12" s="1"/>
  <c r="B43" i="8"/>
  <c r="AF9" i="12" s="1"/>
  <c r="B42" i="8"/>
  <c r="AF8" i="12" s="1"/>
  <c r="B41" i="8"/>
  <c r="AF7" i="12" s="1"/>
  <c r="B40" i="8"/>
  <c r="AF6" i="12" s="1"/>
  <c r="B39" i="8"/>
  <c r="AF5" i="12" s="1"/>
  <c r="B38" i="8"/>
  <c r="AF4" i="12" s="1"/>
  <c r="B34" i="8"/>
  <c r="AG18" i="12" s="1"/>
  <c r="B33" i="8"/>
  <c r="AG17" i="12" s="1"/>
  <c r="B32" i="8"/>
  <c r="AG16" i="12" s="1"/>
  <c r="B30" i="8"/>
  <c r="AG14" i="12" s="1"/>
  <c r="B29" i="8"/>
  <c r="AG13" i="12" s="1"/>
  <c r="B28" i="8"/>
  <c r="AG12" i="12" s="1"/>
  <c r="B27" i="8"/>
  <c r="AG11" i="12" s="1"/>
  <c r="B26" i="8"/>
  <c r="AG10" i="12" s="1"/>
  <c r="B25" i="8"/>
  <c r="AG9" i="12" s="1"/>
  <c r="B24" i="8"/>
  <c r="AG8" i="12" s="1"/>
  <c r="B23" i="8"/>
  <c r="AG7" i="12" s="1"/>
  <c r="B22" i="8"/>
  <c r="AG6" i="12" s="1"/>
  <c r="B21" i="8"/>
  <c r="AG5" i="12" s="1"/>
  <c r="B20" i="8"/>
  <c r="AG4" i="12" s="1"/>
  <c r="D55" i="8"/>
  <c r="D36" i="8"/>
  <c r="D73" i="8"/>
  <c r="B290" i="8"/>
  <c r="AH78" i="12" s="1"/>
  <c r="B289" i="8"/>
  <c r="AH77" i="12" s="1"/>
  <c r="B288" i="8"/>
  <c r="AH76" i="12" s="1"/>
  <c r="B287" i="8"/>
  <c r="AH75" i="12" s="1"/>
  <c r="B286" i="8"/>
  <c r="AH74" i="12" s="1"/>
  <c r="B285" i="8"/>
  <c r="AH73" i="12" s="1"/>
  <c r="B281" i="8"/>
  <c r="AI78" i="12" s="1"/>
  <c r="B280" i="8"/>
  <c r="AI77" i="12" s="1"/>
  <c r="B279" i="8"/>
  <c r="AI76" i="12" s="1"/>
  <c r="B278" i="8"/>
  <c r="AI75" i="12" s="1"/>
  <c r="B277" i="8"/>
  <c r="AI74" i="12" s="1"/>
  <c r="B276" i="8"/>
  <c r="AI73" i="12" s="1"/>
  <c r="B272" i="8"/>
  <c r="AD78" i="12" s="1"/>
  <c r="B271" i="8"/>
  <c r="AD77" i="12" s="1"/>
  <c r="B270" i="8"/>
  <c r="AD76" i="12" s="1"/>
  <c r="B269" i="8"/>
  <c r="AD75" i="12" s="1"/>
  <c r="B268" i="8"/>
  <c r="AD74" i="12" s="1"/>
  <c r="B267" i="8"/>
  <c r="AD73" i="12" s="1"/>
  <c r="B263" i="8"/>
  <c r="AG80" i="12" s="1"/>
  <c r="B262" i="8"/>
  <c r="AG79" i="12" s="1"/>
  <c r="B261" i="8"/>
  <c r="AG78" i="12" s="1"/>
  <c r="B260" i="8"/>
  <c r="AG77" i="12" s="1"/>
  <c r="B259" i="8"/>
  <c r="AG76" i="12" s="1"/>
  <c r="B258" i="8"/>
  <c r="AG75" i="12" s="1"/>
  <c r="B257" i="8"/>
  <c r="AG74" i="12" s="1"/>
  <c r="B256" i="8"/>
  <c r="AG73" i="12" s="1"/>
  <c r="D254" i="8"/>
  <c r="D203" i="8"/>
  <c r="D167" i="8"/>
  <c r="D18" i="8"/>
  <c r="B302" i="5"/>
  <c r="B298" i="5"/>
  <c r="B270" i="5"/>
  <c r="B271" i="5"/>
  <c r="B272" i="5"/>
  <c r="B273" i="5"/>
  <c r="B274" i="5"/>
  <c r="B275" i="5"/>
  <c r="AA79" i="12" s="1"/>
  <c r="B280" i="5"/>
  <c r="B281" i="5"/>
  <c r="B282" i="5"/>
  <c r="B283" i="5"/>
  <c r="B279" i="5"/>
  <c r="B288" i="5"/>
  <c r="B289" i="5"/>
  <c r="B290" i="5"/>
  <c r="B291" i="5"/>
  <c r="B292" i="5"/>
  <c r="B293" i="5"/>
  <c r="AK79" i="12" s="1"/>
  <c r="B287" i="5"/>
  <c r="AK78" i="12"/>
  <c r="B269" i="5"/>
  <c r="B260" i="5"/>
  <c r="B261" i="5"/>
  <c r="B262" i="5"/>
  <c r="B263" i="5"/>
  <c r="B264" i="5"/>
  <c r="B265" i="5"/>
  <c r="B259" i="5"/>
  <c r="D285" i="5"/>
  <c r="D281" i="9"/>
  <c r="D272" i="9"/>
  <c r="D263" i="9"/>
  <c r="B266" i="9"/>
  <c r="B267" i="9"/>
  <c r="B268" i="9"/>
  <c r="B269" i="9"/>
  <c r="B270" i="9"/>
  <c r="B265" i="9"/>
  <c r="D275" i="9"/>
  <c r="D276" i="9"/>
  <c r="D277" i="9"/>
  <c r="D278" i="9"/>
  <c r="D279" i="9"/>
  <c r="D284" i="9"/>
  <c r="D285" i="9"/>
  <c r="D286" i="9"/>
  <c r="D287" i="9"/>
  <c r="D288" i="9"/>
  <c r="B284" i="9"/>
  <c r="B285" i="9"/>
  <c r="B286" i="9"/>
  <c r="B287" i="9"/>
  <c r="B288" i="9"/>
  <c r="B275" i="9"/>
  <c r="B276" i="9"/>
  <c r="B277" i="9"/>
  <c r="B278" i="9"/>
  <c r="B279" i="9"/>
  <c r="D290" i="9"/>
  <c r="B293" i="9"/>
  <c r="B294" i="9"/>
  <c r="B295" i="9"/>
  <c r="B296" i="9"/>
  <c r="B297" i="9"/>
  <c r="B298" i="9"/>
  <c r="B299" i="9"/>
  <c r="B292" i="9"/>
  <c r="B283" i="9"/>
  <c r="B274" i="9"/>
  <c r="B259" i="9"/>
  <c r="B258" i="9"/>
  <c r="B257" i="9"/>
  <c r="B256" i="9"/>
  <c r="B252" i="9"/>
  <c r="B251" i="9"/>
  <c r="B250" i="9"/>
  <c r="B249" i="9"/>
  <c r="B245" i="9"/>
  <c r="B244" i="9"/>
  <c r="B243" i="9"/>
  <c r="B242" i="9"/>
  <c r="B241" i="9"/>
  <c r="B240" i="9"/>
  <c r="B239" i="9"/>
  <c r="B238" i="9"/>
  <c r="B237" i="9"/>
  <c r="B236" i="9"/>
  <c r="B235" i="9"/>
  <c r="B234" i="9"/>
  <c r="B230" i="9"/>
  <c r="B229" i="9"/>
  <c r="B228" i="9"/>
  <c r="B227" i="9"/>
  <c r="B226" i="9"/>
  <c r="B225" i="9"/>
  <c r="B224" i="9"/>
  <c r="B223" i="9"/>
  <c r="B222" i="9"/>
  <c r="B221" i="9"/>
  <c r="B220" i="9"/>
  <c r="B219" i="9"/>
  <c r="B205" i="9"/>
  <c r="B206" i="9"/>
  <c r="B207" i="9"/>
  <c r="B208" i="9"/>
  <c r="B209" i="9"/>
  <c r="B210" i="9"/>
  <c r="B211" i="9"/>
  <c r="B212" i="9"/>
  <c r="B213" i="9"/>
  <c r="B214" i="9"/>
  <c r="B215" i="9"/>
  <c r="B204" i="9"/>
  <c r="D232" i="9"/>
  <c r="D217" i="9"/>
  <c r="D202" i="9"/>
  <c r="D162" i="9"/>
  <c r="D181" i="9"/>
  <c r="D143" i="9"/>
  <c r="D124" i="9"/>
  <c r="B198" i="9"/>
  <c r="B197" i="9"/>
  <c r="B194" i="9"/>
  <c r="B193" i="9"/>
  <c r="B192" i="9"/>
  <c r="B191" i="9"/>
  <c r="B190" i="9"/>
  <c r="B189" i="9"/>
  <c r="B186" i="9"/>
  <c r="B185" i="9"/>
  <c r="B184" i="9"/>
  <c r="B183" i="9"/>
  <c r="B179" i="9"/>
  <c r="B178" i="9"/>
  <c r="B175" i="9"/>
  <c r="B174" i="9"/>
  <c r="B173" i="9"/>
  <c r="B172" i="9"/>
  <c r="B171" i="9"/>
  <c r="B170" i="9"/>
  <c r="B167" i="9"/>
  <c r="B166" i="9"/>
  <c r="B165" i="9"/>
  <c r="B164" i="9"/>
  <c r="B160" i="9"/>
  <c r="B159" i="9"/>
  <c r="B156" i="9"/>
  <c r="B155" i="9"/>
  <c r="B154" i="9"/>
  <c r="B153" i="9"/>
  <c r="B152" i="9"/>
  <c r="B151" i="9"/>
  <c r="B150" i="9"/>
  <c r="B149" i="9"/>
  <c r="B148" i="9"/>
  <c r="B147" i="9"/>
  <c r="B146" i="9"/>
  <c r="B145" i="9"/>
  <c r="B141" i="9"/>
  <c r="B140" i="9"/>
  <c r="B137" i="9"/>
  <c r="B136" i="9"/>
  <c r="B135" i="9"/>
  <c r="B134" i="9"/>
  <c r="B133" i="9"/>
  <c r="B132" i="9"/>
  <c r="B131" i="9"/>
  <c r="B130" i="9"/>
  <c r="B129" i="9"/>
  <c r="B128" i="9"/>
  <c r="B127" i="9"/>
  <c r="B126" i="9"/>
  <c r="B97" i="9"/>
  <c r="B96" i="9"/>
  <c r="B95" i="9"/>
  <c r="B92" i="9"/>
  <c r="B91" i="9"/>
  <c r="B90" i="9"/>
  <c r="B89" i="9"/>
  <c r="B88" i="9"/>
  <c r="B87" i="9"/>
  <c r="B86" i="9"/>
  <c r="B85" i="9"/>
  <c r="B84" i="9"/>
  <c r="B83" i="9"/>
  <c r="B82" i="9"/>
  <c r="B81" i="9"/>
  <c r="B77" i="9"/>
  <c r="B76" i="9"/>
  <c r="B75" i="9"/>
  <c r="B72" i="9"/>
  <c r="B71" i="9"/>
  <c r="B69" i="9"/>
  <c r="B68" i="9"/>
  <c r="B67" i="9"/>
  <c r="B66" i="9"/>
  <c r="B64" i="9"/>
  <c r="B63" i="9"/>
  <c r="B62" i="9"/>
  <c r="B61" i="9"/>
  <c r="B56" i="9"/>
  <c r="B55" i="9"/>
  <c r="B54" i="9"/>
  <c r="B51" i="9"/>
  <c r="B50" i="9"/>
  <c r="B49" i="9"/>
  <c r="B48" i="9"/>
  <c r="B47" i="9"/>
  <c r="B46" i="9"/>
  <c r="B45" i="9"/>
  <c r="B44" i="9"/>
  <c r="B43" i="9"/>
  <c r="B42" i="9"/>
  <c r="B41" i="9"/>
  <c r="B40" i="9"/>
  <c r="D79" i="9"/>
  <c r="D59" i="9"/>
  <c r="D38" i="9"/>
  <c r="B36" i="9"/>
  <c r="B35" i="9"/>
  <c r="B34" i="9"/>
  <c r="B31" i="9"/>
  <c r="B30" i="9"/>
  <c r="B28" i="9"/>
  <c r="B27" i="9"/>
  <c r="B26" i="9"/>
  <c r="B25" i="9"/>
  <c r="B23" i="9"/>
  <c r="B22" i="9"/>
  <c r="B21" i="9"/>
  <c r="B20" i="9"/>
  <c r="D18" i="9"/>
  <c r="D166" i="10"/>
  <c r="D230" i="10"/>
  <c r="D262" i="10"/>
  <c r="B242" i="2"/>
  <c r="B235" i="2"/>
  <c r="B214" i="2"/>
  <c r="B215" i="2"/>
  <c r="B216" i="2"/>
  <c r="B217" i="2"/>
  <c r="B221" i="2"/>
  <c r="B239" i="2"/>
  <c r="B207" i="2"/>
  <c r="B299" i="4"/>
  <c r="C91" i="12" s="1"/>
  <c r="B295" i="4"/>
  <c r="B91" i="12" s="1"/>
  <c r="D290" i="10"/>
  <c r="D271" i="10"/>
  <c r="D280" i="10"/>
  <c r="B293" i="10"/>
  <c r="B294" i="10"/>
  <c r="B295" i="10"/>
  <c r="B296" i="10"/>
  <c r="B297" i="10"/>
  <c r="B298" i="10"/>
  <c r="B274" i="10"/>
  <c r="B275" i="10"/>
  <c r="B276" i="10"/>
  <c r="B277" i="10"/>
  <c r="B278" i="10"/>
  <c r="B292" i="10"/>
  <c r="B233" i="10"/>
  <c r="B234" i="10"/>
  <c r="B235" i="10"/>
  <c r="B236" i="10"/>
  <c r="B237" i="10"/>
  <c r="B238" i="10"/>
  <c r="B239" i="10"/>
  <c r="B240" i="10"/>
  <c r="B241" i="10"/>
  <c r="B242" i="10"/>
  <c r="B243" i="10"/>
  <c r="B232" i="10"/>
  <c r="B218" i="10"/>
  <c r="B219" i="10"/>
  <c r="B220" i="10"/>
  <c r="B221" i="10"/>
  <c r="B222" i="10"/>
  <c r="B223" i="10"/>
  <c r="B224" i="10"/>
  <c r="B225" i="10"/>
  <c r="B226" i="10"/>
  <c r="B227" i="10"/>
  <c r="B228" i="10"/>
  <c r="B217" i="10"/>
  <c r="B203" i="10"/>
  <c r="B204" i="10"/>
  <c r="B205" i="10"/>
  <c r="B206" i="10"/>
  <c r="B207" i="10"/>
  <c r="B208" i="10"/>
  <c r="B209" i="10"/>
  <c r="B210" i="10"/>
  <c r="B211" i="10"/>
  <c r="B212" i="10"/>
  <c r="B213" i="10"/>
  <c r="B202" i="10"/>
  <c r="D245" i="10"/>
  <c r="D215" i="10"/>
  <c r="D200" i="10"/>
  <c r="B196" i="10"/>
  <c r="B195" i="10"/>
  <c r="B130" i="10"/>
  <c r="B129" i="10"/>
  <c r="B128" i="10"/>
  <c r="B127" i="10"/>
  <c r="B126" i="10"/>
  <c r="B125" i="10"/>
  <c r="B124" i="10"/>
  <c r="B123" i="10"/>
  <c r="B122" i="10"/>
  <c r="D150" i="10"/>
  <c r="D182" i="10"/>
  <c r="B193" i="10"/>
  <c r="B192" i="10"/>
  <c r="B191" i="10"/>
  <c r="B190" i="10"/>
  <c r="B189" i="10"/>
  <c r="B188" i="10"/>
  <c r="B187" i="10"/>
  <c r="B186" i="10"/>
  <c r="B185" i="10"/>
  <c r="B184" i="10"/>
  <c r="B180" i="10"/>
  <c r="B179" i="10"/>
  <c r="B177" i="10"/>
  <c r="B176" i="10"/>
  <c r="B175" i="10"/>
  <c r="B174" i="10"/>
  <c r="B173" i="10"/>
  <c r="B172" i="10"/>
  <c r="B171" i="10"/>
  <c r="B170" i="10"/>
  <c r="B169" i="10"/>
  <c r="B168" i="10"/>
  <c r="B164" i="10"/>
  <c r="B163" i="10"/>
  <c r="B161" i="10"/>
  <c r="B160" i="10"/>
  <c r="B159" i="10"/>
  <c r="B158" i="10"/>
  <c r="B157" i="10"/>
  <c r="B156" i="10"/>
  <c r="B155" i="10"/>
  <c r="B154" i="10"/>
  <c r="B153" i="10"/>
  <c r="B152" i="10"/>
  <c r="B148" i="10"/>
  <c r="B147" i="10"/>
  <c r="B144" i="10"/>
  <c r="B143" i="10"/>
  <c r="B142" i="10"/>
  <c r="B141" i="10"/>
  <c r="B140" i="10"/>
  <c r="B139" i="10"/>
  <c r="B138" i="10"/>
  <c r="B137" i="10"/>
  <c r="B136" i="10"/>
  <c r="D134" i="10"/>
  <c r="D120" i="10"/>
  <c r="B94" i="10"/>
  <c r="B93" i="10"/>
  <c r="B92" i="10"/>
  <c r="B91" i="10"/>
  <c r="B89" i="10"/>
  <c r="B88" i="10"/>
  <c r="B87" i="10"/>
  <c r="B86" i="10"/>
  <c r="B85" i="10"/>
  <c r="B84" i="10"/>
  <c r="B83" i="10"/>
  <c r="B82" i="10"/>
  <c r="B78" i="10"/>
  <c r="B77" i="10"/>
  <c r="B75" i="10"/>
  <c r="AZ13" i="12" s="1"/>
  <c r="B74" i="10"/>
  <c r="AZ12" i="12" s="1"/>
  <c r="B73" i="10"/>
  <c r="AZ11" i="12" s="1"/>
  <c r="B72" i="10"/>
  <c r="AZ10" i="12" s="1"/>
  <c r="B55" i="10"/>
  <c r="AV9" i="12" s="1"/>
  <c r="B70" i="10"/>
  <c r="AZ8" i="12" s="1"/>
  <c r="B69" i="10"/>
  <c r="AZ7" i="12" s="1"/>
  <c r="B68" i="10"/>
  <c r="AZ6" i="12" s="1"/>
  <c r="B67" i="10"/>
  <c r="AZ5" i="12" s="1"/>
  <c r="B66" i="10"/>
  <c r="B62" i="10"/>
  <c r="B61" i="10"/>
  <c r="B59" i="10"/>
  <c r="AV13" i="12" s="1"/>
  <c r="B58" i="10"/>
  <c r="AV12" i="12" s="1"/>
  <c r="B57" i="10"/>
  <c r="AV11" i="12" s="1"/>
  <c r="B56" i="10"/>
  <c r="AV10" i="12" s="1"/>
  <c r="B71" i="10"/>
  <c r="AZ9" i="12" s="1"/>
  <c r="B54" i="10"/>
  <c r="AV8" i="12" s="1"/>
  <c r="B53" i="10"/>
  <c r="AV7" i="12" s="1"/>
  <c r="B52" i="10"/>
  <c r="AV6" i="12" s="1"/>
  <c r="B51" i="10"/>
  <c r="AV5" i="12" s="1"/>
  <c r="B50" i="10"/>
  <c r="B46" i="10"/>
  <c r="B45" i="10"/>
  <c r="B43" i="10"/>
  <c r="B42" i="10"/>
  <c r="B41" i="10"/>
  <c r="B40" i="10"/>
  <c r="B39" i="10"/>
  <c r="B38" i="10"/>
  <c r="B37" i="10"/>
  <c r="B36" i="10"/>
  <c r="B35" i="10"/>
  <c r="B34" i="10"/>
  <c r="B30" i="10"/>
  <c r="B29" i="10"/>
  <c r="B27" i="10"/>
  <c r="B26" i="10"/>
  <c r="B25" i="10"/>
  <c r="B24" i="10"/>
  <c r="B23" i="10"/>
  <c r="B22" i="10"/>
  <c r="B21" i="10"/>
  <c r="B20" i="10"/>
  <c r="B19" i="10"/>
  <c r="B18" i="10"/>
  <c r="D80" i="10"/>
  <c r="D64" i="10"/>
  <c r="D71" i="10" s="1"/>
  <c r="D48" i="10"/>
  <c r="D55" i="10" s="1"/>
  <c r="D16" i="10"/>
  <c r="D272" i="6"/>
  <c r="D263" i="6"/>
  <c r="D270" i="6" s="1"/>
  <c r="B266" i="6"/>
  <c r="B267" i="6"/>
  <c r="B268" i="6"/>
  <c r="B269" i="6"/>
  <c r="B270" i="6"/>
  <c r="B265" i="6"/>
  <c r="D290" i="6"/>
  <c r="D299" i="6" s="1"/>
  <c r="B293" i="6"/>
  <c r="B294" i="6"/>
  <c r="B295" i="6"/>
  <c r="B296" i="6"/>
  <c r="B297" i="6"/>
  <c r="B298" i="6"/>
  <c r="B292" i="6"/>
  <c r="D224" i="6"/>
  <c r="B227" i="6"/>
  <c r="B228" i="6"/>
  <c r="B229" i="6"/>
  <c r="B230" i="6"/>
  <c r="B231" i="6"/>
  <c r="B232" i="6"/>
  <c r="B233" i="6"/>
  <c r="B234" i="6"/>
  <c r="B235" i="6"/>
  <c r="B236" i="6"/>
  <c r="B237" i="6"/>
  <c r="B226" i="6"/>
  <c r="B212" i="6"/>
  <c r="B213" i="6"/>
  <c r="B214" i="6"/>
  <c r="B215" i="6"/>
  <c r="B216" i="6"/>
  <c r="B217" i="6"/>
  <c r="B218" i="6"/>
  <c r="B219" i="6"/>
  <c r="B220" i="6"/>
  <c r="B221" i="6"/>
  <c r="B222" i="6"/>
  <c r="B211" i="6"/>
  <c r="B197" i="6"/>
  <c r="B198" i="6"/>
  <c r="B199" i="6"/>
  <c r="B200" i="6"/>
  <c r="B201" i="6"/>
  <c r="B202" i="6"/>
  <c r="B203" i="6"/>
  <c r="B204" i="6"/>
  <c r="B205" i="6"/>
  <c r="B206" i="6"/>
  <c r="B207" i="6"/>
  <c r="B196" i="6"/>
  <c r="D209" i="6"/>
  <c r="D194" i="6"/>
  <c r="B190" i="6"/>
  <c r="B189" i="6"/>
  <c r="B186" i="6"/>
  <c r="B185" i="6"/>
  <c r="B184" i="6"/>
  <c r="B183" i="6"/>
  <c r="B182" i="6"/>
  <c r="B181" i="6"/>
  <c r="B180" i="6"/>
  <c r="B179" i="6"/>
  <c r="B178" i="6"/>
  <c r="B177" i="6"/>
  <c r="B176" i="6"/>
  <c r="B175" i="6"/>
  <c r="B171" i="6"/>
  <c r="B170" i="6"/>
  <c r="B167" i="6"/>
  <c r="B166" i="6"/>
  <c r="B165" i="6"/>
  <c r="B164" i="6"/>
  <c r="B163" i="6"/>
  <c r="B162" i="6"/>
  <c r="B161" i="6"/>
  <c r="B160" i="6"/>
  <c r="B159" i="6"/>
  <c r="B158" i="6"/>
  <c r="B157" i="6"/>
  <c r="B156" i="6"/>
  <c r="D173" i="6"/>
  <c r="D154" i="6"/>
  <c r="B152" i="6"/>
  <c r="B151" i="6"/>
  <c r="B148" i="6"/>
  <c r="B147" i="6"/>
  <c r="B146" i="6"/>
  <c r="B145" i="6"/>
  <c r="B144" i="6"/>
  <c r="B143" i="6"/>
  <c r="B142" i="6"/>
  <c r="B141" i="6"/>
  <c r="B140" i="6"/>
  <c r="B139" i="6"/>
  <c r="B138" i="6"/>
  <c r="B137" i="6"/>
  <c r="D135" i="6"/>
  <c r="B133" i="6"/>
  <c r="B132" i="6"/>
  <c r="B129" i="6"/>
  <c r="B128" i="6"/>
  <c r="B127" i="6"/>
  <c r="B126" i="6"/>
  <c r="B125" i="6"/>
  <c r="B124" i="6"/>
  <c r="B123" i="6"/>
  <c r="B122" i="6"/>
  <c r="B121" i="6"/>
  <c r="B120" i="6"/>
  <c r="B119" i="6"/>
  <c r="B118" i="6"/>
  <c r="D116" i="6"/>
  <c r="B90" i="6"/>
  <c r="B89" i="6"/>
  <c r="B88" i="6"/>
  <c r="B86" i="6"/>
  <c r="B85" i="6"/>
  <c r="B84" i="6"/>
  <c r="B83" i="6"/>
  <c r="B82" i="6"/>
  <c r="B81" i="6"/>
  <c r="B80" i="6"/>
  <c r="B79" i="6"/>
  <c r="B78" i="6"/>
  <c r="B77" i="6"/>
  <c r="B76" i="6"/>
  <c r="B75" i="6"/>
  <c r="D73" i="6"/>
  <c r="D54" i="6"/>
  <c r="D35" i="6"/>
  <c r="D16" i="6"/>
  <c r="B71" i="6"/>
  <c r="B70" i="6"/>
  <c r="B69" i="6"/>
  <c r="B67" i="6"/>
  <c r="B66" i="6"/>
  <c r="B65" i="6"/>
  <c r="B64" i="6"/>
  <c r="B63" i="6"/>
  <c r="B62" i="6"/>
  <c r="B61" i="6"/>
  <c r="B60" i="6"/>
  <c r="B59" i="6"/>
  <c r="B58" i="6"/>
  <c r="B57" i="6"/>
  <c r="B56" i="6"/>
  <c r="B52" i="6"/>
  <c r="B51" i="6"/>
  <c r="B50" i="6"/>
  <c r="B48" i="6"/>
  <c r="B47" i="6"/>
  <c r="B46" i="6"/>
  <c r="B45" i="6"/>
  <c r="B44" i="6"/>
  <c r="B43" i="6"/>
  <c r="B42" i="6"/>
  <c r="B41" i="6"/>
  <c r="B40" i="6"/>
  <c r="B39" i="6"/>
  <c r="B38" i="6"/>
  <c r="B37" i="6"/>
  <c r="B33" i="6"/>
  <c r="B32" i="6"/>
  <c r="B31" i="6"/>
  <c r="B29" i="6"/>
  <c r="B28" i="6"/>
  <c r="B27" i="6"/>
  <c r="B26" i="6"/>
  <c r="B25" i="6"/>
  <c r="B24" i="6"/>
  <c r="B23" i="6"/>
  <c r="B22" i="6"/>
  <c r="B21" i="6"/>
  <c r="B20" i="6"/>
  <c r="B19" i="6"/>
  <c r="B18" i="6"/>
  <c r="D257" i="5"/>
  <c r="D277" i="5"/>
  <c r="D267" i="5"/>
  <c r="B243" i="5"/>
  <c r="B244" i="5"/>
  <c r="B245" i="5"/>
  <c r="B246" i="5"/>
  <c r="B247" i="5"/>
  <c r="B248" i="5"/>
  <c r="B249" i="5"/>
  <c r="B250" i="5"/>
  <c r="B251" i="5"/>
  <c r="B252" i="5"/>
  <c r="B253" i="5"/>
  <c r="B242" i="5"/>
  <c r="B228" i="5"/>
  <c r="B229" i="5"/>
  <c r="B230" i="5"/>
  <c r="B231" i="5"/>
  <c r="B232" i="5"/>
  <c r="B233" i="5"/>
  <c r="B234" i="5"/>
  <c r="B235" i="5"/>
  <c r="B236" i="5"/>
  <c r="B237" i="5"/>
  <c r="B238" i="5"/>
  <c r="B227" i="5"/>
  <c r="B213" i="5"/>
  <c r="B214" i="5"/>
  <c r="B215" i="5"/>
  <c r="B216" i="5"/>
  <c r="B217" i="5"/>
  <c r="B218" i="5"/>
  <c r="B219" i="5"/>
  <c r="B220" i="5"/>
  <c r="B221" i="5"/>
  <c r="B222" i="5"/>
  <c r="B223" i="5"/>
  <c r="B212" i="5"/>
  <c r="D240" i="5"/>
  <c r="D210" i="5"/>
  <c r="D195" i="5"/>
  <c r="B198" i="5"/>
  <c r="B199" i="5"/>
  <c r="B200" i="5"/>
  <c r="B201" i="5"/>
  <c r="B202" i="5"/>
  <c r="B203" i="5"/>
  <c r="B204" i="5"/>
  <c r="B205" i="5"/>
  <c r="B206" i="5"/>
  <c r="B207" i="5"/>
  <c r="B208" i="5"/>
  <c r="B197" i="5"/>
  <c r="B191" i="5"/>
  <c r="B190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2" i="5"/>
  <c r="B171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3" i="5"/>
  <c r="B152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4" i="5"/>
  <c r="B133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D174" i="5"/>
  <c r="D136" i="5"/>
  <c r="D117" i="5"/>
  <c r="B90" i="5"/>
  <c r="B89" i="5"/>
  <c r="B88" i="5"/>
  <c r="B86" i="5"/>
  <c r="B85" i="5"/>
  <c r="B84" i="5"/>
  <c r="B83" i="5"/>
  <c r="B82" i="5"/>
  <c r="B81" i="5"/>
  <c r="B80" i="5"/>
  <c r="B79" i="5"/>
  <c r="B78" i="5"/>
  <c r="B77" i="5"/>
  <c r="B76" i="5"/>
  <c r="B75" i="5"/>
  <c r="B71" i="5"/>
  <c r="B70" i="5"/>
  <c r="B69" i="5"/>
  <c r="B67" i="5"/>
  <c r="B66" i="5"/>
  <c r="B65" i="5"/>
  <c r="B64" i="5"/>
  <c r="B63" i="5"/>
  <c r="B62" i="5"/>
  <c r="B61" i="5"/>
  <c r="B60" i="5"/>
  <c r="B59" i="5"/>
  <c r="B58" i="5"/>
  <c r="B57" i="5"/>
  <c r="B56" i="5"/>
  <c r="B52" i="5"/>
  <c r="B51" i="5"/>
  <c r="B50" i="5"/>
  <c r="B48" i="5"/>
  <c r="B47" i="5"/>
  <c r="B46" i="5"/>
  <c r="B45" i="5"/>
  <c r="B44" i="5"/>
  <c r="B43" i="5"/>
  <c r="B42" i="5"/>
  <c r="B41" i="5"/>
  <c r="B40" i="5"/>
  <c r="B39" i="5"/>
  <c r="B38" i="5"/>
  <c r="B37" i="5"/>
  <c r="B33" i="5"/>
  <c r="B32" i="5"/>
  <c r="B31" i="5"/>
  <c r="B29" i="5"/>
  <c r="B28" i="5"/>
  <c r="B27" i="5"/>
  <c r="B26" i="5"/>
  <c r="B25" i="5"/>
  <c r="B24" i="5"/>
  <c r="B23" i="5"/>
  <c r="B22" i="5"/>
  <c r="B21" i="5"/>
  <c r="B20" i="5"/>
  <c r="B19" i="5"/>
  <c r="B18" i="5"/>
  <c r="D54" i="5"/>
  <c r="D35" i="5"/>
  <c r="D16" i="5"/>
  <c r="D73" i="5"/>
  <c r="D275" i="4"/>
  <c r="D266" i="4"/>
  <c r="D257" i="4"/>
  <c r="B264" i="4"/>
  <c r="L78" i="12" s="1"/>
  <c r="B263" i="4"/>
  <c r="L77" i="12" s="1"/>
  <c r="B262" i="4"/>
  <c r="L76" i="12" s="1"/>
  <c r="B261" i="4"/>
  <c r="L75" i="12" s="1"/>
  <c r="B260" i="4"/>
  <c r="L74" i="12" s="1"/>
  <c r="B259" i="4"/>
  <c r="L73" i="12" s="1"/>
  <c r="B273" i="4"/>
  <c r="N78" i="12" s="1"/>
  <c r="B272" i="4"/>
  <c r="N77" i="12" s="1"/>
  <c r="B271" i="4"/>
  <c r="N76" i="12" s="1"/>
  <c r="B270" i="4"/>
  <c r="N75" i="12" s="1"/>
  <c r="B269" i="4"/>
  <c r="N74" i="12" s="1"/>
  <c r="B268" i="4"/>
  <c r="N73" i="12" s="1"/>
  <c r="B282" i="4"/>
  <c r="K78" i="12" s="1"/>
  <c r="B281" i="4"/>
  <c r="K77" i="12" s="1"/>
  <c r="B280" i="4"/>
  <c r="K76" i="12" s="1"/>
  <c r="B279" i="4"/>
  <c r="K75" i="12" s="1"/>
  <c r="B278" i="4"/>
  <c r="K74" i="12" s="1"/>
  <c r="B277" i="4"/>
  <c r="K73" i="12" s="1"/>
  <c r="B287" i="4"/>
  <c r="M74" i="12" s="1"/>
  <c r="B288" i="4"/>
  <c r="M75" i="12" s="1"/>
  <c r="B289" i="4"/>
  <c r="M76" i="12" s="1"/>
  <c r="B290" i="4"/>
  <c r="M77" i="12" s="1"/>
  <c r="B291" i="4"/>
  <c r="M78" i="12" s="1"/>
  <c r="B286" i="4"/>
  <c r="M73" i="12" s="1"/>
  <c r="D284" i="4"/>
  <c r="B247" i="4"/>
  <c r="B246" i="4"/>
  <c r="B245" i="4"/>
  <c r="L248" i="4"/>
  <c r="L244" i="4"/>
  <c r="B243" i="4"/>
  <c r="B242" i="4"/>
  <c r="B241" i="4"/>
  <c r="B228" i="4"/>
  <c r="B229" i="4"/>
  <c r="B230" i="4"/>
  <c r="B231" i="4"/>
  <c r="B232" i="4"/>
  <c r="B233" i="4"/>
  <c r="B234" i="4"/>
  <c r="B235" i="4"/>
  <c r="B236" i="4"/>
  <c r="B237" i="4"/>
  <c r="B227" i="4"/>
  <c r="B209" i="4"/>
  <c r="B210" i="4"/>
  <c r="B211" i="4"/>
  <c r="B212" i="4"/>
  <c r="B213" i="4"/>
  <c r="B214" i="4"/>
  <c r="B215" i="4"/>
  <c r="B216" i="4"/>
  <c r="B217" i="4"/>
  <c r="B218" i="4"/>
  <c r="B219" i="4"/>
  <c r="B208" i="4"/>
  <c r="B194" i="4"/>
  <c r="B195" i="4"/>
  <c r="B196" i="4"/>
  <c r="B197" i="4"/>
  <c r="B198" i="4"/>
  <c r="B199" i="4"/>
  <c r="B200" i="4"/>
  <c r="B201" i="4"/>
  <c r="B202" i="4"/>
  <c r="B203" i="4"/>
  <c r="B204" i="4"/>
  <c r="B193" i="4"/>
  <c r="D206" i="4"/>
  <c r="B187" i="4"/>
  <c r="B186" i="4"/>
  <c r="B185" i="4"/>
  <c r="B183" i="4"/>
  <c r="B182" i="4"/>
  <c r="B181" i="4"/>
  <c r="B180" i="4"/>
  <c r="B179" i="4"/>
  <c r="B178" i="4"/>
  <c r="B177" i="4"/>
  <c r="B176" i="4"/>
  <c r="B175" i="4"/>
  <c r="B174" i="4"/>
  <c r="B173" i="4"/>
  <c r="B172" i="4"/>
  <c r="B168" i="4"/>
  <c r="B167" i="4"/>
  <c r="B166" i="4"/>
  <c r="B164" i="4"/>
  <c r="B163" i="4"/>
  <c r="B162" i="4"/>
  <c r="B161" i="4"/>
  <c r="B160" i="4"/>
  <c r="B159" i="4"/>
  <c r="B158" i="4"/>
  <c r="B157" i="4"/>
  <c r="B156" i="4"/>
  <c r="B155" i="4"/>
  <c r="B154" i="4"/>
  <c r="B153" i="4"/>
  <c r="B149" i="4"/>
  <c r="B148" i="4"/>
  <c r="B144" i="4"/>
  <c r="B143" i="4"/>
  <c r="B141" i="4"/>
  <c r="B140" i="4"/>
  <c r="B139" i="4"/>
  <c r="B137" i="4"/>
  <c r="B136" i="4"/>
  <c r="B135" i="4"/>
  <c r="L145" i="4"/>
  <c r="L147" i="4"/>
  <c r="B134" i="4"/>
  <c r="B130" i="4"/>
  <c r="B129" i="4"/>
  <c r="B127" i="4"/>
  <c r="B126" i="4"/>
  <c r="B125" i="4"/>
  <c r="B124" i="4"/>
  <c r="B123" i="4"/>
  <c r="B122" i="4"/>
  <c r="B121" i="4"/>
  <c r="B120" i="4"/>
  <c r="B119" i="4"/>
  <c r="B118" i="4"/>
  <c r="B117" i="4"/>
  <c r="B116" i="4"/>
  <c r="D170" i="4"/>
  <c r="D151" i="4"/>
  <c r="D132" i="4"/>
  <c r="D114" i="4"/>
  <c r="D36" i="4"/>
  <c r="D18" i="4"/>
  <c r="B89" i="4"/>
  <c r="B88" i="4"/>
  <c r="B87" i="4"/>
  <c r="B85" i="4"/>
  <c r="B84" i="4"/>
  <c r="B83" i="4"/>
  <c r="B82" i="4"/>
  <c r="B81" i="4"/>
  <c r="B80" i="4"/>
  <c r="B79" i="4"/>
  <c r="B78" i="4"/>
  <c r="B77" i="4"/>
  <c r="B76" i="4"/>
  <c r="B75" i="4"/>
  <c r="B58" i="4"/>
  <c r="B59" i="4"/>
  <c r="B60" i="4"/>
  <c r="B61" i="4"/>
  <c r="B62" i="4"/>
  <c r="B63" i="4"/>
  <c r="B64" i="4"/>
  <c r="B65" i="4"/>
  <c r="B66" i="4"/>
  <c r="B67" i="4"/>
  <c r="B69" i="4"/>
  <c r="B70" i="4"/>
  <c r="B71" i="4"/>
  <c r="B57" i="4"/>
  <c r="B39" i="4"/>
  <c r="B40" i="4"/>
  <c r="B41" i="4"/>
  <c r="B42" i="4"/>
  <c r="B43" i="4"/>
  <c r="B44" i="4"/>
  <c r="B45" i="4"/>
  <c r="B46" i="4"/>
  <c r="B47" i="4"/>
  <c r="B48" i="4"/>
  <c r="B49" i="4"/>
  <c r="B51" i="4"/>
  <c r="B52" i="4"/>
  <c r="B53" i="4"/>
  <c r="B38" i="4"/>
  <c r="B21" i="4"/>
  <c r="B22" i="4"/>
  <c r="B23" i="4"/>
  <c r="B24" i="4"/>
  <c r="B25" i="4"/>
  <c r="B26" i="4"/>
  <c r="B27" i="4"/>
  <c r="B28" i="4"/>
  <c r="B29" i="4"/>
  <c r="B30" i="4"/>
  <c r="B32" i="4"/>
  <c r="B33" i="4"/>
  <c r="B34" i="4"/>
  <c r="B20" i="4"/>
  <c r="D73" i="4"/>
  <c r="D55" i="4"/>
  <c r="B137" i="1"/>
  <c r="D122" i="1"/>
  <c r="B97" i="1"/>
  <c r="B98" i="1"/>
  <c r="B99" i="1"/>
  <c r="B100" i="1"/>
  <c r="B101" i="1"/>
  <c r="B102" i="1"/>
  <c r="B103" i="1"/>
  <c r="B104" i="1"/>
  <c r="B105" i="1"/>
  <c r="B106" i="1"/>
  <c r="B107" i="1"/>
  <c r="B57" i="1"/>
  <c r="B58" i="1"/>
  <c r="B59" i="1"/>
  <c r="B60" i="1"/>
  <c r="B61" i="1"/>
  <c r="B62" i="1"/>
  <c r="B63" i="1"/>
  <c r="B64" i="1"/>
  <c r="B67" i="1"/>
  <c r="B68" i="1"/>
  <c r="B56" i="1"/>
  <c r="B32" i="3"/>
  <c r="B33" i="3"/>
  <c r="B34" i="3"/>
  <c r="B35" i="3"/>
  <c r="B36" i="3"/>
  <c r="B37" i="3"/>
  <c r="B38" i="3"/>
  <c r="B39" i="3"/>
  <c r="B40" i="3"/>
  <c r="B43" i="3"/>
  <c r="B44" i="3"/>
  <c r="B31" i="3"/>
  <c r="B73" i="1"/>
  <c r="B74" i="1"/>
  <c r="B75" i="1"/>
  <c r="B76" i="1"/>
  <c r="B77" i="1"/>
  <c r="B78" i="1"/>
  <c r="B79" i="1"/>
  <c r="B80" i="1"/>
  <c r="B83" i="1"/>
  <c r="B84" i="1"/>
  <c r="B72" i="1"/>
  <c r="D70" i="1"/>
  <c r="D54" i="1"/>
  <c r="B29" i="1"/>
  <c r="B30" i="1"/>
  <c r="B31" i="1"/>
  <c r="B32" i="1"/>
  <c r="B33" i="1"/>
  <c r="B34" i="1"/>
  <c r="B35" i="1"/>
  <c r="B36" i="1"/>
  <c r="B38" i="1"/>
  <c r="B39" i="1"/>
  <c r="B40" i="1"/>
  <c r="B28" i="1"/>
  <c r="B13" i="1"/>
  <c r="B14" i="1"/>
  <c r="B15" i="1"/>
  <c r="B16" i="1"/>
  <c r="B17" i="1"/>
  <c r="B18" i="1"/>
  <c r="B19" i="1"/>
  <c r="B20" i="1"/>
  <c r="B22" i="1"/>
  <c r="B23" i="1"/>
  <c r="B24" i="1"/>
  <c r="B12" i="1"/>
  <c r="D26" i="1"/>
  <c r="D10" i="1"/>
  <c r="D137" i="3"/>
  <c r="D127" i="3"/>
  <c r="B140" i="3"/>
  <c r="B142" i="3"/>
  <c r="B143" i="3"/>
  <c r="B139" i="3"/>
  <c r="B130" i="3"/>
  <c r="B131" i="3"/>
  <c r="B132" i="3"/>
  <c r="B133" i="3"/>
  <c r="B134" i="3"/>
  <c r="B135" i="3"/>
  <c r="B129" i="3"/>
  <c r="O135" i="3"/>
  <c r="D109" i="3"/>
  <c r="D94" i="3"/>
  <c r="B120" i="3"/>
  <c r="B121" i="3"/>
  <c r="B122" i="3"/>
  <c r="B123" i="3"/>
  <c r="B112" i="3"/>
  <c r="B114" i="3"/>
  <c r="B115" i="3"/>
  <c r="B116" i="3"/>
  <c r="B117" i="3"/>
  <c r="B119" i="3"/>
  <c r="B111" i="3"/>
  <c r="B97" i="3"/>
  <c r="B98" i="3"/>
  <c r="B99" i="3"/>
  <c r="B100" i="3"/>
  <c r="B101" i="3"/>
  <c r="B102" i="3"/>
  <c r="B103" i="3"/>
  <c r="B104" i="3"/>
  <c r="B105" i="3"/>
  <c r="B106" i="3"/>
  <c r="B107" i="3"/>
  <c r="B96" i="3"/>
  <c r="B80" i="3"/>
  <c r="B81" i="3"/>
  <c r="B82" i="3"/>
  <c r="B84" i="3"/>
  <c r="B85" i="3"/>
  <c r="B86" i="3"/>
  <c r="B87" i="3"/>
  <c r="B89" i="3"/>
  <c r="B79" i="3"/>
  <c r="D77" i="3"/>
  <c r="D62" i="3"/>
  <c r="O143" i="3"/>
  <c r="O142" i="3"/>
  <c r="O134" i="3"/>
  <c r="O131" i="3"/>
  <c r="O140" i="3"/>
  <c r="O139" i="3"/>
  <c r="O123" i="3"/>
  <c r="O122" i="3"/>
  <c r="O121" i="3"/>
  <c r="O120" i="3"/>
  <c r="O119" i="3"/>
  <c r="O117" i="3"/>
  <c r="O116" i="3"/>
  <c r="O115" i="3"/>
  <c r="O114" i="3"/>
  <c r="O112" i="3"/>
  <c r="O111" i="3"/>
  <c r="O89" i="3"/>
  <c r="O87" i="3"/>
  <c r="O86" i="3"/>
  <c r="O85" i="3"/>
  <c r="O84" i="3"/>
  <c r="O82" i="3"/>
  <c r="O81" i="3"/>
  <c r="O80" i="3"/>
  <c r="O79" i="3"/>
  <c r="O130" i="3"/>
  <c r="O129" i="3"/>
  <c r="O133" i="3"/>
  <c r="O132" i="3"/>
  <c r="O150" i="3"/>
  <c r="O149" i="3"/>
  <c r="O154" i="3"/>
  <c r="O147" i="3"/>
  <c r="O107" i="3"/>
  <c r="O106" i="3"/>
  <c r="O105" i="3"/>
  <c r="O104" i="3"/>
  <c r="O103" i="3"/>
  <c r="O102" i="3"/>
  <c r="O101" i="3"/>
  <c r="O100" i="3"/>
  <c r="O99" i="3"/>
  <c r="O98" i="3"/>
  <c r="O97" i="3"/>
  <c r="O96" i="3"/>
  <c r="O75" i="3"/>
  <c r="O74" i="3"/>
  <c r="O73" i="3"/>
  <c r="O72" i="3"/>
  <c r="O71" i="3"/>
  <c r="O70" i="3"/>
  <c r="O69" i="3"/>
  <c r="O68" i="3"/>
  <c r="O67" i="3"/>
  <c r="O66" i="3"/>
  <c r="O65" i="3"/>
  <c r="O64" i="3"/>
  <c r="D29" i="3"/>
  <c r="D10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12" i="3"/>
  <c r="H40" i="3"/>
  <c r="F40" i="3"/>
  <c r="H32" i="3"/>
  <c r="D223" i="2"/>
  <c r="D212" i="2"/>
  <c r="D204" i="2"/>
  <c r="D206" i="2" s="1"/>
  <c r="B182" i="2"/>
  <c r="B183" i="2"/>
  <c r="B184" i="2"/>
  <c r="B185" i="2"/>
  <c r="B186" i="2"/>
  <c r="B187" i="2"/>
  <c r="B188" i="2"/>
  <c r="B189" i="2"/>
  <c r="B190" i="2"/>
  <c r="B191" i="2"/>
  <c r="B192" i="2"/>
  <c r="B181" i="2"/>
  <c r="B167" i="2"/>
  <c r="B168" i="2"/>
  <c r="B169" i="2"/>
  <c r="B170" i="2"/>
  <c r="B171" i="2"/>
  <c r="B172" i="2"/>
  <c r="B173" i="2"/>
  <c r="B174" i="2"/>
  <c r="B175" i="2"/>
  <c r="B176" i="2"/>
  <c r="B177" i="2"/>
  <c r="B166" i="2"/>
  <c r="B152" i="2"/>
  <c r="B153" i="2"/>
  <c r="B154" i="2"/>
  <c r="B155" i="2"/>
  <c r="B156" i="2"/>
  <c r="B157" i="2"/>
  <c r="B158" i="2"/>
  <c r="B159" i="2"/>
  <c r="B160" i="2"/>
  <c r="B161" i="2"/>
  <c r="B162" i="2"/>
  <c r="B151" i="2"/>
  <c r="D179" i="2"/>
  <c r="D164" i="2"/>
  <c r="D149" i="2"/>
  <c r="B135" i="2"/>
  <c r="B136" i="2"/>
  <c r="B137" i="2"/>
  <c r="B138" i="2"/>
  <c r="B139" i="2"/>
  <c r="B140" i="2"/>
  <c r="B141" i="2"/>
  <c r="B142" i="2"/>
  <c r="B143" i="2"/>
  <c r="B144" i="2"/>
  <c r="B145" i="2"/>
  <c r="B134" i="2"/>
  <c r="B124" i="2"/>
  <c r="B123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91" i="2"/>
  <c r="B92" i="2"/>
  <c r="B93" i="2"/>
  <c r="B94" i="2"/>
  <c r="B95" i="2"/>
  <c r="B96" i="2"/>
  <c r="B97" i="2"/>
  <c r="B98" i="2"/>
  <c r="B99" i="2"/>
  <c r="B100" i="2"/>
  <c r="B101" i="2"/>
  <c r="B104" i="2"/>
  <c r="B105" i="2"/>
  <c r="B90" i="2"/>
  <c r="D132" i="2"/>
  <c r="D107" i="2"/>
  <c r="D88" i="2"/>
  <c r="B72" i="2"/>
  <c r="B71" i="2"/>
  <c r="B70" i="2"/>
  <c r="B69" i="2"/>
  <c r="B67" i="2"/>
  <c r="B66" i="2"/>
  <c r="B65" i="2"/>
  <c r="B64" i="2"/>
  <c r="B63" i="2"/>
  <c r="B62" i="2"/>
  <c r="B61" i="2"/>
  <c r="B60" i="2"/>
  <c r="B59" i="2"/>
  <c r="B58" i="2"/>
  <c r="B57" i="2"/>
  <c r="B56" i="2"/>
  <c r="D54" i="2"/>
  <c r="D34" i="2"/>
  <c r="D14" i="2"/>
  <c r="B52" i="2"/>
  <c r="B51" i="2"/>
  <c r="B50" i="2"/>
  <c r="B49" i="2"/>
  <c r="B47" i="2"/>
  <c r="B46" i="2"/>
  <c r="B45" i="2"/>
  <c r="B44" i="2"/>
  <c r="B43" i="2"/>
  <c r="B42" i="2"/>
  <c r="B41" i="2"/>
  <c r="B40" i="2"/>
  <c r="B39" i="2"/>
  <c r="B38" i="2"/>
  <c r="B37" i="2"/>
  <c r="B36" i="2"/>
  <c r="B17" i="2"/>
  <c r="B18" i="2"/>
  <c r="B19" i="2"/>
  <c r="B20" i="2"/>
  <c r="B21" i="2"/>
  <c r="B22" i="2"/>
  <c r="B23" i="2"/>
  <c r="B24" i="2"/>
  <c r="B25" i="2"/>
  <c r="B26" i="2"/>
  <c r="B27" i="2"/>
  <c r="B29" i="2"/>
  <c r="B30" i="2"/>
  <c r="B31" i="2"/>
  <c r="B32" i="2"/>
  <c r="B16" i="2"/>
  <c r="D385" i="11"/>
  <c r="B385" i="11"/>
  <c r="D384" i="11"/>
  <c r="B384" i="11"/>
  <c r="D383" i="11"/>
  <c r="B383" i="11"/>
  <c r="D382" i="11"/>
  <c r="B382" i="11"/>
  <c r="D381" i="11"/>
  <c r="B381" i="11"/>
  <c r="D380" i="11"/>
  <c r="B380" i="11"/>
  <c r="D379" i="11"/>
  <c r="B379" i="11"/>
  <c r="D378" i="11"/>
  <c r="B378" i="11"/>
  <c r="D377" i="11"/>
  <c r="B377" i="11"/>
  <c r="D376" i="11"/>
  <c r="B376" i="11"/>
  <c r="D375" i="11"/>
  <c r="B375" i="11"/>
  <c r="D374" i="11"/>
  <c r="B374" i="11"/>
  <c r="D373" i="11"/>
  <c r="B373" i="11"/>
  <c r="D372" i="11"/>
  <c r="B372" i="11"/>
  <c r="D371" i="11"/>
  <c r="B371" i="11"/>
  <c r="D370" i="11"/>
  <c r="B370" i="11"/>
  <c r="D369" i="11"/>
  <c r="B369" i="11"/>
  <c r="D368" i="11"/>
  <c r="B368" i="11"/>
  <c r="D367" i="11"/>
  <c r="B367" i="11"/>
  <c r="D366" i="11"/>
  <c r="B366" i="11"/>
  <c r="D365" i="11"/>
  <c r="B365" i="11"/>
  <c r="D364" i="11"/>
  <c r="B364" i="11"/>
  <c r="D363" i="11"/>
  <c r="B363" i="11"/>
  <c r="D362" i="11"/>
  <c r="B362" i="11"/>
  <c r="N357" i="11"/>
  <c r="L357" i="11"/>
  <c r="H357" i="11"/>
  <c r="F357" i="11"/>
  <c r="A357" i="11"/>
  <c r="N353" i="11"/>
  <c r="L353" i="11"/>
  <c r="H353" i="11"/>
  <c r="F353" i="11"/>
  <c r="A353" i="11"/>
  <c r="N349" i="11"/>
  <c r="L349" i="11"/>
  <c r="H349" i="11"/>
  <c r="F349" i="11"/>
  <c r="A349" i="11"/>
  <c r="N348" i="11"/>
  <c r="L348" i="11"/>
  <c r="H348" i="11"/>
  <c r="F348" i="11"/>
  <c r="A348" i="11"/>
  <c r="N346" i="11"/>
  <c r="L346" i="11"/>
  <c r="H346" i="11"/>
  <c r="F346" i="11"/>
  <c r="A346" i="11"/>
  <c r="N333" i="11"/>
  <c r="L333" i="11"/>
  <c r="H333" i="11"/>
  <c r="F333" i="11"/>
  <c r="A333" i="11"/>
  <c r="N343" i="11"/>
  <c r="L343" i="11"/>
  <c r="H343" i="11"/>
  <c r="F343" i="11"/>
  <c r="A343" i="11"/>
  <c r="N345" i="11"/>
  <c r="L345" i="11"/>
  <c r="H345" i="11"/>
  <c r="F345" i="11"/>
  <c r="A345" i="11"/>
  <c r="N344" i="11"/>
  <c r="L344" i="11"/>
  <c r="H344" i="11"/>
  <c r="F344" i="11"/>
  <c r="A344" i="11"/>
  <c r="N339" i="11"/>
  <c r="L339" i="11"/>
  <c r="H339" i="11"/>
  <c r="F339" i="11"/>
  <c r="A339" i="11"/>
  <c r="N338" i="11"/>
  <c r="L338" i="11"/>
  <c r="H338" i="11"/>
  <c r="F338" i="11"/>
  <c r="A338" i="11"/>
  <c r="N337" i="11"/>
  <c r="L337" i="11"/>
  <c r="H337" i="11"/>
  <c r="F337" i="11"/>
  <c r="A337" i="11"/>
  <c r="N336" i="11"/>
  <c r="L336" i="11"/>
  <c r="H336" i="11"/>
  <c r="F336" i="11"/>
  <c r="A336" i="11"/>
  <c r="N335" i="11"/>
  <c r="L335" i="11"/>
  <c r="H335" i="11"/>
  <c r="F335" i="11"/>
  <c r="A335" i="11"/>
  <c r="N334" i="11"/>
  <c r="L334" i="11"/>
  <c r="H334" i="11"/>
  <c r="F334" i="11"/>
  <c r="A334" i="11"/>
  <c r="N347" i="11"/>
  <c r="L347" i="11"/>
  <c r="H347" i="11"/>
  <c r="F347" i="11"/>
  <c r="A347" i="11"/>
  <c r="N329" i="11"/>
  <c r="L329" i="11"/>
  <c r="H329" i="11"/>
  <c r="F329" i="11"/>
  <c r="A329" i="11"/>
  <c r="N328" i="11"/>
  <c r="L328" i="11"/>
  <c r="H328" i="11"/>
  <c r="F328" i="11"/>
  <c r="A328" i="11"/>
  <c r="N327" i="11"/>
  <c r="L327" i="11"/>
  <c r="H327" i="11"/>
  <c r="F327" i="11"/>
  <c r="A327" i="11"/>
  <c r="N326" i="11"/>
  <c r="L326" i="11"/>
  <c r="H326" i="11"/>
  <c r="F326" i="11"/>
  <c r="A326" i="11"/>
  <c r="N325" i="11"/>
  <c r="L325" i="11"/>
  <c r="H325" i="11"/>
  <c r="F325" i="11"/>
  <c r="A325" i="11"/>
  <c r="N324" i="11"/>
  <c r="L324" i="11"/>
  <c r="H324" i="11"/>
  <c r="F324" i="11"/>
  <c r="A324" i="11"/>
  <c r="N323" i="11"/>
  <c r="L323" i="11"/>
  <c r="H323" i="11"/>
  <c r="F323" i="11"/>
  <c r="A323" i="11"/>
  <c r="N314" i="11"/>
  <c r="L314" i="11"/>
  <c r="A314" i="11"/>
  <c r="N315" i="11"/>
  <c r="L315" i="11"/>
  <c r="A315" i="11"/>
  <c r="N316" i="11"/>
  <c r="L316" i="11"/>
  <c r="A316" i="11"/>
  <c r="N319" i="11"/>
  <c r="L319" i="11"/>
  <c r="H319" i="11"/>
  <c r="F319" i="11"/>
  <c r="A319" i="11"/>
  <c r="N318" i="11"/>
  <c r="L318" i="11"/>
  <c r="H318" i="11"/>
  <c r="F318" i="11"/>
  <c r="A318" i="11"/>
  <c r="N317" i="11"/>
  <c r="L317" i="11"/>
  <c r="H317" i="11"/>
  <c r="F317" i="11"/>
  <c r="A317" i="11"/>
  <c r="N313" i="11"/>
  <c r="L313" i="11"/>
  <c r="A313" i="11"/>
  <c r="N287" i="11"/>
  <c r="L287" i="11"/>
  <c r="A287" i="11"/>
  <c r="N307" i="11"/>
  <c r="L307" i="11"/>
  <c r="H307" i="11"/>
  <c r="F307" i="11"/>
  <c r="A307" i="11"/>
  <c r="N306" i="11"/>
  <c r="L306" i="11"/>
  <c r="H306" i="11"/>
  <c r="F306" i="11"/>
  <c r="A306" i="11"/>
  <c r="N304" i="11"/>
  <c r="L304" i="11"/>
  <c r="H304" i="11"/>
  <c r="F304" i="11"/>
  <c r="A304" i="11"/>
  <c r="N303" i="11"/>
  <c r="L303" i="11"/>
  <c r="H303" i="11"/>
  <c r="F303" i="11"/>
  <c r="A303" i="11"/>
  <c r="N302" i="11"/>
  <c r="L302" i="11"/>
  <c r="H302" i="11"/>
  <c r="F302" i="11"/>
  <c r="A302" i="11"/>
  <c r="N301" i="11"/>
  <c r="L301" i="11"/>
  <c r="H301" i="11"/>
  <c r="F301" i="11"/>
  <c r="A301" i="11"/>
  <c r="N299" i="11"/>
  <c r="L299" i="11"/>
  <c r="A299" i="11"/>
  <c r="N300" i="11"/>
  <c r="L300" i="11"/>
  <c r="H300" i="11"/>
  <c r="F300" i="11"/>
  <c r="A300" i="11"/>
  <c r="N298" i="11"/>
  <c r="L298" i="11"/>
  <c r="H298" i="11"/>
  <c r="F298" i="11"/>
  <c r="A298" i="11"/>
  <c r="N297" i="11"/>
  <c r="L297" i="11"/>
  <c r="A297" i="11"/>
  <c r="N296" i="11"/>
  <c r="L296" i="11"/>
  <c r="A296" i="11"/>
  <c r="N295" i="11"/>
  <c r="L295" i="11"/>
  <c r="A295" i="11"/>
  <c r="N294" i="11"/>
  <c r="L294" i="11"/>
  <c r="A294" i="11"/>
  <c r="N293" i="11"/>
  <c r="L293" i="11"/>
  <c r="T53" i="12" s="1"/>
  <c r="A293" i="11"/>
  <c r="N289" i="11"/>
  <c r="L289" i="11"/>
  <c r="H289" i="11"/>
  <c r="F289" i="11"/>
  <c r="A289" i="11"/>
  <c r="N288" i="11"/>
  <c r="L288" i="11"/>
  <c r="S66" i="12" s="1"/>
  <c r="H288" i="11"/>
  <c r="F288" i="11"/>
  <c r="A288" i="11"/>
  <c r="N286" i="11"/>
  <c r="L286" i="11"/>
  <c r="S64" i="12" s="1"/>
  <c r="A286" i="11"/>
  <c r="N285" i="11"/>
  <c r="L285" i="11"/>
  <c r="S63" i="12" s="1"/>
  <c r="A285" i="11"/>
  <c r="N284" i="11"/>
  <c r="L284" i="11"/>
  <c r="S62" i="12" s="1"/>
  <c r="A284" i="11"/>
  <c r="N283" i="11"/>
  <c r="L283" i="11"/>
  <c r="S61" i="12" s="1"/>
  <c r="A283" i="11"/>
  <c r="N282" i="11"/>
  <c r="L282" i="11"/>
  <c r="S60" i="12" s="1"/>
  <c r="A282" i="11"/>
  <c r="N281" i="11"/>
  <c r="L281" i="11"/>
  <c r="S59" i="12" s="1"/>
  <c r="A281" i="11"/>
  <c r="N280" i="11"/>
  <c r="L280" i="11"/>
  <c r="A280" i="11"/>
  <c r="N279" i="11"/>
  <c r="L279" i="11"/>
  <c r="S57" i="12" s="1"/>
  <c r="A279" i="11"/>
  <c r="N278" i="11"/>
  <c r="L278" i="11"/>
  <c r="S56" i="12" s="1"/>
  <c r="A278" i="11"/>
  <c r="N277" i="11"/>
  <c r="L277" i="11"/>
  <c r="A277" i="11"/>
  <c r="N276" i="11"/>
  <c r="L276" i="11"/>
  <c r="S54" i="12" s="1"/>
  <c r="A276" i="11"/>
  <c r="N275" i="11"/>
  <c r="L275" i="11"/>
  <c r="S53" i="12" s="1"/>
  <c r="A275" i="11"/>
  <c r="N270" i="11"/>
  <c r="L270" i="11"/>
  <c r="R66" i="12" s="1"/>
  <c r="H270" i="11"/>
  <c r="A270" i="11"/>
  <c r="N269" i="11"/>
  <c r="L269" i="11"/>
  <c r="R65" i="12" s="1"/>
  <c r="H269" i="11"/>
  <c r="F269" i="11"/>
  <c r="A269" i="11"/>
  <c r="N268" i="11"/>
  <c r="L268" i="11"/>
  <c r="R64" i="12" s="1"/>
  <c r="H268" i="11"/>
  <c r="F268" i="11"/>
  <c r="A268" i="11"/>
  <c r="N267" i="11"/>
  <c r="L267" i="11"/>
  <c r="H267" i="11"/>
  <c r="F267" i="11"/>
  <c r="A267" i="11"/>
  <c r="N266" i="11"/>
  <c r="L266" i="11"/>
  <c r="H266" i="11"/>
  <c r="F266" i="11"/>
  <c r="A266" i="11"/>
  <c r="N265" i="11"/>
  <c r="L265" i="11"/>
  <c r="H265" i="11"/>
  <c r="F265" i="11"/>
  <c r="A265" i="11"/>
  <c r="N264" i="11"/>
  <c r="L264" i="11"/>
  <c r="A264" i="11"/>
  <c r="N263" i="11"/>
  <c r="L263" i="11"/>
  <c r="A263" i="11"/>
  <c r="N262" i="11"/>
  <c r="L262" i="11"/>
  <c r="A262" i="11"/>
  <c r="N261" i="11"/>
  <c r="L261" i="11"/>
  <c r="A261" i="11"/>
  <c r="N260" i="11"/>
  <c r="L260" i="11"/>
  <c r="A260" i="11"/>
  <c r="N259" i="11"/>
  <c r="L259" i="11"/>
  <c r="A259" i="11"/>
  <c r="N258" i="11"/>
  <c r="L258" i="11"/>
  <c r="H258" i="11"/>
  <c r="F258" i="11"/>
  <c r="A258" i="11"/>
  <c r="N257" i="11"/>
  <c r="L257" i="11"/>
  <c r="H257" i="11"/>
  <c r="F257" i="11"/>
  <c r="A257" i="11"/>
  <c r="N253" i="11"/>
  <c r="L253" i="11"/>
  <c r="H253" i="11"/>
  <c r="F253" i="11"/>
  <c r="A253" i="11"/>
  <c r="N252" i="11"/>
  <c r="L252" i="11"/>
  <c r="H252" i="11"/>
  <c r="F252" i="11"/>
  <c r="A252" i="11"/>
  <c r="N251" i="11"/>
  <c r="L251" i="11"/>
  <c r="H251" i="11"/>
  <c r="A251" i="11"/>
  <c r="N250" i="11"/>
  <c r="L250" i="11"/>
  <c r="H250" i="11"/>
  <c r="F250" i="11"/>
  <c r="A250" i="11"/>
  <c r="N249" i="11"/>
  <c r="L249" i="11"/>
  <c r="H249" i="11"/>
  <c r="F249" i="11"/>
  <c r="A249" i="11"/>
  <c r="N248" i="11"/>
  <c r="L248" i="11"/>
  <c r="H248" i="11"/>
  <c r="F248" i="11"/>
  <c r="A248" i="11"/>
  <c r="N247" i="11"/>
  <c r="L247" i="11"/>
  <c r="Q60" i="12" s="1"/>
  <c r="H247" i="11"/>
  <c r="F247" i="11"/>
  <c r="A247" i="11"/>
  <c r="N246" i="11"/>
  <c r="L246" i="11"/>
  <c r="Q59" i="12" s="1"/>
  <c r="H246" i="11"/>
  <c r="F246" i="11"/>
  <c r="A246" i="11"/>
  <c r="N245" i="11"/>
  <c r="L245" i="11"/>
  <c r="H245" i="11"/>
  <c r="F245" i="11"/>
  <c r="A245" i="11"/>
  <c r="N244" i="11"/>
  <c r="L244" i="11"/>
  <c r="Q57" i="12" s="1"/>
  <c r="H244" i="11"/>
  <c r="F244" i="11"/>
  <c r="A244" i="11"/>
  <c r="N243" i="11"/>
  <c r="L243" i="11"/>
  <c r="Q56" i="12" s="1"/>
  <c r="A243" i="11"/>
  <c r="N242" i="11"/>
  <c r="L242" i="11"/>
  <c r="A242" i="11"/>
  <c r="N241" i="11"/>
  <c r="L241" i="11"/>
  <c r="H241" i="11"/>
  <c r="F241" i="11"/>
  <c r="A241" i="11"/>
  <c r="N240" i="11"/>
  <c r="L240" i="11"/>
  <c r="Q53" i="12" s="1"/>
  <c r="H240" i="11"/>
  <c r="F240" i="11"/>
  <c r="A240" i="11"/>
  <c r="F233" i="11"/>
  <c r="E233" i="11"/>
  <c r="F232" i="11"/>
  <c r="E232" i="11"/>
  <c r="F231" i="11"/>
  <c r="E231" i="11"/>
  <c r="N220" i="11"/>
  <c r="L220" i="11"/>
  <c r="H220" i="11"/>
  <c r="F220" i="11"/>
  <c r="A220" i="11"/>
  <c r="N219" i="11"/>
  <c r="L219" i="11"/>
  <c r="A219" i="11"/>
  <c r="N217" i="11"/>
  <c r="L217" i="11"/>
  <c r="A217" i="11"/>
  <c r="N216" i="11"/>
  <c r="L216" i="11"/>
  <c r="H216" i="11"/>
  <c r="F216" i="11"/>
  <c r="A216" i="11"/>
  <c r="N215" i="11"/>
  <c r="L215" i="11"/>
  <c r="A215" i="11"/>
  <c r="N214" i="11"/>
  <c r="L214" i="11"/>
  <c r="A214" i="11"/>
  <c r="N213" i="11"/>
  <c r="L213" i="11"/>
  <c r="A213" i="11"/>
  <c r="N212" i="11"/>
  <c r="L212" i="11"/>
  <c r="A212" i="11"/>
  <c r="N211" i="11"/>
  <c r="L211" i="11"/>
  <c r="A211" i="11"/>
  <c r="N210" i="11"/>
  <c r="L210" i="11"/>
  <c r="A210" i="11"/>
  <c r="N209" i="11"/>
  <c r="L209" i="11"/>
  <c r="A209" i="11"/>
  <c r="N208" i="11"/>
  <c r="L208" i="11"/>
  <c r="A208" i="11"/>
  <c r="N207" i="11"/>
  <c r="L207" i="11"/>
  <c r="A207" i="11"/>
  <c r="N206" i="11"/>
  <c r="L206" i="11"/>
  <c r="A206" i="11"/>
  <c r="N202" i="11"/>
  <c r="L202" i="11"/>
  <c r="H202" i="11"/>
  <c r="F202" i="11"/>
  <c r="A202" i="11"/>
  <c r="N201" i="11"/>
  <c r="L201" i="11"/>
  <c r="N200" i="11"/>
  <c r="L200" i="11"/>
  <c r="N199" i="11"/>
  <c r="L199" i="11"/>
  <c r="N197" i="11"/>
  <c r="L197" i="11"/>
  <c r="H197" i="11"/>
  <c r="F197" i="11"/>
  <c r="N196" i="11"/>
  <c r="L196" i="11"/>
  <c r="N195" i="11"/>
  <c r="L195" i="11"/>
  <c r="N194" i="11"/>
  <c r="L194" i="11"/>
  <c r="N193" i="11"/>
  <c r="L193" i="11"/>
  <c r="N192" i="11"/>
  <c r="L192" i="11"/>
  <c r="N190" i="11"/>
  <c r="L190" i="11"/>
  <c r="A190" i="11"/>
  <c r="N189" i="11"/>
  <c r="L189" i="11"/>
  <c r="A189" i="11"/>
  <c r="N188" i="11"/>
  <c r="L188" i="11"/>
  <c r="A188" i="11"/>
  <c r="N184" i="11"/>
  <c r="L184" i="11"/>
  <c r="A184" i="11"/>
  <c r="N183" i="11"/>
  <c r="L183" i="11"/>
  <c r="A183" i="11"/>
  <c r="N182" i="11"/>
  <c r="L182" i="11"/>
  <c r="A182" i="11"/>
  <c r="N181" i="11"/>
  <c r="L181" i="11"/>
  <c r="A181" i="11"/>
  <c r="N180" i="11"/>
  <c r="L180" i="11"/>
  <c r="A180" i="11"/>
  <c r="N179" i="11"/>
  <c r="L179" i="11"/>
  <c r="A179" i="11"/>
  <c r="N178" i="11"/>
  <c r="L178" i="11"/>
  <c r="A178" i="11"/>
  <c r="N177" i="11"/>
  <c r="L177" i="11"/>
  <c r="A177" i="11"/>
  <c r="N176" i="11"/>
  <c r="L176" i="11"/>
  <c r="A176" i="11"/>
  <c r="N175" i="11"/>
  <c r="L175" i="11"/>
  <c r="A175" i="11"/>
  <c r="N174" i="11"/>
  <c r="L174" i="11"/>
  <c r="A174" i="11"/>
  <c r="N173" i="11"/>
  <c r="L173" i="11"/>
  <c r="A173" i="11"/>
  <c r="N169" i="11"/>
  <c r="L169" i="11"/>
  <c r="A169" i="11"/>
  <c r="N168" i="11"/>
  <c r="L168" i="11"/>
  <c r="A168" i="11"/>
  <c r="N167" i="11"/>
  <c r="L167" i="11"/>
  <c r="A167" i="11"/>
  <c r="N166" i="11"/>
  <c r="L166" i="11"/>
  <c r="A166" i="11"/>
  <c r="N165" i="11"/>
  <c r="L165" i="11"/>
  <c r="A165" i="11"/>
  <c r="N164" i="11"/>
  <c r="L164" i="11"/>
  <c r="A164" i="11"/>
  <c r="N163" i="11"/>
  <c r="L163" i="11"/>
  <c r="A163" i="11"/>
  <c r="N162" i="11"/>
  <c r="L162" i="11"/>
  <c r="A162" i="11"/>
  <c r="N161" i="11"/>
  <c r="L161" i="11"/>
  <c r="A161" i="11"/>
  <c r="N160" i="11"/>
  <c r="L160" i="11"/>
  <c r="A160" i="11"/>
  <c r="N159" i="11"/>
  <c r="L159" i="11"/>
  <c r="A159" i="11"/>
  <c r="N158" i="11"/>
  <c r="L158" i="11"/>
  <c r="A158" i="11"/>
  <c r="L63" i="11"/>
  <c r="L43" i="11"/>
  <c r="L59" i="11"/>
  <c r="H59" i="11"/>
  <c r="F59" i="11"/>
  <c r="L40" i="11"/>
  <c r="H40" i="11"/>
  <c r="F40" i="11"/>
  <c r="A40" i="11"/>
  <c r="L39" i="11"/>
  <c r="H39" i="11"/>
  <c r="F39" i="11"/>
  <c r="A39" i="11"/>
  <c r="L34" i="11"/>
  <c r="A34" i="11"/>
  <c r="L55" i="11"/>
  <c r="H55" i="11"/>
  <c r="F55" i="11"/>
  <c r="A55" i="11"/>
  <c r="L36" i="11"/>
  <c r="H36" i="11"/>
  <c r="F36" i="11"/>
  <c r="A36" i="11"/>
  <c r="L35" i="11"/>
  <c r="H35" i="11"/>
  <c r="F35" i="11"/>
  <c r="A35" i="11"/>
  <c r="L33" i="11"/>
  <c r="H33" i="11"/>
  <c r="A33" i="11"/>
  <c r="L51" i="11"/>
  <c r="H51" i="11"/>
  <c r="F51" i="11"/>
  <c r="A51" i="11"/>
  <c r="L32" i="11"/>
  <c r="H32" i="11"/>
  <c r="F32" i="11"/>
  <c r="A32" i="11"/>
  <c r="L31" i="11"/>
  <c r="H31" i="11"/>
  <c r="F31" i="11"/>
  <c r="A31" i="11"/>
  <c r="L29" i="11"/>
  <c r="F29" i="11"/>
  <c r="A29" i="11"/>
  <c r="L121" i="11"/>
  <c r="L120" i="11"/>
  <c r="L118" i="11"/>
  <c r="H118" i="11"/>
  <c r="F118" i="11"/>
  <c r="A118" i="11"/>
  <c r="L117" i="11"/>
  <c r="H117" i="11"/>
  <c r="F117" i="11"/>
  <c r="A117" i="11"/>
  <c r="L116" i="11"/>
  <c r="H116" i="11"/>
  <c r="F116" i="11"/>
  <c r="A116" i="11"/>
  <c r="L115" i="11"/>
  <c r="H115" i="11"/>
  <c r="F115" i="11"/>
  <c r="A115" i="11"/>
  <c r="L114" i="11"/>
  <c r="H114" i="11"/>
  <c r="F114" i="11"/>
  <c r="A114" i="11"/>
  <c r="L113" i="11"/>
  <c r="H113" i="11"/>
  <c r="F113" i="11"/>
  <c r="A113" i="11"/>
  <c r="L112" i="11"/>
  <c r="H112" i="11"/>
  <c r="F112" i="11"/>
  <c r="A112" i="11"/>
  <c r="L111" i="11"/>
  <c r="H111" i="11"/>
  <c r="F111" i="11"/>
  <c r="A111" i="11"/>
  <c r="L110" i="11"/>
  <c r="H110" i="11"/>
  <c r="F110" i="11"/>
  <c r="A110" i="11"/>
  <c r="L109" i="11"/>
  <c r="H109" i="11"/>
  <c r="F109" i="11"/>
  <c r="A109" i="11"/>
  <c r="L108" i="11"/>
  <c r="H108" i="11"/>
  <c r="F108" i="11"/>
  <c r="A108" i="11"/>
  <c r="L107" i="11"/>
  <c r="H107" i="11"/>
  <c r="F107" i="11"/>
  <c r="A107" i="11"/>
  <c r="L103" i="11"/>
  <c r="A103" i="11"/>
  <c r="L102" i="11"/>
  <c r="A102" i="11"/>
  <c r="L99" i="11"/>
  <c r="H99" i="11"/>
  <c r="F99" i="11"/>
  <c r="A99" i="11"/>
  <c r="L98" i="11"/>
  <c r="H98" i="11"/>
  <c r="F98" i="11"/>
  <c r="A98" i="11"/>
  <c r="L97" i="11"/>
  <c r="H97" i="11"/>
  <c r="F97" i="11"/>
  <c r="A97" i="11"/>
  <c r="L96" i="11"/>
  <c r="H96" i="11"/>
  <c r="F96" i="11"/>
  <c r="A96" i="11"/>
  <c r="L95" i="11"/>
  <c r="H95" i="11"/>
  <c r="F95" i="11"/>
  <c r="A95" i="11"/>
  <c r="L94" i="11"/>
  <c r="H94" i="11"/>
  <c r="F94" i="11"/>
  <c r="A94" i="11"/>
  <c r="L93" i="11"/>
  <c r="H93" i="11"/>
  <c r="F93" i="11"/>
  <c r="A93" i="11"/>
  <c r="L92" i="11"/>
  <c r="H92" i="11"/>
  <c r="F92" i="11"/>
  <c r="A92" i="11"/>
  <c r="L91" i="11"/>
  <c r="H91" i="11"/>
  <c r="F91" i="11"/>
  <c r="A91" i="11"/>
  <c r="L90" i="11"/>
  <c r="H90" i="11"/>
  <c r="F90" i="11"/>
  <c r="A90" i="11"/>
  <c r="L89" i="11"/>
  <c r="H89" i="11"/>
  <c r="F89" i="11"/>
  <c r="A89" i="11"/>
  <c r="L88" i="11"/>
  <c r="H88" i="11"/>
  <c r="F88" i="11"/>
  <c r="A88" i="11"/>
  <c r="L83" i="11"/>
  <c r="A83" i="11"/>
  <c r="L82" i="11"/>
  <c r="A82" i="11"/>
  <c r="L79" i="11"/>
  <c r="H79" i="11"/>
  <c r="F79" i="11"/>
  <c r="A79" i="11"/>
  <c r="L78" i="11"/>
  <c r="H78" i="11"/>
  <c r="F78" i="11"/>
  <c r="A78" i="11"/>
  <c r="L77" i="11"/>
  <c r="H77" i="11"/>
  <c r="F77" i="11"/>
  <c r="A77" i="11"/>
  <c r="L76" i="11"/>
  <c r="H76" i="11"/>
  <c r="F76" i="11"/>
  <c r="A76" i="11"/>
  <c r="L75" i="11"/>
  <c r="H75" i="11"/>
  <c r="F75" i="11"/>
  <c r="A75" i="11"/>
  <c r="L74" i="11"/>
  <c r="H74" i="11"/>
  <c r="F74" i="11"/>
  <c r="A74" i="11"/>
  <c r="L73" i="11"/>
  <c r="H73" i="11"/>
  <c r="F73" i="11"/>
  <c r="A73" i="11"/>
  <c r="L72" i="11"/>
  <c r="H72" i="11"/>
  <c r="F72" i="11"/>
  <c r="A72" i="11"/>
  <c r="L71" i="11"/>
  <c r="H71" i="11"/>
  <c r="F71" i="11"/>
  <c r="A71" i="11"/>
  <c r="L70" i="11"/>
  <c r="H70" i="11"/>
  <c r="F70" i="11"/>
  <c r="A70" i="11"/>
  <c r="L69" i="11"/>
  <c r="H69" i="11"/>
  <c r="F69" i="11"/>
  <c r="A69" i="11"/>
  <c r="L68" i="11"/>
  <c r="H68" i="11"/>
  <c r="F68" i="11"/>
  <c r="A68" i="11"/>
  <c r="L62" i="11"/>
  <c r="A62" i="11"/>
  <c r="L58" i="11"/>
  <c r="H58" i="11"/>
  <c r="F58" i="11"/>
  <c r="A58" i="11"/>
  <c r="L57" i="11"/>
  <c r="H57" i="11"/>
  <c r="F57" i="11"/>
  <c r="A57" i="11"/>
  <c r="L56" i="11"/>
  <c r="H56" i="11"/>
  <c r="F56" i="11"/>
  <c r="A56" i="11"/>
  <c r="L54" i="11"/>
  <c r="H54" i="11"/>
  <c r="F54" i="11"/>
  <c r="A54" i="11"/>
  <c r="L53" i="11"/>
  <c r="H53" i="11"/>
  <c r="F53" i="11"/>
  <c r="A53" i="11"/>
  <c r="L52" i="11"/>
  <c r="H52" i="11"/>
  <c r="F52" i="11"/>
  <c r="A52" i="11"/>
  <c r="L50" i="11"/>
  <c r="H50" i="11"/>
  <c r="F50" i="11"/>
  <c r="A50" i="11"/>
  <c r="L49" i="11"/>
  <c r="H49" i="11"/>
  <c r="F49" i="11"/>
  <c r="A49" i="11"/>
  <c r="H48" i="11"/>
  <c r="F48" i="11"/>
  <c r="A48" i="11"/>
  <c r="N306" i="10"/>
  <c r="L306" i="10"/>
  <c r="N302" i="10"/>
  <c r="L302" i="10"/>
  <c r="N298" i="10"/>
  <c r="L298" i="10"/>
  <c r="N297" i="10"/>
  <c r="L297" i="10"/>
  <c r="N276" i="10"/>
  <c r="L276" i="10"/>
  <c r="F276" i="10"/>
  <c r="H302" i="10" s="1"/>
  <c r="B312" i="10" s="1"/>
  <c r="N296" i="10"/>
  <c r="L296" i="10"/>
  <c r="N283" i="10"/>
  <c r="L283" i="10"/>
  <c r="N294" i="10"/>
  <c r="L294" i="10"/>
  <c r="F294" i="10"/>
  <c r="H297" i="10" s="1"/>
  <c r="D312" i="10" s="1"/>
  <c r="N293" i="10"/>
  <c r="L293" i="10"/>
  <c r="F293" i="10"/>
  <c r="F298" i="10" s="1"/>
  <c r="D310" i="10" s="1"/>
  <c r="N286" i="10"/>
  <c r="L286" i="10"/>
  <c r="N285" i="10"/>
  <c r="L285" i="10"/>
  <c r="N284" i="10"/>
  <c r="L284" i="10"/>
  <c r="N295" i="10"/>
  <c r="L295" i="10"/>
  <c r="N292" i="10"/>
  <c r="L292" i="10"/>
  <c r="N282" i="10"/>
  <c r="L282" i="10"/>
  <c r="N266" i="10"/>
  <c r="L266" i="10"/>
  <c r="N275" i="10"/>
  <c r="L275" i="10"/>
  <c r="F275" i="10"/>
  <c r="F302" i="10" s="1"/>
  <c r="B311" i="10" s="1"/>
  <c r="N278" i="10"/>
  <c r="L278" i="10"/>
  <c r="N277" i="10"/>
  <c r="L277" i="10"/>
  <c r="N265" i="10"/>
  <c r="L265" i="10"/>
  <c r="N264" i="10"/>
  <c r="L264" i="10"/>
  <c r="N273" i="10"/>
  <c r="L273" i="10"/>
  <c r="N274" i="10"/>
  <c r="L274" i="10"/>
  <c r="N288" i="10"/>
  <c r="L288" i="10"/>
  <c r="N287" i="10"/>
  <c r="L287" i="10"/>
  <c r="N269" i="10"/>
  <c r="L269" i="10"/>
  <c r="N268" i="10"/>
  <c r="L268" i="10"/>
  <c r="N267" i="10"/>
  <c r="L267" i="10"/>
  <c r="N258" i="10"/>
  <c r="L258" i="10"/>
  <c r="F258" i="10"/>
  <c r="H288" i="10" s="1"/>
  <c r="D328" i="10" s="1"/>
  <c r="N257" i="10"/>
  <c r="L257" i="10"/>
  <c r="F257" i="10"/>
  <c r="H286" i="10" s="1"/>
  <c r="D323" i="10" s="1"/>
  <c r="N256" i="10"/>
  <c r="L256" i="10"/>
  <c r="H256" i="10"/>
  <c r="F288" i="10" s="1"/>
  <c r="D327" i="10" s="1"/>
  <c r="F256" i="10"/>
  <c r="F287" i="10" s="1"/>
  <c r="D326" i="10" s="1"/>
  <c r="N255" i="10"/>
  <c r="L255" i="10"/>
  <c r="N254" i="10"/>
  <c r="L254" i="10"/>
  <c r="N253" i="10"/>
  <c r="L253" i="10"/>
  <c r="N252" i="10"/>
  <c r="L252" i="10"/>
  <c r="F252" i="10"/>
  <c r="H257" i="10" s="1"/>
  <c r="H285" i="10" s="1"/>
  <c r="D321" i="10" s="1"/>
  <c r="N251" i="10"/>
  <c r="L251" i="10"/>
  <c r="F251" i="10"/>
  <c r="H258" i="10" s="1"/>
  <c r="H287" i="10" s="1"/>
  <c r="D325" i="10" s="1"/>
  <c r="N250" i="10"/>
  <c r="L250" i="10"/>
  <c r="F250" i="10"/>
  <c r="H255" i="10" s="1"/>
  <c r="F286" i="10" s="1"/>
  <c r="D324" i="10" s="1"/>
  <c r="N249" i="10"/>
  <c r="L249" i="10"/>
  <c r="F249" i="10"/>
  <c r="F255" i="10" s="1"/>
  <c r="F285" i="10" s="1"/>
  <c r="D322" i="10" s="1"/>
  <c r="N248" i="10"/>
  <c r="L248" i="10"/>
  <c r="N247" i="10"/>
  <c r="L247" i="10"/>
  <c r="N243" i="10"/>
  <c r="L243" i="10"/>
  <c r="F243" i="10"/>
  <c r="H296" i="10" s="1"/>
  <c r="D313" i="10" s="1"/>
  <c r="N242" i="10"/>
  <c r="L242" i="10"/>
  <c r="F242" i="10"/>
  <c r="H293" i="10" s="1"/>
  <c r="F297" i="10" s="1"/>
  <c r="D311" i="10" s="1"/>
  <c r="N241" i="10"/>
  <c r="L241" i="10"/>
  <c r="H241" i="10"/>
  <c r="H292" i="10" s="1"/>
  <c r="D317" i="10" s="1"/>
  <c r="N240" i="10"/>
  <c r="L240" i="10"/>
  <c r="N239" i="10"/>
  <c r="L239" i="10"/>
  <c r="H239" i="10"/>
  <c r="H243" i="10" s="1"/>
  <c r="H294" i="10" s="1"/>
  <c r="H298" i="10" s="1"/>
  <c r="D309" i="10" s="1"/>
  <c r="N238" i="10"/>
  <c r="L238" i="10"/>
  <c r="H238" i="10"/>
  <c r="H242" i="10" s="1"/>
  <c r="F296" i="10" s="1"/>
  <c r="D314" i="10" s="1"/>
  <c r="F238" i="10"/>
  <c r="F295" i="10" s="1"/>
  <c r="D315" i="10" s="1"/>
  <c r="N237" i="10"/>
  <c r="L237" i="10"/>
  <c r="N236" i="10"/>
  <c r="L236" i="10"/>
  <c r="N235" i="10"/>
  <c r="L235" i="10"/>
  <c r="H235" i="10"/>
  <c r="F241" i="10" s="1"/>
  <c r="H284" i="10" s="1"/>
  <c r="D319" i="10" s="1"/>
  <c r="N234" i="10"/>
  <c r="L234" i="10"/>
  <c r="H234" i="10"/>
  <c r="F239" i="10" s="1"/>
  <c r="H295" i="10" s="1"/>
  <c r="D316" i="10" s="1"/>
  <c r="N233" i="10"/>
  <c r="L233" i="10"/>
  <c r="H233" i="10"/>
  <c r="H240" i="10" s="1"/>
  <c r="F292" i="10" s="1"/>
  <c r="D318" i="10" s="1"/>
  <c r="N232" i="10"/>
  <c r="L232" i="10"/>
  <c r="H232" i="10"/>
  <c r="F240" i="10" s="1"/>
  <c r="F284" i="10" s="1"/>
  <c r="D320" i="10" s="1"/>
  <c r="N228" i="10"/>
  <c r="L228" i="10"/>
  <c r="H228" i="10"/>
  <c r="H268" i="10" s="1"/>
  <c r="B326" i="10" s="1"/>
  <c r="F228" i="10"/>
  <c r="H269" i="10" s="1"/>
  <c r="B328" i="10" s="1"/>
  <c r="N227" i="10"/>
  <c r="L227" i="10"/>
  <c r="N226" i="10"/>
  <c r="L226" i="10"/>
  <c r="N225" i="10"/>
  <c r="L225" i="10"/>
  <c r="H225" i="10"/>
  <c r="F267" i="10" s="1"/>
  <c r="B324" i="10" s="1"/>
  <c r="F225" i="10"/>
  <c r="F266" i="10" s="1"/>
  <c r="B322" i="10" s="1"/>
  <c r="N224" i="10"/>
  <c r="L224" i="10"/>
  <c r="N223" i="10"/>
  <c r="L223" i="10"/>
  <c r="N222" i="10"/>
  <c r="L222" i="10"/>
  <c r="F222" i="10"/>
  <c r="H227" i="10" s="1"/>
  <c r="H267" i="10" s="1"/>
  <c r="B323" i="10" s="1"/>
  <c r="N221" i="10"/>
  <c r="L221" i="10"/>
  <c r="F221" i="10"/>
  <c r="F227" i="10" s="1"/>
  <c r="H266" i="10" s="1"/>
  <c r="B321" i="10" s="1"/>
  <c r="N220" i="10"/>
  <c r="L220" i="10"/>
  <c r="F220" i="10"/>
  <c r="F226" i="10" s="1"/>
  <c r="F268" i="10" s="1"/>
  <c r="B325" i="10" s="1"/>
  <c r="N219" i="10"/>
  <c r="L219" i="10"/>
  <c r="F219" i="10"/>
  <c r="H226" i="10" s="1"/>
  <c r="F269" i="10" s="1"/>
  <c r="B327" i="10" s="1"/>
  <c r="N218" i="10"/>
  <c r="L218" i="10"/>
  <c r="N217" i="10"/>
  <c r="L217" i="10"/>
  <c r="N213" i="10"/>
  <c r="L213" i="10"/>
  <c r="F213" i="10"/>
  <c r="F274" i="10" s="1"/>
  <c r="B313" i="10" s="1"/>
  <c r="N212" i="10"/>
  <c r="L212" i="10"/>
  <c r="F212" i="10"/>
  <c r="H274" i="10" s="1"/>
  <c r="B314" i="10" s="1"/>
  <c r="N211" i="10"/>
  <c r="L211" i="10"/>
  <c r="N210" i="10"/>
  <c r="L210" i="10"/>
  <c r="F210" i="10"/>
  <c r="H277" i="10" s="1"/>
  <c r="B317" i="10" s="1"/>
  <c r="N209" i="10"/>
  <c r="L209" i="10"/>
  <c r="H209" i="10"/>
  <c r="H213" i="10" s="1"/>
  <c r="H275" i="10" s="1"/>
  <c r="F306" i="10" s="1"/>
  <c r="B309" i="10" s="1"/>
  <c r="F209" i="10"/>
  <c r="F273" i="10" s="1"/>
  <c r="B316" i="10" s="1"/>
  <c r="N208" i="10"/>
  <c r="L208" i="10"/>
  <c r="F208" i="10"/>
  <c r="H212" i="10" s="1"/>
  <c r="H276" i="10" s="1"/>
  <c r="H306" i="10" s="1"/>
  <c r="B310" i="10" s="1"/>
  <c r="N207" i="10"/>
  <c r="L207" i="10"/>
  <c r="N206" i="10"/>
  <c r="L206" i="10"/>
  <c r="N205" i="10"/>
  <c r="L205" i="10"/>
  <c r="H205" i="10"/>
  <c r="F211" i="10" s="1"/>
  <c r="F278" i="10" s="1"/>
  <c r="B320" i="10" s="1"/>
  <c r="N204" i="10"/>
  <c r="L204" i="10"/>
  <c r="H204" i="10"/>
  <c r="H211" i="10" s="1"/>
  <c r="F277" i="10" s="1"/>
  <c r="B318" i="10" s="1"/>
  <c r="N203" i="10"/>
  <c r="L203" i="10"/>
  <c r="H203" i="10"/>
  <c r="H208" i="10" s="1"/>
  <c r="H273" i="10" s="1"/>
  <c r="B315" i="10" s="1"/>
  <c r="N202" i="10"/>
  <c r="L202" i="10"/>
  <c r="H202" i="10"/>
  <c r="H210" i="10" s="1"/>
  <c r="H278" i="10" s="1"/>
  <c r="B319" i="10" s="1"/>
  <c r="N195" i="10"/>
  <c r="L195" i="10"/>
  <c r="N196" i="10"/>
  <c r="L196" i="10"/>
  <c r="N193" i="10"/>
  <c r="L193" i="10"/>
  <c r="N192" i="10"/>
  <c r="L192" i="10"/>
  <c r="N191" i="10"/>
  <c r="L191" i="10"/>
  <c r="N190" i="10"/>
  <c r="L190" i="10"/>
  <c r="N189" i="10"/>
  <c r="L189" i="10"/>
  <c r="N188" i="10"/>
  <c r="L188" i="10"/>
  <c r="N187" i="10"/>
  <c r="L187" i="10"/>
  <c r="N186" i="10"/>
  <c r="L186" i="10"/>
  <c r="N185" i="10"/>
  <c r="L185" i="10"/>
  <c r="N184" i="10"/>
  <c r="L184" i="10"/>
  <c r="N180" i="10"/>
  <c r="L180" i="10"/>
  <c r="N179" i="10"/>
  <c r="L179" i="10"/>
  <c r="N177" i="10"/>
  <c r="L177" i="10"/>
  <c r="N176" i="10"/>
  <c r="L176" i="10"/>
  <c r="N175" i="10"/>
  <c r="L175" i="10"/>
  <c r="N174" i="10"/>
  <c r="L174" i="10"/>
  <c r="N173" i="10"/>
  <c r="L173" i="10"/>
  <c r="N172" i="10"/>
  <c r="L172" i="10"/>
  <c r="N171" i="10"/>
  <c r="L171" i="10"/>
  <c r="N170" i="10"/>
  <c r="L170" i="10"/>
  <c r="N169" i="10"/>
  <c r="L169" i="10"/>
  <c r="N168" i="10"/>
  <c r="L168" i="10"/>
  <c r="N164" i="10"/>
  <c r="L164" i="10"/>
  <c r="N163" i="10"/>
  <c r="L163" i="10"/>
  <c r="N161" i="10"/>
  <c r="L161" i="10"/>
  <c r="N160" i="10"/>
  <c r="L160" i="10"/>
  <c r="N159" i="10"/>
  <c r="L159" i="10"/>
  <c r="N158" i="10"/>
  <c r="L158" i="10"/>
  <c r="N157" i="10"/>
  <c r="L157" i="10"/>
  <c r="N156" i="10"/>
  <c r="L156" i="10"/>
  <c r="N155" i="10"/>
  <c r="L155" i="10"/>
  <c r="N154" i="10"/>
  <c r="L154" i="10"/>
  <c r="N153" i="10"/>
  <c r="L153" i="10"/>
  <c r="N152" i="10"/>
  <c r="L152" i="10"/>
  <c r="N148" i="10"/>
  <c r="L148" i="10"/>
  <c r="N147" i="10"/>
  <c r="L147" i="10"/>
  <c r="N144" i="10"/>
  <c r="L144" i="10"/>
  <c r="N143" i="10"/>
  <c r="L143" i="10"/>
  <c r="N142" i="10"/>
  <c r="L142" i="10"/>
  <c r="N141" i="10"/>
  <c r="L141" i="10"/>
  <c r="N140" i="10"/>
  <c r="L140" i="10"/>
  <c r="N139" i="10"/>
  <c r="L139" i="10"/>
  <c r="N138" i="10"/>
  <c r="L138" i="10"/>
  <c r="N137" i="10"/>
  <c r="L137" i="10"/>
  <c r="N136" i="10"/>
  <c r="L136" i="10"/>
  <c r="N130" i="10"/>
  <c r="L130" i="10"/>
  <c r="N129" i="10"/>
  <c r="L129" i="10"/>
  <c r="N128" i="10"/>
  <c r="L128" i="10"/>
  <c r="N127" i="10"/>
  <c r="L127" i="10"/>
  <c r="N126" i="10"/>
  <c r="L126" i="10"/>
  <c r="N125" i="10"/>
  <c r="L125" i="10"/>
  <c r="N124" i="10"/>
  <c r="L124" i="10"/>
  <c r="N123" i="10"/>
  <c r="L123" i="10"/>
  <c r="N122" i="10"/>
  <c r="L122" i="10"/>
  <c r="L78" i="10"/>
  <c r="L94" i="10"/>
  <c r="L93" i="10"/>
  <c r="L92" i="10"/>
  <c r="L91" i="10"/>
  <c r="L89" i="10"/>
  <c r="L88" i="10"/>
  <c r="L87" i="10"/>
  <c r="L86" i="10"/>
  <c r="L85" i="10"/>
  <c r="H85" i="10"/>
  <c r="H89" i="10" s="1"/>
  <c r="H94" i="10" s="1"/>
  <c r="F85" i="10"/>
  <c r="H88" i="10" s="1"/>
  <c r="F93" i="10" s="1"/>
  <c r="L84" i="10"/>
  <c r="H84" i="10"/>
  <c r="F89" i="10" s="1"/>
  <c r="F84" i="10"/>
  <c r="F88" i="10" s="1"/>
  <c r="L83" i="10"/>
  <c r="H83" i="10"/>
  <c r="H87" i="10" s="1"/>
  <c r="F83" i="10"/>
  <c r="H86" i="10" s="1"/>
  <c r="L82" i="10"/>
  <c r="H82" i="10"/>
  <c r="F87" i="10" s="1"/>
  <c r="H93" i="10" s="1"/>
  <c r="F82" i="10"/>
  <c r="F86" i="10" s="1"/>
  <c r="F94" i="10" s="1"/>
  <c r="L75" i="10"/>
  <c r="L74" i="10"/>
  <c r="L73" i="10"/>
  <c r="L72" i="10"/>
  <c r="L55" i="10"/>
  <c r="L70" i="10"/>
  <c r="H70" i="10"/>
  <c r="H75" i="10" s="1"/>
  <c r="H78" i="10" s="1"/>
  <c r="F70" i="10"/>
  <c r="H74" i="10" s="1"/>
  <c r="F77" i="10" s="1"/>
  <c r="L69" i="10"/>
  <c r="H69" i="10"/>
  <c r="F75" i="10" s="1"/>
  <c r="F69" i="10"/>
  <c r="F74" i="10" s="1"/>
  <c r="L68" i="10"/>
  <c r="H68" i="10"/>
  <c r="H73" i="10" s="1"/>
  <c r="H77" i="10" s="1"/>
  <c r="F68" i="10"/>
  <c r="H72" i="10" s="1"/>
  <c r="F78" i="10" s="1"/>
  <c r="L67" i="10"/>
  <c r="H67" i="10"/>
  <c r="F73" i="10" s="1"/>
  <c r="F67" i="10"/>
  <c r="F72" i="10" s="1"/>
  <c r="L66" i="10"/>
  <c r="H66" i="10"/>
  <c r="F55" i="10" s="1"/>
  <c r="H92" i="10" s="1"/>
  <c r="F66" i="10"/>
  <c r="L77" i="10"/>
  <c r="L62" i="10"/>
  <c r="L61" i="10"/>
  <c r="L59" i="10"/>
  <c r="L58" i="10"/>
  <c r="L57" i="10"/>
  <c r="L56" i="10"/>
  <c r="L71" i="10"/>
  <c r="F71" i="10"/>
  <c r="L54" i="10"/>
  <c r="H54" i="10"/>
  <c r="H59" i="10" s="1"/>
  <c r="F54" i="10"/>
  <c r="H58" i="10" s="1"/>
  <c r="F61" i="10" s="1"/>
  <c r="L53" i="10"/>
  <c r="H53" i="10"/>
  <c r="F59" i="10" s="1"/>
  <c r="H62" i="10" s="1"/>
  <c r="F53" i="10"/>
  <c r="F58" i="10" s="1"/>
  <c r="L52" i="10"/>
  <c r="H52" i="10"/>
  <c r="H57" i="10" s="1"/>
  <c r="H61" i="10" s="1"/>
  <c r="F52" i="10"/>
  <c r="H56" i="10" s="1"/>
  <c r="F62" i="10" s="1"/>
  <c r="L51" i="10"/>
  <c r="H51" i="10"/>
  <c r="F57" i="10" s="1"/>
  <c r="F51" i="10"/>
  <c r="F56" i="10" s="1"/>
  <c r="L50" i="10"/>
  <c r="H50" i="10"/>
  <c r="H71" i="10" s="1"/>
  <c r="F91" i="10" s="1"/>
  <c r="F50" i="10"/>
  <c r="H55" i="10" s="1"/>
  <c r="L46" i="10"/>
  <c r="L45" i="10"/>
  <c r="L43" i="10"/>
  <c r="L42" i="10"/>
  <c r="L41" i="10"/>
  <c r="L40" i="10"/>
  <c r="L39" i="10"/>
  <c r="L38" i="10"/>
  <c r="H38" i="10"/>
  <c r="H43" i="10" s="1"/>
  <c r="F38" i="10"/>
  <c r="H42" i="10" s="1"/>
  <c r="L37" i="10"/>
  <c r="H37" i="10"/>
  <c r="F43" i="10" s="1"/>
  <c r="F37" i="10"/>
  <c r="F42" i="10" s="1"/>
  <c r="L36" i="10"/>
  <c r="H36" i="10"/>
  <c r="H40" i="10" s="1"/>
  <c r="F36" i="10"/>
  <c r="H41" i="10" s="1"/>
  <c r="L35" i="10"/>
  <c r="H35" i="10"/>
  <c r="F41" i="10" s="1"/>
  <c r="F35" i="10"/>
  <c r="F40" i="10" s="1"/>
  <c r="L34" i="10"/>
  <c r="H34" i="10"/>
  <c r="H39" i="10" s="1"/>
  <c r="H91" i="10" s="1"/>
  <c r="F34" i="10"/>
  <c r="L30" i="10"/>
  <c r="L29" i="10"/>
  <c r="L27" i="10"/>
  <c r="L26" i="10"/>
  <c r="L25" i="10"/>
  <c r="L24" i="10"/>
  <c r="L23" i="10"/>
  <c r="H23" i="10"/>
  <c r="F92" i="10" s="1"/>
  <c r="L22" i="10"/>
  <c r="H22" i="10"/>
  <c r="H26" i="10" s="1"/>
  <c r="F29" i="10" s="1"/>
  <c r="F22" i="10"/>
  <c r="H27" i="10" s="1"/>
  <c r="L21" i="10"/>
  <c r="H21" i="10"/>
  <c r="F27" i="10" s="1"/>
  <c r="F21" i="10"/>
  <c r="F26" i="10" s="1"/>
  <c r="L20" i="10"/>
  <c r="H20" i="10"/>
  <c r="H24" i="10" s="1"/>
  <c r="F30" i="10" s="1"/>
  <c r="F20" i="10"/>
  <c r="H25" i="10" s="1"/>
  <c r="L19" i="10"/>
  <c r="H19" i="10"/>
  <c r="F25" i="10" s="1"/>
  <c r="F19" i="10"/>
  <c r="F24" i="10" s="1"/>
  <c r="L18" i="10"/>
  <c r="H18" i="10"/>
  <c r="F39" i="10" s="1"/>
  <c r="F18" i="10"/>
  <c r="F23" i="10" s="1"/>
  <c r="O299" i="9"/>
  <c r="L299" i="9"/>
  <c r="O298" i="9"/>
  <c r="L298" i="9"/>
  <c r="O295" i="9"/>
  <c r="L295" i="9"/>
  <c r="F295" i="9"/>
  <c r="H299" i="9" s="1"/>
  <c r="B305" i="9" s="1"/>
  <c r="O294" i="9"/>
  <c r="L294" i="9"/>
  <c r="F294" i="9"/>
  <c r="F299" i="9" s="1"/>
  <c r="B304" i="9" s="1"/>
  <c r="O288" i="9"/>
  <c r="L288" i="9"/>
  <c r="O287" i="9"/>
  <c r="L287" i="9"/>
  <c r="O279" i="9"/>
  <c r="L279" i="9"/>
  <c r="O278" i="9"/>
  <c r="L278" i="9"/>
  <c r="O277" i="9"/>
  <c r="L277" i="9"/>
  <c r="O284" i="9"/>
  <c r="L284" i="9"/>
  <c r="O283" i="9"/>
  <c r="L283" i="9"/>
  <c r="O297" i="9"/>
  <c r="L297" i="9"/>
  <c r="O296" i="9"/>
  <c r="L296" i="9"/>
  <c r="O274" i="9"/>
  <c r="L274" i="9"/>
  <c r="O275" i="9"/>
  <c r="L275" i="9"/>
  <c r="O276" i="9"/>
  <c r="L276" i="9"/>
  <c r="O293" i="9"/>
  <c r="L293" i="9"/>
  <c r="F293" i="9"/>
  <c r="H297" i="9" s="1"/>
  <c r="D305" i="9" s="1"/>
  <c r="O292" i="9"/>
  <c r="L292" i="9"/>
  <c r="F292" i="9"/>
  <c r="F296" i="9" s="1"/>
  <c r="D306" i="9" s="1"/>
  <c r="O286" i="9"/>
  <c r="L286" i="9"/>
  <c r="O285" i="9"/>
  <c r="L285" i="9"/>
  <c r="O270" i="9"/>
  <c r="L270" i="9"/>
  <c r="O269" i="9"/>
  <c r="L269" i="9"/>
  <c r="O268" i="9"/>
  <c r="L268" i="9"/>
  <c r="O267" i="9"/>
  <c r="L267" i="9"/>
  <c r="O266" i="9"/>
  <c r="L266" i="9"/>
  <c r="O265" i="9"/>
  <c r="L265" i="9"/>
  <c r="O259" i="9"/>
  <c r="L259" i="9"/>
  <c r="O258" i="9"/>
  <c r="L258" i="9"/>
  <c r="O257" i="9"/>
  <c r="L257" i="9"/>
  <c r="O256" i="9"/>
  <c r="L256" i="9"/>
  <c r="O252" i="9"/>
  <c r="L252" i="9"/>
  <c r="F252" i="9"/>
  <c r="F259" i="9" s="1"/>
  <c r="H287" i="9" s="1"/>
  <c r="D320" i="9" s="1"/>
  <c r="O251" i="9"/>
  <c r="L251" i="9"/>
  <c r="O250" i="9"/>
  <c r="L250" i="9"/>
  <c r="F250" i="9"/>
  <c r="H256" i="9" s="1"/>
  <c r="F278" i="9" s="1"/>
  <c r="D316" i="9" s="1"/>
  <c r="O249" i="9"/>
  <c r="L249" i="9"/>
  <c r="F249" i="9"/>
  <c r="H257" i="9" s="1"/>
  <c r="F288" i="9" s="1"/>
  <c r="D322" i="9" s="1"/>
  <c r="O245" i="9"/>
  <c r="L245" i="9"/>
  <c r="F245" i="9"/>
  <c r="H293" i="9" s="1"/>
  <c r="H296" i="9" s="1"/>
  <c r="D307" i="9" s="1"/>
  <c r="O244" i="9"/>
  <c r="L244" i="9"/>
  <c r="F244" i="9"/>
  <c r="H292" i="9" s="1"/>
  <c r="F297" i="9" s="1"/>
  <c r="D304" i="9" s="1"/>
  <c r="O243" i="9"/>
  <c r="L243" i="9"/>
  <c r="H243" i="9"/>
  <c r="H274" i="9" s="1"/>
  <c r="D312" i="9" s="1"/>
  <c r="O242" i="9"/>
  <c r="L242" i="9"/>
  <c r="F242" i="9"/>
  <c r="F277" i="9" s="1"/>
  <c r="D314" i="9" s="1"/>
  <c r="O241" i="9"/>
  <c r="L241" i="9"/>
  <c r="H241" i="9"/>
  <c r="H275" i="9" s="1"/>
  <c r="D311" i="9" s="1"/>
  <c r="O240" i="9"/>
  <c r="L240" i="9"/>
  <c r="F240" i="9"/>
  <c r="H244" i="9" s="1"/>
  <c r="F276" i="9" s="1"/>
  <c r="D308" i="9" s="1"/>
  <c r="O239" i="9"/>
  <c r="L239" i="9"/>
  <c r="O238" i="9"/>
  <c r="L238" i="9"/>
  <c r="O237" i="9"/>
  <c r="L237" i="9"/>
  <c r="H237" i="9"/>
  <c r="F243" i="9" s="1"/>
  <c r="H277" i="9" s="1"/>
  <c r="D315" i="9" s="1"/>
  <c r="O236" i="9"/>
  <c r="L236" i="9"/>
  <c r="O235" i="9"/>
  <c r="L235" i="9"/>
  <c r="O234" i="9"/>
  <c r="L234" i="9"/>
  <c r="O230" i="9"/>
  <c r="L230" i="9"/>
  <c r="H230" i="9"/>
  <c r="H286" i="9" s="1"/>
  <c r="B322" i="9" s="1"/>
  <c r="F230" i="9"/>
  <c r="H285" i="9" s="1"/>
  <c r="B321" i="9" s="1"/>
  <c r="O229" i="9"/>
  <c r="L229" i="9"/>
  <c r="O228" i="9"/>
  <c r="L228" i="9"/>
  <c r="H228" i="9"/>
  <c r="F285" i="9" s="1"/>
  <c r="B320" i="9" s="1"/>
  <c r="F228" i="9"/>
  <c r="F286" i="9" s="1"/>
  <c r="B323" i="9" s="1"/>
  <c r="O227" i="9"/>
  <c r="L227" i="9"/>
  <c r="O226" i="9"/>
  <c r="L226" i="9"/>
  <c r="O225" i="9"/>
  <c r="L225" i="9"/>
  <c r="O224" i="9"/>
  <c r="L224" i="9"/>
  <c r="F224" i="9"/>
  <c r="H229" i="9" s="1"/>
  <c r="H270" i="9" s="1"/>
  <c r="B319" i="9" s="1"/>
  <c r="O223" i="9"/>
  <c r="L223" i="9"/>
  <c r="F223" i="9"/>
  <c r="F229" i="9" s="1"/>
  <c r="H269" i="9" s="1"/>
  <c r="B316" i="9" s="1"/>
  <c r="O222" i="9"/>
  <c r="L222" i="9"/>
  <c r="F222" i="9"/>
  <c r="H227" i="9" s="1"/>
  <c r="F270" i="9" s="1"/>
  <c r="B318" i="9" s="1"/>
  <c r="O221" i="9"/>
  <c r="L221" i="9"/>
  <c r="F221" i="9"/>
  <c r="F227" i="9" s="1"/>
  <c r="F269" i="9" s="1"/>
  <c r="B317" i="9" s="1"/>
  <c r="O220" i="9"/>
  <c r="L220" i="9"/>
  <c r="O219" i="9"/>
  <c r="L219" i="9"/>
  <c r="O215" i="9"/>
  <c r="L215" i="9"/>
  <c r="F215" i="9"/>
  <c r="H295" i="9" s="1"/>
  <c r="H298" i="9" s="1"/>
  <c r="B307" i="9" s="1"/>
  <c r="O214" i="9"/>
  <c r="L214" i="9"/>
  <c r="F214" i="9"/>
  <c r="F267" i="9" s="1"/>
  <c r="B309" i="9" s="1"/>
  <c r="O213" i="9"/>
  <c r="L213" i="9"/>
  <c r="H213" i="9"/>
  <c r="H268" i="9" s="1"/>
  <c r="B314" i="9" s="1"/>
  <c r="O212" i="9"/>
  <c r="L212" i="9"/>
  <c r="O211" i="9"/>
  <c r="L211" i="9"/>
  <c r="H211" i="9"/>
  <c r="H266" i="9" s="1"/>
  <c r="B311" i="9" s="1"/>
  <c r="O210" i="9"/>
  <c r="L210" i="9"/>
  <c r="H210" i="9"/>
  <c r="H214" i="9" s="1"/>
  <c r="H294" i="9" s="1"/>
  <c r="F298" i="9" s="1"/>
  <c r="B306" i="9" s="1"/>
  <c r="F210" i="9"/>
  <c r="F266" i="9" s="1"/>
  <c r="B310" i="9" s="1"/>
  <c r="O209" i="9"/>
  <c r="L209" i="9"/>
  <c r="O208" i="9"/>
  <c r="L208" i="9"/>
  <c r="O207" i="9"/>
  <c r="L207" i="9"/>
  <c r="H207" i="9"/>
  <c r="F213" i="9" s="1"/>
  <c r="H265" i="9" s="1"/>
  <c r="B313" i="9" s="1"/>
  <c r="O206" i="9"/>
  <c r="L206" i="9"/>
  <c r="H206" i="9"/>
  <c r="F211" i="9" s="1"/>
  <c r="H215" i="9" s="1"/>
  <c r="H267" i="9" s="1"/>
  <c r="B308" i="9" s="1"/>
  <c r="O205" i="9"/>
  <c r="L205" i="9"/>
  <c r="H205" i="9"/>
  <c r="F212" i="9" s="1"/>
  <c r="F265" i="9" s="1"/>
  <c r="B312" i="9" s="1"/>
  <c r="O204" i="9"/>
  <c r="L204" i="9"/>
  <c r="H204" i="9"/>
  <c r="H212" i="9" s="1"/>
  <c r="F268" i="9" s="1"/>
  <c r="B315" i="9" s="1"/>
  <c r="O198" i="9"/>
  <c r="L198" i="9"/>
  <c r="O197" i="9"/>
  <c r="L197" i="9"/>
  <c r="O194" i="9"/>
  <c r="L194" i="9"/>
  <c r="O193" i="9"/>
  <c r="L193" i="9"/>
  <c r="O192" i="9"/>
  <c r="L192" i="9"/>
  <c r="O191" i="9"/>
  <c r="L191" i="9"/>
  <c r="O190" i="9"/>
  <c r="L190" i="9"/>
  <c r="O189" i="9"/>
  <c r="L189" i="9"/>
  <c r="O186" i="9"/>
  <c r="L186" i="9"/>
  <c r="O185" i="9"/>
  <c r="L185" i="9"/>
  <c r="O184" i="9"/>
  <c r="L184" i="9"/>
  <c r="O183" i="9"/>
  <c r="L183" i="9"/>
  <c r="O179" i="9"/>
  <c r="L179" i="9"/>
  <c r="O178" i="9"/>
  <c r="L178" i="9"/>
  <c r="O175" i="9"/>
  <c r="L175" i="9"/>
  <c r="H175" i="9"/>
  <c r="F175" i="9"/>
  <c r="O174" i="9"/>
  <c r="L174" i="9"/>
  <c r="H174" i="9"/>
  <c r="F174" i="9"/>
  <c r="O173" i="9"/>
  <c r="L173" i="9"/>
  <c r="O172" i="9"/>
  <c r="L172" i="9"/>
  <c r="O171" i="9"/>
  <c r="L171" i="9"/>
  <c r="F171" i="9"/>
  <c r="O170" i="9"/>
  <c r="L170" i="9"/>
  <c r="F170" i="9"/>
  <c r="O167" i="9"/>
  <c r="L167" i="9"/>
  <c r="F167" i="9"/>
  <c r="O166" i="9"/>
  <c r="L166" i="9"/>
  <c r="F166" i="9"/>
  <c r="O165" i="9"/>
  <c r="L165" i="9"/>
  <c r="O164" i="9"/>
  <c r="L164" i="9"/>
  <c r="O160" i="9"/>
  <c r="L160" i="9"/>
  <c r="O159" i="9"/>
  <c r="L159" i="9"/>
  <c r="O156" i="9"/>
  <c r="L156" i="9"/>
  <c r="H156" i="9"/>
  <c r="F156" i="9"/>
  <c r="O155" i="9"/>
  <c r="L155" i="9"/>
  <c r="H155" i="9"/>
  <c r="F155" i="9"/>
  <c r="O154" i="9"/>
  <c r="L154" i="9"/>
  <c r="O153" i="9"/>
  <c r="L153" i="9"/>
  <c r="O152" i="9"/>
  <c r="L152" i="9"/>
  <c r="H152" i="9"/>
  <c r="O151" i="9"/>
  <c r="L151" i="9"/>
  <c r="H151" i="9"/>
  <c r="O150" i="9"/>
  <c r="L150" i="9"/>
  <c r="O149" i="9"/>
  <c r="L149" i="9"/>
  <c r="O148" i="9"/>
  <c r="L148" i="9"/>
  <c r="H148" i="9"/>
  <c r="O147" i="9"/>
  <c r="L147" i="9"/>
  <c r="H147" i="9"/>
  <c r="O146" i="9"/>
  <c r="L146" i="9"/>
  <c r="O145" i="9"/>
  <c r="L145" i="9"/>
  <c r="O141" i="9"/>
  <c r="L141" i="9"/>
  <c r="O140" i="9"/>
  <c r="L140" i="9"/>
  <c r="O137" i="9"/>
  <c r="L137" i="9"/>
  <c r="O136" i="9"/>
  <c r="L136" i="9"/>
  <c r="O135" i="9"/>
  <c r="L135" i="9"/>
  <c r="O134" i="9"/>
  <c r="L134" i="9"/>
  <c r="O133" i="9"/>
  <c r="L133" i="9"/>
  <c r="O132" i="9"/>
  <c r="L132" i="9"/>
  <c r="O131" i="9"/>
  <c r="L131" i="9"/>
  <c r="O130" i="9"/>
  <c r="L130" i="9"/>
  <c r="O129" i="9"/>
  <c r="L129" i="9"/>
  <c r="O128" i="9"/>
  <c r="L128" i="9"/>
  <c r="O127" i="9"/>
  <c r="L127" i="9"/>
  <c r="O126" i="9"/>
  <c r="L126" i="9"/>
  <c r="C116" i="9"/>
  <c r="B116" i="9"/>
  <c r="C115" i="9"/>
  <c r="B115" i="9"/>
  <c r="E111" i="9"/>
  <c r="D111" i="9"/>
  <c r="E110" i="9"/>
  <c r="D110" i="9"/>
  <c r="L97" i="9"/>
  <c r="L96" i="9"/>
  <c r="L95" i="9"/>
  <c r="L92" i="9"/>
  <c r="L91" i="9"/>
  <c r="L90" i="9"/>
  <c r="L89" i="9"/>
  <c r="L88" i="9"/>
  <c r="L87" i="9"/>
  <c r="L86" i="9"/>
  <c r="H86" i="9"/>
  <c r="H91" i="9" s="1"/>
  <c r="F96" i="9" s="1"/>
  <c r="F86" i="9"/>
  <c r="H92" i="9" s="1"/>
  <c r="H97" i="9" s="1"/>
  <c r="L85" i="9"/>
  <c r="H85" i="9"/>
  <c r="F92" i="9" s="1"/>
  <c r="F85" i="9"/>
  <c r="F91" i="9" s="1"/>
  <c r="L84" i="9"/>
  <c r="H84" i="9"/>
  <c r="H90" i="9" s="1"/>
  <c r="F84" i="9"/>
  <c r="H89" i="9" s="1"/>
  <c r="F97" i="9" s="1"/>
  <c r="L83" i="9"/>
  <c r="H83" i="9"/>
  <c r="F90" i="9" s="1"/>
  <c r="H96" i="9" s="1"/>
  <c r="F83" i="9"/>
  <c r="F89" i="9" s="1"/>
  <c r="L82" i="9"/>
  <c r="H82" i="9"/>
  <c r="H88" i="9" s="1"/>
  <c r="H95" i="9" s="1"/>
  <c r="F82" i="9"/>
  <c r="H87" i="9" s="1"/>
  <c r="L81" i="9"/>
  <c r="H81" i="9"/>
  <c r="F88" i="9" s="1"/>
  <c r="F81" i="9"/>
  <c r="F87" i="9" s="1"/>
  <c r="F75" i="9" s="1"/>
  <c r="L77" i="9"/>
  <c r="L76" i="9"/>
  <c r="L75" i="9"/>
  <c r="L72" i="9"/>
  <c r="H72" i="9"/>
  <c r="F72" i="9"/>
  <c r="L71" i="9"/>
  <c r="H71" i="9"/>
  <c r="F71" i="9"/>
  <c r="L69" i="9"/>
  <c r="L68" i="9"/>
  <c r="L67" i="9"/>
  <c r="H67" i="9"/>
  <c r="F67" i="9"/>
  <c r="L66" i="9"/>
  <c r="H66" i="9"/>
  <c r="F66" i="9"/>
  <c r="L64" i="9"/>
  <c r="H64" i="9"/>
  <c r="H68" i="9" s="1"/>
  <c r="F95" i="9" s="1"/>
  <c r="F64" i="9"/>
  <c r="H69" i="9" s="1"/>
  <c r="H75" i="9" s="1"/>
  <c r="L63" i="9"/>
  <c r="H63" i="9"/>
  <c r="F69" i="9" s="1"/>
  <c r="F63" i="9"/>
  <c r="F68" i="9" s="1"/>
  <c r="L62" i="9"/>
  <c r="H62" i="9"/>
  <c r="F62" i="9"/>
  <c r="L61" i="9"/>
  <c r="H61" i="9"/>
  <c r="F61" i="9"/>
  <c r="L56" i="9"/>
  <c r="L55" i="9"/>
  <c r="L54" i="9"/>
  <c r="L51" i="9"/>
  <c r="L50" i="9"/>
  <c r="L49" i="9"/>
  <c r="L48" i="9"/>
  <c r="L47" i="9"/>
  <c r="L46" i="9"/>
  <c r="L45" i="9"/>
  <c r="H45" i="9"/>
  <c r="H50" i="9" s="1"/>
  <c r="F55" i="9" s="1"/>
  <c r="F45" i="9"/>
  <c r="H51" i="9" s="1"/>
  <c r="H56" i="9" s="1"/>
  <c r="L44" i="9"/>
  <c r="H44" i="9"/>
  <c r="F51" i="9" s="1"/>
  <c r="F44" i="9"/>
  <c r="F50" i="9" s="1"/>
  <c r="L43" i="9"/>
  <c r="H43" i="9"/>
  <c r="H48" i="9" s="1"/>
  <c r="F56" i="9" s="1"/>
  <c r="F43" i="9"/>
  <c r="H49" i="9" s="1"/>
  <c r="H55" i="9" s="1"/>
  <c r="L42" i="9"/>
  <c r="H42" i="9"/>
  <c r="F49" i="9" s="1"/>
  <c r="F42" i="9"/>
  <c r="F48" i="9" s="1"/>
  <c r="L41" i="9"/>
  <c r="H41" i="9"/>
  <c r="H47" i="9" s="1"/>
  <c r="F41" i="9"/>
  <c r="H46" i="9" s="1"/>
  <c r="F34" i="9" s="1"/>
  <c r="L40" i="9"/>
  <c r="H40" i="9"/>
  <c r="F47" i="9" s="1"/>
  <c r="H54" i="9" s="1"/>
  <c r="F40" i="9"/>
  <c r="F46" i="9" s="1"/>
  <c r="L36" i="9"/>
  <c r="L35" i="9"/>
  <c r="L34" i="9"/>
  <c r="L31" i="9"/>
  <c r="H31" i="9"/>
  <c r="F31" i="9"/>
  <c r="L30" i="9"/>
  <c r="H30" i="9"/>
  <c r="F30" i="9"/>
  <c r="L28" i="9"/>
  <c r="L27" i="9"/>
  <c r="L26" i="9"/>
  <c r="H26" i="9"/>
  <c r="F26" i="9"/>
  <c r="L25" i="9"/>
  <c r="H25" i="9"/>
  <c r="F25" i="9"/>
  <c r="L23" i="9"/>
  <c r="H23" i="9"/>
  <c r="H27" i="9" s="1"/>
  <c r="F23" i="9"/>
  <c r="H28" i="9" s="1"/>
  <c r="L22" i="9"/>
  <c r="H22" i="9"/>
  <c r="F28" i="9" s="1"/>
  <c r="H34" i="9" s="1"/>
  <c r="F22" i="9"/>
  <c r="F27" i="9" s="1"/>
  <c r="F54" i="9" s="1"/>
  <c r="L21" i="9"/>
  <c r="H21" i="9"/>
  <c r="F21" i="9"/>
  <c r="L20" i="9"/>
  <c r="H20" i="9"/>
  <c r="F20" i="9"/>
  <c r="H256" i="7"/>
  <c r="F256" i="7"/>
  <c r="H253" i="7"/>
  <c r="F253" i="7"/>
  <c r="H211" i="7"/>
  <c r="F211" i="7"/>
  <c r="H208" i="7"/>
  <c r="F208" i="7"/>
  <c r="H191" i="7"/>
  <c r="F191" i="7"/>
  <c r="H167" i="7"/>
  <c r="F167" i="7"/>
  <c r="H165" i="7"/>
  <c r="F165" i="7"/>
  <c r="H156" i="7"/>
  <c r="F156" i="7"/>
  <c r="H152" i="7"/>
  <c r="F152" i="7"/>
  <c r="H149" i="7"/>
  <c r="F149" i="7"/>
  <c r="H134" i="7"/>
  <c r="F134" i="7"/>
  <c r="H132" i="7"/>
  <c r="F132" i="7"/>
  <c r="H117" i="7"/>
  <c r="F117" i="7"/>
  <c r="H115" i="7"/>
  <c r="F115" i="7"/>
  <c r="H174" i="7"/>
  <c r="F174" i="7"/>
  <c r="H170" i="7"/>
  <c r="F170" i="7"/>
  <c r="H168" i="7"/>
  <c r="H166" i="7"/>
  <c r="F166" i="7"/>
  <c r="H164" i="7"/>
  <c r="H157" i="7"/>
  <c r="F157" i="7"/>
  <c r="H155" i="7"/>
  <c r="F155" i="7"/>
  <c r="H154" i="7"/>
  <c r="F154" i="7"/>
  <c r="F151" i="7"/>
  <c r="H150" i="7"/>
  <c r="F150" i="7"/>
  <c r="F148" i="7"/>
  <c r="H141" i="7"/>
  <c r="F141" i="7"/>
  <c r="H137" i="7"/>
  <c r="F137" i="7"/>
  <c r="H133" i="7"/>
  <c r="F133" i="7"/>
  <c r="H124" i="7"/>
  <c r="F124" i="7"/>
  <c r="H122" i="7"/>
  <c r="H120" i="7"/>
  <c r="F120" i="7"/>
  <c r="H116" i="7"/>
  <c r="F116" i="7"/>
  <c r="F114" i="7"/>
  <c r="N263" i="8"/>
  <c r="L263" i="8"/>
  <c r="A263" i="8"/>
  <c r="N262" i="8"/>
  <c r="L262" i="8"/>
  <c r="A262" i="8"/>
  <c r="N281" i="8"/>
  <c r="L281" i="8"/>
  <c r="A281" i="8"/>
  <c r="N280" i="8"/>
  <c r="L280" i="8"/>
  <c r="A280" i="8"/>
  <c r="N279" i="8"/>
  <c r="L279" i="8"/>
  <c r="A279" i="8"/>
  <c r="N278" i="8"/>
  <c r="L278" i="8"/>
  <c r="A278" i="8"/>
  <c r="N277" i="8"/>
  <c r="L277" i="8"/>
  <c r="A277" i="8"/>
  <c r="N259" i="8"/>
  <c r="L259" i="8"/>
  <c r="A259" i="8"/>
  <c r="N258" i="8"/>
  <c r="L258" i="8"/>
  <c r="A258" i="8"/>
  <c r="N276" i="8"/>
  <c r="L276" i="8"/>
  <c r="A276" i="8"/>
  <c r="N290" i="8"/>
  <c r="L290" i="8"/>
  <c r="A290" i="8"/>
  <c r="N288" i="8"/>
  <c r="L288" i="8"/>
  <c r="A288" i="8"/>
  <c r="N272" i="8"/>
  <c r="L272" i="8"/>
  <c r="A272" i="8"/>
  <c r="N271" i="8"/>
  <c r="L271" i="8"/>
  <c r="A271" i="8"/>
  <c r="N270" i="8"/>
  <c r="L270" i="8"/>
  <c r="A270" i="8"/>
  <c r="N269" i="8"/>
  <c r="L269" i="8"/>
  <c r="A269" i="8"/>
  <c r="N268" i="8"/>
  <c r="L268" i="8"/>
  <c r="A268" i="8"/>
  <c r="N267" i="8"/>
  <c r="L267" i="8"/>
  <c r="A267" i="8"/>
  <c r="N261" i="8"/>
  <c r="L261" i="8"/>
  <c r="A261" i="8"/>
  <c r="N260" i="8"/>
  <c r="L260" i="8"/>
  <c r="A260" i="8"/>
  <c r="N289" i="8"/>
  <c r="L289" i="8"/>
  <c r="A289" i="8"/>
  <c r="N287" i="8"/>
  <c r="L287" i="8"/>
  <c r="A287" i="8"/>
  <c r="N286" i="8"/>
  <c r="L286" i="8"/>
  <c r="A286" i="8"/>
  <c r="N285" i="8"/>
  <c r="L285" i="8"/>
  <c r="A285" i="8"/>
  <c r="N257" i="8"/>
  <c r="L257" i="8"/>
  <c r="A257" i="8"/>
  <c r="N256" i="8"/>
  <c r="L256" i="8"/>
  <c r="A256" i="8"/>
  <c r="N248" i="8"/>
  <c r="L248" i="8"/>
  <c r="A248" i="8"/>
  <c r="N247" i="8"/>
  <c r="L247" i="8"/>
  <c r="A247" i="8"/>
  <c r="N246" i="8"/>
  <c r="L246" i="8"/>
  <c r="A246" i="8"/>
  <c r="L245" i="8"/>
  <c r="N244" i="8"/>
  <c r="L244" i="8"/>
  <c r="A244" i="8"/>
  <c r="N243" i="8"/>
  <c r="L243" i="8"/>
  <c r="A243" i="8"/>
  <c r="N242" i="8"/>
  <c r="L242" i="8"/>
  <c r="A242" i="8"/>
  <c r="L241" i="8"/>
  <c r="N240" i="8"/>
  <c r="L240" i="8"/>
  <c r="A240" i="8"/>
  <c r="N239" i="8"/>
  <c r="L239" i="8"/>
  <c r="A239" i="8"/>
  <c r="N238" i="8"/>
  <c r="L238" i="8"/>
  <c r="A238" i="8"/>
  <c r="L235" i="8"/>
  <c r="N234" i="8"/>
  <c r="L234" i="8"/>
  <c r="A234" i="8"/>
  <c r="N233" i="8"/>
  <c r="L233" i="8"/>
  <c r="A233" i="8"/>
  <c r="N232" i="8"/>
  <c r="L232" i="8"/>
  <c r="A232" i="8"/>
  <c r="N231" i="8"/>
  <c r="L231" i="8"/>
  <c r="A231" i="8"/>
  <c r="N230" i="8"/>
  <c r="L230" i="8"/>
  <c r="A230" i="8"/>
  <c r="N229" i="8"/>
  <c r="L229" i="8"/>
  <c r="A229" i="8"/>
  <c r="N228" i="8"/>
  <c r="L228" i="8"/>
  <c r="A228" i="8"/>
  <c r="N227" i="8"/>
  <c r="L227" i="8"/>
  <c r="A227" i="8"/>
  <c r="N226" i="8"/>
  <c r="L226" i="8"/>
  <c r="A226" i="8"/>
  <c r="N225" i="8"/>
  <c r="L225" i="8"/>
  <c r="A225" i="8"/>
  <c r="N224" i="8"/>
  <c r="L224" i="8"/>
  <c r="A224" i="8"/>
  <c r="N216" i="8"/>
  <c r="L216" i="8"/>
  <c r="A216" i="8"/>
  <c r="N215" i="8"/>
  <c r="L215" i="8"/>
  <c r="A215" i="8"/>
  <c r="N214" i="8"/>
  <c r="L214" i="8"/>
  <c r="A214" i="8"/>
  <c r="N213" i="8"/>
  <c r="L213" i="8"/>
  <c r="A213" i="8"/>
  <c r="N212" i="8"/>
  <c r="L212" i="8"/>
  <c r="A212" i="8"/>
  <c r="N211" i="8"/>
  <c r="L211" i="8"/>
  <c r="A211" i="8"/>
  <c r="N210" i="8"/>
  <c r="L210" i="8"/>
  <c r="A210" i="8"/>
  <c r="N209" i="8"/>
  <c r="L209" i="8"/>
  <c r="A209" i="8"/>
  <c r="N208" i="8"/>
  <c r="L208" i="8"/>
  <c r="A208" i="8"/>
  <c r="N207" i="8"/>
  <c r="L207" i="8"/>
  <c r="A207" i="8"/>
  <c r="N206" i="8"/>
  <c r="L206" i="8"/>
  <c r="A206" i="8"/>
  <c r="N205" i="8"/>
  <c r="L205" i="8"/>
  <c r="A205" i="8"/>
  <c r="N201" i="8"/>
  <c r="L201" i="8"/>
  <c r="A201" i="8"/>
  <c r="N200" i="8"/>
  <c r="A200" i="8"/>
  <c r="N199" i="8"/>
  <c r="L199" i="8"/>
  <c r="A199" i="8"/>
  <c r="N198" i="8"/>
  <c r="L198" i="8"/>
  <c r="A198" i="8"/>
  <c r="N197" i="8"/>
  <c r="L197" i="8"/>
  <c r="A197" i="8"/>
  <c r="N196" i="8"/>
  <c r="L196" i="8"/>
  <c r="A196" i="8"/>
  <c r="N195" i="8"/>
  <c r="L195" i="8"/>
  <c r="A195" i="8"/>
  <c r="N194" i="8"/>
  <c r="L194" i="8"/>
  <c r="A194" i="8"/>
  <c r="N193" i="8"/>
  <c r="L193" i="8"/>
  <c r="A193" i="8"/>
  <c r="N192" i="8"/>
  <c r="L192" i="8"/>
  <c r="A192" i="8"/>
  <c r="N191" i="8"/>
  <c r="L191" i="8"/>
  <c r="A191" i="8"/>
  <c r="N190" i="8"/>
  <c r="L190" i="8"/>
  <c r="A190" i="8"/>
  <c r="N184" i="8"/>
  <c r="L184" i="8"/>
  <c r="A184" i="8"/>
  <c r="N183" i="8"/>
  <c r="L183" i="8"/>
  <c r="A183" i="8"/>
  <c r="N182" i="8"/>
  <c r="L182" i="8"/>
  <c r="A182" i="8"/>
  <c r="L181" i="8"/>
  <c r="N180" i="8"/>
  <c r="L180" i="8"/>
  <c r="A180" i="8"/>
  <c r="N179" i="8"/>
  <c r="L179" i="8"/>
  <c r="A179" i="8"/>
  <c r="N178" i="8"/>
  <c r="L178" i="8"/>
  <c r="A178" i="8"/>
  <c r="N177" i="8"/>
  <c r="L177" i="8"/>
  <c r="A177" i="8"/>
  <c r="N176" i="8"/>
  <c r="L176" i="8"/>
  <c r="A176" i="8"/>
  <c r="N175" i="8"/>
  <c r="L175" i="8"/>
  <c r="A175" i="8"/>
  <c r="N174" i="8"/>
  <c r="L174" i="8"/>
  <c r="A174" i="8"/>
  <c r="N173" i="8"/>
  <c r="L173" i="8"/>
  <c r="A173" i="8"/>
  <c r="N172" i="8"/>
  <c r="L172" i="8"/>
  <c r="A172" i="8"/>
  <c r="N171" i="8"/>
  <c r="L171" i="8"/>
  <c r="A171" i="8"/>
  <c r="N170" i="8"/>
  <c r="L170" i="8"/>
  <c r="A170" i="8"/>
  <c r="N169" i="8"/>
  <c r="L169" i="8"/>
  <c r="A169" i="8"/>
  <c r="N165" i="8"/>
  <c r="L165" i="8"/>
  <c r="A165" i="8"/>
  <c r="N164" i="8"/>
  <c r="L164" i="8"/>
  <c r="A164" i="8"/>
  <c r="N163" i="8"/>
  <c r="L163" i="8"/>
  <c r="A163" i="8"/>
  <c r="L162" i="8"/>
  <c r="N161" i="8"/>
  <c r="L161" i="8"/>
  <c r="A161" i="8"/>
  <c r="N160" i="8"/>
  <c r="L160" i="8"/>
  <c r="A160" i="8"/>
  <c r="N159" i="8"/>
  <c r="L159" i="8"/>
  <c r="A159" i="8"/>
  <c r="N158" i="8"/>
  <c r="L158" i="8"/>
  <c r="A158" i="8"/>
  <c r="N157" i="8"/>
  <c r="L157" i="8"/>
  <c r="A157" i="8"/>
  <c r="N156" i="8"/>
  <c r="L156" i="8"/>
  <c r="A156" i="8"/>
  <c r="N155" i="8"/>
  <c r="L155" i="8"/>
  <c r="A155" i="8"/>
  <c r="N154" i="8"/>
  <c r="L154" i="8"/>
  <c r="A154" i="8"/>
  <c r="N153" i="8"/>
  <c r="L153" i="8"/>
  <c r="A153" i="8"/>
  <c r="N152" i="8"/>
  <c r="L152" i="8"/>
  <c r="A152" i="8"/>
  <c r="N151" i="8"/>
  <c r="L151" i="8"/>
  <c r="A151" i="8"/>
  <c r="N150" i="8"/>
  <c r="L150" i="8"/>
  <c r="A150" i="8"/>
  <c r="N146" i="8"/>
  <c r="L146" i="8"/>
  <c r="A146" i="8"/>
  <c r="N145" i="8"/>
  <c r="L145" i="8"/>
  <c r="A145" i="8"/>
  <c r="N144" i="8"/>
  <c r="L144" i="8"/>
  <c r="A144" i="8"/>
  <c r="N143" i="8"/>
  <c r="L143" i="8"/>
  <c r="A143" i="8"/>
  <c r="L142" i="8"/>
  <c r="N141" i="8"/>
  <c r="L141" i="8"/>
  <c r="A141" i="8"/>
  <c r="N140" i="8"/>
  <c r="L140" i="8"/>
  <c r="A140" i="8"/>
  <c r="N139" i="8"/>
  <c r="L139" i="8"/>
  <c r="A139" i="8"/>
  <c r="L138" i="8"/>
  <c r="N137" i="8"/>
  <c r="L137" i="8"/>
  <c r="A137" i="8"/>
  <c r="N136" i="8"/>
  <c r="L136" i="8"/>
  <c r="A136" i="8"/>
  <c r="N135" i="8"/>
  <c r="L135" i="8"/>
  <c r="A135" i="8"/>
  <c r="N134" i="8"/>
  <c r="L134" i="8"/>
  <c r="A134" i="8"/>
  <c r="N130" i="8"/>
  <c r="L130" i="8"/>
  <c r="A130" i="8"/>
  <c r="N129" i="8"/>
  <c r="L129" i="8"/>
  <c r="A129" i="8"/>
  <c r="L128" i="8"/>
  <c r="N127" i="8"/>
  <c r="L127" i="8"/>
  <c r="A127" i="8"/>
  <c r="N126" i="8"/>
  <c r="L126" i="8"/>
  <c r="A126" i="8"/>
  <c r="N125" i="8"/>
  <c r="L125" i="8"/>
  <c r="A125" i="8"/>
  <c r="N124" i="8"/>
  <c r="L124" i="8"/>
  <c r="A124" i="8"/>
  <c r="N123" i="8"/>
  <c r="L123" i="8"/>
  <c r="A123" i="8"/>
  <c r="N122" i="8"/>
  <c r="L122" i="8"/>
  <c r="A122" i="8"/>
  <c r="N121" i="8"/>
  <c r="L121" i="8"/>
  <c r="A121" i="8"/>
  <c r="N120" i="8"/>
  <c r="L120" i="8"/>
  <c r="A120" i="8"/>
  <c r="N119" i="8"/>
  <c r="L119" i="8"/>
  <c r="A119" i="8"/>
  <c r="N118" i="8"/>
  <c r="L118" i="8"/>
  <c r="A118" i="8"/>
  <c r="N117" i="8"/>
  <c r="L117" i="8"/>
  <c r="A117" i="8"/>
  <c r="N116" i="8"/>
  <c r="L116" i="8"/>
  <c r="A116" i="8"/>
  <c r="L89" i="8"/>
  <c r="A89" i="8"/>
  <c r="L88" i="8"/>
  <c r="A88" i="8"/>
  <c r="L87" i="8"/>
  <c r="A87" i="8"/>
  <c r="L86" i="8"/>
  <c r="L85" i="8"/>
  <c r="A85" i="8"/>
  <c r="L84" i="8"/>
  <c r="A84" i="8"/>
  <c r="L83" i="8"/>
  <c r="H83" i="8"/>
  <c r="F83" i="8"/>
  <c r="A83" i="8"/>
  <c r="L82" i="8"/>
  <c r="A82" i="8"/>
  <c r="L81" i="8"/>
  <c r="A81" i="8"/>
  <c r="L80" i="8"/>
  <c r="H80" i="8"/>
  <c r="F80" i="8"/>
  <c r="A80" i="8"/>
  <c r="L79" i="8"/>
  <c r="H79" i="8"/>
  <c r="F79" i="8"/>
  <c r="A79" i="8"/>
  <c r="L78" i="8"/>
  <c r="H78" i="8"/>
  <c r="F78" i="8"/>
  <c r="A78" i="8"/>
  <c r="L77" i="8"/>
  <c r="H77" i="8"/>
  <c r="F77" i="8"/>
  <c r="A77" i="8"/>
  <c r="L76" i="8"/>
  <c r="H76" i="8"/>
  <c r="F76" i="8"/>
  <c r="A76" i="8"/>
  <c r="L75" i="8"/>
  <c r="H75" i="8"/>
  <c r="F75" i="8"/>
  <c r="A75" i="8"/>
  <c r="L71" i="8"/>
  <c r="A71" i="8"/>
  <c r="L70" i="8"/>
  <c r="A70" i="8"/>
  <c r="L69" i="8"/>
  <c r="A69" i="8"/>
  <c r="L68" i="8"/>
  <c r="L67" i="8"/>
  <c r="A67" i="8"/>
  <c r="L66" i="8"/>
  <c r="A66" i="8"/>
  <c r="L65" i="8"/>
  <c r="H65" i="8"/>
  <c r="F65" i="8"/>
  <c r="A65" i="8"/>
  <c r="L64" i="8"/>
  <c r="A64" i="8"/>
  <c r="L63" i="8"/>
  <c r="A63" i="8"/>
  <c r="L62" i="8"/>
  <c r="H62" i="8"/>
  <c r="F62" i="8"/>
  <c r="A62" i="8"/>
  <c r="L61" i="8"/>
  <c r="H61" i="8"/>
  <c r="F61" i="8"/>
  <c r="A61" i="8"/>
  <c r="L60" i="8"/>
  <c r="H60" i="8"/>
  <c r="F60" i="8"/>
  <c r="A60" i="8"/>
  <c r="L59" i="8"/>
  <c r="H59" i="8"/>
  <c r="F59" i="8"/>
  <c r="A59" i="8"/>
  <c r="L58" i="8"/>
  <c r="H58" i="8"/>
  <c r="F58" i="8"/>
  <c r="A58" i="8"/>
  <c r="L57" i="8"/>
  <c r="H57" i="8"/>
  <c r="F57" i="8"/>
  <c r="A57" i="8"/>
  <c r="L53" i="8"/>
  <c r="A53" i="8"/>
  <c r="L52" i="8"/>
  <c r="A52" i="8"/>
  <c r="L51" i="8"/>
  <c r="A51" i="8"/>
  <c r="L50" i="8"/>
  <c r="L49" i="8"/>
  <c r="A49" i="8"/>
  <c r="L48" i="8"/>
  <c r="A48" i="8"/>
  <c r="L47" i="8"/>
  <c r="A47" i="8"/>
  <c r="L46" i="8"/>
  <c r="A46" i="8"/>
  <c r="L45" i="8"/>
  <c r="A45" i="8"/>
  <c r="L44" i="8"/>
  <c r="A44" i="8"/>
  <c r="L43" i="8"/>
  <c r="H43" i="8"/>
  <c r="F43" i="8"/>
  <c r="A43" i="8"/>
  <c r="L42" i="8"/>
  <c r="H42" i="8"/>
  <c r="F42" i="8"/>
  <c r="A42" i="8"/>
  <c r="L41" i="8"/>
  <c r="H41" i="8"/>
  <c r="F41" i="8"/>
  <c r="A41" i="8"/>
  <c r="L40" i="8"/>
  <c r="H40" i="8"/>
  <c r="F40" i="8"/>
  <c r="A40" i="8"/>
  <c r="L39" i="8"/>
  <c r="H39" i="8"/>
  <c r="F39" i="8"/>
  <c r="A39" i="8"/>
  <c r="L38" i="8"/>
  <c r="H38" i="8"/>
  <c r="F38" i="8"/>
  <c r="A38" i="8"/>
  <c r="L34" i="8"/>
  <c r="A34" i="8"/>
  <c r="L33" i="8"/>
  <c r="A33" i="8"/>
  <c r="L32" i="8"/>
  <c r="A32" i="8"/>
  <c r="L31" i="8"/>
  <c r="L30" i="8"/>
  <c r="H30" i="8"/>
  <c r="F30" i="8"/>
  <c r="A30" i="8"/>
  <c r="L29" i="8"/>
  <c r="A29" i="8"/>
  <c r="L28" i="8"/>
  <c r="A28" i="8"/>
  <c r="L27" i="8"/>
  <c r="A27" i="8"/>
  <c r="L26" i="8"/>
  <c r="H26" i="8"/>
  <c r="F26" i="8"/>
  <c r="A26" i="8"/>
  <c r="L25" i="8"/>
  <c r="A25" i="8"/>
  <c r="L24" i="8"/>
  <c r="H24" i="8"/>
  <c r="F24" i="8"/>
  <c r="A24" i="8"/>
  <c r="L23" i="8"/>
  <c r="H23" i="8"/>
  <c r="F23" i="8"/>
  <c r="A23" i="8"/>
  <c r="L22" i="8"/>
  <c r="H22" i="8"/>
  <c r="F22" i="8"/>
  <c r="A22" i="8"/>
  <c r="L21" i="8"/>
  <c r="H21" i="8"/>
  <c r="F21" i="8"/>
  <c r="A21" i="8"/>
  <c r="L20" i="8"/>
  <c r="H20" i="8"/>
  <c r="F20" i="8"/>
  <c r="A20" i="8"/>
  <c r="F71" i="7"/>
  <c r="H83" i="7"/>
  <c r="F83" i="7"/>
  <c r="H76" i="7"/>
  <c r="N275" i="7"/>
  <c r="L275" i="7"/>
  <c r="N274" i="7"/>
  <c r="L274" i="7"/>
  <c r="N271" i="7"/>
  <c r="L271" i="7"/>
  <c r="F271" i="7"/>
  <c r="H275" i="7" s="1"/>
  <c r="B279" i="7" s="1"/>
  <c r="N270" i="7"/>
  <c r="L270" i="7"/>
  <c r="F270" i="7"/>
  <c r="F274" i="7" s="1"/>
  <c r="B281" i="7" s="1"/>
  <c r="N273" i="7"/>
  <c r="L273" i="7"/>
  <c r="N272" i="7"/>
  <c r="L272" i="7"/>
  <c r="N264" i="7"/>
  <c r="L264" i="7"/>
  <c r="N263" i="7"/>
  <c r="L263" i="7"/>
  <c r="N269" i="7"/>
  <c r="L269" i="7"/>
  <c r="N268" i="7"/>
  <c r="L268" i="7"/>
  <c r="N262" i="7"/>
  <c r="L262" i="7"/>
  <c r="N261" i="7"/>
  <c r="L261" i="7"/>
  <c r="N260" i="7"/>
  <c r="L260" i="7"/>
  <c r="N255" i="7"/>
  <c r="L255" i="7"/>
  <c r="N254" i="7"/>
  <c r="L254" i="7"/>
  <c r="N256" i="7"/>
  <c r="L256" i="7"/>
  <c r="N248" i="7"/>
  <c r="L248" i="7"/>
  <c r="N247" i="7"/>
  <c r="L247" i="7"/>
  <c r="N253" i="7"/>
  <c r="L253" i="7"/>
  <c r="N246" i="7"/>
  <c r="L246" i="7"/>
  <c r="N245" i="7"/>
  <c r="L245" i="7"/>
  <c r="N244" i="7"/>
  <c r="L244" i="7"/>
  <c r="N243" i="7"/>
  <c r="L243" i="7"/>
  <c r="N252" i="7"/>
  <c r="L252" i="7"/>
  <c r="N237" i="7"/>
  <c r="L237" i="7"/>
  <c r="H237" i="7"/>
  <c r="H248" i="7" s="1"/>
  <c r="B297" i="7" s="1"/>
  <c r="F237" i="7"/>
  <c r="H247" i="7" s="1"/>
  <c r="B295" i="7" s="1"/>
  <c r="N212" i="7"/>
  <c r="L212" i="7"/>
  <c r="H212" i="7"/>
  <c r="F248" i="7" s="1"/>
  <c r="B296" i="7" s="1"/>
  <c r="F212" i="7"/>
  <c r="F247" i="7" s="1"/>
  <c r="B294" i="7" s="1"/>
  <c r="N236" i="7"/>
  <c r="L236" i="7"/>
  <c r="N235" i="7"/>
  <c r="L235" i="7"/>
  <c r="N234" i="7"/>
  <c r="L234" i="7"/>
  <c r="H234" i="7"/>
  <c r="F234" i="7"/>
  <c r="H261" i="7" s="1"/>
  <c r="B284" i="7" s="1"/>
  <c r="N233" i="7"/>
  <c r="L233" i="7"/>
  <c r="N232" i="7"/>
  <c r="L232" i="7"/>
  <c r="F232" i="7"/>
  <c r="H236" i="7" s="1"/>
  <c r="H245" i="7" s="1"/>
  <c r="B293" i="7" s="1"/>
  <c r="N231" i="7"/>
  <c r="L231" i="7"/>
  <c r="F231" i="7"/>
  <c r="F236" i="7" s="1"/>
  <c r="H246" i="7" s="1"/>
  <c r="B290" i="7" s="1"/>
  <c r="N230" i="7"/>
  <c r="L230" i="7"/>
  <c r="H230" i="7"/>
  <c r="F235" i="7" s="1"/>
  <c r="H260" i="7" s="1"/>
  <c r="B287" i="7" s="1"/>
  <c r="N229" i="7"/>
  <c r="L229" i="7"/>
  <c r="H229" i="7"/>
  <c r="H235" i="7" s="1"/>
  <c r="H244" i="7" s="1"/>
  <c r="B288" i="7" s="1"/>
  <c r="N190" i="7"/>
  <c r="L190" i="7"/>
  <c r="N206" i="7"/>
  <c r="L206" i="7"/>
  <c r="N225" i="7"/>
  <c r="L225" i="7"/>
  <c r="H225" i="7"/>
  <c r="H271" i="7" s="1"/>
  <c r="H274" i="7" s="1"/>
  <c r="B280" i="7" s="1"/>
  <c r="F225" i="7"/>
  <c r="H262" i="7" s="1"/>
  <c r="B282" i="7" s="1"/>
  <c r="N224" i="7"/>
  <c r="L224" i="7"/>
  <c r="F224" i="7"/>
  <c r="H270" i="7" s="1"/>
  <c r="F275" i="7" s="1"/>
  <c r="B278" i="7" s="1"/>
  <c r="N223" i="7"/>
  <c r="L223" i="7"/>
  <c r="N222" i="7"/>
  <c r="L222" i="7"/>
  <c r="F222" i="7"/>
  <c r="F244" i="7" s="1"/>
  <c r="B289" i="7" s="1"/>
  <c r="N221" i="7"/>
  <c r="L221" i="7"/>
  <c r="F221" i="7"/>
  <c r="H224" i="7" s="1"/>
  <c r="F262" i="7" s="1"/>
  <c r="B283" i="7" s="1"/>
  <c r="N220" i="7"/>
  <c r="L220" i="7"/>
  <c r="N219" i="7"/>
  <c r="L219" i="7"/>
  <c r="F219" i="7"/>
  <c r="H223" i="7" s="1"/>
  <c r="F245" i="7" s="1"/>
  <c r="B292" i="7" s="1"/>
  <c r="N218" i="7"/>
  <c r="L218" i="7"/>
  <c r="F218" i="7"/>
  <c r="F223" i="7" s="1"/>
  <c r="F246" i="7" s="1"/>
  <c r="B291" i="7" s="1"/>
  <c r="N217" i="7"/>
  <c r="L217" i="7"/>
  <c r="H217" i="7"/>
  <c r="H221" i="7" s="1"/>
  <c r="F261" i="7" s="1"/>
  <c r="B285" i="7" s="1"/>
  <c r="N216" i="7"/>
  <c r="L216" i="7"/>
  <c r="H216" i="7"/>
  <c r="H222" i="7" s="1"/>
  <c r="F260" i="7" s="1"/>
  <c r="B286" i="7" s="1"/>
  <c r="N203" i="7"/>
  <c r="L203" i="7"/>
  <c r="N194" i="7"/>
  <c r="L194" i="7"/>
  <c r="N207" i="7"/>
  <c r="L207" i="7"/>
  <c r="N199" i="7"/>
  <c r="L199" i="7"/>
  <c r="F199" i="7"/>
  <c r="H263" i="7" s="1"/>
  <c r="D282" i="7" s="1"/>
  <c r="N211" i="7"/>
  <c r="L211" i="7"/>
  <c r="N210" i="7"/>
  <c r="L210" i="7"/>
  <c r="N198" i="7"/>
  <c r="L198" i="7"/>
  <c r="F198" i="7"/>
  <c r="F255" i="7" s="1"/>
  <c r="D288" i="7" s="1"/>
  <c r="N209" i="7"/>
  <c r="L209" i="7"/>
  <c r="H209" i="7"/>
  <c r="H199" i="7" s="1"/>
  <c r="H269" i="7" s="1"/>
  <c r="H272" i="7" s="1"/>
  <c r="D281" i="7" s="1"/>
  <c r="N197" i="7"/>
  <c r="L197" i="7"/>
  <c r="N208" i="7"/>
  <c r="L208" i="7"/>
  <c r="N196" i="7"/>
  <c r="L196" i="7"/>
  <c r="N195" i="7"/>
  <c r="L195" i="7"/>
  <c r="N205" i="7"/>
  <c r="L205" i="7"/>
  <c r="N204" i="7"/>
  <c r="L204" i="7"/>
  <c r="N193" i="7"/>
  <c r="L193" i="7"/>
  <c r="N192" i="7"/>
  <c r="L192" i="7"/>
  <c r="N191" i="7"/>
  <c r="L191" i="7"/>
  <c r="N177" i="7"/>
  <c r="L177" i="7"/>
  <c r="N174" i="7"/>
  <c r="L174" i="7"/>
  <c r="N173" i="7"/>
  <c r="L173" i="7"/>
  <c r="N172" i="7"/>
  <c r="L172" i="7"/>
  <c r="N171" i="7"/>
  <c r="L171" i="7"/>
  <c r="N170" i="7"/>
  <c r="L170" i="7"/>
  <c r="N168" i="7"/>
  <c r="L168" i="7"/>
  <c r="N167" i="7"/>
  <c r="L167" i="7"/>
  <c r="H171" i="7"/>
  <c r="H195" i="7" s="1"/>
  <c r="F269" i="7" s="1"/>
  <c r="H273" i="7" s="1"/>
  <c r="D278" i="7" s="1"/>
  <c r="H173" i="7"/>
  <c r="H204" i="7" s="1"/>
  <c r="H197" i="7" s="1"/>
  <c r="F264" i="7" s="1"/>
  <c r="D284" i="7" s="1"/>
  <c r="N166" i="7"/>
  <c r="L166" i="7"/>
  <c r="N165" i="7"/>
  <c r="L165" i="7"/>
  <c r="F173" i="7"/>
  <c r="N164" i="7"/>
  <c r="L164" i="7"/>
  <c r="N160" i="7"/>
  <c r="L160" i="7"/>
  <c r="N157" i="7"/>
  <c r="L157" i="7"/>
  <c r="N156" i="7"/>
  <c r="L156" i="7"/>
  <c r="N155" i="7"/>
  <c r="L155" i="7"/>
  <c r="N154" i="7"/>
  <c r="L154" i="7"/>
  <c r="N152" i="7"/>
  <c r="L152" i="7"/>
  <c r="N151" i="7"/>
  <c r="L151" i="7"/>
  <c r="N150" i="7"/>
  <c r="L150" i="7"/>
  <c r="N149" i="7"/>
  <c r="L149" i="7"/>
  <c r="N148" i="7"/>
  <c r="L148" i="7"/>
  <c r="N144" i="7"/>
  <c r="L144" i="7"/>
  <c r="N141" i="7"/>
  <c r="L141" i="7"/>
  <c r="N140" i="7"/>
  <c r="L140" i="7"/>
  <c r="N139" i="7"/>
  <c r="L139" i="7"/>
  <c r="N138" i="7"/>
  <c r="L138" i="7"/>
  <c r="N137" i="7"/>
  <c r="L137" i="7"/>
  <c r="N135" i="7"/>
  <c r="L135" i="7"/>
  <c r="N134" i="7"/>
  <c r="L134" i="7"/>
  <c r="H138" i="7"/>
  <c r="F196" i="7" s="1"/>
  <c r="F268" i="7" s="1"/>
  <c r="F272" i="7" s="1"/>
  <c r="D280" i="7" s="1"/>
  <c r="H140" i="7"/>
  <c r="F193" i="7" s="1"/>
  <c r="H210" i="7" s="1"/>
  <c r="H254" i="7" s="1"/>
  <c r="D287" i="7" s="1"/>
  <c r="N133" i="7"/>
  <c r="L133" i="7"/>
  <c r="N132" i="7"/>
  <c r="L132" i="7"/>
  <c r="F140" i="7"/>
  <c r="N131" i="7"/>
  <c r="L131" i="7"/>
  <c r="N127" i="7"/>
  <c r="L127" i="7"/>
  <c r="N124" i="7"/>
  <c r="L124" i="7"/>
  <c r="N123" i="7"/>
  <c r="L123" i="7"/>
  <c r="N122" i="7"/>
  <c r="L122" i="7"/>
  <c r="N121" i="7"/>
  <c r="L121" i="7"/>
  <c r="N120" i="7"/>
  <c r="L120" i="7"/>
  <c r="N118" i="7"/>
  <c r="L118" i="7"/>
  <c r="N117" i="7"/>
  <c r="L117" i="7"/>
  <c r="H123" i="7"/>
  <c r="H192" i="7" s="1"/>
  <c r="F197" i="7" s="1"/>
  <c r="H207" i="7" s="1"/>
  <c r="H268" i="7" s="1"/>
  <c r="F273" i="7" s="1"/>
  <c r="D279" i="7" s="1"/>
  <c r="N116" i="7"/>
  <c r="L116" i="7"/>
  <c r="N115" i="7"/>
  <c r="L115" i="7"/>
  <c r="F121" i="7"/>
  <c r="F195" i="7" s="1"/>
  <c r="F207" i="7" s="1"/>
  <c r="F263" i="7" s="1"/>
  <c r="D283" i="7" s="1"/>
  <c r="N114" i="7"/>
  <c r="L114" i="7"/>
  <c r="E108" i="7"/>
  <c r="C108" i="7"/>
  <c r="B108" i="7"/>
  <c r="E107" i="7"/>
  <c r="D107" i="7"/>
  <c r="C107" i="7"/>
  <c r="E106" i="7"/>
  <c r="C106" i="7"/>
  <c r="B106" i="7"/>
  <c r="E103" i="7"/>
  <c r="D103" i="7"/>
  <c r="B103" i="7"/>
  <c r="D102" i="7"/>
  <c r="E101" i="7"/>
  <c r="D101" i="7"/>
  <c r="L90" i="7"/>
  <c r="L89" i="7"/>
  <c r="L88" i="7"/>
  <c r="L85" i="7"/>
  <c r="H85" i="7"/>
  <c r="F85" i="7"/>
  <c r="L84" i="7"/>
  <c r="H84" i="7"/>
  <c r="F84" i="7"/>
  <c r="L83" i="7"/>
  <c r="L81" i="7"/>
  <c r="H81" i="7"/>
  <c r="F81" i="7"/>
  <c r="L80" i="7"/>
  <c r="H80" i="7"/>
  <c r="F80" i="7"/>
  <c r="L79" i="7"/>
  <c r="H79" i="7"/>
  <c r="F79" i="7"/>
  <c r="L78" i="7"/>
  <c r="F76" i="7"/>
  <c r="L77" i="7"/>
  <c r="H78" i="7"/>
  <c r="F78" i="7"/>
  <c r="L76" i="7"/>
  <c r="H77" i="7"/>
  <c r="F77" i="7"/>
  <c r="L72" i="7"/>
  <c r="L71" i="7"/>
  <c r="L70" i="7"/>
  <c r="L68" i="7"/>
  <c r="H68" i="7"/>
  <c r="F68" i="7"/>
  <c r="L67" i="7"/>
  <c r="L66" i="7"/>
  <c r="H66" i="7"/>
  <c r="F66" i="7"/>
  <c r="L65" i="7"/>
  <c r="L63" i="7"/>
  <c r="H63" i="7"/>
  <c r="F63" i="7"/>
  <c r="L62" i="7"/>
  <c r="H62" i="7"/>
  <c r="F62" i="7"/>
  <c r="L61" i="7"/>
  <c r="H61" i="7"/>
  <c r="H67" i="7" s="1"/>
  <c r="H72" i="7" s="1"/>
  <c r="F61" i="7"/>
  <c r="H65" i="7" s="1"/>
  <c r="L60" i="7"/>
  <c r="H60" i="7"/>
  <c r="F67" i="7" s="1"/>
  <c r="F60" i="7"/>
  <c r="F65" i="7" s="1"/>
  <c r="L59" i="7"/>
  <c r="H59" i="7"/>
  <c r="F59" i="7"/>
  <c r="L58" i="7"/>
  <c r="H58" i="7"/>
  <c r="F58" i="7"/>
  <c r="L54" i="7"/>
  <c r="L53" i="7"/>
  <c r="L52" i="7"/>
  <c r="L50" i="7"/>
  <c r="L49" i="7"/>
  <c r="H49" i="7"/>
  <c r="F49" i="7"/>
  <c r="L48" i="7"/>
  <c r="H48" i="7"/>
  <c r="F48" i="7"/>
  <c r="L47" i="7"/>
  <c r="L45" i="7"/>
  <c r="H45" i="7"/>
  <c r="F45" i="7"/>
  <c r="L44" i="7"/>
  <c r="H44" i="7"/>
  <c r="F44" i="7"/>
  <c r="L43" i="7"/>
  <c r="H43" i="7"/>
  <c r="H50" i="7" s="1"/>
  <c r="H54" i="7" s="1"/>
  <c r="F43" i="7"/>
  <c r="H47" i="7" s="1"/>
  <c r="F52" i="7" s="1"/>
  <c r="L42" i="7"/>
  <c r="H42" i="7"/>
  <c r="F50" i="7" s="1"/>
  <c r="F42" i="7"/>
  <c r="F47" i="7" s="1"/>
  <c r="L41" i="7"/>
  <c r="H41" i="7"/>
  <c r="F41" i="7"/>
  <c r="L40" i="7"/>
  <c r="H40" i="7"/>
  <c r="F40" i="7"/>
  <c r="L36" i="7"/>
  <c r="L35" i="7"/>
  <c r="L34" i="7"/>
  <c r="L32" i="7"/>
  <c r="L31" i="7"/>
  <c r="H31" i="7"/>
  <c r="F31" i="7"/>
  <c r="L30" i="7"/>
  <c r="H30" i="7"/>
  <c r="F30" i="7"/>
  <c r="L29" i="7"/>
  <c r="L27" i="7"/>
  <c r="H27" i="7"/>
  <c r="F27" i="7"/>
  <c r="L26" i="7"/>
  <c r="H26" i="7"/>
  <c r="F26" i="7"/>
  <c r="L25" i="7"/>
  <c r="H25" i="7"/>
  <c r="H29" i="7" s="1"/>
  <c r="F34" i="7" s="1"/>
  <c r="F25" i="7"/>
  <c r="H32" i="7" s="1"/>
  <c r="H36" i="7" s="1"/>
  <c r="L24" i="7"/>
  <c r="H24" i="7"/>
  <c r="F32" i="7" s="1"/>
  <c r="F24" i="7"/>
  <c r="F29" i="7" s="1"/>
  <c r="L23" i="7"/>
  <c r="H23" i="7"/>
  <c r="F23" i="7"/>
  <c r="L22" i="7"/>
  <c r="H22" i="7"/>
  <c r="F22" i="7"/>
  <c r="O307" i="6"/>
  <c r="L307" i="6"/>
  <c r="C93" i="12" s="1"/>
  <c r="O303" i="6"/>
  <c r="L303" i="6"/>
  <c r="B93" i="12" s="1"/>
  <c r="O298" i="6"/>
  <c r="L298" i="6"/>
  <c r="O297" i="6"/>
  <c r="L297" i="6"/>
  <c r="O288" i="6"/>
  <c r="L288" i="6"/>
  <c r="O287" i="6"/>
  <c r="L287" i="6"/>
  <c r="O294" i="6"/>
  <c r="L294" i="6"/>
  <c r="F294" i="6"/>
  <c r="H298" i="6" s="1"/>
  <c r="D311" i="6" s="1"/>
  <c r="O293" i="6"/>
  <c r="L293" i="6"/>
  <c r="F293" i="6"/>
  <c r="F298" i="6" s="1"/>
  <c r="D310" i="6" s="1"/>
  <c r="O292" i="6"/>
  <c r="L292" i="6"/>
  <c r="O286" i="6"/>
  <c r="L286" i="6"/>
  <c r="O285" i="6"/>
  <c r="L285" i="6"/>
  <c r="O296" i="6"/>
  <c r="L296" i="6"/>
  <c r="O295" i="6"/>
  <c r="L295" i="6"/>
  <c r="O299" i="6"/>
  <c r="L299" i="6"/>
  <c r="O281" i="6"/>
  <c r="L281" i="6"/>
  <c r="O280" i="6"/>
  <c r="L280" i="6"/>
  <c r="O274" i="6"/>
  <c r="L274" i="6"/>
  <c r="O275" i="6"/>
  <c r="L275" i="6"/>
  <c r="O268" i="6"/>
  <c r="L268" i="6"/>
  <c r="F268" i="6"/>
  <c r="H307" i="6" s="1"/>
  <c r="B311" i="6" s="1"/>
  <c r="O276" i="6"/>
  <c r="L276" i="6"/>
  <c r="O277" i="6"/>
  <c r="L277" i="6"/>
  <c r="O270" i="6"/>
  <c r="L270" i="6"/>
  <c r="O269" i="6"/>
  <c r="L269" i="6"/>
  <c r="O265" i="6"/>
  <c r="L265" i="6"/>
  <c r="O267" i="6"/>
  <c r="L267" i="6"/>
  <c r="F267" i="6"/>
  <c r="F307" i="6" s="1"/>
  <c r="B310" i="6" s="1"/>
  <c r="O266" i="6"/>
  <c r="L266" i="6"/>
  <c r="O279" i="6"/>
  <c r="L279" i="6"/>
  <c r="O278" i="6"/>
  <c r="L278" i="6"/>
  <c r="O254" i="6"/>
  <c r="L254" i="6"/>
  <c r="F254" i="6"/>
  <c r="H292" i="6" s="1"/>
  <c r="D329" i="6" s="1"/>
  <c r="O253" i="6"/>
  <c r="L253" i="6"/>
  <c r="F253" i="6"/>
  <c r="H287" i="6" s="1"/>
  <c r="D325" i="6" s="1"/>
  <c r="O252" i="6"/>
  <c r="L252" i="6"/>
  <c r="H252" i="6"/>
  <c r="F288" i="6" s="1"/>
  <c r="D327" i="6" s="1"/>
  <c r="F252" i="6"/>
  <c r="F292" i="6" s="1"/>
  <c r="D328" i="6" s="1"/>
  <c r="O251" i="6"/>
  <c r="L251" i="6"/>
  <c r="O259" i="6"/>
  <c r="L259" i="6"/>
  <c r="O258" i="6"/>
  <c r="L258" i="6"/>
  <c r="O249" i="6"/>
  <c r="L249" i="6"/>
  <c r="F249" i="6"/>
  <c r="H253" i="6" s="1"/>
  <c r="H286" i="6" s="1"/>
  <c r="D323" i="6" s="1"/>
  <c r="O248" i="6"/>
  <c r="L248" i="6"/>
  <c r="F248" i="6"/>
  <c r="H254" i="6" s="1"/>
  <c r="H288" i="6" s="1"/>
  <c r="D326" i="6" s="1"/>
  <c r="O247" i="6"/>
  <c r="L247" i="6"/>
  <c r="F247" i="6"/>
  <c r="H251" i="6" s="1"/>
  <c r="F287" i="6" s="1"/>
  <c r="D324" i="6" s="1"/>
  <c r="O246" i="6"/>
  <c r="L246" i="6"/>
  <c r="F246" i="6"/>
  <c r="F251" i="6" s="1"/>
  <c r="F286" i="6" s="1"/>
  <c r="D322" i="6" s="1"/>
  <c r="O242" i="6"/>
  <c r="L242" i="6"/>
  <c r="O241" i="6"/>
  <c r="L241" i="6"/>
  <c r="O237" i="6"/>
  <c r="L237" i="6"/>
  <c r="F237" i="6"/>
  <c r="H294" i="6" s="1"/>
  <c r="H297" i="6" s="1"/>
  <c r="D313" i="6" s="1"/>
  <c r="O236" i="6"/>
  <c r="L236" i="6"/>
  <c r="F236" i="6"/>
  <c r="H293" i="6" s="1"/>
  <c r="F297" i="6" s="1"/>
  <c r="D312" i="6" s="1"/>
  <c r="O235" i="6"/>
  <c r="L235" i="6"/>
  <c r="O234" i="6"/>
  <c r="L234" i="6"/>
  <c r="F234" i="6"/>
  <c r="F285" i="6" s="1"/>
  <c r="D321" i="6" s="1"/>
  <c r="O233" i="6"/>
  <c r="L233" i="6"/>
  <c r="H233" i="6"/>
  <c r="H237" i="6" s="1"/>
  <c r="H296" i="6" s="1"/>
  <c r="D315" i="6" s="1"/>
  <c r="F233" i="6"/>
  <c r="H295" i="6" s="1"/>
  <c r="D317" i="6" s="1"/>
  <c r="O232" i="6"/>
  <c r="L232" i="6"/>
  <c r="F232" i="6"/>
  <c r="H236" i="6" s="1"/>
  <c r="F296" i="6" s="1"/>
  <c r="D314" i="6" s="1"/>
  <c r="O231" i="6"/>
  <c r="L231" i="6"/>
  <c r="O230" i="6"/>
  <c r="L230" i="6"/>
  <c r="O229" i="6"/>
  <c r="L229" i="6"/>
  <c r="H229" i="6"/>
  <c r="F235" i="6" s="1"/>
  <c r="H285" i="6" s="1"/>
  <c r="D320" i="6" s="1"/>
  <c r="O228" i="6"/>
  <c r="L228" i="6"/>
  <c r="H228" i="6"/>
  <c r="H235" i="6" s="1"/>
  <c r="H299" i="6" s="1"/>
  <c r="D318" i="6" s="1"/>
  <c r="O227" i="6"/>
  <c r="L227" i="6"/>
  <c r="H227" i="6"/>
  <c r="H232" i="6" s="1"/>
  <c r="F295" i="6" s="1"/>
  <c r="D316" i="6" s="1"/>
  <c r="O226" i="6"/>
  <c r="L226" i="6"/>
  <c r="H226" i="6"/>
  <c r="H234" i="6" s="1"/>
  <c r="F299" i="6" s="1"/>
  <c r="D319" i="6" s="1"/>
  <c r="O222" i="6"/>
  <c r="L222" i="6"/>
  <c r="H222" i="6"/>
  <c r="H274" i="6" s="1"/>
  <c r="B328" i="6" s="1"/>
  <c r="O221" i="6"/>
  <c r="L221" i="6"/>
  <c r="H221" i="6"/>
  <c r="H276" i="6" s="1"/>
  <c r="B325" i="6" s="1"/>
  <c r="O220" i="6"/>
  <c r="L220" i="6"/>
  <c r="H220" i="6"/>
  <c r="F275" i="6" s="1"/>
  <c r="B326" i="6" s="1"/>
  <c r="O219" i="6"/>
  <c r="L219" i="6"/>
  <c r="H219" i="6"/>
  <c r="F277" i="6" s="1"/>
  <c r="B323" i="6" s="1"/>
  <c r="O218" i="6"/>
  <c r="L218" i="6"/>
  <c r="O217" i="6"/>
  <c r="L217" i="6"/>
  <c r="O216" i="6"/>
  <c r="L216" i="6"/>
  <c r="F216" i="6"/>
  <c r="F222" i="6" s="1"/>
  <c r="H275" i="6" s="1"/>
  <c r="B327" i="6" s="1"/>
  <c r="O215" i="6"/>
  <c r="L215" i="6"/>
  <c r="F215" i="6"/>
  <c r="F221" i="6" s="1"/>
  <c r="H277" i="6" s="1"/>
  <c r="B322" i="6" s="1"/>
  <c r="O214" i="6"/>
  <c r="L214" i="6"/>
  <c r="F214" i="6"/>
  <c r="F220" i="6" s="1"/>
  <c r="F274" i="6" s="1"/>
  <c r="B329" i="6" s="1"/>
  <c r="O213" i="6"/>
  <c r="L213" i="6"/>
  <c r="F213" i="6"/>
  <c r="F219" i="6" s="1"/>
  <c r="F276" i="6" s="1"/>
  <c r="B324" i="6" s="1"/>
  <c r="O212" i="6"/>
  <c r="L212" i="6"/>
  <c r="O211" i="6"/>
  <c r="L211" i="6"/>
  <c r="O207" i="6"/>
  <c r="L207" i="6"/>
  <c r="F207" i="6"/>
  <c r="H268" i="6" s="1"/>
  <c r="H303" i="6" s="1"/>
  <c r="B312" i="6" s="1"/>
  <c r="O206" i="6"/>
  <c r="L206" i="6"/>
  <c r="F206" i="6"/>
  <c r="F266" i="6" s="1"/>
  <c r="B314" i="6" s="1"/>
  <c r="O205" i="6"/>
  <c r="L205" i="6"/>
  <c r="O204" i="6"/>
  <c r="L204" i="6"/>
  <c r="H204" i="6"/>
  <c r="F269" i="6" s="1"/>
  <c r="B319" i="6" s="1"/>
  <c r="O203" i="6"/>
  <c r="L203" i="6"/>
  <c r="H203" i="6"/>
  <c r="H265" i="6" s="1"/>
  <c r="B317" i="6" s="1"/>
  <c r="F203" i="6"/>
  <c r="H207" i="6" s="1"/>
  <c r="H266" i="6" s="1"/>
  <c r="B315" i="6" s="1"/>
  <c r="O202" i="6"/>
  <c r="L202" i="6"/>
  <c r="H202" i="6"/>
  <c r="H206" i="6" s="1"/>
  <c r="H267" i="6" s="1"/>
  <c r="F303" i="6" s="1"/>
  <c r="B313" i="6" s="1"/>
  <c r="O201" i="6"/>
  <c r="L201" i="6"/>
  <c r="O200" i="6"/>
  <c r="L200" i="6"/>
  <c r="O199" i="6"/>
  <c r="L199" i="6"/>
  <c r="H199" i="6"/>
  <c r="F205" i="6" s="1"/>
  <c r="H269" i="6" s="1"/>
  <c r="B318" i="6" s="1"/>
  <c r="O198" i="6"/>
  <c r="L198" i="6"/>
  <c r="H198" i="6"/>
  <c r="H205" i="6" s="1"/>
  <c r="H270" i="6" s="1"/>
  <c r="B321" i="6" s="1"/>
  <c r="O197" i="6"/>
  <c r="L197" i="6"/>
  <c r="H197" i="6"/>
  <c r="F204" i="6" s="1"/>
  <c r="F270" i="6" s="1"/>
  <c r="B320" i="6" s="1"/>
  <c r="O196" i="6"/>
  <c r="L196" i="6"/>
  <c r="H196" i="6"/>
  <c r="F202" i="6" s="1"/>
  <c r="F265" i="6" s="1"/>
  <c r="B316" i="6" s="1"/>
  <c r="O190" i="6"/>
  <c r="L190" i="6"/>
  <c r="O189" i="6"/>
  <c r="L189" i="6"/>
  <c r="O186" i="6"/>
  <c r="L186" i="6"/>
  <c r="O185" i="6"/>
  <c r="L185" i="6"/>
  <c r="O184" i="6"/>
  <c r="L184" i="6"/>
  <c r="O183" i="6"/>
  <c r="L183" i="6"/>
  <c r="O182" i="6"/>
  <c r="L182" i="6"/>
  <c r="O181" i="6"/>
  <c r="L181" i="6"/>
  <c r="O180" i="6"/>
  <c r="L180" i="6"/>
  <c r="O179" i="6"/>
  <c r="L179" i="6"/>
  <c r="O178" i="6"/>
  <c r="L178" i="6"/>
  <c r="O177" i="6"/>
  <c r="L177" i="6"/>
  <c r="O176" i="6"/>
  <c r="L176" i="6"/>
  <c r="O175" i="6"/>
  <c r="L175" i="6"/>
  <c r="O171" i="6"/>
  <c r="L171" i="6"/>
  <c r="O170" i="6"/>
  <c r="L170" i="6"/>
  <c r="O167" i="6"/>
  <c r="L167" i="6"/>
  <c r="O166" i="6"/>
  <c r="L166" i="6"/>
  <c r="O165" i="6"/>
  <c r="L165" i="6"/>
  <c r="O164" i="6"/>
  <c r="L164" i="6"/>
  <c r="O163" i="6"/>
  <c r="L163" i="6"/>
  <c r="O162" i="6"/>
  <c r="L162" i="6"/>
  <c r="O161" i="6"/>
  <c r="L161" i="6"/>
  <c r="O160" i="6"/>
  <c r="L160" i="6"/>
  <c r="O159" i="6"/>
  <c r="L159" i="6"/>
  <c r="O158" i="6"/>
  <c r="L158" i="6"/>
  <c r="O157" i="6"/>
  <c r="L157" i="6"/>
  <c r="O156" i="6"/>
  <c r="L156" i="6"/>
  <c r="O152" i="6"/>
  <c r="L152" i="6"/>
  <c r="O151" i="6"/>
  <c r="L151" i="6"/>
  <c r="O148" i="6"/>
  <c r="L148" i="6"/>
  <c r="O147" i="6"/>
  <c r="L147" i="6"/>
  <c r="O146" i="6"/>
  <c r="L146" i="6"/>
  <c r="O145" i="6"/>
  <c r="L145" i="6"/>
  <c r="O144" i="6"/>
  <c r="L144" i="6"/>
  <c r="O143" i="6"/>
  <c r="L143" i="6"/>
  <c r="O142" i="6"/>
  <c r="L142" i="6"/>
  <c r="O141" i="6"/>
  <c r="L141" i="6"/>
  <c r="O140" i="6"/>
  <c r="L140" i="6"/>
  <c r="O139" i="6"/>
  <c r="L139" i="6"/>
  <c r="O138" i="6"/>
  <c r="L138" i="6"/>
  <c r="O137" i="6"/>
  <c r="L137" i="6"/>
  <c r="O133" i="6"/>
  <c r="L133" i="6"/>
  <c r="O132" i="6"/>
  <c r="L132" i="6"/>
  <c r="O129" i="6"/>
  <c r="L129" i="6"/>
  <c r="O128" i="6"/>
  <c r="L128" i="6"/>
  <c r="O127" i="6"/>
  <c r="L127" i="6"/>
  <c r="O126" i="6"/>
  <c r="L126" i="6"/>
  <c r="O125" i="6"/>
  <c r="L125" i="6"/>
  <c r="O124" i="6"/>
  <c r="L124" i="6"/>
  <c r="O123" i="6"/>
  <c r="L123" i="6"/>
  <c r="O122" i="6"/>
  <c r="L122" i="6"/>
  <c r="O121" i="6"/>
  <c r="L121" i="6"/>
  <c r="O120" i="6"/>
  <c r="L120" i="6"/>
  <c r="O119" i="6"/>
  <c r="L119" i="6"/>
  <c r="O118" i="6"/>
  <c r="L118" i="6"/>
  <c r="L90" i="6"/>
  <c r="L89" i="6"/>
  <c r="L88" i="6"/>
  <c r="L86" i="6"/>
  <c r="L85" i="6"/>
  <c r="L84" i="6"/>
  <c r="L83" i="6"/>
  <c r="L82" i="6"/>
  <c r="L81" i="6"/>
  <c r="L80" i="6"/>
  <c r="H80" i="6"/>
  <c r="H86" i="6" s="1"/>
  <c r="H90" i="6" s="1"/>
  <c r="F80" i="6"/>
  <c r="H85" i="6" s="1"/>
  <c r="L79" i="6"/>
  <c r="H79" i="6"/>
  <c r="F86" i="6" s="1"/>
  <c r="F79" i="6"/>
  <c r="F85" i="6" s="1"/>
  <c r="F89" i="6" s="1"/>
  <c r="L78" i="6"/>
  <c r="H78" i="6"/>
  <c r="H84" i="6" s="1"/>
  <c r="H89" i="6" s="1"/>
  <c r="F78" i="6"/>
  <c r="H83" i="6" s="1"/>
  <c r="F90" i="6" s="1"/>
  <c r="L77" i="6"/>
  <c r="H77" i="6"/>
  <c r="F84" i="6" s="1"/>
  <c r="F77" i="6"/>
  <c r="F83" i="6" s="1"/>
  <c r="L76" i="6"/>
  <c r="H76" i="6"/>
  <c r="H82" i="6" s="1"/>
  <c r="F76" i="6"/>
  <c r="H81" i="6" s="1"/>
  <c r="F69" i="6" s="1"/>
  <c r="L75" i="6"/>
  <c r="H75" i="6"/>
  <c r="F82" i="6" s="1"/>
  <c r="H88" i="6" s="1"/>
  <c r="F75" i="6"/>
  <c r="F81" i="6" s="1"/>
  <c r="L71" i="6"/>
  <c r="L70" i="6"/>
  <c r="L69" i="6"/>
  <c r="L67" i="6"/>
  <c r="L66" i="6"/>
  <c r="L65" i="6"/>
  <c r="L64" i="6"/>
  <c r="L63" i="6"/>
  <c r="L62" i="6"/>
  <c r="L61" i="6"/>
  <c r="H61" i="6"/>
  <c r="H67" i="6" s="1"/>
  <c r="H71" i="6" s="1"/>
  <c r="F61" i="6"/>
  <c r="H66" i="6" s="1"/>
  <c r="F70" i="6" s="1"/>
  <c r="L60" i="6"/>
  <c r="H60" i="6"/>
  <c r="F67" i="6" s="1"/>
  <c r="F60" i="6"/>
  <c r="F66" i="6" s="1"/>
  <c r="L59" i="6"/>
  <c r="H59" i="6"/>
  <c r="H65" i="6" s="1"/>
  <c r="H70" i="6" s="1"/>
  <c r="F59" i="6"/>
  <c r="H64" i="6" s="1"/>
  <c r="F71" i="6" s="1"/>
  <c r="L58" i="6"/>
  <c r="H58" i="6"/>
  <c r="F65" i="6" s="1"/>
  <c r="F58" i="6"/>
  <c r="F64" i="6" s="1"/>
  <c r="L57" i="6"/>
  <c r="H57" i="6"/>
  <c r="H63" i="6" s="1"/>
  <c r="F57" i="6"/>
  <c r="H62" i="6" s="1"/>
  <c r="F88" i="6" s="1"/>
  <c r="L56" i="6"/>
  <c r="H56" i="6"/>
  <c r="F63" i="6" s="1"/>
  <c r="H69" i="6" s="1"/>
  <c r="F56" i="6"/>
  <c r="F62" i="6" s="1"/>
  <c r="L52" i="6"/>
  <c r="L51" i="6"/>
  <c r="L50" i="6"/>
  <c r="L48" i="6"/>
  <c r="L47" i="6"/>
  <c r="L46" i="6"/>
  <c r="L45" i="6"/>
  <c r="L44" i="6"/>
  <c r="L43" i="6"/>
  <c r="L42" i="6"/>
  <c r="H42" i="6"/>
  <c r="H48" i="6" s="1"/>
  <c r="H52" i="6" s="1"/>
  <c r="F42" i="6"/>
  <c r="H47" i="6" s="1"/>
  <c r="F51" i="6" s="1"/>
  <c r="L41" i="6"/>
  <c r="H41" i="6"/>
  <c r="F48" i="6" s="1"/>
  <c r="F41" i="6"/>
  <c r="F47" i="6" s="1"/>
  <c r="L40" i="6"/>
  <c r="H40" i="6"/>
  <c r="H46" i="6" s="1"/>
  <c r="H51" i="6" s="1"/>
  <c r="F40" i="6"/>
  <c r="H45" i="6" s="1"/>
  <c r="F52" i="6" s="1"/>
  <c r="L39" i="6"/>
  <c r="H39" i="6"/>
  <c r="F46" i="6" s="1"/>
  <c r="F39" i="6"/>
  <c r="F45" i="6" s="1"/>
  <c r="L38" i="6"/>
  <c r="H38" i="6"/>
  <c r="H44" i="6" s="1"/>
  <c r="H50" i="6" s="1"/>
  <c r="F38" i="6"/>
  <c r="H43" i="6" s="1"/>
  <c r="F31" i="6" s="1"/>
  <c r="L37" i="6"/>
  <c r="H37" i="6"/>
  <c r="F44" i="6" s="1"/>
  <c r="F37" i="6"/>
  <c r="F43" i="6" s="1"/>
  <c r="L33" i="6"/>
  <c r="L32" i="6"/>
  <c r="L31" i="6"/>
  <c r="L29" i="6"/>
  <c r="L28" i="6"/>
  <c r="L27" i="6"/>
  <c r="L26" i="6"/>
  <c r="L25" i="6"/>
  <c r="L24" i="6"/>
  <c r="L23" i="6"/>
  <c r="H23" i="6"/>
  <c r="H29" i="6" s="1"/>
  <c r="F23" i="6"/>
  <c r="H28" i="6" s="1"/>
  <c r="F32" i="6" s="1"/>
  <c r="L22" i="6"/>
  <c r="H22" i="6"/>
  <c r="F29" i="6" s="1"/>
  <c r="H33" i="6" s="1"/>
  <c r="F22" i="6"/>
  <c r="F28" i="6" s="1"/>
  <c r="L21" i="6"/>
  <c r="H21" i="6"/>
  <c r="H27" i="6" s="1"/>
  <c r="H32" i="6" s="1"/>
  <c r="F21" i="6"/>
  <c r="H26" i="6" s="1"/>
  <c r="F33" i="6" s="1"/>
  <c r="L20" i="6"/>
  <c r="H20" i="6"/>
  <c r="F27" i="6" s="1"/>
  <c r="F20" i="6"/>
  <c r="F26" i="6" s="1"/>
  <c r="L19" i="6"/>
  <c r="H19" i="6"/>
  <c r="H24" i="6" s="1"/>
  <c r="F19" i="6"/>
  <c r="H25" i="6" s="1"/>
  <c r="H31" i="6" s="1"/>
  <c r="L18" i="6"/>
  <c r="H18" i="6"/>
  <c r="F25" i="6" s="1"/>
  <c r="F18" i="6"/>
  <c r="F24" i="6" s="1"/>
  <c r="F50" i="6" s="1"/>
  <c r="N292" i="5"/>
  <c r="L292" i="5"/>
  <c r="N291" i="5"/>
  <c r="L291" i="5"/>
  <c r="N290" i="5"/>
  <c r="L290" i="5"/>
  <c r="N289" i="5"/>
  <c r="L289" i="5"/>
  <c r="N288" i="5"/>
  <c r="L288" i="5"/>
  <c r="F288" i="5"/>
  <c r="H291" i="5" s="1"/>
  <c r="D307" i="5" s="1"/>
  <c r="N287" i="5"/>
  <c r="L287" i="5"/>
  <c r="F287" i="5"/>
  <c r="F292" i="5" s="1"/>
  <c r="D305" i="5" s="1"/>
  <c r="N302" i="5"/>
  <c r="L302" i="5"/>
  <c r="N298" i="5"/>
  <c r="L298" i="5"/>
  <c r="N283" i="5"/>
  <c r="L283" i="5"/>
  <c r="N282" i="5"/>
  <c r="L282" i="5"/>
  <c r="N281" i="5"/>
  <c r="L281" i="5"/>
  <c r="F281" i="5"/>
  <c r="F302" i="5" s="1"/>
  <c r="B305" i="5" s="1"/>
  <c r="N280" i="5"/>
  <c r="L280" i="5"/>
  <c r="N279" i="5"/>
  <c r="L279" i="5"/>
  <c r="N293" i="5"/>
  <c r="L293" i="5"/>
  <c r="N275" i="5"/>
  <c r="L275" i="5"/>
  <c r="N274" i="5"/>
  <c r="L274" i="5"/>
  <c r="N273" i="5"/>
  <c r="L273" i="5"/>
  <c r="N272" i="5"/>
  <c r="L272" i="5"/>
  <c r="N271" i="5"/>
  <c r="L271" i="5"/>
  <c r="N270" i="5"/>
  <c r="L270" i="5"/>
  <c r="N269" i="5"/>
  <c r="L269" i="5"/>
  <c r="N265" i="5"/>
  <c r="L265" i="5"/>
  <c r="N264" i="5"/>
  <c r="L264" i="5"/>
  <c r="N263" i="5"/>
  <c r="L263" i="5"/>
  <c r="N262" i="5"/>
  <c r="L262" i="5"/>
  <c r="N261" i="5"/>
  <c r="L261" i="5"/>
  <c r="F261" i="5"/>
  <c r="H302" i="5" s="1"/>
  <c r="B306" i="5" s="1"/>
  <c r="N260" i="5"/>
  <c r="L260" i="5"/>
  <c r="N259" i="5"/>
  <c r="L259" i="5"/>
  <c r="N253" i="5"/>
  <c r="L253" i="5"/>
  <c r="H253" i="5"/>
  <c r="H275" i="5" s="1"/>
  <c r="D321" i="5" s="1"/>
  <c r="F253" i="5"/>
  <c r="H293" i="5" s="1"/>
  <c r="D324" i="5" s="1"/>
  <c r="N252" i="5"/>
  <c r="L252" i="5"/>
  <c r="N251" i="5"/>
  <c r="L251" i="5"/>
  <c r="F251" i="5"/>
  <c r="F293" i="5" s="1"/>
  <c r="D323" i="5" s="1"/>
  <c r="N250" i="5"/>
  <c r="L250" i="5"/>
  <c r="F250" i="5"/>
  <c r="F273" i="5" s="1"/>
  <c r="D318" i="5" s="1"/>
  <c r="N249" i="5"/>
  <c r="L249" i="5"/>
  <c r="N248" i="5"/>
  <c r="L248" i="5"/>
  <c r="N247" i="5"/>
  <c r="L247" i="5"/>
  <c r="F247" i="5"/>
  <c r="H252" i="5" s="1"/>
  <c r="H274" i="5" s="1"/>
  <c r="D319" i="5" s="1"/>
  <c r="N246" i="5"/>
  <c r="L246" i="5"/>
  <c r="F246" i="5"/>
  <c r="F252" i="5" s="1"/>
  <c r="H273" i="5" s="1"/>
  <c r="D317" i="5" s="1"/>
  <c r="N245" i="5"/>
  <c r="L245" i="5"/>
  <c r="F245" i="5"/>
  <c r="H250" i="5" s="1"/>
  <c r="F274" i="5" s="1"/>
  <c r="D320" i="5" s="1"/>
  <c r="N244" i="5"/>
  <c r="L244" i="5"/>
  <c r="F244" i="5"/>
  <c r="H251" i="5" s="1"/>
  <c r="F275" i="5" s="1"/>
  <c r="D322" i="5" s="1"/>
  <c r="N243" i="5"/>
  <c r="L243" i="5"/>
  <c r="N242" i="5"/>
  <c r="L242" i="5"/>
  <c r="N238" i="5"/>
  <c r="L238" i="5"/>
  <c r="F238" i="5"/>
  <c r="H289" i="5" s="1"/>
  <c r="D309" i="5" s="1"/>
  <c r="N237" i="5"/>
  <c r="L237" i="5"/>
  <c r="F237" i="5"/>
  <c r="H287" i="5" s="1"/>
  <c r="F291" i="5" s="1"/>
  <c r="D308" i="5" s="1"/>
  <c r="N236" i="5"/>
  <c r="L236" i="5"/>
  <c r="N235" i="5"/>
  <c r="L235" i="5"/>
  <c r="N234" i="5"/>
  <c r="L234" i="5"/>
  <c r="H234" i="5"/>
  <c r="H238" i="5" s="1"/>
  <c r="H288" i="5" s="1"/>
  <c r="H292" i="5" s="1"/>
  <c r="D306" i="5" s="1"/>
  <c r="F234" i="5"/>
  <c r="H290" i="5" s="1"/>
  <c r="D312" i="5" s="1"/>
  <c r="N233" i="5"/>
  <c r="L233" i="5"/>
  <c r="H233" i="5"/>
  <c r="H237" i="5" s="1"/>
  <c r="F289" i="5" s="1"/>
  <c r="D310" i="5" s="1"/>
  <c r="F233" i="5"/>
  <c r="F290" i="5" s="1"/>
  <c r="D311" i="5" s="1"/>
  <c r="N232" i="5"/>
  <c r="L232" i="5"/>
  <c r="N231" i="5"/>
  <c r="L231" i="5"/>
  <c r="N230" i="5"/>
  <c r="L230" i="5"/>
  <c r="H230" i="5"/>
  <c r="F236" i="5" s="1"/>
  <c r="H271" i="5" s="1"/>
  <c r="D313" i="5" s="1"/>
  <c r="N229" i="5"/>
  <c r="L229" i="5"/>
  <c r="H229" i="5"/>
  <c r="H236" i="5" s="1"/>
  <c r="H272" i="5" s="1"/>
  <c r="D316" i="5" s="1"/>
  <c r="N228" i="5"/>
  <c r="L228" i="5"/>
  <c r="H228" i="5"/>
  <c r="F235" i="5" s="1"/>
  <c r="F272" i="5" s="1"/>
  <c r="D315" i="5" s="1"/>
  <c r="N227" i="5"/>
  <c r="L227" i="5"/>
  <c r="H227" i="5"/>
  <c r="H235" i="5" s="1"/>
  <c r="F271" i="5" s="1"/>
  <c r="D314" i="5" s="1"/>
  <c r="N223" i="5"/>
  <c r="L223" i="5"/>
  <c r="H223" i="5"/>
  <c r="H264" i="5" s="1"/>
  <c r="B321" i="5" s="1"/>
  <c r="F223" i="5"/>
  <c r="H265" i="5" s="1"/>
  <c r="B324" i="5" s="1"/>
  <c r="N222" i="5"/>
  <c r="L222" i="5"/>
  <c r="N221" i="5"/>
  <c r="L221" i="5"/>
  <c r="H221" i="5"/>
  <c r="F265" i="5" s="1"/>
  <c r="B323" i="5" s="1"/>
  <c r="N220" i="5"/>
  <c r="L220" i="5"/>
  <c r="H220" i="5"/>
  <c r="F263" i="5" s="1"/>
  <c r="B319" i="5" s="1"/>
  <c r="N219" i="5"/>
  <c r="L219" i="5"/>
  <c r="N218" i="5"/>
  <c r="L218" i="5"/>
  <c r="N217" i="5"/>
  <c r="L217" i="5"/>
  <c r="F217" i="5"/>
  <c r="H222" i="5" s="1"/>
  <c r="H263" i="5" s="1"/>
  <c r="B320" i="5" s="1"/>
  <c r="N216" i="5"/>
  <c r="L216" i="5"/>
  <c r="F216" i="5"/>
  <c r="F222" i="5" s="1"/>
  <c r="H262" i="5" s="1"/>
  <c r="B318" i="5" s="1"/>
  <c r="N215" i="5"/>
  <c r="L215" i="5"/>
  <c r="F215" i="5"/>
  <c r="F221" i="5" s="1"/>
  <c r="F264" i="5" s="1"/>
  <c r="B322" i="5" s="1"/>
  <c r="N214" i="5"/>
  <c r="L214" i="5"/>
  <c r="F214" i="5"/>
  <c r="F220" i="5" s="1"/>
  <c r="F262" i="5" s="1"/>
  <c r="B317" i="5" s="1"/>
  <c r="N213" i="5"/>
  <c r="L213" i="5"/>
  <c r="N212" i="5"/>
  <c r="L212" i="5"/>
  <c r="N208" i="5"/>
  <c r="L208" i="5"/>
  <c r="F208" i="5"/>
  <c r="H261" i="5" s="1"/>
  <c r="H298" i="5" s="1"/>
  <c r="B307" i="5" s="1"/>
  <c r="N207" i="5"/>
  <c r="L207" i="5"/>
  <c r="F207" i="5"/>
  <c r="H281" i="5" s="1"/>
  <c r="F298" i="5" s="1"/>
  <c r="B308" i="5" s="1"/>
  <c r="N206" i="5"/>
  <c r="L206" i="5"/>
  <c r="N205" i="5"/>
  <c r="L205" i="5"/>
  <c r="H205" i="5"/>
  <c r="F283" i="5" s="1"/>
  <c r="B316" i="5" s="1"/>
  <c r="F205" i="5"/>
  <c r="F282" i="5" s="1"/>
  <c r="B314" i="5" s="1"/>
  <c r="N204" i="5"/>
  <c r="L204" i="5"/>
  <c r="H204" i="5"/>
  <c r="H208" i="5" s="1"/>
  <c r="H280" i="5" s="1"/>
  <c r="B309" i="5" s="1"/>
  <c r="F204" i="5"/>
  <c r="H279" i="5" s="1"/>
  <c r="B311" i="5" s="1"/>
  <c r="N203" i="5"/>
  <c r="L203" i="5"/>
  <c r="N202" i="5"/>
  <c r="L202" i="5"/>
  <c r="N201" i="5"/>
  <c r="L201" i="5"/>
  <c r="N200" i="5"/>
  <c r="L200" i="5"/>
  <c r="H200" i="5"/>
  <c r="F206" i="5" s="1"/>
  <c r="H282" i="5" s="1"/>
  <c r="B313" i="5" s="1"/>
  <c r="N199" i="5"/>
  <c r="L199" i="5"/>
  <c r="H199" i="5"/>
  <c r="H206" i="5" s="1"/>
  <c r="H283" i="5" s="1"/>
  <c r="B315" i="5" s="1"/>
  <c r="N198" i="5"/>
  <c r="L198" i="5"/>
  <c r="H198" i="5"/>
  <c r="H203" i="5" s="1"/>
  <c r="F279" i="5" s="1"/>
  <c r="B312" i="5" s="1"/>
  <c r="N197" i="5"/>
  <c r="L197" i="5"/>
  <c r="H197" i="5"/>
  <c r="F203" i="5" s="1"/>
  <c r="H207" i="5" s="1"/>
  <c r="F280" i="5" s="1"/>
  <c r="B310" i="5" s="1"/>
  <c r="N191" i="5"/>
  <c r="L191" i="5"/>
  <c r="N190" i="5"/>
  <c r="L190" i="5"/>
  <c r="N187" i="5"/>
  <c r="L187" i="5"/>
  <c r="N186" i="5"/>
  <c r="L186" i="5"/>
  <c r="N185" i="5"/>
  <c r="L185" i="5"/>
  <c r="N184" i="5"/>
  <c r="L184" i="5"/>
  <c r="N183" i="5"/>
  <c r="L183" i="5"/>
  <c r="N182" i="5"/>
  <c r="L182" i="5"/>
  <c r="N181" i="5"/>
  <c r="L181" i="5"/>
  <c r="N180" i="5"/>
  <c r="L180" i="5"/>
  <c r="N179" i="5"/>
  <c r="L179" i="5"/>
  <c r="N178" i="5"/>
  <c r="L178" i="5"/>
  <c r="N177" i="5"/>
  <c r="L177" i="5"/>
  <c r="N176" i="5"/>
  <c r="L176" i="5"/>
  <c r="N172" i="5"/>
  <c r="L172" i="5"/>
  <c r="N171" i="5"/>
  <c r="L171" i="5"/>
  <c r="N168" i="5"/>
  <c r="L168" i="5"/>
  <c r="N167" i="5"/>
  <c r="L167" i="5"/>
  <c r="N166" i="5"/>
  <c r="L166" i="5"/>
  <c r="N165" i="5"/>
  <c r="L165" i="5"/>
  <c r="N164" i="5"/>
  <c r="L164" i="5"/>
  <c r="N163" i="5"/>
  <c r="L163" i="5"/>
  <c r="N162" i="5"/>
  <c r="L162" i="5"/>
  <c r="N161" i="5"/>
  <c r="L161" i="5"/>
  <c r="N160" i="5"/>
  <c r="L160" i="5"/>
  <c r="N159" i="5"/>
  <c r="L159" i="5"/>
  <c r="N158" i="5"/>
  <c r="L158" i="5"/>
  <c r="N157" i="5"/>
  <c r="L157" i="5"/>
  <c r="N153" i="5"/>
  <c r="L153" i="5"/>
  <c r="N152" i="5"/>
  <c r="L152" i="5"/>
  <c r="N149" i="5"/>
  <c r="L149" i="5"/>
  <c r="N148" i="5"/>
  <c r="L148" i="5"/>
  <c r="N147" i="5"/>
  <c r="L147" i="5"/>
  <c r="N146" i="5"/>
  <c r="L146" i="5"/>
  <c r="N145" i="5"/>
  <c r="L145" i="5"/>
  <c r="N144" i="5"/>
  <c r="L144" i="5"/>
  <c r="N143" i="5"/>
  <c r="L143" i="5"/>
  <c r="N142" i="5"/>
  <c r="L142" i="5"/>
  <c r="N141" i="5"/>
  <c r="L141" i="5"/>
  <c r="N140" i="5"/>
  <c r="L140" i="5"/>
  <c r="N139" i="5"/>
  <c r="L139" i="5"/>
  <c r="N138" i="5"/>
  <c r="L138" i="5"/>
  <c r="N134" i="5"/>
  <c r="L134" i="5"/>
  <c r="N133" i="5"/>
  <c r="L133" i="5"/>
  <c r="N130" i="5"/>
  <c r="L130" i="5"/>
  <c r="N129" i="5"/>
  <c r="L129" i="5"/>
  <c r="N128" i="5"/>
  <c r="L128" i="5"/>
  <c r="N127" i="5"/>
  <c r="L127" i="5"/>
  <c r="N126" i="5"/>
  <c r="L126" i="5"/>
  <c r="N125" i="5"/>
  <c r="L125" i="5"/>
  <c r="N124" i="5"/>
  <c r="L124" i="5"/>
  <c r="N123" i="5"/>
  <c r="L123" i="5"/>
  <c r="N122" i="5"/>
  <c r="L122" i="5"/>
  <c r="N121" i="5"/>
  <c r="L121" i="5"/>
  <c r="N120" i="5"/>
  <c r="L120" i="5"/>
  <c r="N119" i="5"/>
  <c r="L119" i="5"/>
  <c r="L90" i="5"/>
  <c r="L89" i="5"/>
  <c r="L88" i="5"/>
  <c r="L86" i="5"/>
  <c r="L85" i="5"/>
  <c r="L84" i="5"/>
  <c r="L83" i="5"/>
  <c r="L82" i="5"/>
  <c r="L81" i="5"/>
  <c r="L80" i="5"/>
  <c r="H80" i="5"/>
  <c r="H86" i="5" s="1"/>
  <c r="F80" i="5"/>
  <c r="H85" i="5" s="1"/>
  <c r="L79" i="5"/>
  <c r="H79" i="5"/>
  <c r="F86" i="5" s="1"/>
  <c r="H90" i="5" s="1"/>
  <c r="F79" i="5"/>
  <c r="F85" i="5" s="1"/>
  <c r="F89" i="5" s="1"/>
  <c r="L78" i="5"/>
  <c r="H78" i="5"/>
  <c r="H84" i="5" s="1"/>
  <c r="H89" i="5" s="1"/>
  <c r="F78" i="5"/>
  <c r="H83" i="5" s="1"/>
  <c r="F90" i="5" s="1"/>
  <c r="L77" i="5"/>
  <c r="H77" i="5"/>
  <c r="F84" i="5" s="1"/>
  <c r="F77" i="5"/>
  <c r="F83" i="5" s="1"/>
  <c r="L76" i="5"/>
  <c r="H76" i="5"/>
  <c r="H82" i="5" s="1"/>
  <c r="H88" i="5" s="1"/>
  <c r="F76" i="5"/>
  <c r="H81" i="5" s="1"/>
  <c r="F69" i="5" s="1"/>
  <c r="L75" i="5"/>
  <c r="H75" i="5"/>
  <c r="F82" i="5" s="1"/>
  <c r="F75" i="5"/>
  <c r="F81" i="5" s="1"/>
  <c r="L71" i="5"/>
  <c r="L70" i="5"/>
  <c r="L69" i="5"/>
  <c r="L67" i="5"/>
  <c r="L66" i="5"/>
  <c r="L65" i="5"/>
  <c r="L64" i="5"/>
  <c r="L63" i="5"/>
  <c r="L62" i="5"/>
  <c r="L61" i="5"/>
  <c r="H61" i="5"/>
  <c r="H67" i="5" s="1"/>
  <c r="F61" i="5"/>
  <c r="H66" i="5" s="1"/>
  <c r="F70" i="5" s="1"/>
  <c r="L60" i="5"/>
  <c r="H60" i="5"/>
  <c r="F67" i="5" s="1"/>
  <c r="H71" i="5" s="1"/>
  <c r="F60" i="5"/>
  <c r="F66" i="5" s="1"/>
  <c r="L59" i="5"/>
  <c r="H59" i="5"/>
  <c r="H65" i="5" s="1"/>
  <c r="H70" i="5" s="1"/>
  <c r="F59" i="5"/>
  <c r="H64" i="5" s="1"/>
  <c r="F71" i="5" s="1"/>
  <c r="L58" i="5"/>
  <c r="H58" i="5"/>
  <c r="F65" i="5" s="1"/>
  <c r="F58" i="5"/>
  <c r="F64" i="5" s="1"/>
  <c r="L57" i="5"/>
  <c r="H57" i="5"/>
  <c r="H63" i="5" s="1"/>
  <c r="H69" i="5" s="1"/>
  <c r="F57" i="5"/>
  <c r="H62" i="5" s="1"/>
  <c r="F88" i="5" s="1"/>
  <c r="L56" i="5"/>
  <c r="H56" i="5"/>
  <c r="F63" i="5" s="1"/>
  <c r="F56" i="5"/>
  <c r="F62" i="5" s="1"/>
  <c r="L52" i="5"/>
  <c r="L51" i="5"/>
  <c r="L50" i="5"/>
  <c r="L48" i="5"/>
  <c r="L47" i="5"/>
  <c r="L46" i="5"/>
  <c r="L45" i="5"/>
  <c r="L44" i="5"/>
  <c r="L43" i="5"/>
  <c r="L42" i="5"/>
  <c r="H42" i="5"/>
  <c r="H48" i="5" s="1"/>
  <c r="F42" i="5"/>
  <c r="H47" i="5" s="1"/>
  <c r="F51" i="5" s="1"/>
  <c r="L41" i="5"/>
  <c r="H41" i="5"/>
  <c r="F48" i="5" s="1"/>
  <c r="H52" i="5" s="1"/>
  <c r="F41" i="5"/>
  <c r="F47" i="5" s="1"/>
  <c r="L40" i="5"/>
  <c r="H40" i="5"/>
  <c r="H46" i="5" s="1"/>
  <c r="H51" i="5" s="1"/>
  <c r="F40" i="5"/>
  <c r="H45" i="5" s="1"/>
  <c r="F52" i="5" s="1"/>
  <c r="L39" i="5"/>
  <c r="H39" i="5"/>
  <c r="F46" i="5" s="1"/>
  <c r="F39" i="5"/>
  <c r="F45" i="5" s="1"/>
  <c r="L38" i="5"/>
  <c r="H38" i="5"/>
  <c r="H44" i="5" s="1"/>
  <c r="H50" i="5" s="1"/>
  <c r="F38" i="5"/>
  <c r="H43" i="5" s="1"/>
  <c r="F31" i="5" s="1"/>
  <c r="L37" i="5"/>
  <c r="H37" i="5"/>
  <c r="F44" i="5" s="1"/>
  <c r="F37" i="5"/>
  <c r="F43" i="5" s="1"/>
  <c r="L33" i="5"/>
  <c r="L32" i="5"/>
  <c r="L31" i="5"/>
  <c r="L29" i="5"/>
  <c r="L28" i="5"/>
  <c r="L27" i="5"/>
  <c r="L26" i="5"/>
  <c r="L25" i="5"/>
  <c r="L24" i="5"/>
  <c r="L23" i="5"/>
  <c r="H23" i="5"/>
  <c r="H29" i="5" s="1"/>
  <c r="H33" i="5" s="1"/>
  <c r="F23" i="5"/>
  <c r="H28" i="5" s="1"/>
  <c r="F32" i="5" s="1"/>
  <c r="L22" i="5"/>
  <c r="H22" i="5"/>
  <c r="F29" i="5" s="1"/>
  <c r="F22" i="5"/>
  <c r="F28" i="5" s="1"/>
  <c r="L21" i="5"/>
  <c r="H21" i="5"/>
  <c r="H27" i="5" s="1"/>
  <c r="H32" i="5" s="1"/>
  <c r="F21" i="5"/>
  <c r="H26" i="5" s="1"/>
  <c r="F33" i="5" s="1"/>
  <c r="L20" i="5"/>
  <c r="H20" i="5"/>
  <c r="F27" i="5" s="1"/>
  <c r="F20" i="5"/>
  <c r="F26" i="5" s="1"/>
  <c r="L19" i="5"/>
  <c r="H19" i="5"/>
  <c r="H24" i="5" s="1"/>
  <c r="F50" i="5" s="1"/>
  <c r="F19" i="5"/>
  <c r="H25" i="5" s="1"/>
  <c r="H31" i="5" s="1"/>
  <c r="L18" i="5"/>
  <c r="H18" i="5"/>
  <c r="F25" i="5" s="1"/>
  <c r="F18" i="5"/>
  <c r="F24" i="5" s="1"/>
  <c r="N299" i="4"/>
  <c r="L299" i="4"/>
  <c r="A299" i="4"/>
  <c r="N295" i="4"/>
  <c r="L295" i="4"/>
  <c r="A295" i="4"/>
  <c r="N279" i="4"/>
  <c r="L279" i="4"/>
  <c r="A279" i="4"/>
  <c r="N291" i="4"/>
  <c r="L291" i="4"/>
  <c r="A291" i="4"/>
  <c r="N290" i="4"/>
  <c r="L290" i="4"/>
  <c r="A290" i="4"/>
  <c r="N289" i="4"/>
  <c r="L289" i="4"/>
  <c r="A289" i="4"/>
  <c r="N280" i="4"/>
  <c r="L280" i="4"/>
  <c r="A280" i="4"/>
  <c r="N288" i="4"/>
  <c r="L288" i="4"/>
  <c r="A288" i="4"/>
  <c r="N287" i="4"/>
  <c r="L287" i="4"/>
  <c r="A287" i="4"/>
  <c r="N286" i="4"/>
  <c r="L286" i="4"/>
  <c r="A286" i="4"/>
  <c r="N261" i="4"/>
  <c r="L261" i="4"/>
  <c r="A261" i="4"/>
  <c r="N273" i="4"/>
  <c r="L273" i="4"/>
  <c r="A273" i="4"/>
  <c r="N272" i="4"/>
  <c r="L272" i="4"/>
  <c r="A272" i="4"/>
  <c r="N271" i="4"/>
  <c r="L271" i="4"/>
  <c r="A271" i="4"/>
  <c r="N270" i="4"/>
  <c r="L270" i="4"/>
  <c r="A270" i="4"/>
  <c r="N269" i="4"/>
  <c r="L269" i="4"/>
  <c r="A269" i="4"/>
  <c r="N268" i="4"/>
  <c r="L268" i="4"/>
  <c r="A268" i="4"/>
  <c r="N277" i="4"/>
  <c r="L277" i="4"/>
  <c r="A277" i="4"/>
  <c r="N264" i="4"/>
  <c r="L264" i="4"/>
  <c r="A264" i="4"/>
  <c r="N263" i="4"/>
  <c r="L263" i="4"/>
  <c r="A263" i="4"/>
  <c r="N262" i="4"/>
  <c r="L262" i="4"/>
  <c r="A262" i="4"/>
  <c r="N278" i="4"/>
  <c r="L278" i="4"/>
  <c r="A278" i="4"/>
  <c r="N282" i="4"/>
  <c r="L282" i="4"/>
  <c r="A282" i="4"/>
  <c r="N281" i="4"/>
  <c r="L281" i="4"/>
  <c r="A281" i="4"/>
  <c r="N260" i="4"/>
  <c r="L260" i="4"/>
  <c r="A260" i="4"/>
  <c r="N259" i="4"/>
  <c r="L259" i="4"/>
  <c r="A259" i="4"/>
  <c r="N251" i="4"/>
  <c r="L251" i="4"/>
  <c r="A251" i="4"/>
  <c r="N250" i="4"/>
  <c r="L250" i="4"/>
  <c r="A250" i="4"/>
  <c r="N249" i="4"/>
  <c r="L249" i="4"/>
  <c r="A249" i="4"/>
  <c r="N247" i="4"/>
  <c r="L247" i="4"/>
  <c r="A247" i="4"/>
  <c r="N246" i="4"/>
  <c r="L246" i="4"/>
  <c r="A246" i="4"/>
  <c r="N245" i="4"/>
  <c r="L245" i="4"/>
  <c r="A245" i="4"/>
  <c r="N243" i="4"/>
  <c r="L243" i="4"/>
  <c r="A243" i="4"/>
  <c r="N242" i="4"/>
  <c r="L242" i="4"/>
  <c r="A242" i="4"/>
  <c r="N241" i="4"/>
  <c r="L241" i="4"/>
  <c r="A241" i="4"/>
  <c r="L238" i="4"/>
  <c r="N237" i="4"/>
  <c r="L237" i="4"/>
  <c r="A237" i="4"/>
  <c r="N236" i="4"/>
  <c r="L236" i="4"/>
  <c r="A236" i="4"/>
  <c r="N235" i="4"/>
  <c r="L235" i="4"/>
  <c r="A235" i="4"/>
  <c r="N234" i="4"/>
  <c r="L234" i="4"/>
  <c r="A234" i="4"/>
  <c r="N233" i="4"/>
  <c r="L233" i="4"/>
  <c r="A233" i="4"/>
  <c r="N232" i="4"/>
  <c r="L232" i="4"/>
  <c r="A232" i="4"/>
  <c r="N231" i="4"/>
  <c r="L231" i="4"/>
  <c r="A231" i="4"/>
  <c r="N230" i="4"/>
  <c r="L230" i="4"/>
  <c r="A230" i="4"/>
  <c r="N229" i="4"/>
  <c r="L229" i="4"/>
  <c r="A229" i="4"/>
  <c r="N228" i="4"/>
  <c r="L228" i="4"/>
  <c r="A228" i="4"/>
  <c r="N227" i="4"/>
  <c r="L227" i="4"/>
  <c r="A227" i="4"/>
  <c r="N219" i="4"/>
  <c r="L219" i="4"/>
  <c r="A219" i="4"/>
  <c r="N218" i="4"/>
  <c r="L218" i="4"/>
  <c r="A218" i="4"/>
  <c r="N217" i="4"/>
  <c r="L217" i="4"/>
  <c r="A217" i="4"/>
  <c r="N216" i="4"/>
  <c r="L216" i="4"/>
  <c r="A216" i="4"/>
  <c r="N215" i="4"/>
  <c r="L215" i="4"/>
  <c r="A215" i="4"/>
  <c r="N214" i="4"/>
  <c r="L214" i="4"/>
  <c r="A214" i="4"/>
  <c r="N213" i="4"/>
  <c r="L213" i="4"/>
  <c r="A213" i="4"/>
  <c r="N212" i="4"/>
  <c r="L212" i="4"/>
  <c r="A212" i="4"/>
  <c r="N211" i="4"/>
  <c r="L211" i="4"/>
  <c r="A211" i="4"/>
  <c r="N210" i="4"/>
  <c r="L210" i="4"/>
  <c r="A210" i="4"/>
  <c r="N209" i="4"/>
  <c r="L209" i="4"/>
  <c r="A209" i="4"/>
  <c r="N208" i="4"/>
  <c r="L208" i="4"/>
  <c r="A208" i="4"/>
  <c r="N204" i="4"/>
  <c r="L204" i="4"/>
  <c r="A204" i="4"/>
  <c r="N203" i="4"/>
  <c r="A203" i="4"/>
  <c r="N202" i="4"/>
  <c r="L202" i="4"/>
  <c r="A202" i="4"/>
  <c r="N201" i="4"/>
  <c r="L201" i="4"/>
  <c r="A201" i="4"/>
  <c r="N200" i="4"/>
  <c r="L200" i="4"/>
  <c r="A200" i="4"/>
  <c r="N199" i="4"/>
  <c r="L199" i="4"/>
  <c r="A199" i="4"/>
  <c r="N198" i="4"/>
  <c r="L198" i="4"/>
  <c r="A198" i="4"/>
  <c r="N197" i="4"/>
  <c r="L197" i="4"/>
  <c r="A197" i="4"/>
  <c r="N196" i="4"/>
  <c r="L196" i="4"/>
  <c r="A196" i="4"/>
  <c r="N195" i="4"/>
  <c r="L195" i="4"/>
  <c r="A195" i="4"/>
  <c r="N194" i="4"/>
  <c r="L194" i="4"/>
  <c r="A194" i="4"/>
  <c r="N193" i="4"/>
  <c r="L193" i="4"/>
  <c r="A193" i="4"/>
  <c r="N187" i="4"/>
  <c r="L187" i="4"/>
  <c r="A187" i="4"/>
  <c r="N186" i="4"/>
  <c r="L186" i="4"/>
  <c r="A186" i="4"/>
  <c r="N185" i="4"/>
  <c r="L185" i="4"/>
  <c r="A185" i="4"/>
  <c r="L184" i="4"/>
  <c r="N183" i="4"/>
  <c r="L183" i="4"/>
  <c r="A183" i="4"/>
  <c r="N182" i="4"/>
  <c r="L182" i="4"/>
  <c r="A182" i="4"/>
  <c r="N181" i="4"/>
  <c r="L181" i="4"/>
  <c r="A181" i="4"/>
  <c r="N180" i="4"/>
  <c r="L180" i="4"/>
  <c r="A180" i="4"/>
  <c r="N179" i="4"/>
  <c r="L179" i="4"/>
  <c r="A179" i="4"/>
  <c r="N178" i="4"/>
  <c r="L178" i="4"/>
  <c r="A178" i="4"/>
  <c r="N177" i="4"/>
  <c r="L177" i="4"/>
  <c r="A177" i="4"/>
  <c r="N176" i="4"/>
  <c r="L176" i="4"/>
  <c r="A176" i="4"/>
  <c r="N175" i="4"/>
  <c r="L175" i="4"/>
  <c r="A175" i="4"/>
  <c r="N174" i="4"/>
  <c r="L174" i="4"/>
  <c r="A174" i="4"/>
  <c r="N173" i="4"/>
  <c r="L173" i="4"/>
  <c r="A173" i="4"/>
  <c r="N172" i="4"/>
  <c r="L172" i="4"/>
  <c r="A172" i="4"/>
  <c r="N168" i="4"/>
  <c r="L168" i="4"/>
  <c r="A168" i="4"/>
  <c r="N167" i="4"/>
  <c r="L167" i="4"/>
  <c r="A167" i="4"/>
  <c r="N166" i="4"/>
  <c r="L166" i="4"/>
  <c r="A166" i="4"/>
  <c r="L165" i="4"/>
  <c r="N164" i="4"/>
  <c r="L164" i="4"/>
  <c r="A164" i="4"/>
  <c r="N163" i="4"/>
  <c r="L163" i="4"/>
  <c r="A163" i="4"/>
  <c r="N162" i="4"/>
  <c r="L162" i="4"/>
  <c r="A162" i="4"/>
  <c r="N161" i="4"/>
  <c r="L161" i="4"/>
  <c r="A161" i="4"/>
  <c r="N160" i="4"/>
  <c r="L160" i="4"/>
  <c r="A160" i="4"/>
  <c r="N159" i="4"/>
  <c r="L159" i="4"/>
  <c r="A159" i="4"/>
  <c r="N158" i="4"/>
  <c r="L158" i="4"/>
  <c r="A158" i="4"/>
  <c r="N157" i="4"/>
  <c r="L157" i="4"/>
  <c r="A157" i="4"/>
  <c r="N156" i="4"/>
  <c r="L156" i="4"/>
  <c r="A156" i="4"/>
  <c r="N155" i="4"/>
  <c r="L155" i="4"/>
  <c r="A155" i="4"/>
  <c r="N154" i="4"/>
  <c r="L154" i="4"/>
  <c r="A154" i="4"/>
  <c r="N153" i="4"/>
  <c r="L153" i="4"/>
  <c r="A153" i="4"/>
  <c r="N149" i="4"/>
  <c r="L149" i="4"/>
  <c r="A149" i="4"/>
  <c r="N148" i="4"/>
  <c r="L148" i="4"/>
  <c r="A148" i="4"/>
  <c r="N144" i="4"/>
  <c r="L144" i="4"/>
  <c r="A144" i="4"/>
  <c r="N143" i="4"/>
  <c r="L143" i="4"/>
  <c r="A143" i="4"/>
  <c r="L142" i="4"/>
  <c r="N141" i="4"/>
  <c r="L141" i="4"/>
  <c r="A141" i="4"/>
  <c r="N140" i="4"/>
  <c r="L140" i="4"/>
  <c r="A140" i="4"/>
  <c r="N139" i="4"/>
  <c r="L139" i="4"/>
  <c r="A139" i="4"/>
  <c r="L138" i="4"/>
  <c r="N137" i="4"/>
  <c r="L137" i="4"/>
  <c r="A137" i="4"/>
  <c r="N136" i="4"/>
  <c r="L136" i="4"/>
  <c r="A136" i="4"/>
  <c r="N135" i="4"/>
  <c r="L135" i="4"/>
  <c r="A135" i="4"/>
  <c r="N134" i="4"/>
  <c r="L134" i="4"/>
  <c r="A134" i="4"/>
  <c r="N130" i="4"/>
  <c r="L130" i="4"/>
  <c r="A130" i="4"/>
  <c r="N129" i="4"/>
  <c r="L129" i="4"/>
  <c r="A129" i="4"/>
  <c r="L128" i="4"/>
  <c r="N127" i="4"/>
  <c r="L127" i="4"/>
  <c r="A127" i="4"/>
  <c r="N126" i="4"/>
  <c r="L126" i="4"/>
  <c r="A126" i="4"/>
  <c r="N125" i="4"/>
  <c r="L125" i="4"/>
  <c r="A125" i="4"/>
  <c r="N124" i="4"/>
  <c r="L124" i="4"/>
  <c r="A124" i="4"/>
  <c r="N123" i="4"/>
  <c r="L123" i="4"/>
  <c r="A123" i="4"/>
  <c r="N122" i="4"/>
  <c r="L122" i="4"/>
  <c r="A122" i="4"/>
  <c r="N121" i="4"/>
  <c r="L121" i="4"/>
  <c r="A121" i="4"/>
  <c r="N120" i="4"/>
  <c r="L120" i="4"/>
  <c r="A120" i="4"/>
  <c r="N119" i="4"/>
  <c r="L119" i="4"/>
  <c r="A119" i="4"/>
  <c r="N118" i="4"/>
  <c r="L118" i="4"/>
  <c r="A118" i="4"/>
  <c r="N117" i="4"/>
  <c r="L117" i="4"/>
  <c r="A117" i="4"/>
  <c r="N116" i="4"/>
  <c r="L116" i="4"/>
  <c r="A116" i="4"/>
  <c r="L89" i="4"/>
  <c r="A89" i="4"/>
  <c r="L88" i="4"/>
  <c r="A88" i="4"/>
  <c r="L87" i="4"/>
  <c r="A87" i="4"/>
  <c r="L86" i="4"/>
  <c r="L85" i="4"/>
  <c r="A85" i="4"/>
  <c r="L84" i="4"/>
  <c r="A84" i="4"/>
  <c r="L83" i="4"/>
  <c r="H83" i="4"/>
  <c r="F83" i="4"/>
  <c r="A83" i="4"/>
  <c r="L82" i="4"/>
  <c r="A82" i="4"/>
  <c r="L81" i="4"/>
  <c r="A81" i="4"/>
  <c r="L80" i="4"/>
  <c r="H80" i="4"/>
  <c r="F80" i="4"/>
  <c r="A80" i="4"/>
  <c r="L79" i="4"/>
  <c r="H79" i="4"/>
  <c r="F79" i="4"/>
  <c r="A79" i="4"/>
  <c r="L78" i="4"/>
  <c r="H78" i="4"/>
  <c r="F78" i="4"/>
  <c r="A78" i="4"/>
  <c r="L77" i="4"/>
  <c r="H77" i="4"/>
  <c r="F77" i="4"/>
  <c r="A77" i="4"/>
  <c r="L76" i="4"/>
  <c r="H76" i="4"/>
  <c r="F76" i="4"/>
  <c r="A76" i="4"/>
  <c r="L75" i="4"/>
  <c r="H75" i="4"/>
  <c r="F75" i="4"/>
  <c r="A75" i="4"/>
  <c r="L71" i="4"/>
  <c r="A71" i="4"/>
  <c r="L70" i="4"/>
  <c r="A70" i="4"/>
  <c r="L69" i="4"/>
  <c r="A69" i="4"/>
  <c r="L68" i="4"/>
  <c r="L67" i="4"/>
  <c r="A67" i="4"/>
  <c r="L66" i="4"/>
  <c r="A66" i="4"/>
  <c r="L65" i="4"/>
  <c r="H65" i="4"/>
  <c r="F65" i="4"/>
  <c r="A65" i="4"/>
  <c r="L64" i="4"/>
  <c r="A64" i="4"/>
  <c r="L63" i="4"/>
  <c r="A63" i="4"/>
  <c r="L62" i="4"/>
  <c r="H62" i="4"/>
  <c r="F62" i="4"/>
  <c r="A62" i="4"/>
  <c r="L61" i="4"/>
  <c r="H61" i="4"/>
  <c r="F61" i="4"/>
  <c r="A61" i="4"/>
  <c r="L60" i="4"/>
  <c r="H60" i="4"/>
  <c r="F60" i="4"/>
  <c r="A60" i="4"/>
  <c r="L59" i="4"/>
  <c r="H59" i="4"/>
  <c r="F59" i="4"/>
  <c r="A59" i="4"/>
  <c r="L58" i="4"/>
  <c r="H58" i="4"/>
  <c r="F58" i="4"/>
  <c r="A58" i="4"/>
  <c r="L57" i="4"/>
  <c r="H57" i="4"/>
  <c r="F57" i="4"/>
  <c r="A57" i="4"/>
  <c r="L53" i="4"/>
  <c r="A53" i="4"/>
  <c r="L52" i="4"/>
  <c r="A52" i="4"/>
  <c r="L51" i="4"/>
  <c r="A51" i="4"/>
  <c r="L50" i="4"/>
  <c r="L49" i="4"/>
  <c r="A49" i="4"/>
  <c r="L48" i="4"/>
  <c r="A48" i="4"/>
  <c r="L47" i="4"/>
  <c r="A47" i="4"/>
  <c r="L46" i="4"/>
  <c r="A46" i="4"/>
  <c r="L45" i="4"/>
  <c r="A45" i="4"/>
  <c r="L44" i="4"/>
  <c r="A44" i="4"/>
  <c r="L43" i="4"/>
  <c r="H43" i="4"/>
  <c r="F43" i="4"/>
  <c r="A43" i="4"/>
  <c r="L42" i="4"/>
  <c r="H42" i="4"/>
  <c r="F42" i="4"/>
  <c r="A42" i="4"/>
  <c r="L41" i="4"/>
  <c r="H41" i="4"/>
  <c r="F41" i="4"/>
  <c r="A41" i="4"/>
  <c r="L40" i="4"/>
  <c r="H40" i="4"/>
  <c r="F40" i="4"/>
  <c r="A40" i="4"/>
  <c r="L39" i="4"/>
  <c r="H39" i="4"/>
  <c r="F39" i="4"/>
  <c r="A39" i="4"/>
  <c r="L38" i="4"/>
  <c r="H38" i="4"/>
  <c r="F38" i="4"/>
  <c r="A38" i="4"/>
  <c r="L34" i="4"/>
  <c r="A34" i="4"/>
  <c r="L33" i="4"/>
  <c r="A33" i="4"/>
  <c r="L32" i="4"/>
  <c r="A32" i="4"/>
  <c r="L31" i="4"/>
  <c r="L30" i="4"/>
  <c r="H30" i="4"/>
  <c r="F30" i="4"/>
  <c r="A30" i="4"/>
  <c r="L29" i="4"/>
  <c r="A29" i="4"/>
  <c r="L28" i="4"/>
  <c r="A28" i="4"/>
  <c r="L27" i="4"/>
  <c r="A27" i="4"/>
  <c r="L26" i="4"/>
  <c r="H26" i="4"/>
  <c r="F26" i="4"/>
  <c r="A26" i="4"/>
  <c r="L25" i="4"/>
  <c r="A25" i="4"/>
  <c r="L24" i="4"/>
  <c r="H24" i="4"/>
  <c r="F24" i="4"/>
  <c r="A24" i="4"/>
  <c r="L23" i="4"/>
  <c r="H23" i="4"/>
  <c r="F23" i="4"/>
  <c r="A23" i="4"/>
  <c r="L22" i="4"/>
  <c r="H22" i="4"/>
  <c r="F22" i="4"/>
  <c r="A22" i="4"/>
  <c r="L21" i="4"/>
  <c r="H21" i="4"/>
  <c r="F21" i="4"/>
  <c r="A21" i="4"/>
  <c r="L20" i="4"/>
  <c r="H20" i="4"/>
  <c r="F20" i="4"/>
  <c r="A20" i="4"/>
  <c r="L150" i="3"/>
  <c r="A150" i="3"/>
  <c r="L149" i="3"/>
  <c r="A149" i="3"/>
  <c r="L143" i="3"/>
  <c r="A143" i="3"/>
  <c r="L142" i="3"/>
  <c r="A142" i="3"/>
  <c r="A154" i="3"/>
  <c r="A147" i="3"/>
  <c r="A140" i="3"/>
  <c r="A139" i="3"/>
  <c r="L135" i="3"/>
  <c r="A135" i="3"/>
  <c r="L134" i="3"/>
  <c r="A134" i="3"/>
  <c r="L133" i="3"/>
  <c r="A133" i="3"/>
  <c r="L132" i="3"/>
  <c r="A132" i="3"/>
  <c r="L131" i="3"/>
  <c r="A131" i="3"/>
  <c r="L130" i="3"/>
  <c r="A130" i="3"/>
  <c r="L129" i="3"/>
  <c r="A129" i="3"/>
  <c r="L123" i="3"/>
  <c r="A123" i="3"/>
  <c r="L122" i="3"/>
  <c r="A122" i="3"/>
  <c r="L121" i="3"/>
  <c r="A121" i="3"/>
  <c r="L120" i="3"/>
  <c r="A120" i="3"/>
  <c r="L119" i="3"/>
  <c r="A119" i="3"/>
  <c r="L117" i="3"/>
  <c r="A117" i="3"/>
  <c r="L116" i="3"/>
  <c r="A116" i="3"/>
  <c r="L115" i="3"/>
  <c r="A115" i="3"/>
  <c r="L114" i="3"/>
  <c r="A114" i="3"/>
  <c r="L112" i="3"/>
  <c r="A112" i="3"/>
  <c r="L111" i="3"/>
  <c r="A111" i="3"/>
  <c r="L107" i="3"/>
  <c r="A107" i="3"/>
  <c r="L106" i="3"/>
  <c r="A106" i="3"/>
  <c r="L105" i="3"/>
  <c r="A105" i="3"/>
  <c r="L104" i="3"/>
  <c r="A104" i="3"/>
  <c r="L103" i="3"/>
  <c r="A103" i="3"/>
  <c r="L102" i="3"/>
  <c r="A102" i="3"/>
  <c r="L101" i="3"/>
  <c r="A101" i="3"/>
  <c r="L100" i="3"/>
  <c r="A100" i="3"/>
  <c r="L99" i="3"/>
  <c r="A99" i="3"/>
  <c r="L98" i="3"/>
  <c r="A98" i="3"/>
  <c r="L97" i="3"/>
  <c r="A97" i="3"/>
  <c r="L96" i="3"/>
  <c r="A96" i="3"/>
  <c r="L89" i="3"/>
  <c r="A89" i="3"/>
  <c r="L87" i="3"/>
  <c r="A87" i="3"/>
  <c r="L86" i="3"/>
  <c r="A86" i="3"/>
  <c r="L85" i="3"/>
  <c r="A85" i="3"/>
  <c r="L84" i="3"/>
  <c r="A84" i="3"/>
  <c r="L82" i="3"/>
  <c r="A82" i="3"/>
  <c r="L81" i="3"/>
  <c r="A81" i="3"/>
  <c r="L80" i="3"/>
  <c r="A80" i="3"/>
  <c r="L79" i="3"/>
  <c r="A79" i="3"/>
  <c r="L75" i="3"/>
  <c r="A75" i="3"/>
  <c r="L74" i="3"/>
  <c r="A74" i="3"/>
  <c r="L73" i="3"/>
  <c r="A73" i="3"/>
  <c r="L72" i="3"/>
  <c r="A72" i="3"/>
  <c r="L71" i="3"/>
  <c r="A71" i="3"/>
  <c r="L70" i="3"/>
  <c r="A70" i="3"/>
  <c r="L69" i="3"/>
  <c r="A69" i="3"/>
  <c r="L68" i="3"/>
  <c r="A68" i="3"/>
  <c r="L67" i="3"/>
  <c r="A67" i="3"/>
  <c r="L66" i="3"/>
  <c r="A66" i="3"/>
  <c r="L65" i="3"/>
  <c r="A65" i="3"/>
  <c r="L64" i="3"/>
  <c r="A64" i="3"/>
  <c r="L44" i="3"/>
  <c r="A44" i="3"/>
  <c r="L43" i="3"/>
  <c r="A43" i="3"/>
  <c r="L39" i="3"/>
  <c r="H39" i="3"/>
  <c r="F39" i="3"/>
  <c r="A39" i="3"/>
  <c r="L40" i="3"/>
  <c r="A40" i="3"/>
  <c r="L38" i="3"/>
  <c r="A38" i="3"/>
  <c r="L37" i="3"/>
  <c r="A37" i="3"/>
  <c r="L35" i="3"/>
  <c r="H35" i="3"/>
  <c r="F35" i="3"/>
  <c r="A35" i="3"/>
  <c r="L36" i="3"/>
  <c r="H36" i="3"/>
  <c r="F36" i="3"/>
  <c r="A36" i="3"/>
  <c r="L32" i="3"/>
  <c r="F32" i="3"/>
  <c r="A32" i="3"/>
  <c r="L34" i="3"/>
  <c r="H34" i="3"/>
  <c r="F34" i="3"/>
  <c r="A34" i="3"/>
  <c r="L33" i="3"/>
  <c r="H33" i="3"/>
  <c r="F33" i="3"/>
  <c r="A33" i="3"/>
  <c r="L31" i="3"/>
  <c r="H31" i="3"/>
  <c r="F31" i="3"/>
  <c r="A31" i="3"/>
  <c r="L27" i="3"/>
  <c r="A27" i="3"/>
  <c r="L26" i="3"/>
  <c r="A26" i="3"/>
  <c r="L25" i="3"/>
  <c r="A25" i="3"/>
  <c r="L24" i="3"/>
  <c r="A24" i="3"/>
  <c r="L23" i="3"/>
  <c r="A23" i="3"/>
  <c r="L22" i="3"/>
  <c r="A22" i="3"/>
  <c r="L21" i="3"/>
  <c r="A21" i="3"/>
  <c r="L20" i="3"/>
  <c r="A20" i="3"/>
  <c r="L19" i="3"/>
  <c r="A19" i="3"/>
  <c r="L18" i="3"/>
  <c r="A18" i="3"/>
  <c r="L17" i="3"/>
  <c r="H17" i="3"/>
  <c r="F17" i="3"/>
  <c r="A17" i="3"/>
  <c r="L16" i="3"/>
  <c r="H16" i="3"/>
  <c r="F16" i="3"/>
  <c r="A16" i="3"/>
  <c r="L15" i="3"/>
  <c r="H15" i="3"/>
  <c r="F15" i="3"/>
  <c r="A15" i="3"/>
  <c r="L14" i="3"/>
  <c r="H14" i="3"/>
  <c r="F14" i="3"/>
  <c r="A14" i="3"/>
  <c r="L13" i="3"/>
  <c r="H13" i="3"/>
  <c r="F13" i="3"/>
  <c r="A13" i="3"/>
  <c r="L12" i="3"/>
  <c r="H12" i="3"/>
  <c r="F12" i="3"/>
  <c r="A12" i="3"/>
  <c r="H145" i="2"/>
  <c r="F145" i="2"/>
  <c r="H144" i="2"/>
  <c r="F144" i="2"/>
  <c r="H143" i="2"/>
  <c r="F143" i="2"/>
  <c r="H142" i="2"/>
  <c r="F142" i="2"/>
  <c r="H141" i="2"/>
  <c r="F141" i="2"/>
  <c r="H140" i="2"/>
  <c r="F140" i="2"/>
  <c r="H139" i="2"/>
  <c r="F139" i="2"/>
  <c r="H138" i="2"/>
  <c r="F138" i="2"/>
  <c r="H137" i="2"/>
  <c r="F137" i="2"/>
  <c r="H136" i="2"/>
  <c r="F136" i="2"/>
  <c r="H135" i="2"/>
  <c r="F135" i="2"/>
  <c r="H134" i="2"/>
  <c r="F134" i="2"/>
  <c r="H120" i="2"/>
  <c r="F120" i="2"/>
  <c r="H118" i="2"/>
  <c r="F118" i="2"/>
  <c r="H116" i="2"/>
  <c r="F116" i="2"/>
  <c r="H114" i="2"/>
  <c r="F114" i="2"/>
  <c r="H112" i="2"/>
  <c r="F112" i="2"/>
  <c r="H110" i="2"/>
  <c r="F110" i="2"/>
  <c r="H101" i="2"/>
  <c r="F101" i="2"/>
  <c r="H99" i="2"/>
  <c r="F99" i="2"/>
  <c r="H97" i="2"/>
  <c r="F97" i="2"/>
  <c r="H95" i="2"/>
  <c r="F95" i="2"/>
  <c r="H93" i="2"/>
  <c r="F93" i="2"/>
  <c r="H91" i="2"/>
  <c r="F91" i="2"/>
  <c r="B264" i="2"/>
  <c r="B263" i="2"/>
  <c r="B262" i="2"/>
  <c r="B261" i="2"/>
  <c r="B260" i="2"/>
  <c r="B259" i="2"/>
  <c r="B258" i="2"/>
  <c r="B257" i="2"/>
  <c r="D256" i="2"/>
  <c r="B256" i="2"/>
  <c r="D255" i="2"/>
  <c r="B255" i="2"/>
  <c r="D254" i="2"/>
  <c r="B254" i="2"/>
  <c r="D253" i="2"/>
  <c r="B253" i="2"/>
  <c r="D252" i="2"/>
  <c r="B252" i="2"/>
  <c r="D251" i="2"/>
  <c r="B251" i="2"/>
  <c r="D250" i="2"/>
  <c r="B250" i="2"/>
  <c r="D249" i="2"/>
  <c r="B249" i="2"/>
  <c r="D248" i="2"/>
  <c r="B248" i="2"/>
  <c r="D247" i="2"/>
  <c r="B247" i="2"/>
  <c r="D246" i="2"/>
  <c r="B246" i="2"/>
  <c r="D245" i="2"/>
  <c r="B245" i="2"/>
  <c r="O199" i="2"/>
  <c r="L199" i="2"/>
  <c r="H199" i="2"/>
  <c r="F199" i="2"/>
  <c r="O229" i="2"/>
  <c r="L229" i="2"/>
  <c r="H229" i="2"/>
  <c r="F229" i="2"/>
  <c r="O228" i="2"/>
  <c r="L228" i="2"/>
  <c r="H228" i="2"/>
  <c r="F228" i="2"/>
  <c r="O240" i="2"/>
  <c r="L240" i="2"/>
  <c r="H240" i="2"/>
  <c r="F240" i="2"/>
  <c r="O227" i="2"/>
  <c r="L227" i="2"/>
  <c r="H227" i="2"/>
  <c r="F227" i="2"/>
  <c r="O226" i="2"/>
  <c r="L226" i="2"/>
  <c r="O225" i="2"/>
  <c r="L225" i="2"/>
  <c r="O202" i="2"/>
  <c r="L202" i="2"/>
  <c r="H202" i="2"/>
  <c r="F202" i="2"/>
  <c r="O207" i="2"/>
  <c r="L207" i="2"/>
  <c r="H207" i="2"/>
  <c r="F207" i="2"/>
  <c r="O201" i="2"/>
  <c r="L201" i="2"/>
  <c r="H201" i="2"/>
  <c r="F201" i="2"/>
  <c r="O221" i="2"/>
  <c r="L221" i="2"/>
  <c r="H221" i="2"/>
  <c r="F221" i="2"/>
  <c r="O217" i="2"/>
  <c r="L217" i="2"/>
  <c r="H217" i="2"/>
  <c r="F217" i="2"/>
  <c r="O216" i="2"/>
  <c r="L216" i="2"/>
  <c r="H216" i="2"/>
  <c r="F216" i="2"/>
  <c r="O215" i="2"/>
  <c r="L215" i="2"/>
  <c r="H215" i="2"/>
  <c r="F215" i="2"/>
  <c r="O242" i="2"/>
  <c r="L242" i="2"/>
  <c r="H242" i="2"/>
  <c r="F242" i="2"/>
  <c r="O235" i="2"/>
  <c r="L235" i="2"/>
  <c r="H235" i="2"/>
  <c r="F235" i="2"/>
  <c r="O210" i="2"/>
  <c r="L210" i="2"/>
  <c r="H210" i="2"/>
  <c r="F210" i="2"/>
  <c r="O209" i="2"/>
  <c r="L209" i="2"/>
  <c r="H209" i="2"/>
  <c r="F209" i="2"/>
  <c r="O239" i="2"/>
  <c r="L239" i="2"/>
  <c r="H239" i="2"/>
  <c r="F239" i="2"/>
  <c r="O233" i="2"/>
  <c r="L233" i="2"/>
  <c r="H233" i="2"/>
  <c r="F233" i="2"/>
  <c r="O214" i="2"/>
  <c r="L214" i="2"/>
  <c r="H214" i="2"/>
  <c r="F214" i="2"/>
  <c r="O206" i="2"/>
  <c r="L206" i="2"/>
  <c r="H206" i="2"/>
  <c r="F206" i="2"/>
  <c r="O192" i="2"/>
  <c r="L192" i="2"/>
  <c r="H192" i="2"/>
  <c r="F192" i="2"/>
  <c r="O191" i="2"/>
  <c r="L191" i="2"/>
  <c r="H191" i="2"/>
  <c r="F191" i="2"/>
  <c r="O190" i="2"/>
  <c r="L190" i="2"/>
  <c r="H190" i="2"/>
  <c r="F190" i="2"/>
  <c r="O189" i="2"/>
  <c r="L189" i="2"/>
  <c r="H189" i="2"/>
  <c r="F189" i="2"/>
  <c r="O188" i="2"/>
  <c r="L188" i="2"/>
  <c r="H188" i="2"/>
  <c r="F188" i="2"/>
  <c r="O187" i="2"/>
  <c r="L187" i="2"/>
  <c r="H187" i="2"/>
  <c r="F187" i="2"/>
  <c r="O186" i="2"/>
  <c r="L186" i="2"/>
  <c r="O185" i="2"/>
  <c r="L185" i="2"/>
  <c r="O184" i="2"/>
  <c r="L184" i="2"/>
  <c r="O183" i="2"/>
  <c r="L183" i="2"/>
  <c r="O182" i="2"/>
  <c r="L182" i="2"/>
  <c r="O181" i="2"/>
  <c r="L181" i="2"/>
  <c r="O177" i="2"/>
  <c r="L177" i="2"/>
  <c r="H177" i="2"/>
  <c r="F177" i="2"/>
  <c r="O176" i="2"/>
  <c r="L176" i="2"/>
  <c r="H176" i="2"/>
  <c r="F176" i="2"/>
  <c r="O175" i="2"/>
  <c r="L175" i="2"/>
  <c r="H175" i="2"/>
  <c r="F175" i="2"/>
  <c r="O174" i="2"/>
  <c r="L174" i="2"/>
  <c r="H174" i="2"/>
  <c r="F174" i="2"/>
  <c r="O173" i="2"/>
  <c r="L173" i="2"/>
  <c r="O172" i="2"/>
  <c r="L172" i="2"/>
  <c r="O171" i="2"/>
  <c r="L171" i="2"/>
  <c r="F171" i="2"/>
  <c r="O170" i="2"/>
  <c r="L170" i="2"/>
  <c r="F170" i="2"/>
  <c r="O169" i="2"/>
  <c r="L169" i="2"/>
  <c r="F169" i="2"/>
  <c r="O168" i="2"/>
  <c r="L168" i="2"/>
  <c r="F168" i="2"/>
  <c r="O167" i="2"/>
  <c r="L167" i="2"/>
  <c r="O166" i="2"/>
  <c r="L166" i="2"/>
  <c r="O162" i="2"/>
  <c r="L162" i="2"/>
  <c r="H162" i="2"/>
  <c r="F162" i="2"/>
  <c r="O161" i="2"/>
  <c r="L161" i="2"/>
  <c r="H161" i="2"/>
  <c r="F161" i="2"/>
  <c r="O160" i="2"/>
  <c r="L160" i="2"/>
  <c r="H160" i="2"/>
  <c r="F160" i="2"/>
  <c r="O159" i="2"/>
  <c r="L159" i="2"/>
  <c r="H159" i="2"/>
  <c r="F159" i="2"/>
  <c r="O158" i="2"/>
  <c r="L158" i="2"/>
  <c r="H158" i="2"/>
  <c r="F158" i="2"/>
  <c r="O157" i="2"/>
  <c r="L157" i="2"/>
  <c r="H157" i="2"/>
  <c r="F157" i="2"/>
  <c r="O156" i="2"/>
  <c r="L156" i="2"/>
  <c r="O155" i="2"/>
  <c r="L155" i="2"/>
  <c r="O154" i="2"/>
  <c r="L154" i="2"/>
  <c r="H154" i="2"/>
  <c r="O153" i="2"/>
  <c r="L153" i="2"/>
  <c r="H153" i="2"/>
  <c r="O152" i="2"/>
  <c r="L152" i="2"/>
  <c r="H152" i="2"/>
  <c r="O151" i="2"/>
  <c r="L151" i="2"/>
  <c r="H151" i="2"/>
  <c r="O145" i="2"/>
  <c r="L145" i="2"/>
  <c r="O144" i="2"/>
  <c r="L144" i="2"/>
  <c r="O143" i="2"/>
  <c r="L143" i="2"/>
  <c r="O142" i="2"/>
  <c r="L142" i="2"/>
  <c r="O141" i="2"/>
  <c r="L141" i="2"/>
  <c r="O140" i="2"/>
  <c r="L140" i="2"/>
  <c r="O139" i="2"/>
  <c r="L139" i="2"/>
  <c r="O138" i="2"/>
  <c r="L138" i="2"/>
  <c r="O137" i="2"/>
  <c r="L137" i="2"/>
  <c r="O136" i="2"/>
  <c r="L136" i="2"/>
  <c r="O135" i="2"/>
  <c r="L135" i="2"/>
  <c r="O134" i="2"/>
  <c r="L134" i="2"/>
  <c r="E130" i="2"/>
  <c r="D130" i="2"/>
  <c r="C130" i="2"/>
  <c r="B130" i="2"/>
  <c r="E129" i="2"/>
  <c r="D129" i="2"/>
  <c r="C129" i="2"/>
  <c r="B129" i="2"/>
  <c r="E128" i="2"/>
  <c r="D128" i="2"/>
  <c r="C128" i="2"/>
  <c r="B128" i="2"/>
  <c r="O124" i="2"/>
  <c r="L124" i="2"/>
  <c r="O123" i="2"/>
  <c r="L123" i="2"/>
  <c r="O120" i="2"/>
  <c r="L120" i="2"/>
  <c r="O119" i="2"/>
  <c r="L119" i="2"/>
  <c r="O118" i="2"/>
  <c r="L118" i="2"/>
  <c r="O117" i="2"/>
  <c r="L117" i="2"/>
  <c r="O116" i="2"/>
  <c r="L116" i="2"/>
  <c r="O115" i="2"/>
  <c r="L115" i="2"/>
  <c r="O114" i="2"/>
  <c r="L114" i="2"/>
  <c r="O113" i="2"/>
  <c r="L113" i="2"/>
  <c r="O112" i="2"/>
  <c r="L112" i="2"/>
  <c r="O111" i="2"/>
  <c r="L111" i="2"/>
  <c r="O110" i="2"/>
  <c r="L110" i="2"/>
  <c r="O109" i="2"/>
  <c r="L109" i="2"/>
  <c r="O105" i="2"/>
  <c r="L105" i="2"/>
  <c r="O104" i="2"/>
  <c r="L104" i="2"/>
  <c r="O101" i="2"/>
  <c r="L101" i="2"/>
  <c r="O100" i="2"/>
  <c r="L100" i="2"/>
  <c r="O99" i="2"/>
  <c r="L99" i="2"/>
  <c r="O98" i="2"/>
  <c r="L98" i="2"/>
  <c r="O97" i="2"/>
  <c r="L97" i="2"/>
  <c r="O96" i="2"/>
  <c r="L96" i="2"/>
  <c r="O95" i="2"/>
  <c r="L95" i="2"/>
  <c r="O94" i="2"/>
  <c r="L94" i="2"/>
  <c r="O93" i="2"/>
  <c r="L93" i="2"/>
  <c r="O92" i="2"/>
  <c r="L92" i="2"/>
  <c r="O91" i="2"/>
  <c r="L91" i="2"/>
  <c r="O90" i="2"/>
  <c r="L90" i="2"/>
  <c r="E85" i="2"/>
  <c r="D85" i="2"/>
  <c r="C85" i="2"/>
  <c r="B85" i="2"/>
  <c r="E84" i="2"/>
  <c r="D84" i="2"/>
  <c r="C84" i="2"/>
  <c r="B84" i="2"/>
  <c r="E83" i="2"/>
  <c r="D83" i="2"/>
  <c r="C83" i="2"/>
  <c r="L72" i="2"/>
  <c r="L71" i="2"/>
  <c r="L70" i="2"/>
  <c r="L69" i="2"/>
  <c r="L67" i="2"/>
  <c r="H67" i="2"/>
  <c r="F67" i="2"/>
  <c r="L66" i="2"/>
  <c r="H66" i="2"/>
  <c r="F66" i="2"/>
  <c r="L65" i="2"/>
  <c r="H65" i="2"/>
  <c r="F65" i="2"/>
  <c r="L64" i="2"/>
  <c r="H64" i="2"/>
  <c r="F64" i="2"/>
  <c r="L63" i="2"/>
  <c r="H63" i="2"/>
  <c r="F63" i="2"/>
  <c r="L62" i="2"/>
  <c r="H62" i="2"/>
  <c r="F62" i="2"/>
  <c r="L61" i="2"/>
  <c r="H61" i="2"/>
  <c r="F61" i="2"/>
  <c r="L60" i="2"/>
  <c r="H60" i="2"/>
  <c r="F60" i="2"/>
  <c r="L59" i="2"/>
  <c r="H59" i="2"/>
  <c r="F59" i="2"/>
  <c r="L58" i="2"/>
  <c r="H58" i="2"/>
  <c r="F58" i="2"/>
  <c r="L57" i="2"/>
  <c r="H57" i="2"/>
  <c r="F57" i="2"/>
  <c r="L56" i="2"/>
  <c r="H56" i="2"/>
  <c r="F56" i="2"/>
  <c r="L52" i="2"/>
  <c r="L51" i="2"/>
  <c r="L50" i="2"/>
  <c r="L49" i="2"/>
  <c r="L47" i="2"/>
  <c r="H47" i="2"/>
  <c r="F47" i="2"/>
  <c r="L46" i="2"/>
  <c r="H46" i="2"/>
  <c r="F46" i="2"/>
  <c r="L45" i="2"/>
  <c r="H45" i="2"/>
  <c r="F45" i="2"/>
  <c r="L44" i="2"/>
  <c r="H44" i="2"/>
  <c r="F44" i="2"/>
  <c r="L43" i="2"/>
  <c r="H43" i="2"/>
  <c r="F43" i="2"/>
  <c r="L42" i="2"/>
  <c r="H42" i="2"/>
  <c r="F42" i="2"/>
  <c r="L41" i="2"/>
  <c r="H41" i="2"/>
  <c r="F41" i="2"/>
  <c r="L40" i="2"/>
  <c r="H40" i="2"/>
  <c r="F40" i="2"/>
  <c r="L39" i="2"/>
  <c r="H39" i="2"/>
  <c r="F39" i="2"/>
  <c r="L38" i="2"/>
  <c r="H38" i="2"/>
  <c r="F38" i="2"/>
  <c r="L37" i="2"/>
  <c r="H37" i="2"/>
  <c r="F37" i="2"/>
  <c r="L36" i="2"/>
  <c r="H36" i="2"/>
  <c r="F36" i="2"/>
  <c r="L32" i="2"/>
  <c r="L31" i="2"/>
  <c r="L30" i="2"/>
  <c r="L29" i="2"/>
  <c r="L27" i="2"/>
  <c r="H27" i="2"/>
  <c r="F27" i="2"/>
  <c r="L26" i="2"/>
  <c r="H26" i="2"/>
  <c r="F26" i="2"/>
  <c r="L25" i="2"/>
  <c r="H25" i="2"/>
  <c r="F25" i="2"/>
  <c r="L24" i="2"/>
  <c r="H24" i="2"/>
  <c r="F24" i="2"/>
  <c r="L23" i="2"/>
  <c r="H23" i="2"/>
  <c r="F23" i="2"/>
  <c r="L22" i="2"/>
  <c r="H22" i="2"/>
  <c r="F22" i="2"/>
  <c r="L21" i="2"/>
  <c r="H21" i="2"/>
  <c r="F21" i="2"/>
  <c r="L20" i="2"/>
  <c r="H20" i="2"/>
  <c r="F20" i="2"/>
  <c r="L19" i="2"/>
  <c r="H19" i="2"/>
  <c r="F19" i="2"/>
  <c r="L18" i="2"/>
  <c r="H18" i="2"/>
  <c r="F18" i="2"/>
  <c r="L17" i="2"/>
  <c r="H17" i="2"/>
  <c r="F17" i="2"/>
  <c r="L16" i="2"/>
  <c r="H16" i="2"/>
  <c r="F16" i="2"/>
  <c r="D155" i="1"/>
  <c r="D154" i="1"/>
  <c r="D153" i="1"/>
  <c r="D152" i="1"/>
  <c r="D151" i="1"/>
  <c r="D150" i="1"/>
  <c r="N146" i="1"/>
  <c r="L146" i="1"/>
  <c r="N137" i="1"/>
  <c r="L137" i="1"/>
  <c r="F137" i="1"/>
  <c r="F146" i="1" s="1"/>
  <c r="B150" i="1" s="1"/>
  <c r="N140" i="1"/>
  <c r="L140" i="1"/>
  <c r="N144" i="1"/>
  <c r="L144" i="1"/>
  <c r="F144" i="1"/>
  <c r="H146" i="1" s="1"/>
  <c r="B151" i="1" s="1"/>
  <c r="N127" i="1"/>
  <c r="L127" i="1"/>
  <c r="N132" i="1"/>
  <c r="L132" i="1"/>
  <c r="N131" i="1"/>
  <c r="L131" i="1"/>
  <c r="N139" i="1"/>
  <c r="L139" i="1"/>
  <c r="N126" i="1"/>
  <c r="L126" i="1"/>
  <c r="N125" i="1"/>
  <c r="L125" i="1"/>
  <c r="N124" i="1"/>
  <c r="L124" i="1"/>
  <c r="N118" i="1"/>
  <c r="L118" i="1"/>
  <c r="H118" i="1"/>
  <c r="N117" i="1"/>
  <c r="L117" i="1"/>
  <c r="H117" i="1"/>
  <c r="N115" i="1"/>
  <c r="L115" i="1"/>
  <c r="H115" i="1"/>
  <c r="F115" i="1"/>
  <c r="N114" i="1"/>
  <c r="L114" i="1"/>
  <c r="H114" i="1"/>
  <c r="F114" i="1"/>
  <c r="N112" i="1"/>
  <c r="L112" i="1"/>
  <c r="H112" i="1"/>
  <c r="N111" i="1"/>
  <c r="L111" i="1"/>
  <c r="H111" i="1"/>
  <c r="N107" i="1"/>
  <c r="L107" i="1"/>
  <c r="F107" i="1"/>
  <c r="H144" i="1" s="1"/>
  <c r="H140" i="1" s="1"/>
  <c r="B152" i="1" s="1"/>
  <c r="N106" i="1"/>
  <c r="L106" i="1"/>
  <c r="F106" i="1"/>
  <c r="F139" i="1" s="1"/>
  <c r="B154" i="1" s="1"/>
  <c r="N105" i="1"/>
  <c r="L105" i="1"/>
  <c r="N104" i="1"/>
  <c r="L104" i="1"/>
  <c r="H104" i="1"/>
  <c r="F132" i="1" s="1"/>
  <c r="B158" i="1" s="1"/>
  <c r="N103" i="1"/>
  <c r="L103" i="1"/>
  <c r="H103" i="1"/>
  <c r="H107" i="1" s="1"/>
  <c r="H139" i="1" s="1"/>
  <c r="B155" i="1" s="1"/>
  <c r="F103" i="1"/>
  <c r="H131" i="1" s="1"/>
  <c r="B157" i="1" s="1"/>
  <c r="N102" i="1"/>
  <c r="L102" i="1"/>
  <c r="H102" i="1"/>
  <c r="F131" i="1" s="1"/>
  <c r="B156" i="1" s="1"/>
  <c r="N101" i="1"/>
  <c r="L101" i="1"/>
  <c r="N100" i="1"/>
  <c r="L100" i="1"/>
  <c r="N99" i="1"/>
  <c r="L99" i="1"/>
  <c r="H99" i="1"/>
  <c r="F105" i="1" s="1"/>
  <c r="H127" i="1" s="1"/>
  <c r="B160" i="1" s="1"/>
  <c r="N98" i="1"/>
  <c r="L98" i="1"/>
  <c r="H98" i="1"/>
  <c r="H105" i="1" s="1"/>
  <c r="H132" i="1" s="1"/>
  <c r="B159" i="1" s="1"/>
  <c r="N97" i="1"/>
  <c r="L97" i="1"/>
  <c r="H97" i="1"/>
  <c r="F104" i="1" s="1"/>
  <c r="F127" i="1" s="1"/>
  <c r="B161" i="1" s="1"/>
  <c r="N96" i="1"/>
  <c r="L96" i="1"/>
  <c r="H96" i="1"/>
  <c r="F102" i="1" s="1"/>
  <c r="H106" i="1" s="1"/>
  <c r="H137" i="1" s="1"/>
  <c r="F140" i="1" s="1"/>
  <c r="B153" i="1" s="1"/>
  <c r="C89" i="1"/>
  <c r="B89" i="1"/>
  <c r="C88" i="1"/>
  <c r="B88" i="1"/>
  <c r="N84" i="1"/>
  <c r="L84" i="1"/>
  <c r="N83" i="1"/>
  <c r="L83" i="1"/>
  <c r="N80" i="1"/>
  <c r="L80" i="1"/>
  <c r="N79" i="1"/>
  <c r="L79" i="1"/>
  <c r="N78" i="1"/>
  <c r="L78" i="1"/>
  <c r="H78" i="1"/>
  <c r="F78" i="1"/>
  <c r="N77" i="1"/>
  <c r="L77" i="1"/>
  <c r="H77" i="1"/>
  <c r="N76" i="1"/>
  <c r="L76" i="1"/>
  <c r="H76" i="1"/>
  <c r="N75" i="1"/>
  <c r="L75" i="1"/>
  <c r="H75" i="1"/>
  <c r="F75" i="1"/>
  <c r="N74" i="1"/>
  <c r="L74" i="1"/>
  <c r="H74" i="1"/>
  <c r="N73" i="1"/>
  <c r="L73" i="1"/>
  <c r="H73" i="1"/>
  <c r="N72" i="1"/>
  <c r="L72" i="1"/>
  <c r="H72" i="1"/>
  <c r="F72" i="1"/>
  <c r="N68" i="1"/>
  <c r="L68" i="1"/>
  <c r="N67" i="1"/>
  <c r="L67" i="1"/>
  <c r="N64" i="1"/>
  <c r="L64" i="1"/>
  <c r="H64" i="1"/>
  <c r="N63" i="1"/>
  <c r="L63" i="1"/>
  <c r="H63" i="1"/>
  <c r="N62" i="1"/>
  <c r="L62" i="1"/>
  <c r="H62" i="1"/>
  <c r="F62" i="1"/>
  <c r="N61" i="1"/>
  <c r="L61" i="1"/>
  <c r="H61" i="1"/>
  <c r="F61" i="1"/>
  <c r="N60" i="1"/>
  <c r="L60" i="1"/>
  <c r="H60" i="1"/>
  <c r="F60" i="1"/>
  <c r="N59" i="1"/>
  <c r="L59" i="1"/>
  <c r="H59" i="1"/>
  <c r="F59" i="1"/>
  <c r="N58" i="1"/>
  <c r="L58" i="1"/>
  <c r="H58" i="1"/>
  <c r="N57" i="1"/>
  <c r="L57" i="1"/>
  <c r="H57" i="1"/>
  <c r="N56" i="1"/>
  <c r="L56" i="1"/>
  <c r="H56" i="1"/>
  <c r="F56" i="1"/>
  <c r="C52" i="1"/>
  <c r="B52" i="1"/>
  <c r="C51" i="1"/>
  <c r="B51" i="1"/>
  <c r="C50" i="1"/>
  <c r="B50" i="1"/>
  <c r="E47" i="1"/>
  <c r="D47" i="1"/>
  <c r="C47" i="1"/>
  <c r="B47" i="1"/>
  <c r="C46" i="1"/>
  <c r="B46" i="1"/>
  <c r="E40" i="1"/>
  <c r="L40" i="1" s="1"/>
  <c r="E39" i="1"/>
  <c r="L39" i="1" s="1"/>
  <c r="E38" i="1"/>
  <c r="L38" i="1" s="1"/>
  <c r="H36" i="1"/>
  <c r="F36" i="1"/>
  <c r="E36" i="1"/>
  <c r="L36" i="1" s="1"/>
  <c r="H35" i="1"/>
  <c r="F35" i="1"/>
  <c r="E35" i="1"/>
  <c r="L35" i="1" s="1"/>
  <c r="H34" i="1"/>
  <c r="F34" i="1"/>
  <c r="E34" i="1"/>
  <c r="L34" i="1" s="1"/>
  <c r="H33" i="1"/>
  <c r="F33" i="1"/>
  <c r="E33" i="1"/>
  <c r="L33" i="1" s="1"/>
  <c r="H32" i="1"/>
  <c r="F32" i="1"/>
  <c r="E32" i="1"/>
  <c r="L32" i="1" s="1"/>
  <c r="H31" i="1"/>
  <c r="F31" i="1"/>
  <c r="E31" i="1"/>
  <c r="L31" i="1" s="1"/>
  <c r="H30" i="1"/>
  <c r="F30" i="1"/>
  <c r="E30" i="1"/>
  <c r="L30" i="1" s="1"/>
  <c r="H29" i="1"/>
  <c r="F29" i="1"/>
  <c r="E29" i="1"/>
  <c r="L29" i="1" s="1"/>
  <c r="H28" i="1"/>
  <c r="F28" i="1"/>
  <c r="E28" i="1"/>
  <c r="L28" i="1" s="1"/>
  <c r="L24" i="1"/>
  <c r="L23" i="1"/>
  <c r="L22" i="1"/>
  <c r="L20" i="1"/>
  <c r="H20" i="1"/>
  <c r="F20" i="1"/>
  <c r="L19" i="1"/>
  <c r="H19" i="1"/>
  <c r="F19" i="1"/>
  <c r="L18" i="1"/>
  <c r="H18" i="1"/>
  <c r="F18" i="1"/>
  <c r="L17" i="1"/>
  <c r="H17" i="1"/>
  <c r="F17" i="1"/>
  <c r="L16" i="1"/>
  <c r="H16" i="1"/>
  <c r="F16" i="1"/>
  <c r="L15" i="1"/>
  <c r="H15" i="1"/>
  <c r="F15" i="1"/>
  <c r="L14" i="1"/>
  <c r="H14" i="1"/>
  <c r="F14" i="1"/>
  <c r="L13" i="1"/>
  <c r="H13" i="1"/>
  <c r="F13" i="1"/>
  <c r="L12" i="1"/>
  <c r="H12" i="1"/>
  <c r="F12" i="1"/>
  <c r="F45" i="10" l="1"/>
  <c r="F46" i="10"/>
  <c r="H45" i="10"/>
  <c r="H46" i="10"/>
  <c r="H29" i="10"/>
  <c r="H30" i="10"/>
  <c r="R63" i="12"/>
  <c r="R62" i="12"/>
  <c r="R61" i="12"/>
  <c r="R60" i="12"/>
  <c r="R59" i="12"/>
  <c r="R58" i="12"/>
  <c r="R57" i="12"/>
  <c r="R56" i="12"/>
  <c r="R55" i="12"/>
  <c r="R54" i="12"/>
  <c r="R53" i="12"/>
  <c r="Q64" i="12"/>
  <c r="Q63" i="12"/>
  <c r="Q62" i="12"/>
  <c r="Q61" i="12"/>
  <c r="D251" i="6"/>
  <c r="D248" i="6"/>
  <c r="D249" i="6"/>
  <c r="D252" i="6"/>
  <c r="D254" i="6"/>
  <c r="D246" i="6"/>
  <c r="D253" i="6"/>
  <c r="D247" i="6"/>
  <c r="D242" i="6"/>
  <c r="D241" i="6"/>
  <c r="AV74" i="12"/>
  <c r="AV75" i="12"/>
  <c r="AV76" i="12"/>
  <c r="AV77" i="12"/>
  <c r="AV78" i="12"/>
  <c r="AV73" i="12"/>
  <c r="X74" i="12"/>
  <c r="X75" i="12"/>
  <c r="X76" i="12"/>
  <c r="X77" i="12"/>
  <c r="X73" i="12"/>
  <c r="AE74" i="12"/>
  <c r="AE75" i="12"/>
  <c r="AE76" i="12"/>
  <c r="AE77" i="12"/>
  <c r="AE73" i="12"/>
  <c r="W74" i="12"/>
  <c r="W76" i="12"/>
  <c r="W77" i="12"/>
  <c r="W78" i="12"/>
  <c r="W79" i="12"/>
  <c r="W73" i="12"/>
  <c r="W75" i="12"/>
  <c r="W80" i="12"/>
  <c r="Q66" i="12"/>
  <c r="Q65" i="12"/>
  <c r="S65" i="12"/>
  <c r="S67" i="12"/>
  <c r="S19" i="12"/>
  <c r="S18" i="12"/>
  <c r="S5" i="12"/>
  <c r="S8" i="12"/>
  <c r="S9" i="12"/>
  <c r="S12" i="12"/>
  <c r="Q6" i="12"/>
  <c r="Q11" i="12"/>
  <c r="Q14" i="12"/>
  <c r="R15" i="12"/>
  <c r="R9" i="12"/>
  <c r="R4" i="12"/>
  <c r="T10" i="12"/>
  <c r="T5" i="12"/>
  <c r="S55" i="12"/>
  <c r="Q5" i="12"/>
  <c r="R14" i="12"/>
  <c r="R12" i="12"/>
  <c r="R6" i="12"/>
  <c r="T15" i="12"/>
  <c r="T9" i="12"/>
  <c r="T4" i="12"/>
  <c r="S13" i="12"/>
  <c r="Q19" i="12"/>
  <c r="Q9" i="12"/>
  <c r="Q12" i="12"/>
  <c r="R8" i="12"/>
  <c r="T19" i="12"/>
  <c r="T12" i="12"/>
  <c r="T6" i="12"/>
  <c r="S4" i="12"/>
  <c r="Q18" i="12"/>
  <c r="Q10" i="12"/>
  <c r="Q13" i="12"/>
  <c r="R13" i="12"/>
  <c r="R11" i="12"/>
  <c r="R7" i="12"/>
  <c r="T18" i="12"/>
  <c r="T11" i="12"/>
  <c r="T7" i="12"/>
  <c r="T14" i="12"/>
  <c r="P4" i="12"/>
  <c r="R18" i="12"/>
  <c r="R10" i="12"/>
  <c r="R5" i="12"/>
  <c r="T13" i="12"/>
  <c r="T8" i="12"/>
  <c r="Q4" i="12"/>
  <c r="Q8" i="12"/>
  <c r="Q15" i="12"/>
  <c r="D259" i="6"/>
  <c r="D258" i="6"/>
  <c r="D275" i="6"/>
  <c r="D276" i="6"/>
  <c r="D277" i="6"/>
  <c r="D278" i="6"/>
  <c r="D279" i="6"/>
  <c r="D280" i="6"/>
  <c r="D281" i="6"/>
  <c r="AW74" i="12"/>
  <c r="AW77" i="12"/>
  <c r="AP76" i="12"/>
  <c r="AP75" i="12"/>
  <c r="AP74" i="12"/>
  <c r="AP73" i="12"/>
  <c r="AN74" i="12"/>
  <c r="AN75" i="12"/>
  <c r="AN78" i="12"/>
  <c r="AN79" i="12"/>
  <c r="AN73" i="12"/>
  <c r="AP80" i="12"/>
  <c r="AN80" i="12"/>
  <c r="AO73" i="12"/>
  <c r="AO74" i="12"/>
  <c r="AP79" i="12"/>
  <c r="C94" i="12"/>
  <c r="B94" i="12"/>
  <c r="BA74" i="12"/>
  <c r="BA77" i="12"/>
  <c r="BA76" i="12"/>
  <c r="BA73" i="12"/>
  <c r="BB74" i="12"/>
  <c r="BB73" i="12"/>
  <c r="AZ73" i="12"/>
  <c r="BA79" i="12"/>
  <c r="BA78" i="12"/>
  <c r="BB78" i="12"/>
  <c r="BB77" i="12"/>
  <c r="BB76" i="12"/>
  <c r="AZ77" i="12"/>
  <c r="AY75" i="12"/>
  <c r="AZ76" i="12"/>
  <c r="AY74" i="12"/>
  <c r="AZ75" i="12"/>
  <c r="AZ78" i="12"/>
  <c r="AY79" i="12"/>
  <c r="AZ74" i="12"/>
  <c r="AY78" i="12"/>
  <c r="S11" i="12"/>
  <c r="P11" i="12"/>
  <c r="P10" i="12"/>
  <c r="P8" i="12"/>
  <c r="S7" i="12"/>
  <c r="P7" i="12"/>
  <c r="P6" i="12"/>
  <c r="D258" i="9"/>
  <c r="D259" i="9"/>
  <c r="D257" i="9"/>
  <c r="D256" i="9"/>
  <c r="AS76" i="12"/>
  <c r="AR75" i="12"/>
  <c r="AR76" i="12"/>
  <c r="AR78" i="12"/>
  <c r="AQ77" i="12"/>
  <c r="AJ73" i="12"/>
  <c r="AS75" i="12"/>
  <c r="AS77" i="12"/>
  <c r="AS78" i="12"/>
  <c r="AS79" i="12"/>
  <c r="AR74" i="12"/>
  <c r="AR77" i="12"/>
  <c r="AJ74" i="12"/>
  <c r="AQ78" i="12"/>
  <c r="AR73" i="12"/>
  <c r="C90" i="12"/>
  <c r="B90" i="12"/>
  <c r="R73" i="12"/>
  <c r="Q74" i="12"/>
  <c r="R79" i="12"/>
  <c r="R78" i="12"/>
  <c r="R77" i="12"/>
  <c r="R76" i="12"/>
  <c r="R75" i="12"/>
  <c r="R74" i="12"/>
  <c r="Q77" i="12"/>
  <c r="S79" i="12"/>
  <c r="S78" i="12"/>
  <c r="S77" i="12"/>
  <c r="S76" i="12"/>
  <c r="S75" i="12"/>
  <c r="S74" i="12"/>
  <c r="S73" i="12"/>
  <c r="T74" i="12"/>
  <c r="T75" i="12"/>
  <c r="T76" i="12"/>
  <c r="T79" i="12"/>
  <c r="T78" i="12"/>
  <c r="T77" i="12"/>
  <c r="Q7" i="12"/>
  <c r="S14" i="12"/>
  <c r="S10" i="12"/>
  <c r="S6" i="12"/>
  <c r="D137" i="1"/>
  <c r="D139" i="1"/>
  <c r="D242" i="2"/>
  <c r="D239" i="2"/>
  <c r="D235" i="2"/>
  <c r="D233" i="2"/>
  <c r="D150" i="3"/>
  <c r="D149" i="3"/>
  <c r="D147" i="3"/>
  <c r="B9" i="12"/>
  <c r="B10" i="12"/>
  <c r="B13" i="12"/>
  <c r="B17" i="12"/>
  <c r="D73" i="12"/>
  <c r="B73" i="12"/>
  <c r="I77" i="12"/>
  <c r="I15" i="12"/>
  <c r="I19" i="12"/>
  <c r="B6" i="12"/>
  <c r="B12" i="12"/>
  <c r="B18" i="12"/>
  <c r="B74" i="12"/>
  <c r="B77" i="12"/>
  <c r="C77" i="12"/>
  <c r="I76" i="12"/>
  <c r="I73" i="12"/>
  <c r="I13" i="12"/>
  <c r="I17" i="12"/>
  <c r="B8" i="12"/>
  <c r="B14" i="12"/>
  <c r="B78" i="12"/>
  <c r="I74" i="12"/>
  <c r="I78" i="12"/>
  <c r="I12" i="12"/>
  <c r="I4" i="12"/>
  <c r="B7" i="12"/>
  <c r="B11" i="12"/>
  <c r="B5" i="12"/>
  <c r="C73" i="12"/>
  <c r="C76" i="12"/>
  <c r="I75" i="12"/>
  <c r="I79" i="12"/>
  <c r="I14" i="12"/>
  <c r="I16" i="12"/>
  <c r="I18" i="12"/>
  <c r="P14" i="12"/>
  <c r="P9" i="12"/>
  <c r="S15" i="12"/>
  <c r="P15" i="12"/>
  <c r="P18" i="12"/>
  <c r="P5" i="12"/>
  <c r="D43" i="11"/>
  <c r="D31" i="11"/>
  <c r="D32" i="11"/>
  <c r="D33" i="11"/>
  <c r="D34" i="11"/>
  <c r="D35" i="11"/>
  <c r="D36" i="11"/>
  <c r="D37" i="11"/>
  <c r="D38" i="11"/>
  <c r="D39" i="11"/>
  <c r="D40" i="11"/>
  <c r="D71" i="11"/>
  <c r="D72" i="11"/>
  <c r="S58" i="12"/>
  <c r="Q78" i="12"/>
  <c r="Q79" i="12"/>
  <c r="T73" i="12"/>
  <c r="D268" i="9"/>
  <c r="D266" i="9"/>
  <c r="D270" i="9"/>
  <c r="D267" i="9"/>
  <c r="D269" i="9"/>
  <c r="D252" i="7"/>
  <c r="D253" i="7"/>
  <c r="D256" i="7"/>
  <c r="D255" i="7"/>
  <c r="BA75" i="12"/>
  <c r="BB75" i="12"/>
  <c r="BA57" i="12"/>
  <c r="BA56" i="12"/>
  <c r="BA55" i="12"/>
  <c r="D131" i="1"/>
  <c r="D132" i="1"/>
  <c r="BA54" i="12"/>
  <c r="D29" i="11"/>
  <c r="D30" i="11"/>
  <c r="H77" i="12"/>
  <c r="C88" i="12"/>
  <c r="B88" i="12"/>
  <c r="C85" i="12"/>
  <c r="B87" i="12"/>
  <c r="E75" i="12"/>
  <c r="B85" i="12"/>
  <c r="X53" i="12"/>
  <c r="AD59" i="12"/>
  <c r="X54" i="12"/>
  <c r="AD55" i="12"/>
  <c r="AA58" i="12"/>
  <c r="AA57" i="12"/>
  <c r="AA56" i="12"/>
  <c r="AD53" i="12"/>
  <c r="AD57" i="12"/>
  <c r="AD62" i="12"/>
  <c r="AD61" i="12"/>
  <c r="AD60" i="12"/>
  <c r="AD58" i="12"/>
  <c r="X55" i="12"/>
  <c r="AD56" i="12"/>
  <c r="AD54" i="12"/>
  <c r="AA61" i="12"/>
  <c r="AA60" i="12"/>
  <c r="AA59" i="12"/>
  <c r="D275" i="7"/>
  <c r="D274" i="7"/>
  <c r="D273" i="7"/>
  <c r="D272" i="7"/>
  <c r="D271" i="7"/>
  <c r="D270" i="7"/>
  <c r="D269" i="7"/>
  <c r="D268" i="7"/>
  <c r="AA54" i="12"/>
  <c r="AA55" i="12"/>
  <c r="AA53" i="12"/>
  <c r="W54" i="12"/>
  <c r="W55" i="12"/>
  <c r="W56" i="12"/>
  <c r="W57" i="12"/>
  <c r="W58" i="12"/>
  <c r="W59" i="12"/>
  <c r="W60" i="12"/>
  <c r="W61" i="12"/>
  <c r="W62" i="12"/>
  <c r="W53" i="12"/>
  <c r="X56" i="12"/>
  <c r="X57" i="12"/>
  <c r="X58" i="12"/>
  <c r="X59" i="12"/>
  <c r="X61" i="12"/>
  <c r="X62" i="12"/>
  <c r="X60" i="12"/>
  <c r="D295" i="6"/>
  <c r="D296" i="6"/>
  <c r="D297" i="6"/>
  <c r="W41" i="12"/>
  <c r="W37" i="12"/>
  <c r="W36" i="12"/>
  <c r="W32" i="12"/>
  <c r="W38" i="12"/>
  <c r="W35" i="12"/>
  <c r="D211" i="7"/>
  <c r="D210" i="7"/>
  <c r="D209" i="7"/>
  <c r="D208" i="7"/>
  <c r="D207" i="7"/>
  <c r="D206" i="7"/>
  <c r="D205" i="7"/>
  <c r="D204" i="7"/>
  <c r="D203" i="7"/>
  <c r="D190" i="7"/>
  <c r="D192" i="7"/>
  <c r="D193" i="7"/>
  <c r="D194" i="7"/>
  <c r="D195" i="7"/>
  <c r="D196" i="7"/>
  <c r="D197" i="7"/>
  <c r="D198" i="7"/>
  <c r="W31" i="12"/>
  <c r="W29" i="12"/>
  <c r="Y40" i="12"/>
  <c r="Y36" i="12"/>
  <c r="Y35" i="12"/>
  <c r="Y32" i="12"/>
  <c r="Y28" i="12"/>
  <c r="X38" i="12"/>
  <c r="X35" i="12"/>
  <c r="X31" i="12"/>
  <c r="X28" i="12"/>
  <c r="Q37" i="12"/>
  <c r="Q35" i="12"/>
  <c r="Q31" i="12"/>
  <c r="Q28" i="12"/>
  <c r="W30" i="12"/>
  <c r="W28" i="12"/>
  <c r="Y37" i="12"/>
  <c r="Y34" i="12"/>
  <c r="Y31" i="12"/>
  <c r="Y29" i="12"/>
  <c r="X41" i="12"/>
  <c r="X36" i="12"/>
  <c r="X34" i="12"/>
  <c r="X30" i="12"/>
  <c r="Q38" i="12"/>
  <c r="Q32" i="12"/>
  <c r="Q29" i="12"/>
  <c r="Y30" i="12"/>
  <c r="X37" i="12"/>
  <c r="X32" i="12"/>
  <c r="X29" i="12"/>
  <c r="Q41" i="12"/>
  <c r="Q36" i="12"/>
  <c r="Q34" i="12"/>
  <c r="Q30" i="12"/>
  <c r="Y16" i="12"/>
  <c r="Y12" i="12"/>
  <c r="Y11" i="12"/>
  <c r="Y8" i="12"/>
  <c r="Y6" i="12"/>
  <c r="X17" i="12"/>
  <c r="X14" i="12"/>
  <c r="X12" i="12"/>
  <c r="X9" i="12"/>
  <c r="X6" i="12"/>
  <c r="Y13" i="12"/>
  <c r="Y9" i="12"/>
  <c r="Y7" i="12"/>
  <c r="X18" i="12"/>
  <c r="X16" i="12"/>
  <c r="X13" i="12"/>
  <c r="X11" i="12"/>
  <c r="X8" i="12"/>
  <c r="X7" i="12"/>
  <c r="Y17" i="12"/>
  <c r="Y18" i="12"/>
  <c r="Y5" i="12"/>
  <c r="Y4" i="12"/>
  <c r="AA5" i="12"/>
  <c r="X5" i="12"/>
  <c r="X4" i="12"/>
  <c r="W18" i="12"/>
  <c r="W17" i="12"/>
  <c r="W16" i="12"/>
  <c r="W14" i="12"/>
  <c r="W13" i="12"/>
  <c r="W12" i="12"/>
  <c r="W11" i="12"/>
  <c r="W9" i="12"/>
  <c r="W7" i="12"/>
  <c r="W6" i="12"/>
  <c r="W5" i="12"/>
  <c r="W4" i="12"/>
  <c r="AA17" i="12"/>
  <c r="AA14" i="12"/>
  <c r="AA11" i="12"/>
  <c r="AA9" i="12"/>
  <c r="AA7" i="12"/>
  <c r="W8" i="12"/>
  <c r="AA18" i="12"/>
  <c r="AA16" i="12"/>
  <c r="AA13" i="12"/>
  <c r="AA12" i="12"/>
  <c r="AA8" i="12"/>
  <c r="AA6" i="12"/>
  <c r="AA4" i="12"/>
  <c r="Q75" i="12"/>
  <c r="Q76" i="12"/>
  <c r="Q73" i="12"/>
  <c r="Q58" i="12"/>
  <c r="Q55" i="12"/>
  <c r="Q54" i="12"/>
  <c r="P35" i="12"/>
  <c r="S36" i="12"/>
  <c r="S30" i="12"/>
  <c r="R37" i="12"/>
  <c r="T37" i="12"/>
  <c r="T29" i="12"/>
  <c r="P33" i="12"/>
  <c r="P40" i="12"/>
  <c r="S32" i="12"/>
  <c r="S38" i="12"/>
  <c r="R34" i="12"/>
  <c r="R40" i="12"/>
  <c r="S34" i="12"/>
  <c r="R31" i="12"/>
  <c r="R38" i="12"/>
  <c r="T42" i="12"/>
  <c r="T35" i="12"/>
  <c r="T30" i="12"/>
  <c r="P30" i="12"/>
  <c r="P34" i="12"/>
  <c r="P39" i="12"/>
  <c r="S41" i="12"/>
  <c r="R35" i="12"/>
  <c r="R30" i="12"/>
  <c r="T38" i="12"/>
  <c r="T33" i="12"/>
  <c r="P31" i="12"/>
  <c r="P37" i="12"/>
  <c r="P28" i="12"/>
  <c r="S35" i="12"/>
  <c r="S39" i="12"/>
  <c r="R33" i="12"/>
  <c r="R41" i="12"/>
  <c r="T41" i="12"/>
  <c r="T34" i="12"/>
  <c r="T31" i="12"/>
  <c r="P29" i="12"/>
  <c r="P36" i="12"/>
  <c r="P42" i="12"/>
  <c r="S33" i="12"/>
  <c r="S40" i="12"/>
  <c r="R36" i="12"/>
  <c r="T39" i="12"/>
  <c r="T36" i="12"/>
  <c r="T32" i="12"/>
  <c r="T28" i="12"/>
  <c r="P32" i="12"/>
  <c r="P41" i="12"/>
  <c r="S31" i="12"/>
  <c r="S37" i="12"/>
  <c r="R32" i="12"/>
  <c r="R39" i="12"/>
  <c r="D305" i="11"/>
  <c r="P38" i="12"/>
  <c r="D290" i="8"/>
  <c r="D289" i="8"/>
  <c r="D287" i="8"/>
  <c r="D286" i="8"/>
  <c r="D285" i="8"/>
  <c r="D288" i="8"/>
  <c r="D288" i="10"/>
  <c r="D287" i="10"/>
  <c r="D286" i="10"/>
  <c r="D283" i="10"/>
  <c r="D282" i="10"/>
  <c r="E76" i="12"/>
  <c r="AB77" i="12"/>
  <c r="AB78" i="12"/>
  <c r="AB73" i="12"/>
  <c r="AA75" i="12"/>
  <c r="AK77" i="12"/>
  <c r="AK74" i="12"/>
  <c r="C92" i="12"/>
  <c r="V76" i="12"/>
  <c r="V73" i="12"/>
  <c r="AA76" i="12"/>
  <c r="AB79" i="12"/>
  <c r="AB75" i="12"/>
  <c r="AK76" i="12"/>
  <c r="AK73" i="12"/>
  <c r="V77" i="12"/>
  <c r="V74" i="12"/>
  <c r="AA78" i="12"/>
  <c r="AA74" i="12"/>
  <c r="AB76" i="12"/>
  <c r="AK75" i="12"/>
  <c r="B92" i="12"/>
  <c r="V75" i="12"/>
  <c r="AA77" i="12"/>
  <c r="AA73" i="12"/>
  <c r="AB74" i="12"/>
  <c r="D269" i="8"/>
  <c r="D272" i="8"/>
  <c r="D267" i="8"/>
  <c r="D268" i="8"/>
  <c r="D270" i="8"/>
  <c r="D271" i="8"/>
  <c r="D276" i="8"/>
  <c r="D277" i="8"/>
  <c r="D278" i="8"/>
  <c r="D281" i="8"/>
  <c r="D279" i="8"/>
  <c r="D280" i="8"/>
  <c r="D238" i="8"/>
  <c r="D239" i="8"/>
  <c r="D240" i="8"/>
  <c r="D242" i="8"/>
  <c r="D243" i="8"/>
  <c r="D244" i="8"/>
  <c r="D246" i="8"/>
  <c r="D247" i="8"/>
  <c r="D248" i="8"/>
  <c r="D201" i="8"/>
  <c r="D199" i="8"/>
  <c r="D200" i="8"/>
  <c r="D194" i="8"/>
  <c r="D193" i="8"/>
  <c r="D192" i="8"/>
  <c r="D191" i="8"/>
  <c r="D190" i="8"/>
  <c r="D197" i="8"/>
  <c r="D198" i="8"/>
  <c r="D196" i="8"/>
  <c r="D195" i="8"/>
  <c r="D224" i="8"/>
  <c r="D225" i="8"/>
  <c r="D226" i="8"/>
  <c r="D228" i="8"/>
  <c r="D233" i="8"/>
  <c r="D232" i="8"/>
  <c r="D231" i="8"/>
  <c r="D230" i="8"/>
  <c r="D229" i="8"/>
  <c r="D227" i="8"/>
  <c r="D234" i="8"/>
  <c r="D130" i="8"/>
  <c r="D118" i="8"/>
  <c r="D126" i="8"/>
  <c r="D127" i="8"/>
  <c r="D117" i="8"/>
  <c r="D116" i="8"/>
  <c r="D129" i="8"/>
  <c r="D125" i="8"/>
  <c r="D124" i="8"/>
  <c r="D123" i="8"/>
  <c r="D121" i="8"/>
  <c r="D120" i="8"/>
  <c r="D122" i="8"/>
  <c r="D119" i="8"/>
  <c r="D145" i="8"/>
  <c r="D146" i="8"/>
  <c r="D136" i="8"/>
  <c r="D134" i="8"/>
  <c r="D135" i="8"/>
  <c r="D137" i="8"/>
  <c r="D139" i="8"/>
  <c r="D140" i="8"/>
  <c r="D141" i="8"/>
  <c r="D143" i="8"/>
  <c r="D144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3" i="8"/>
  <c r="D164" i="8"/>
  <c r="D165" i="8"/>
  <c r="D66" i="8"/>
  <c r="D64" i="8"/>
  <c r="D70" i="8"/>
  <c r="D65" i="8"/>
  <c r="D67" i="8"/>
  <c r="D69" i="8"/>
  <c r="D71" i="8"/>
  <c r="D57" i="8"/>
  <c r="D58" i="8"/>
  <c r="D59" i="8"/>
  <c r="D60" i="8"/>
  <c r="D61" i="8"/>
  <c r="D62" i="8"/>
  <c r="D63" i="8"/>
  <c r="D47" i="8"/>
  <c r="D49" i="8"/>
  <c r="D51" i="8"/>
  <c r="D52" i="8"/>
  <c r="D46" i="8"/>
  <c r="D48" i="8"/>
  <c r="D53" i="8"/>
  <c r="D45" i="8"/>
  <c r="D44" i="8"/>
  <c r="D43" i="8"/>
  <c r="D42" i="8"/>
  <c r="D41" i="8"/>
  <c r="D40" i="8"/>
  <c r="D39" i="8"/>
  <c r="D38" i="8"/>
  <c r="D77" i="8"/>
  <c r="D78" i="8"/>
  <c r="D81" i="8"/>
  <c r="D75" i="8"/>
  <c r="D79" i="8"/>
  <c r="D80" i="8"/>
  <c r="D88" i="8"/>
  <c r="D89" i="8"/>
  <c r="D87" i="8"/>
  <c r="D85" i="8"/>
  <c r="D84" i="8"/>
  <c r="D83" i="8"/>
  <c r="D82" i="8"/>
  <c r="D76" i="8"/>
  <c r="D263" i="8"/>
  <c r="D262" i="8"/>
  <c r="D260" i="8"/>
  <c r="D257" i="8"/>
  <c r="D259" i="8"/>
  <c r="D256" i="8"/>
  <c r="D258" i="8"/>
  <c r="D261" i="8"/>
  <c r="D210" i="8"/>
  <c r="D209" i="8"/>
  <c r="D208" i="8"/>
  <c r="D207" i="8"/>
  <c r="D206" i="8"/>
  <c r="D205" i="8"/>
  <c r="D214" i="8"/>
  <c r="D216" i="8"/>
  <c r="D215" i="8"/>
  <c r="D213" i="8"/>
  <c r="D212" i="8"/>
  <c r="D211" i="8"/>
  <c r="D171" i="8"/>
  <c r="D172" i="8"/>
  <c r="D173" i="8"/>
  <c r="D174" i="8"/>
  <c r="D175" i="8"/>
  <c r="D176" i="8"/>
  <c r="D177" i="8"/>
  <c r="D178" i="8"/>
  <c r="D179" i="8"/>
  <c r="D180" i="8"/>
  <c r="D182" i="8"/>
  <c r="D184" i="8"/>
  <c r="D169" i="8"/>
  <c r="D183" i="8"/>
  <c r="D170" i="8"/>
  <c r="D34" i="8"/>
  <c r="D33" i="8"/>
  <c r="D32" i="8"/>
  <c r="D30" i="8"/>
  <c r="D29" i="8"/>
  <c r="D28" i="8"/>
  <c r="D27" i="8"/>
  <c r="D26" i="8"/>
  <c r="D25" i="8"/>
  <c r="D24" i="8"/>
  <c r="D23" i="8"/>
  <c r="D22" i="8"/>
  <c r="D21" i="8"/>
  <c r="D20" i="8"/>
  <c r="AS74" i="12"/>
  <c r="D292" i="5"/>
  <c r="D293" i="5"/>
  <c r="AB64" i="12"/>
  <c r="AQ80" i="12"/>
  <c r="AQ76" i="12"/>
  <c r="AQ79" i="12"/>
  <c r="AQ75" i="12"/>
  <c r="AQ74" i="12"/>
  <c r="AQ73" i="12"/>
  <c r="AJ78" i="12"/>
  <c r="AJ77" i="12"/>
  <c r="AJ76" i="12"/>
  <c r="AJ75" i="12"/>
  <c r="D298" i="9"/>
  <c r="D297" i="9"/>
  <c r="D296" i="9"/>
  <c r="D295" i="9"/>
  <c r="D293" i="9"/>
  <c r="D292" i="9"/>
  <c r="AQ62" i="12"/>
  <c r="AQ61" i="12"/>
  <c r="AQ60" i="12"/>
  <c r="AQ59" i="12"/>
  <c r="AE56" i="12"/>
  <c r="AE55" i="12"/>
  <c r="AE54" i="12"/>
  <c r="AE53" i="12"/>
  <c r="AR64" i="12"/>
  <c r="AR63" i="12"/>
  <c r="AR62" i="12"/>
  <c r="AR61" i="12"/>
  <c r="AR60" i="12"/>
  <c r="AR59" i="12"/>
  <c r="AR58" i="12"/>
  <c r="AR57" i="12"/>
  <c r="AR56" i="12"/>
  <c r="AR55" i="12"/>
  <c r="AR54" i="12"/>
  <c r="AR53" i="12"/>
  <c r="AP64" i="12"/>
  <c r="AP63" i="12"/>
  <c r="AP62" i="12"/>
  <c r="AP60" i="12"/>
  <c r="AP58" i="12"/>
  <c r="AP56" i="12"/>
  <c r="AP54" i="12"/>
  <c r="AS55" i="12"/>
  <c r="AS58" i="12"/>
  <c r="AS61" i="12"/>
  <c r="AS64" i="12"/>
  <c r="AJ43" i="12"/>
  <c r="AJ36" i="12"/>
  <c r="AR43" i="12"/>
  <c r="AR38" i="12"/>
  <c r="AR31" i="12"/>
  <c r="AQ42" i="12"/>
  <c r="AQ35" i="12"/>
  <c r="AQ30" i="12"/>
  <c r="AD39" i="12"/>
  <c r="AD33" i="12"/>
  <c r="AD28" i="12"/>
  <c r="AP14" i="12"/>
  <c r="AP9" i="12"/>
  <c r="AP4" i="12"/>
  <c r="AR14" i="12"/>
  <c r="AR7" i="12"/>
  <c r="AQ19" i="12"/>
  <c r="AQ11" i="12"/>
  <c r="AQ6" i="12"/>
  <c r="AK14" i="12"/>
  <c r="AK7" i="12"/>
  <c r="AP61" i="12"/>
  <c r="AP55" i="12"/>
  <c r="AP53" i="12"/>
  <c r="AS56" i="12"/>
  <c r="AS57" i="12"/>
  <c r="AS60" i="12"/>
  <c r="AS53" i="12"/>
  <c r="AJ39" i="12"/>
  <c r="AJ34" i="12"/>
  <c r="AJ28" i="12"/>
  <c r="AR37" i="12"/>
  <c r="AR30" i="12"/>
  <c r="AQ38" i="12"/>
  <c r="AQ34" i="12"/>
  <c r="AQ29" i="12"/>
  <c r="AD38" i="12"/>
  <c r="AD32" i="12"/>
  <c r="AP19" i="12"/>
  <c r="AP12" i="12"/>
  <c r="AP7" i="12"/>
  <c r="AR19" i="12"/>
  <c r="AR11" i="12"/>
  <c r="AR5" i="12"/>
  <c r="AQ18" i="12"/>
  <c r="AQ10" i="12"/>
  <c r="AQ5" i="12"/>
  <c r="AK20" i="12"/>
  <c r="AK12" i="12"/>
  <c r="AK6" i="12"/>
  <c r="AP57" i="12"/>
  <c r="AS63" i="12"/>
  <c r="AJ37" i="12"/>
  <c r="AJ31" i="12"/>
  <c r="AR42" i="12"/>
  <c r="AR35" i="12"/>
  <c r="AR28" i="12"/>
  <c r="AQ36" i="12"/>
  <c r="AQ32" i="12"/>
  <c r="AD43" i="12"/>
  <c r="AD36" i="12"/>
  <c r="AD31" i="12"/>
  <c r="AP20" i="12"/>
  <c r="AP13" i="12"/>
  <c r="AP8" i="12"/>
  <c r="AR20" i="12"/>
  <c r="AR12" i="12"/>
  <c r="AR6" i="12"/>
  <c r="AQ20" i="12"/>
  <c r="AQ13" i="12"/>
  <c r="AQ8" i="12"/>
  <c r="AK19" i="12"/>
  <c r="AK11" i="12"/>
  <c r="AK5" i="12"/>
  <c r="AP59" i="12"/>
  <c r="AS54" i="12"/>
  <c r="AS59" i="12"/>
  <c r="AS62" i="12"/>
  <c r="AJ42" i="12"/>
  <c r="AJ35" i="12"/>
  <c r="AJ29" i="12"/>
  <c r="AR36" i="12"/>
  <c r="AR29" i="12"/>
  <c r="AQ39" i="12"/>
  <c r="AQ31" i="12"/>
  <c r="AD42" i="12"/>
  <c r="AD35" i="12"/>
  <c r="AD30" i="12"/>
  <c r="AP18" i="12"/>
  <c r="AP11" i="12"/>
  <c r="AP6" i="12"/>
  <c r="AR15" i="12"/>
  <c r="AR9" i="12"/>
  <c r="AQ15" i="12"/>
  <c r="AQ9" i="12"/>
  <c r="AQ4" i="12"/>
  <c r="AK15" i="12"/>
  <c r="AK9" i="12"/>
  <c r="AJ38" i="12"/>
  <c r="AJ30" i="12"/>
  <c r="AR39" i="12"/>
  <c r="AR34" i="12"/>
  <c r="AQ43" i="12"/>
  <c r="AQ37" i="12"/>
  <c r="AQ33" i="12"/>
  <c r="AQ28" i="12"/>
  <c r="AD37" i="12"/>
  <c r="AD34" i="12"/>
  <c r="AD29" i="12"/>
  <c r="AP15" i="12"/>
  <c r="AP10" i="12"/>
  <c r="AP5" i="12"/>
  <c r="AR18" i="12"/>
  <c r="AR10" i="12"/>
  <c r="AR4" i="12"/>
  <c r="AQ14" i="12"/>
  <c r="AQ12" i="12"/>
  <c r="AQ7" i="12"/>
  <c r="AK18" i="12"/>
  <c r="AK10" i="12"/>
  <c r="AK4" i="12"/>
  <c r="D95" i="9"/>
  <c r="D92" i="9"/>
  <c r="D274" i="10"/>
  <c r="D273" i="10"/>
  <c r="G28" i="12"/>
  <c r="E28" i="12"/>
  <c r="D214" i="2"/>
  <c r="D209" i="2"/>
  <c r="D202" i="2"/>
  <c r="D207" i="2"/>
  <c r="D276" i="10"/>
  <c r="D278" i="10"/>
  <c r="D277" i="10"/>
  <c r="D275" i="10"/>
  <c r="G53" i="12"/>
  <c r="D58" i="12"/>
  <c r="D54" i="12"/>
  <c r="B89" i="12"/>
  <c r="C78" i="12"/>
  <c r="B86" i="12"/>
  <c r="G64" i="12"/>
  <c r="G62" i="12"/>
  <c r="G60" i="12"/>
  <c r="G58" i="12"/>
  <c r="G56" i="12"/>
  <c r="G54" i="12"/>
  <c r="D61" i="12"/>
  <c r="D59" i="12"/>
  <c r="D56" i="12"/>
  <c r="D53" i="12"/>
  <c r="C79" i="12"/>
  <c r="C86" i="12"/>
  <c r="D74" i="12"/>
  <c r="G63" i="12"/>
  <c r="G61" i="12"/>
  <c r="G59" i="12"/>
  <c r="G57" i="12"/>
  <c r="G55" i="12"/>
  <c r="D62" i="12"/>
  <c r="D60" i="12"/>
  <c r="D57" i="12"/>
  <c r="D55" i="12"/>
  <c r="F28" i="12"/>
  <c r="G78" i="12"/>
  <c r="D76" i="12"/>
  <c r="H78" i="12"/>
  <c r="C75" i="12"/>
  <c r="D75" i="12"/>
  <c r="C89" i="12"/>
  <c r="D64" i="12"/>
  <c r="C54" i="12"/>
  <c r="C56" i="12"/>
  <c r="F11" i="12"/>
  <c r="F8" i="12"/>
  <c r="F5" i="12"/>
  <c r="G75" i="12"/>
  <c r="G76" i="12"/>
  <c r="C87" i="12"/>
  <c r="G77" i="12"/>
  <c r="E74" i="12"/>
  <c r="G74" i="12"/>
  <c r="D77" i="12"/>
  <c r="E77" i="12"/>
  <c r="E78" i="12"/>
  <c r="C74" i="12"/>
  <c r="D63" i="12"/>
  <c r="C55" i="12"/>
  <c r="C57" i="12"/>
  <c r="F10" i="12"/>
  <c r="F7" i="12"/>
  <c r="F4" i="12"/>
  <c r="C58" i="12"/>
  <c r="C59" i="12"/>
  <c r="C60" i="12"/>
  <c r="C61" i="12"/>
  <c r="C62" i="12"/>
  <c r="C63" i="12"/>
  <c r="C64" i="12"/>
  <c r="C53" i="12"/>
  <c r="F29" i="12"/>
  <c r="F30" i="12"/>
  <c r="F31" i="12"/>
  <c r="F32" i="12"/>
  <c r="F33" i="12"/>
  <c r="F34" i="12"/>
  <c r="F35" i="12"/>
  <c r="F36" i="12"/>
  <c r="F37" i="12"/>
  <c r="F38" i="12"/>
  <c r="F39" i="12"/>
  <c r="G43" i="12"/>
  <c r="G42" i="12"/>
  <c r="G39" i="12"/>
  <c r="G38" i="12"/>
  <c r="G37" i="12"/>
  <c r="G36" i="12"/>
  <c r="G35" i="12"/>
  <c r="G34" i="12"/>
  <c r="G33" i="12"/>
  <c r="G32" i="12"/>
  <c r="G31" i="12"/>
  <c r="G30" i="12"/>
  <c r="G29" i="12"/>
  <c r="E29" i="12"/>
  <c r="E30" i="12"/>
  <c r="E31" i="12"/>
  <c r="E32" i="12"/>
  <c r="E33" i="12"/>
  <c r="E34" i="12"/>
  <c r="E35" i="12"/>
  <c r="E36" i="12"/>
  <c r="E37" i="12"/>
  <c r="E38" i="12"/>
  <c r="E39" i="12"/>
  <c r="E42" i="12"/>
  <c r="E43" i="12"/>
  <c r="F20" i="12"/>
  <c r="F19" i="12"/>
  <c r="F18" i="12"/>
  <c r="F17" i="12"/>
  <c r="F15" i="12"/>
  <c r="F14" i="12"/>
  <c r="F13" i="12"/>
  <c r="F12" i="12"/>
  <c r="F9" i="12"/>
  <c r="F6" i="12"/>
  <c r="AY76" i="12"/>
  <c r="AY73" i="12"/>
  <c r="AY77" i="12"/>
  <c r="AY54" i="12"/>
  <c r="AY53" i="12"/>
  <c r="D266" i="10"/>
  <c r="D265" i="10"/>
  <c r="D264" i="10"/>
  <c r="D298" i="10"/>
  <c r="D297" i="10"/>
  <c r="D296" i="10"/>
  <c r="D295" i="10"/>
  <c r="D294" i="10"/>
  <c r="D293" i="10"/>
  <c r="D292" i="10"/>
  <c r="BA65" i="12"/>
  <c r="BA58" i="12"/>
  <c r="BA59" i="12"/>
  <c r="BA64" i="12"/>
  <c r="BA63" i="12"/>
  <c r="BA62" i="12"/>
  <c r="BA61" i="12"/>
  <c r="BA60" i="12"/>
  <c r="BB60" i="12"/>
  <c r="BB62" i="12"/>
  <c r="AZ57" i="12"/>
  <c r="AZ64" i="12"/>
  <c r="AY58" i="12"/>
  <c r="AZ33" i="12"/>
  <c r="AZ30" i="12"/>
  <c r="BB54" i="12"/>
  <c r="AZ55" i="12"/>
  <c r="AZ63" i="12"/>
  <c r="AY59" i="12"/>
  <c r="AZ34" i="12"/>
  <c r="BB59" i="12"/>
  <c r="BB61" i="12"/>
  <c r="AZ56" i="12"/>
  <c r="AZ62" i="12"/>
  <c r="AY57" i="12"/>
  <c r="AY64" i="12"/>
  <c r="AZ40" i="12"/>
  <c r="AZ35" i="12"/>
  <c r="AZ29" i="12"/>
  <c r="BB57" i="12"/>
  <c r="BB63" i="12"/>
  <c r="AZ61" i="12"/>
  <c r="AY56" i="12"/>
  <c r="AY63" i="12"/>
  <c r="AZ39" i="12"/>
  <c r="BB55" i="12"/>
  <c r="BB64" i="12"/>
  <c r="AZ58" i="12"/>
  <c r="AY60" i="12"/>
  <c r="AZ36" i="12"/>
  <c r="BB58" i="12"/>
  <c r="BB53" i="12"/>
  <c r="AZ60" i="12"/>
  <c r="AY55" i="12"/>
  <c r="AY62" i="12"/>
  <c r="AZ32" i="12"/>
  <c r="BB56" i="12"/>
  <c r="AZ54" i="12"/>
  <c r="AZ59" i="12"/>
  <c r="AZ53" i="12"/>
  <c r="AY61" i="12"/>
  <c r="AZ37" i="12"/>
  <c r="AZ31" i="12"/>
  <c r="AV29" i="12"/>
  <c r="AV36" i="12"/>
  <c r="AV35" i="12"/>
  <c r="AV34" i="12"/>
  <c r="AV33" i="12"/>
  <c r="AV32" i="12"/>
  <c r="AV31" i="12"/>
  <c r="AV30" i="12"/>
  <c r="AV28" i="12"/>
  <c r="AZ28" i="12"/>
  <c r="BB40" i="12"/>
  <c r="BB39" i="12"/>
  <c r="BB37" i="12"/>
  <c r="BB30" i="12"/>
  <c r="BB28" i="12"/>
  <c r="AY40" i="12"/>
  <c r="AY32" i="12"/>
  <c r="AY30" i="12"/>
  <c r="AX35" i="12"/>
  <c r="AX30" i="12"/>
  <c r="AX15" i="12"/>
  <c r="AX10" i="12"/>
  <c r="AZ16" i="12"/>
  <c r="AV15" i="12"/>
  <c r="BB12" i="12"/>
  <c r="BB5" i="12"/>
  <c r="AY11" i="12"/>
  <c r="AY5" i="12"/>
  <c r="BB35" i="12"/>
  <c r="AY31" i="12"/>
  <c r="AX34" i="12"/>
  <c r="AX6" i="12"/>
  <c r="AV16" i="12"/>
  <c r="BB11" i="12"/>
  <c r="BB4" i="12"/>
  <c r="AY8" i="12"/>
  <c r="BB36" i="12"/>
  <c r="BB29" i="12"/>
  <c r="AY39" i="12"/>
  <c r="AY33" i="12"/>
  <c r="AY29" i="12"/>
  <c r="AX33" i="12"/>
  <c r="AX14" i="12"/>
  <c r="AX5" i="12"/>
  <c r="AV4" i="12"/>
  <c r="BB9" i="12"/>
  <c r="AY16" i="12"/>
  <c r="AY9" i="12"/>
  <c r="BB32" i="12"/>
  <c r="AY36" i="12"/>
  <c r="AX40" i="12"/>
  <c r="AX31" i="12"/>
  <c r="AX16" i="12"/>
  <c r="AX9" i="12"/>
  <c r="AZ15" i="12"/>
  <c r="BB15" i="12"/>
  <c r="BB7" i="12"/>
  <c r="AY12" i="12"/>
  <c r="AY4" i="12"/>
  <c r="BB34" i="12"/>
  <c r="AY35" i="12"/>
  <c r="AX36" i="12"/>
  <c r="AX28" i="12"/>
  <c r="AX11" i="12"/>
  <c r="AX4" i="12"/>
  <c r="BB16" i="12"/>
  <c r="BB8" i="12"/>
  <c r="AY13" i="12"/>
  <c r="AY6" i="12"/>
  <c r="BB33" i="12"/>
  <c r="AY37" i="12"/>
  <c r="AX39" i="12"/>
  <c r="AX29" i="12"/>
  <c r="AX8" i="12"/>
  <c r="BB10" i="12"/>
  <c r="AY15" i="12"/>
  <c r="AY7" i="12"/>
  <c r="BB31" i="12"/>
  <c r="AY34" i="12"/>
  <c r="AY28" i="12"/>
  <c r="AX32" i="12"/>
  <c r="AX13" i="12"/>
  <c r="AX7" i="12"/>
  <c r="AZ4" i="12"/>
  <c r="BB13" i="12"/>
  <c r="BB6" i="12"/>
  <c r="AY10" i="12"/>
  <c r="D259" i="4"/>
  <c r="D260" i="4"/>
  <c r="D261" i="4"/>
  <c r="D262" i="4"/>
  <c r="D263" i="4"/>
  <c r="D264" i="4"/>
  <c r="D78" i="10"/>
  <c r="D77" i="10"/>
  <c r="AW73" i="12"/>
  <c r="AW75" i="12"/>
  <c r="AP78" i="12"/>
  <c r="D266" i="6"/>
  <c r="D267" i="6"/>
  <c r="D268" i="6"/>
  <c r="D269" i="6"/>
  <c r="AW76" i="12"/>
  <c r="AW78" i="12"/>
  <c r="AN76" i="12"/>
  <c r="AP77" i="12"/>
  <c r="AO75" i="12"/>
  <c r="AO76" i="12"/>
  <c r="AN77" i="12"/>
  <c r="AP37" i="12"/>
  <c r="AP32" i="12"/>
  <c r="AO39" i="12"/>
  <c r="AO32" i="12"/>
  <c r="AM38" i="12"/>
  <c r="AM33" i="12"/>
  <c r="V39" i="12"/>
  <c r="V32" i="12"/>
  <c r="AJ17" i="12"/>
  <c r="AJ9" i="12"/>
  <c r="AP35" i="12"/>
  <c r="AP30" i="12"/>
  <c r="AO37" i="12"/>
  <c r="AO30" i="12"/>
  <c r="AM37" i="12"/>
  <c r="AM31" i="12"/>
  <c r="V36" i="12"/>
  <c r="V30" i="12"/>
  <c r="AJ15" i="12"/>
  <c r="AJ7" i="12"/>
  <c r="AP34" i="12"/>
  <c r="AP28" i="12"/>
  <c r="AO35" i="12"/>
  <c r="AO29" i="12"/>
  <c r="AM36" i="12"/>
  <c r="AM30" i="12"/>
  <c r="V42" i="12"/>
  <c r="V33" i="12"/>
  <c r="AJ19" i="12"/>
  <c r="AJ11" i="12"/>
  <c r="AJ4" i="12"/>
  <c r="AP39" i="12"/>
  <c r="AO42" i="12"/>
  <c r="AO33" i="12"/>
  <c r="AM42" i="12"/>
  <c r="AM34" i="12"/>
  <c r="AM28" i="12"/>
  <c r="V35" i="12"/>
  <c r="V28" i="12"/>
  <c r="AJ12" i="12"/>
  <c r="AJ5" i="12"/>
  <c r="AP36" i="12"/>
  <c r="AP29" i="12"/>
  <c r="AO36" i="12"/>
  <c r="AO28" i="12"/>
  <c r="AM32" i="12"/>
  <c r="V38" i="12"/>
  <c r="V29" i="12"/>
  <c r="AJ13" i="12"/>
  <c r="AJ6" i="12"/>
  <c r="AN64" i="12"/>
  <c r="AP31" i="12"/>
  <c r="AO38" i="12"/>
  <c r="AO31" i="12"/>
  <c r="AM39" i="12"/>
  <c r="AM35" i="12"/>
  <c r="V43" i="12"/>
  <c r="V34" i="12"/>
  <c r="AJ18" i="12"/>
  <c r="AJ10" i="12"/>
  <c r="AN57" i="12"/>
  <c r="AN56" i="12"/>
  <c r="AN55" i="12"/>
  <c r="AN54" i="12"/>
  <c r="AN53" i="12"/>
  <c r="AP43" i="12"/>
  <c r="AP42" i="12"/>
  <c r="AP38" i="12"/>
  <c r="AP33" i="12"/>
  <c r="AO43" i="12"/>
  <c r="AO34" i="12"/>
  <c r="AM43" i="12"/>
  <c r="AM29" i="12"/>
  <c r="V37" i="12"/>
  <c r="V31" i="12"/>
  <c r="AJ14" i="12"/>
  <c r="AJ8" i="12"/>
  <c r="AN62" i="12"/>
  <c r="AN61" i="12"/>
  <c r="AN60" i="12"/>
  <c r="AN59" i="12"/>
  <c r="AN58" i="12"/>
  <c r="D287" i="6"/>
  <c r="D288" i="6"/>
  <c r="AW62" i="12"/>
  <c r="AN63" i="12"/>
  <c r="AE58" i="12"/>
  <c r="AO52" i="12"/>
  <c r="AO54" i="12"/>
  <c r="AO55" i="12"/>
  <c r="AQ63" i="12"/>
  <c r="AQ64" i="12"/>
  <c r="AO62" i="12"/>
  <c r="AO64" i="12"/>
  <c r="AW54" i="12"/>
  <c r="AW56" i="12"/>
  <c r="AW58" i="12"/>
  <c r="AW60" i="12"/>
  <c r="AO18" i="12"/>
  <c r="AO17" i="12"/>
  <c r="AO13" i="12"/>
  <c r="AO8" i="12"/>
  <c r="AO5" i="12"/>
  <c r="AN19" i="12"/>
  <c r="AN18" i="12"/>
  <c r="AN14" i="12"/>
  <c r="AN13" i="12"/>
  <c r="AN10" i="12"/>
  <c r="AN8" i="12"/>
  <c r="AN6" i="12"/>
  <c r="AN5" i="12"/>
  <c r="AM19" i="12"/>
  <c r="AM17" i="12"/>
  <c r="AM14" i="12"/>
  <c r="AM12" i="12"/>
  <c r="AM10" i="12"/>
  <c r="AM8" i="12"/>
  <c r="AM7" i="12"/>
  <c r="AM5" i="12"/>
  <c r="AM4" i="12"/>
  <c r="AO53" i="12"/>
  <c r="AO61" i="12"/>
  <c r="AO63" i="12"/>
  <c r="AE57" i="12"/>
  <c r="AW55" i="12"/>
  <c r="AW57" i="12"/>
  <c r="AW59" i="12"/>
  <c r="AW61" i="12"/>
  <c r="AW63" i="12"/>
  <c r="AW64" i="12"/>
  <c r="AW53" i="12"/>
  <c r="AV54" i="12"/>
  <c r="AV55" i="12"/>
  <c r="AV56" i="12"/>
  <c r="AV57" i="12"/>
  <c r="AV58" i="12"/>
  <c r="AV59" i="12"/>
  <c r="AV60" i="12"/>
  <c r="AV61" i="12"/>
  <c r="AV62" i="12"/>
  <c r="AV63" i="12"/>
  <c r="AV64" i="12"/>
  <c r="AV53" i="12"/>
  <c r="AO19" i="12"/>
  <c r="AO15" i="12"/>
  <c r="AO14" i="12"/>
  <c r="AO12" i="12"/>
  <c r="AO11" i="12"/>
  <c r="AO10" i="12"/>
  <c r="AO9" i="12"/>
  <c r="AO7" i="12"/>
  <c r="AO6" i="12"/>
  <c r="AO4" i="12"/>
  <c r="AN17" i="12"/>
  <c r="AN15" i="12"/>
  <c r="AN12" i="12"/>
  <c r="AN11" i="12"/>
  <c r="AN9" i="12"/>
  <c r="AN7" i="12"/>
  <c r="AN4" i="12"/>
  <c r="AM18" i="12"/>
  <c r="AM15" i="12"/>
  <c r="AM13" i="12"/>
  <c r="AM11" i="12"/>
  <c r="AM9" i="12"/>
  <c r="AM6" i="12"/>
  <c r="V63" i="12"/>
  <c r="V58" i="12"/>
  <c r="AE43" i="12"/>
  <c r="AE35" i="12"/>
  <c r="AA42" i="12"/>
  <c r="AA28" i="12"/>
  <c r="AB34" i="12"/>
  <c r="AC38" i="12"/>
  <c r="AC31" i="12"/>
  <c r="V64" i="12"/>
  <c r="V59" i="12"/>
  <c r="AE39" i="12"/>
  <c r="AE34" i="12"/>
  <c r="AA39" i="12"/>
  <c r="AA31" i="12"/>
  <c r="AB36" i="12"/>
  <c r="AB29" i="12"/>
  <c r="AC36" i="12"/>
  <c r="V62" i="12"/>
  <c r="V56" i="12"/>
  <c r="AE38" i="12"/>
  <c r="AE32" i="12"/>
  <c r="AA43" i="12"/>
  <c r="AA33" i="12"/>
  <c r="AB39" i="12"/>
  <c r="AB33" i="12"/>
  <c r="AC42" i="12"/>
  <c r="AC32" i="12"/>
  <c r="V60" i="12"/>
  <c r="AE37" i="12"/>
  <c r="AE29" i="12"/>
  <c r="AA36" i="12"/>
  <c r="AA29" i="12"/>
  <c r="AB38" i="12"/>
  <c r="AB30" i="12"/>
  <c r="AC35" i="12"/>
  <c r="AC28" i="12"/>
  <c r="V61" i="12"/>
  <c r="V57" i="12"/>
  <c r="AE42" i="12"/>
  <c r="AE36" i="12"/>
  <c r="AE30" i="12"/>
  <c r="AA37" i="12"/>
  <c r="AA30" i="12"/>
  <c r="AB35" i="12"/>
  <c r="AC43" i="12"/>
  <c r="AC33" i="12"/>
  <c r="V54" i="12"/>
  <c r="AE28" i="12"/>
  <c r="AA34" i="12"/>
  <c r="AB42" i="12"/>
  <c r="AB31" i="12"/>
  <c r="AC37" i="12"/>
  <c r="AC29" i="12"/>
  <c r="V53" i="12"/>
  <c r="AE31" i="12"/>
  <c r="AA35" i="12"/>
  <c r="AB43" i="12"/>
  <c r="AB32" i="12"/>
  <c r="AC39" i="12"/>
  <c r="AC30" i="12"/>
  <c r="V55" i="12"/>
  <c r="AE33" i="12"/>
  <c r="AA38" i="12"/>
  <c r="AA32" i="12"/>
  <c r="AB37" i="12"/>
  <c r="AB28" i="12"/>
  <c r="AC34" i="12"/>
  <c r="AK54" i="12"/>
  <c r="AK55" i="12"/>
  <c r="AK56" i="12"/>
  <c r="AK57" i="12"/>
  <c r="AK58" i="12"/>
  <c r="AK59" i="12"/>
  <c r="AK60" i="12"/>
  <c r="AK61" i="12"/>
  <c r="AK62" i="12"/>
  <c r="AK63" i="12"/>
  <c r="AK64" i="12"/>
  <c r="AK53" i="12"/>
  <c r="AJ54" i="12"/>
  <c r="AJ55" i="12"/>
  <c r="AJ56" i="12"/>
  <c r="AJ57" i="12"/>
  <c r="AJ59" i="12"/>
  <c r="AJ60" i="12"/>
  <c r="AJ61" i="12"/>
  <c r="AJ62" i="12"/>
  <c r="AJ64" i="12"/>
  <c r="AJ53" i="12"/>
  <c r="AB55" i="12"/>
  <c r="AB57" i="12"/>
  <c r="AB59" i="12"/>
  <c r="AB61" i="12"/>
  <c r="AB63" i="12"/>
  <c r="AB53" i="12"/>
  <c r="AD17" i="12"/>
  <c r="AD14" i="12"/>
  <c r="AD12" i="12"/>
  <c r="AD10" i="12"/>
  <c r="AD8" i="12"/>
  <c r="AD6" i="12"/>
  <c r="AD4" i="12"/>
  <c r="AC18" i="12"/>
  <c r="AC15" i="12"/>
  <c r="AC12" i="12"/>
  <c r="AC10" i="12"/>
  <c r="AC8" i="12"/>
  <c r="AC6" i="12"/>
  <c r="AC4" i="12"/>
  <c r="AB18" i="12"/>
  <c r="AB17" i="12"/>
  <c r="AB14" i="12"/>
  <c r="AB12" i="12"/>
  <c r="AB10" i="12"/>
  <c r="AB8" i="12"/>
  <c r="AB6" i="12"/>
  <c r="AB4" i="12"/>
  <c r="V18" i="12"/>
  <c r="V15" i="12"/>
  <c r="V13" i="12"/>
  <c r="V11" i="12"/>
  <c r="V9" i="12"/>
  <c r="V7" i="12"/>
  <c r="V5" i="12"/>
  <c r="AJ58" i="12"/>
  <c r="AJ63" i="12"/>
  <c r="AB54" i="12"/>
  <c r="AB56" i="12"/>
  <c r="AB58" i="12"/>
  <c r="AB60" i="12"/>
  <c r="AB62" i="12"/>
  <c r="AD19" i="12"/>
  <c r="AD18" i="12"/>
  <c r="AD15" i="12"/>
  <c r="AD13" i="12"/>
  <c r="AD11" i="12"/>
  <c r="AD9" i="12"/>
  <c r="AD7" i="12"/>
  <c r="AD5" i="12"/>
  <c r="AC19" i="12"/>
  <c r="AC17" i="12"/>
  <c r="AC14" i="12"/>
  <c r="AC13" i="12"/>
  <c r="AC11" i="12"/>
  <c r="AC9" i="12"/>
  <c r="AC7" i="12"/>
  <c r="AC5" i="12"/>
  <c r="AB19" i="12"/>
  <c r="AB15" i="12"/>
  <c r="AB13" i="12"/>
  <c r="AB11" i="12"/>
  <c r="AB9" i="12"/>
  <c r="AB7" i="12"/>
  <c r="AB5" i="12"/>
  <c r="V19" i="12"/>
  <c r="V17" i="12"/>
  <c r="V14" i="12"/>
  <c r="V12" i="12"/>
  <c r="V10" i="12"/>
  <c r="V8" i="12"/>
  <c r="V6" i="12"/>
  <c r="V4" i="12"/>
  <c r="D44" i="3"/>
  <c r="D43" i="3"/>
  <c r="D279" i="4"/>
  <c r="D278" i="4"/>
  <c r="D277" i="4"/>
  <c r="D282" i="4"/>
  <c r="D280" i="4"/>
  <c r="D281" i="4"/>
  <c r="D273" i="4"/>
  <c r="D271" i="4"/>
  <c r="D269" i="4"/>
  <c r="D268" i="4"/>
  <c r="D270" i="4"/>
  <c r="D272" i="4"/>
  <c r="L59" i="12"/>
  <c r="L57" i="12"/>
  <c r="L64" i="12"/>
  <c r="L55" i="12"/>
  <c r="L65" i="12"/>
  <c r="L63" i="12"/>
  <c r="L54" i="12"/>
  <c r="L58" i="12"/>
  <c r="D291" i="4"/>
  <c r="D290" i="4"/>
  <c r="D289" i="4"/>
  <c r="D287" i="4"/>
  <c r="D286" i="4"/>
  <c r="D288" i="4"/>
  <c r="N61" i="12"/>
  <c r="N62" i="12"/>
  <c r="N63" i="12"/>
  <c r="N53" i="12"/>
  <c r="K54" i="12"/>
  <c r="K55" i="12"/>
  <c r="K56" i="12"/>
  <c r="K57" i="12"/>
  <c r="K58" i="12"/>
  <c r="K59" i="12"/>
  <c r="K60" i="12"/>
  <c r="K61" i="12"/>
  <c r="K62" i="12"/>
  <c r="K63" i="12"/>
  <c r="K64" i="12"/>
  <c r="K53" i="12"/>
  <c r="L53" i="12"/>
  <c r="N54" i="12"/>
  <c r="N55" i="12"/>
  <c r="N56" i="12"/>
  <c r="N57" i="12"/>
  <c r="N58" i="12"/>
  <c r="N59" i="12"/>
  <c r="N60" i="12"/>
  <c r="M61" i="12"/>
  <c r="M57" i="12"/>
  <c r="M64" i="12"/>
  <c r="M58" i="12"/>
  <c r="M55" i="12"/>
  <c r="M60" i="12"/>
  <c r="M53" i="12"/>
  <c r="M62" i="12"/>
  <c r="M56" i="12"/>
  <c r="M63" i="12"/>
  <c r="M54" i="12"/>
  <c r="M59" i="12"/>
  <c r="D243" i="4"/>
  <c r="D251" i="4"/>
  <c r="D245" i="4"/>
  <c r="D241" i="4"/>
  <c r="D246" i="4"/>
  <c r="D247" i="4"/>
  <c r="D250" i="4"/>
  <c r="D242" i="4"/>
  <c r="D249" i="4"/>
  <c r="D234" i="4"/>
  <c r="D230" i="4"/>
  <c r="D227" i="4"/>
  <c r="D231" i="4"/>
  <c r="D235" i="4"/>
  <c r="D232" i="4"/>
  <c r="D228" i="4"/>
  <c r="D236" i="4"/>
  <c r="D233" i="4"/>
  <c r="D229" i="4"/>
  <c r="D237" i="4"/>
  <c r="D208" i="4"/>
  <c r="D218" i="4"/>
  <c r="D210" i="4"/>
  <c r="D216" i="4"/>
  <c r="D219" i="4"/>
  <c r="D213" i="4"/>
  <c r="D209" i="4"/>
  <c r="D215" i="4"/>
  <c r="D214" i="4"/>
  <c r="D211" i="4"/>
  <c r="D217" i="4"/>
  <c r="D212" i="4"/>
  <c r="D195" i="4"/>
  <c r="D200" i="4"/>
  <c r="D201" i="4"/>
  <c r="D196" i="4"/>
  <c r="D203" i="4"/>
  <c r="D204" i="4"/>
  <c r="D198" i="4"/>
  <c r="D197" i="4"/>
  <c r="D193" i="4"/>
  <c r="D199" i="4"/>
  <c r="D202" i="4"/>
  <c r="D194" i="4"/>
  <c r="K28" i="12"/>
  <c r="L42" i="12"/>
  <c r="L41" i="12"/>
  <c r="L39" i="12"/>
  <c r="L38" i="12"/>
  <c r="L37" i="12"/>
  <c r="L36" i="12"/>
  <c r="L35" i="12"/>
  <c r="L34" i="12"/>
  <c r="L33" i="12"/>
  <c r="L32" i="12"/>
  <c r="L31" i="12"/>
  <c r="L30" i="12"/>
  <c r="L29" i="12"/>
  <c r="N43" i="12"/>
  <c r="N42" i="12"/>
  <c r="N41" i="12"/>
  <c r="N39" i="12"/>
  <c r="N38" i="12"/>
  <c r="N37" i="12"/>
  <c r="N36" i="12"/>
  <c r="N35" i="12"/>
  <c r="N34" i="12"/>
  <c r="N33" i="12"/>
  <c r="N32" i="12"/>
  <c r="N31" i="12"/>
  <c r="N30" i="12"/>
  <c r="N29" i="12"/>
  <c r="N28" i="12"/>
  <c r="M43" i="12"/>
  <c r="M42" i="12"/>
  <c r="M41" i="12"/>
  <c r="M39" i="12"/>
  <c r="M38" i="12"/>
  <c r="M37" i="12"/>
  <c r="M36" i="12"/>
  <c r="M35" i="12"/>
  <c r="M34" i="12"/>
  <c r="M33" i="12"/>
  <c r="M32" i="12"/>
  <c r="M31" i="12"/>
  <c r="M30" i="12"/>
  <c r="M29" i="12"/>
  <c r="M28" i="12"/>
  <c r="K43" i="12"/>
  <c r="K42" i="12"/>
  <c r="K38" i="12"/>
  <c r="K37" i="12"/>
  <c r="K35" i="12"/>
  <c r="K34" i="12"/>
  <c r="K33" i="12"/>
  <c r="K31" i="12"/>
  <c r="K30" i="12"/>
  <c r="K29" i="12"/>
  <c r="L28" i="12"/>
  <c r="D186" i="4"/>
  <c r="D180" i="4"/>
  <c r="D175" i="4"/>
  <c r="D181" i="4"/>
  <c r="D173" i="4"/>
  <c r="D183" i="4"/>
  <c r="D187" i="4"/>
  <c r="D179" i="4"/>
  <c r="D176" i="4"/>
  <c r="D185" i="4"/>
  <c r="D177" i="4"/>
  <c r="D182" i="4"/>
  <c r="D174" i="4"/>
  <c r="D172" i="4"/>
  <c r="D178" i="4"/>
  <c r="D167" i="4"/>
  <c r="D160" i="4"/>
  <c r="D155" i="4"/>
  <c r="D156" i="4"/>
  <c r="D166" i="4"/>
  <c r="D161" i="4"/>
  <c r="D153" i="4"/>
  <c r="D164" i="4"/>
  <c r="D162" i="4"/>
  <c r="D159" i="4"/>
  <c r="D157" i="4"/>
  <c r="D158" i="4"/>
  <c r="D168" i="4"/>
  <c r="D163" i="4"/>
  <c r="D154" i="4"/>
  <c r="D148" i="4"/>
  <c r="D140" i="4"/>
  <c r="D134" i="4"/>
  <c r="D149" i="4"/>
  <c r="D144" i="4"/>
  <c r="D135" i="4"/>
  <c r="D143" i="4"/>
  <c r="D136" i="4"/>
  <c r="D141" i="4"/>
  <c r="D137" i="4"/>
  <c r="D139" i="4"/>
  <c r="D125" i="4"/>
  <c r="D122" i="4"/>
  <c r="D121" i="4"/>
  <c r="D117" i="4"/>
  <c r="D119" i="4"/>
  <c r="D124" i="4"/>
  <c r="D126" i="4"/>
  <c r="D123" i="4"/>
  <c r="D130" i="4"/>
  <c r="D129" i="4"/>
  <c r="D127" i="4"/>
  <c r="D120" i="4"/>
  <c r="D116" i="4"/>
  <c r="D118" i="4"/>
  <c r="K17" i="12"/>
  <c r="K18" i="12"/>
  <c r="K4" i="12"/>
  <c r="N18" i="12"/>
  <c r="N17" i="12"/>
  <c r="N16" i="12"/>
  <c r="N14" i="12"/>
  <c r="N13" i="12"/>
  <c r="N12" i="12"/>
  <c r="N11" i="12"/>
  <c r="N10" i="12"/>
  <c r="N9" i="12"/>
  <c r="N8" i="12"/>
  <c r="N7" i="12"/>
  <c r="N6" i="12"/>
  <c r="N5" i="12"/>
  <c r="N4" i="12"/>
  <c r="M5" i="12"/>
  <c r="M6" i="12"/>
  <c r="M7" i="12"/>
  <c r="M8" i="12"/>
  <c r="M9" i="12"/>
  <c r="M10" i="12"/>
  <c r="M11" i="12"/>
  <c r="M12" i="12"/>
  <c r="M13" i="12"/>
  <c r="M14" i="12"/>
  <c r="M16" i="12"/>
  <c r="M17" i="12"/>
  <c r="M18" i="12"/>
  <c r="M4" i="12"/>
  <c r="L5" i="12"/>
  <c r="L6" i="12"/>
  <c r="L7" i="12"/>
  <c r="L8" i="12"/>
  <c r="L9" i="12"/>
  <c r="L10" i="12"/>
  <c r="L11" i="12"/>
  <c r="L12" i="12"/>
  <c r="L13" i="12"/>
  <c r="L14" i="12"/>
  <c r="L15" i="12"/>
  <c r="L17" i="12"/>
  <c r="L18" i="12"/>
  <c r="L4" i="12"/>
  <c r="K5" i="12"/>
  <c r="K6" i="12"/>
  <c r="K7" i="12"/>
  <c r="K8" i="12"/>
  <c r="K9" i="12"/>
  <c r="K10" i="12"/>
  <c r="K11" i="12"/>
  <c r="K12" i="12"/>
  <c r="K13" i="12"/>
  <c r="K14" i="12"/>
  <c r="K16" i="12"/>
  <c r="D85" i="4"/>
  <c r="D83" i="4"/>
  <c r="D81" i="4"/>
  <c r="D82" i="4"/>
  <c r="D84" i="4"/>
  <c r="D78" i="4"/>
  <c r="D87" i="4"/>
  <c r="D77" i="4"/>
  <c r="D75" i="4"/>
  <c r="D89" i="4"/>
  <c r="D88" i="4"/>
  <c r="D76" i="4"/>
  <c r="D79" i="4"/>
  <c r="D80" i="4"/>
  <c r="D61" i="4"/>
  <c r="D64" i="4"/>
  <c r="D60" i="4"/>
  <c r="D67" i="4"/>
  <c r="D59" i="4"/>
  <c r="D63" i="4"/>
  <c r="D66" i="4"/>
  <c r="D57" i="4"/>
  <c r="D69" i="4"/>
  <c r="D62" i="4"/>
  <c r="D65" i="4"/>
  <c r="D71" i="4"/>
  <c r="D70" i="4"/>
  <c r="D58" i="4"/>
  <c r="D40" i="4"/>
  <c r="D42" i="4"/>
  <c r="D49" i="4"/>
  <c r="D47" i="4"/>
  <c r="D52" i="4"/>
  <c r="D51" i="4"/>
  <c r="D39" i="4"/>
  <c r="D38" i="4"/>
  <c r="D48" i="4"/>
  <c r="D43" i="4"/>
  <c r="D53" i="4"/>
  <c r="D45" i="4"/>
  <c r="D46" i="4"/>
  <c r="D41" i="4"/>
  <c r="D44" i="4"/>
  <c r="D32" i="4"/>
  <c r="D29" i="4"/>
  <c r="D33" i="4"/>
  <c r="D27" i="4"/>
  <c r="D25" i="4"/>
  <c r="D23" i="4"/>
  <c r="D22" i="4"/>
  <c r="D21" i="4"/>
  <c r="D26" i="4"/>
  <c r="D34" i="4"/>
  <c r="D30" i="4"/>
  <c r="D28" i="4"/>
  <c r="D24" i="4"/>
  <c r="D20" i="4"/>
  <c r="H75" i="12"/>
  <c r="H62" i="12"/>
  <c r="H58" i="12"/>
  <c r="E54" i="12"/>
  <c r="H61" i="12"/>
  <c r="H56" i="12"/>
  <c r="H59" i="12"/>
  <c r="E55" i="12"/>
  <c r="H76" i="12"/>
  <c r="E53" i="12"/>
  <c r="H74" i="12"/>
  <c r="H55" i="12"/>
  <c r="E56" i="12"/>
  <c r="E57" i="12"/>
  <c r="E58" i="12"/>
  <c r="E59" i="12"/>
  <c r="E60" i="12"/>
  <c r="E61" i="12"/>
  <c r="E62" i="12"/>
  <c r="E63" i="12"/>
  <c r="E64" i="12"/>
  <c r="C29" i="12"/>
  <c r="C30" i="12"/>
  <c r="C31" i="12"/>
  <c r="C32" i="12"/>
  <c r="C33" i="12"/>
  <c r="C34" i="12"/>
  <c r="C35" i="12"/>
  <c r="C36" i="12"/>
  <c r="C39" i="12"/>
  <c r="C40" i="12"/>
  <c r="C28" i="12"/>
  <c r="D30" i="12"/>
  <c r="D31" i="12"/>
  <c r="D32" i="12"/>
  <c r="D33" i="12"/>
  <c r="D34" i="12"/>
  <c r="D35" i="12"/>
  <c r="D36" i="12"/>
  <c r="D37" i="12"/>
  <c r="D40" i="12"/>
  <c r="D41" i="12"/>
  <c r="D29" i="12"/>
  <c r="G7" i="12"/>
  <c r="G8" i="12"/>
  <c r="G9" i="12"/>
  <c r="G10" i="12"/>
  <c r="G11" i="12"/>
  <c r="G12" i="12"/>
  <c r="G13" i="12"/>
  <c r="G14" i="12"/>
  <c r="G16" i="12"/>
  <c r="G17" i="12"/>
  <c r="G18" i="12"/>
  <c r="G6" i="12"/>
  <c r="D7" i="12"/>
  <c r="D8" i="12"/>
  <c r="D9" i="12"/>
  <c r="D10" i="12"/>
  <c r="D11" i="12"/>
  <c r="D12" i="12"/>
  <c r="D13" i="12"/>
  <c r="D14" i="12"/>
  <c r="D16" i="12"/>
  <c r="D17" i="12"/>
  <c r="D18" i="12"/>
  <c r="D6" i="12"/>
  <c r="D140" i="3"/>
  <c r="D139" i="3"/>
  <c r="D142" i="3"/>
  <c r="D143" i="3"/>
  <c r="D131" i="3"/>
  <c r="D129" i="3"/>
  <c r="D130" i="3"/>
  <c r="D133" i="3"/>
  <c r="D135" i="3"/>
  <c r="D132" i="3"/>
  <c r="D134" i="3"/>
  <c r="D112" i="3"/>
  <c r="D115" i="3"/>
  <c r="D114" i="3"/>
  <c r="D111" i="3"/>
  <c r="D105" i="3"/>
  <c r="D97" i="3"/>
  <c r="D100" i="3"/>
  <c r="D102" i="3"/>
  <c r="D96" i="3"/>
  <c r="D99" i="3"/>
  <c r="D101" i="3"/>
  <c r="D98" i="3"/>
  <c r="B65" i="12"/>
  <c r="B54" i="12"/>
  <c r="B57" i="12"/>
  <c r="B56" i="12"/>
  <c r="B59" i="12"/>
  <c r="B63" i="12"/>
  <c r="B62" i="12"/>
  <c r="B64" i="12"/>
  <c r="B58" i="12"/>
  <c r="B61" i="12"/>
  <c r="B53" i="12"/>
  <c r="I55" i="12"/>
  <c r="I56" i="12"/>
  <c r="I57" i="12"/>
  <c r="I58" i="12"/>
  <c r="I59" i="12"/>
  <c r="I60" i="12"/>
  <c r="I61" i="12"/>
  <c r="I62" i="12"/>
  <c r="I63" i="12"/>
  <c r="I64" i="12"/>
  <c r="I54" i="12"/>
  <c r="I37" i="12"/>
  <c r="I31" i="12"/>
  <c r="B36" i="12"/>
  <c r="B32" i="12"/>
  <c r="I39" i="12"/>
  <c r="B40" i="12"/>
  <c r="B30" i="12"/>
  <c r="I34" i="12"/>
  <c r="B39" i="12"/>
  <c r="B33" i="12"/>
  <c r="I35" i="12"/>
  <c r="I29" i="12"/>
  <c r="B34" i="12"/>
  <c r="I36" i="12"/>
  <c r="B38" i="12"/>
  <c r="I53" i="12"/>
  <c r="I30" i="12"/>
  <c r="B35" i="12"/>
  <c r="B29" i="12"/>
  <c r="I32" i="12"/>
  <c r="B37" i="12"/>
  <c r="B31" i="12"/>
  <c r="D123" i="3"/>
  <c r="D121" i="3"/>
  <c r="D117" i="3"/>
  <c r="D122" i="3"/>
  <c r="D116" i="3"/>
  <c r="D120" i="3"/>
  <c r="D119" i="3"/>
  <c r="D107" i="3"/>
  <c r="D104" i="3"/>
  <c r="D103" i="3"/>
  <c r="D106" i="3"/>
  <c r="D64" i="3"/>
  <c r="D65" i="3"/>
  <c r="I5" i="12"/>
  <c r="I6" i="12"/>
  <c r="I7" i="12"/>
  <c r="I8" i="12"/>
  <c r="I9" i="12"/>
  <c r="I10" i="12"/>
  <c r="I11" i="12"/>
  <c r="D86" i="3"/>
  <c r="D84" i="3"/>
  <c r="D87" i="3"/>
  <c r="D80" i="3"/>
  <c r="D89" i="3"/>
  <c r="D79" i="3"/>
  <c r="D81" i="3"/>
  <c r="D85" i="3"/>
  <c r="D82" i="3"/>
  <c r="D71" i="3"/>
  <c r="D74" i="3"/>
  <c r="D68" i="3"/>
  <c r="D75" i="3"/>
  <c r="D72" i="3"/>
  <c r="D67" i="3"/>
  <c r="D70" i="3"/>
  <c r="D69" i="3"/>
  <c r="D66" i="3"/>
  <c r="D73" i="3"/>
  <c r="C5" i="12"/>
  <c r="E5" i="12"/>
  <c r="C6" i="12"/>
  <c r="E6" i="12"/>
  <c r="C7" i="12"/>
  <c r="E7" i="12"/>
  <c r="E8" i="12"/>
  <c r="C8" i="12"/>
  <c r="E9" i="12"/>
  <c r="C9" i="12"/>
  <c r="C10" i="12"/>
  <c r="E10" i="12"/>
  <c r="E11" i="12"/>
  <c r="C11" i="12"/>
  <c r="C12" i="12"/>
  <c r="E12" i="12"/>
  <c r="C13" i="12"/>
  <c r="E13" i="12"/>
  <c r="E14" i="12"/>
  <c r="C14" i="12"/>
  <c r="E15" i="12"/>
  <c r="C15" i="12"/>
  <c r="E17" i="12"/>
  <c r="C17" i="12"/>
  <c r="E18" i="12"/>
  <c r="C18" i="12"/>
  <c r="E19" i="12"/>
  <c r="C19" i="12"/>
  <c r="C20" i="12"/>
  <c r="E20" i="12"/>
  <c r="E4" i="12"/>
  <c r="C4" i="12"/>
  <c r="D31" i="3"/>
  <c r="D35" i="3"/>
  <c r="D39" i="3"/>
  <c r="D34" i="3"/>
  <c r="D37" i="3"/>
  <c r="D38" i="3"/>
  <c r="D36" i="3"/>
  <c r="D32" i="3"/>
  <c r="D33" i="3"/>
  <c r="D40" i="3"/>
  <c r="D17" i="3"/>
  <c r="D23" i="3"/>
  <c r="D14" i="3"/>
  <c r="D13" i="3"/>
  <c r="D22" i="3"/>
  <c r="D12" i="3"/>
  <c r="D20" i="3"/>
  <c r="D26" i="3"/>
  <c r="D18" i="3"/>
  <c r="D27" i="3"/>
  <c r="D19" i="3"/>
  <c r="D15" i="3"/>
  <c r="D21" i="3"/>
  <c r="D25" i="3"/>
  <c r="D16" i="3"/>
  <c r="D24" i="3"/>
  <c r="D226" i="2"/>
  <c r="D225" i="2"/>
  <c r="D343" i="11"/>
  <c r="D348" i="11"/>
  <c r="D349" i="11"/>
  <c r="D344" i="11"/>
  <c r="D345" i="11"/>
  <c r="D336" i="11"/>
  <c r="D337" i="11"/>
  <c r="D347" i="11"/>
  <c r="D339" i="11"/>
  <c r="D338" i="11"/>
  <c r="D323" i="11"/>
  <c r="D324" i="11"/>
  <c r="D326" i="11"/>
  <c r="D328" i="11"/>
  <c r="D329" i="11"/>
  <c r="D327" i="11"/>
  <c r="D325" i="11"/>
  <c r="D318" i="11"/>
  <c r="D315" i="11"/>
  <c r="D319" i="11"/>
  <c r="D313" i="11"/>
  <c r="D317" i="11"/>
  <c r="D316" i="11"/>
  <c r="D314" i="11"/>
  <c r="D304" i="11"/>
  <c r="D302" i="11"/>
  <c r="D296" i="11"/>
  <c r="D306" i="11"/>
  <c r="D297" i="11"/>
  <c r="D299" i="11"/>
  <c r="D298" i="11"/>
  <c r="D300" i="11"/>
  <c r="D303" i="11"/>
  <c r="D294" i="11"/>
  <c r="D295" i="11"/>
  <c r="D301" i="11"/>
  <c r="D293" i="11"/>
  <c r="D307" i="11"/>
  <c r="D278" i="11"/>
  <c r="D280" i="11"/>
  <c r="D282" i="11"/>
  <c r="D283" i="11"/>
  <c r="D275" i="11"/>
  <c r="D281" i="11"/>
  <c r="D288" i="11"/>
  <c r="D289" i="11"/>
  <c r="D284" i="11"/>
  <c r="D285" i="11"/>
  <c r="D277" i="11"/>
  <c r="D276" i="11"/>
  <c r="D286" i="11"/>
  <c r="D279" i="11"/>
  <c r="D269" i="11"/>
  <c r="D270" i="11"/>
  <c r="D263" i="11"/>
  <c r="D259" i="11"/>
  <c r="D260" i="11"/>
  <c r="D267" i="11"/>
  <c r="D264" i="11"/>
  <c r="D257" i="11"/>
  <c r="D266" i="11"/>
  <c r="D261" i="11"/>
  <c r="D258" i="11"/>
  <c r="D268" i="11"/>
  <c r="D262" i="11"/>
  <c r="D265" i="11"/>
  <c r="D246" i="11"/>
  <c r="D243" i="11"/>
  <c r="D242" i="11"/>
  <c r="D245" i="11"/>
  <c r="D248" i="11"/>
  <c r="D250" i="11"/>
  <c r="D252" i="11"/>
  <c r="D249" i="11"/>
  <c r="D244" i="11"/>
  <c r="D247" i="11"/>
  <c r="D253" i="11"/>
  <c r="D241" i="11"/>
  <c r="D240" i="11"/>
  <c r="D251" i="11"/>
  <c r="D210" i="11"/>
  <c r="D206" i="11"/>
  <c r="D209" i="11"/>
  <c r="D220" i="11"/>
  <c r="D213" i="11"/>
  <c r="D215" i="11"/>
  <c r="D212" i="11"/>
  <c r="D211" i="11"/>
  <c r="D214" i="11"/>
  <c r="D216" i="11"/>
  <c r="D208" i="11"/>
  <c r="D207" i="11"/>
  <c r="D219" i="11"/>
  <c r="D217" i="11"/>
  <c r="D197" i="11"/>
  <c r="D188" i="11"/>
  <c r="D189" i="11"/>
  <c r="D199" i="11"/>
  <c r="D192" i="11"/>
  <c r="D193" i="11"/>
  <c r="D194" i="11"/>
  <c r="D196" i="11"/>
  <c r="D202" i="11"/>
  <c r="D201" i="11"/>
  <c r="D190" i="11"/>
  <c r="D200" i="11"/>
  <c r="D195" i="11"/>
  <c r="D177" i="11"/>
  <c r="D178" i="11"/>
  <c r="D180" i="11"/>
  <c r="D182" i="11"/>
  <c r="D183" i="11"/>
  <c r="D184" i="11"/>
  <c r="D179" i="11"/>
  <c r="D181" i="11"/>
  <c r="D173" i="11"/>
  <c r="D174" i="11"/>
  <c r="D175" i="11"/>
  <c r="D176" i="11"/>
  <c r="D162" i="11"/>
  <c r="D168" i="11"/>
  <c r="D167" i="11"/>
  <c r="D166" i="11"/>
  <c r="D165" i="11"/>
  <c r="D169" i="11"/>
  <c r="D158" i="11"/>
  <c r="D164" i="11"/>
  <c r="D159" i="11"/>
  <c r="D160" i="11"/>
  <c r="D161" i="11"/>
  <c r="D163" i="11"/>
  <c r="D117" i="11"/>
  <c r="D115" i="11"/>
  <c r="D121" i="11"/>
  <c r="D109" i="11"/>
  <c r="D107" i="11"/>
  <c r="D110" i="11"/>
  <c r="D113" i="11"/>
  <c r="D114" i="11"/>
  <c r="D116" i="11"/>
  <c r="D112" i="11"/>
  <c r="D118" i="11"/>
  <c r="D111" i="11"/>
  <c r="D108" i="11"/>
  <c r="D102" i="11"/>
  <c r="D92" i="11"/>
  <c r="D91" i="11"/>
  <c r="D99" i="11"/>
  <c r="D103" i="11"/>
  <c r="D97" i="11"/>
  <c r="D95" i="11"/>
  <c r="D94" i="11"/>
  <c r="D88" i="11"/>
  <c r="D89" i="11"/>
  <c r="D98" i="11"/>
  <c r="D90" i="11"/>
  <c r="D93" i="11"/>
  <c r="D96" i="11"/>
  <c r="D83" i="11"/>
  <c r="D74" i="11"/>
  <c r="D78" i="11"/>
  <c r="D75" i="11"/>
  <c r="D76" i="11"/>
  <c r="D70" i="11"/>
  <c r="D69" i="11"/>
  <c r="D68" i="11"/>
  <c r="D82" i="11"/>
  <c r="D73" i="11"/>
  <c r="D77" i="11"/>
  <c r="D79" i="11"/>
  <c r="D285" i="10"/>
  <c r="D284" i="10"/>
  <c r="D267" i="10"/>
  <c r="D268" i="10"/>
  <c r="D269" i="10"/>
  <c r="A285" i="10"/>
  <c r="A276" i="10"/>
  <c r="A287" i="10"/>
  <c r="A284" i="10"/>
  <c r="A292" i="10"/>
  <c r="A282" i="10"/>
  <c r="A293" i="10"/>
  <c r="A294" i="10"/>
  <c r="A269" i="10"/>
  <c r="A266" i="10"/>
  <c r="A306" i="10"/>
  <c r="A295" i="10"/>
  <c r="A297" i="10"/>
  <c r="A267" i="10"/>
  <c r="A283" i="10"/>
  <c r="A298" i="10"/>
  <c r="A265" i="10"/>
  <c r="A296" i="10"/>
  <c r="A275" i="10"/>
  <c r="A274" i="10"/>
  <c r="A268" i="10"/>
  <c r="A264" i="10"/>
  <c r="A277" i="10"/>
  <c r="A302" i="10"/>
  <c r="A278" i="10"/>
  <c r="A286" i="10"/>
  <c r="A273" i="10"/>
  <c r="A288" i="10"/>
  <c r="D255" i="10"/>
  <c r="D249" i="10"/>
  <c r="D256" i="10"/>
  <c r="D248" i="10"/>
  <c r="D253" i="10"/>
  <c r="D254" i="10"/>
  <c r="D247" i="10"/>
  <c r="D251" i="10"/>
  <c r="D257" i="10"/>
  <c r="D258" i="10"/>
  <c r="D250" i="10"/>
  <c r="D252" i="10"/>
  <c r="D237" i="10"/>
  <c r="D236" i="10"/>
  <c r="D240" i="10"/>
  <c r="D239" i="10"/>
  <c r="D242" i="10"/>
  <c r="D233" i="10"/>
  <c r="D238" i="10"/>
  <c r="D235" i="10"/>
  <c r="D234" i="10"/>
  <c r="D241" i="10"/>
  <c r="D243" i="10"/>
  <c r="D232" i="10"/>
  <c r="D226" i="10"/>
  <c r="D220" i="10"/>
  <c r="D224" i="10"/>
  <c r="D228" i="10"/>
  <c r="D223" i="10"/>
  <c r="D221" i="10"/>
  <c r="D218" i="10"/>
  <c r="D219" i="10"/>
  <c r="D217" i="10"/>
  <c r="D222" i="10"/>
  <c r="D225" i="10"/>
  <c r="D227" i="10"/>
  <c r="D203" i="10"/>
  <c r="D212" i="10"/>
  <c r="D205" i="10"/>
  <c r="D213" i="10"/>
  <c r="D208" i="10"/>
  <c r="D210" i="10"/>
  <c r="D211" i="10"/>
  <c r="D204" i="10"/>
  <c r="D202" i="10"/>
  <c r="D207" i="10"/>
  <c r="D209" i="10"/>
  <c r="D206" i="10"/>
  <c r="A238" i="10"/>
  <c r="A233" i="10"/>
  <c r="A257" i="10"/>
  <c r="A247" i="10"/>
  <c r="A211" i="10"/>
  <c r="A237" i="10"/>
  <c r="A209" i="10"/>
  <c r="A203" i="10"/>
  <c r="A242" i="10"/>
  <c r="A251" i="10"/>
  <c r="A234" i="10"/>
  <c r="A207" i="10"/>
  <c r="A258" i="10"/>
  <c r="A205" i="10"/>
  <c r="A206" i="10"/>
  <c r="A213" i="10"/>
  <c r="A249" i="10"/>
  <c r="A256" i="10"/>
  <c r="A228" i="10"/>
  <c r="A248" i="10"/>
  <c r="A252" i="10"/>
  <c r="A250" i="10"/>
  <c r="A243" i="10"/>
  <c r="A236" i="10"/>
  <c r="A221" i="10"/>
  <c r="A232" i="10"/>
  <c r="A219" i="10"/>
  <c r="A212" i="10"/>
  <c r="A223" i="10"/>
  <c r="A210" i="10"/>
  <c r="A202" i="10"/>
  <c r="A208" i="10"/>
  <c r="A235" i="10"/>
  <c r="A220" i="10"/>
  <c r="A255" i="10"/>
  <c r="A226" i="10"/>
  <c r="A218" i="10"/>
  <c r="A225" i="10"/>
  <c r="A224" i="10"/>
  <c r="A253" i="10"/>
  <c r="A222" i="10"/>
  <c r="A217" i="10"/>
  <c r="A240" i="10"/>
  <c r="A239" i="10"/>
  <c r="A227" i="10"/>
  <c r="A254" i="10"/>
  <c r="A241" i="10"/>
  <c r="A204" i="10"/>
  <c r="D187" i="10"/>
  <c r="D192" i="10"/>
  <c r="D191" i="10"/>
  <c r="D190" i="10"/>
  <c r="D185" i="10"/>
  <c r="D186" i="10"/>
  <c r="D195" i="10"/>
  <c r="D188" i="10"/>
  <c r="D193" i="10"/>
  <c r="D196" i="10"/>
  <c r="D184" i="10"/>
  <c r="D189" i="10"/>
  <c r="D174" i="10"/>
  <c r="D176" i="10"/>
  <c r="D173" i="10"/>
  <c r="D172" i="10"/>
  <c r="D171" i="10"/>
  <c r="D169" i="10"/>
  <c r="D170" i="10"/>
  <c r="D180" i="10"/>
  <c r="D168" i="10"/>
  <c r="D177" i="10"/>
  <c r="D179" i="10"/>
  <c r="D175" i="10"/>
  <c r="D163" i="10"/>
  <c r="D159" i="10"/>
  <c r="D156" i="10"/>
  <c r="D155" i="10"/>
  <c r="D161" i="10"/>
  <c r="D158" i="10"/>
  <c r="D160" i="10"/>
  <c r="D153" i="10"/>
  <c r="D157" i="10"/>
  <c r="D154" i="10"/>
  <c r="D164" i="10"/>
  <c r="D152" i="10"/>
  <c r="D144" i="10"/>
  <c r="D143" i="10"/>
  <c r="D138" i="10"/>
  <c r="D137" i="10"/>
  <c r="D148" i="10"/>
  <c r="D136" i="10"/>
  <c r="D139" i="10"/>
  <c r="D140" i="10"/>
  <c r="D141" i="10"/>
  <c r="D142" i="10"/>
  <c r="D147" i="10"/>
  <c r="D128" i="10"/>
  <c r="D130" i="10"/>
  <c r="D122" i="10"/>
  <c r="D129" i="10"/>
  <c r="D125" i="10"/>
  <c r="D127" i="10"/>
  <c r="D123" i="10"/>
  <c r="D126" i="10"/>
  <c r="D124" i="10"/>
  <c r="A168" i="10"/>
  <c r="A142" i="10"/>
  <c r="A193" i="10"/>
  <c r="A184" i="10"/>
  <c r="A157" i="10"/>
  <c r="A169" i="10"/>
  <c r="A164" i="10"/>
  <c r="A154" i="10"/>
  <c r="A148" i="10"/>
  <c r="A187" i="10"/>
  <c r="A124" i="10"/>
  <c r="A185" i="10"/>
  <c r="A152" i="10"/>
  <c r="A147" i="10"/>
  <c r="A137" i="10"/>
  <c r="A191" i="10"/>
  <c r="A188" i="10"/>
  <c r="A186" i="10"/>
  <c r="A179" i="10"/>
  <c r="A195" i="10"/>
  <c r="A196" i="10"/>
  <c r="A190" i="10"/>
  <c r="A174" i="10"/>
  <c r="A171" i="10"/>
  <c r="A141" i="10"/>
  <c r="A140" i="10"/>
  <c r="A127" i="10"/>
  <c r="A123" i="10"/>
  <c r="A156" i="10"/>
  <c r="A175" i="10"/>
  <c r="A172" i="10"/>
  <c r="A128" i="10"/>
  <c r="A126" i="10"/>
  <c r="A176" i="10"/>
  <c r="A161" i="10"/>
  <c r="A159" i="10"/>
  <c r="A192" i="10"/>
  <c r="A155" i="10"/>
  <c r="A138" i="10"/>
  <c r="A136" i="10"/>
  <c r="A129" i="10"/>
  <c r="A125" i="10"/>
  <c r="A189" i="10"/>
  <c r="A153" i="10"/>
  <c r="A143" i="10"/>
  <c r="A139" i="10"/>
  <c r="A180" i="10"/>
  <c r="A177" i="10"/>
  <c r="A173" i="10"/>
  <c r="A170" i="10"/>
  <c r="A163" i="10"/>
  <c r="A160" i="10"/>
  <c r="A158" i="10"/>
  <c r="A144" i="10"/>
  <c r="A130" i="10"/>
  <c r="A122" i="10"/>
  <c r="E113" i="10"/>
  <c r="H158" i="10"/>
  <c r="H155" i="10"/>
  <c r="F124" i="10"/>
  <c r="F127" i="10"/>
  <c r="B105" i="10"/>
  <c r="F184" i="10"/>
  <c r="F192" i="10"/>
  <c r="B116" i="10"/>
  <c r="H136" i="10"/>
  <c r="H139" i="10"/>
  <c r="E102" i="10"/>
  <c r="C116" i="10"/>
  <c r="F172" i="10"/>
  <c r="F168" i="10"/>
  <c r="H122" i="10"/>
  <c r="D102" i="10"/>
  <c r="H125" i="10"/>
  <c r="H170" i="10"/>
  <c r="D113" i="10"/>
  <c r="H174" i="10"/>
  <c r="F186" i="10"/>
  <c r="F189" i="10"/>
  <c r="C105" i="10"/>
  <c r="D83" i="10"/>
  <c r="D89" i="10"/>
  <c r="D84" i="10"/>
  <c r="D88" i="10"/>
  <c r="D87" i="10"/>
  <c r="D94" i="10"/>
  <c r="D82" i="10"/>
  <c r="D92" i="10"/>
  <c r="D93" i="10"/>
  <c r="D91" i="10"/>
  <c r="D85" i="10"/>
  <c r="D86" i="10"/>
  <c r="H157" i="10"/>
  <c r="C113" i="10"/>
  <c r="H154" i="10"/>
  <c r="D105" i="10"/>
  <c r="F140" i="10"/>
  <c r="F137" i="10"/>
  <c r="D116" i="10"/>
  <c r="F153" i="10"/>
  <c r="F156" i="10"/>
  <c r="C102" i="10"/>
  <c r="H188" i="10"/>
  <c r="H185" i="10"/>
  <c r="H173" i="10"/>
  <c r="B113" i="10"/>
  <c r="H169" i="10"/>
  <c r="F141" i="10"/>
  <c r="F138" i="10"/>
  <c r="E105" i="10"/>
  <c r="E116" i="10"/>
  <c r="F190" i="10"/>
  <c r="F152" i="10"/>
  <c r="B102" i="10"/>
  <c r="H129" i="10"/>
  <c r="H126" i="10"/>
  <c r="F157" i="10"/>
  <c r="F160" i="10"/>
  <c r="C111" i="10"/>
  <c r="D72" i="10"/>
  <c r="D66" i="10"/>
  <c r="D67" i="10"/>
  <c r="D70" i="10"/>
  <c r="D69" i="10"/>
  <c r="D75" i="10"/>
  <c r="D68" i="10"/>
  <c r="D73" i="10"/>
  <c r="D74" i="10"/>
  <c r="C100" i="10"/>
  <c r="F188" i="10"/>
  <c r="F191" i="10"/>
  <c r="F171" i="10"/>
  <c r="H152" i="10"/>
  <c r="E117" i="10"/>
  <c r="H138" i="10"/>
  <c r="E106" i="10"/>
  <c r="F144" i="10"/>
  <c r="F173" i="10"/>
  <c r="H176" i="10"/>
  <c r="B112" i="10"/>
  <c r="B101" i="10"/>
  <c r="H123" i="10"/>
  <c r="F126" i="10"/>
  <c r="H160" i="10"/>
  <c r="C112" i="10"/>
  <c r="F154" i="10"/>
  <c r="H137" i="10"/>
  <c r="F143" i="10"/>
  <c r="D106" i="10"/>
  <c r="D117" i="10"/>
  <c r="F159" i="10"/>
  <c r="H153" i="10"/>
  <c r="H191" i="10"/>
  <c r="C101" i="10"/>
  <c r="F185" i="10"/>
  <c r="D107" i="10"/>
  <c r="H140" i="10"/>
  <c r="H143" i="10"/>
  <c r="D118" i="10"/>
  <c r="H156" i="10"/>
  <c r="H159" i="10"/>
  <c r="D59" i="10"/>
  <c r="D51" i="10"/>
  <c r="D53" i="10"/>
  <c r="D57" i="10"/>
  <c r="D61" i="10"/>
  <c r="D56" i="10"/>
  <c r="D52" i="10"/>
  <c r="D54" i="10"/>
  <c r="D62" i="10"/>
  <c r="D58" i="10"/>
  <c r="D50" i="10"/>
  <c r="H124" i="10"/>
  <c r="B106" i="10"/>
  <c r="F130" i="10"/>
  <c r="C117" i="10"/>
  <c r="F175" i="10"/>
  <c r="H168" i="10"/>
  <c r="H128" i="10"/>
  <c r="F122" i="10"/>
  <c r="D101" i="10"/>
  <c r="E112" i="10"/>
  <c r="F155" i="10"/>
  <c r="H161" i="10"/>
  <c r="B117" i="10"/>
  <c r="H184" i="10"/>
  <c r="F187" i="10"/>
  <c r="H142" i="10"/>
  <c r="E101" i="10"/>
  <c r="F136" i="10"/>
  <c r="F176" i="10"/>
  <c r="F169" i="10"/>
  <c r="B111" i="10"/>
  <c r="D46" i="10"/>
  <c r="D41" i="10"/>
  <c r="D43" i="10"/>
  <c r="D45" i="10"/>
  <c r="D42" i="10"/>
  <c r="D37" i="10"/>
  <c r="D38" i="10"/>
  <c r="D36" i="10"/>
  <c r="D34" i="10"/>
  <c r="D35" i="10"/>
  <c r="D40" i="10"/>
  <c r="D39" i="10"/>
  <c r="E107" i="10"/>
  <c r="H141" i="10"/>
  <c r="H144" i="10"/>
  <c r="B107" i="10"/>
  <c r="H130" i="10"/>
  <c r="H127" i="10"/>
  <c r="H189" i="10"/>
  <c r="H193" i="10"/>
  <c r="C107" i="10"/>
  <c r="H192" i="10"/>
  <c r="B118" i="10"/>
  <c r="H187" i="10"/>
  <c r="E100" i="10"/>
  <c r="F142" i="10"/>
  <c r="F139" i="10"/>
  <c r="E111" i="10"/>
  <c r="F161" i="10"/>
  <c r="F158" i="10"/>
  <c r="C118" i="10"/>
  <c r="H172" i="10"/>
  <c r="H175" i="10"/>
  <c r="F125" i="10"/>
  <c r="D100" i="10"/>
  <c r="F128" i="10"/>
  <c r="E118" i="10"/>
  <c r="H171" i="10"/>
  <c r="H190" i="10"/>
  <c r="F129" i="10"/>
  <c r="B100" i="10"/>
  <c r="F123" i="10"/>
  <c r="D22" i="10"/>
  <c r="D30" i="10"/>
  <c r="D24" i="10"/>
  <c r="D23" i="10"/>
  <c r="D25" i="10"/>
  <c r="D26" i="10"/>
  <c r="D18" i="10"/>
  <c r="D20" i="10"/>
  <c r="D21" i="10"/>
  <c r="D29" i="10"/>
  <c r="D27" i="10"/>
  <c r="D19" i="10"/>
  <c r="A55" i="10"/>
  <c r="A75" i="10"/>
  <c r="A83" i="10"/>
  <c r="A42" i="10"/>
  <c r="A34" i="10"/>
  <c r="A78" i="10"/>
  <c r="A24" i="10"/>
  <c r="A56" i="10"/>
  <c r="A87" i="10"/>
  <c r="A86" i="10"/>
  <c r="A67" i="10"/>
  <c r="A66" i="10"/>
  <c r="A62" i="10"/>
  <c r="A46" i="10"/>
  <c r="A35" i="10"/>
  <c r="A30" i="10"/>
  <c r="A51" i="10"/>
  <c r="A91" i="10"/>
  <c r="A37" i="10"/>
  <c r="A71" i="10"/>
  <c r="A25" i="10"/>
  <c r="A18" i="10"/>
  <c r="A68" i="10"/>
  <c r="A22" i="10"/>
  <c r="A27" i="10"/>
  <c r="A70" i="10"/>
  <c r="A77" i="10"/>
  <c r="A89" i="10"/>
  <c r="A61" i="10"/>
  <c r="A72" i="10"/>
  <c r="A54" i="10"/>
  <c r="A39" i="10"/>
  <c r="A19" i="10"/>
  <c r="A41" i="10"/>
  <c r="A73" i="10"/>
  <c r="A20" i="10"/>
  <c r="A53" i="10"/>
  <c r="A94" i="10"/>
  <c r="A58" i="10"/>
  <c r="A45" i="10"/>
  <c r="A93" i="10"/>
  <c r="A92" i="10"/>
  <c r="A57" i="10"/>
  <c r="A82" i="10"/>
  <c r="A84" i="10"/>
  <c r="A59" i="10"/>
  <c r="A85" i="10"/>
  <c r="A36" i="10"/>
  <c r="A88" i="10"/>
  <c r="A50" i="10"/>
  <c r="A43" i="10"/>
  <c r="A74" i="10"/>
  <c r="A23" i="10"/>
  <c r="A40" i="10"/>
  <c r="A21" i="10"/>
  <c r="A69" i="10"/>
  <c r="A38" i="10"/>
  <c r="A29" i="10"/>
  <c r="A26" i="10"/>
  <c r="A52" i="10"/>
  <c r="D299" i="9"/>
  <c r="D294" i="9"/>
  <c r="D283" i="9"/>
  <c r="D274" i="9"/>
  <c r="D265" i="9"/>
  <c r="A293" i="9"/>
  <c r="A270" i="9"/>
  <c r="A288" i="9"/>
  <c r="A285" i="9"/>
  <c r="A277" i="9"/>
  <c r="A292" i="9"/>
  <c r="A266" i="9"/>
  <c r="A275" i="9"/>
  <c r="A298" i="9"/>
  <c r="A274" i="9"/>
  <c r="A268" i="9"/>
  <c r="A287" i="9"/>
  <c r="A297" i="9"/>
  <c r="A283" i="9"/>
  <c r="A267" i="9"/>
  <c r="A278" i="9"/>
  <c r="A284" i="9"/>
  <c r="A276" i="9"/>
  <c r="A265" i="9"/>
  <c r="A294" i="9"/>
  <c r="A299" i="9"/>
  <c r="A269" i="9"/>
  <c r="A279" i="9"/>
  <c r="A286" i="9"/>
  <c r="A296" i="9"/>
  <c r="A295" i="9"/>
  <c r="D250" i="9"/>
  <c r="D252" i="9"/>
  <c r="D251" i="9"/>
  <c r="D249" i="9"/>
  <c r="D242" i="9"/>
  <c r="D240" i="9"/>
  <c r="D234" i="9"/>
  <c r="D236" i="9"/>
  <c r="D239" i="9"/>
  <c r="D243" i="9"/>
  <c r="D244" i="9"/>
  <c r="D241" i="9"/>
  <c r="D235" i="9"/>
  <c r="D237" i="9"/>
  <c r="D245" i="9"/>
  <c r="D238" i="9"/>
  <c r="D228" i="9"/>
  <c r="D230" i="9"/>
  <c r="D225" i="9"/>
  <c r="D222" i="9"/>
  <c r="D220" i="9"/>
  <c r="D219" i="9"/>
  <c r="D224" i="9"/>
  <c r="D227" i="9"/>
  <c r="D229" i="9"/>
  <c r="D221" i="9"/>
  <c r="D226" i="9"/>
  <c r="D223" i="9"/>
  <c r="D208" i="9"/>
  <c r="D212" i="9"/>
  <c r="D211" i="9"/>
  <c r="D206" i="9"/>
  <c r="D210" i="9"/>
  <c r="D204" i="9"/>
  <c r="D213" i="9"/>
  <c r="D207" i="9"/>
  <c r="D205" i="9"/>
  <c r="D209" i="9"/>
  <c r="D215" i="9"/>
  <c r="D214" i="9"/>
  <c r="A220" i="9"/>
  <c r="A225" i="9"/>
  <c r="A234" i="9"/>
  <c r="A204" i="9"/>
  <c r="A249" i="9"/>
  <c r="A244" i="9"/>
  <c r="A237" i="9"/>
  <c r="A235" i="9"/>
  <c r="A223" i="9"/>
  <c r="A207" i="9"/>
  <c r="A252" i="9"/>
  <c r="A257" i="9"/>
  <c r="A227" i="9"/>
  <c r="A241" i="9"/>
  <c r="A250" i="9"/>
  <c r="A259" i="9"/>
  <c r="A258" i="9"/>
  <c r="A209" i="9"/>
  <c r="A215" i="9"/>
  <c r="A212" i="9"/>
  <c r="A240" i="9"/>
  <c r="A238" i="9"/>
  <c r="A239" i="9"/>
  <c r="A229" i="9"/>
  <c r="A224" i="9"/>
  <c r="A221" i="9"/>
  <c r="A206" i="9"/>
  <c r="A245" i="9"/>
  <c r="A256" i="9"/>
  <c r="A251" i="9"/>
  <c r="A242" i="9"/>
  <c r="A230" i="9"/>
  <c r="A226" i="9"/>
  <c r="A222" i="9"/>
  <c r="A213" i="9"/>
  <c r="A208" i="9"/>
  <c r="A214" i="9"/>
  <c r="A243" i="9"/>
  <c r="A211" i="9"/>
  <c r="A236" i="9"/>
  <c r="A210" i="9"/>
  <c r="A228" i="9"/>
  <c r="A205" i="9"/>
  <c r="A219" i="9"/>
  <c r="D194" i="9"/>
  <c r="D198" i="9"/>
  <c r="D183" i="9"/>
  <c r="D189" i="9"/>
  <c r="D193" i="9"/>
  <c r="D186" i="9"/>
  <c r="D190" i="9"/>
  <c r="D184" i="9"/>
  <c r="D185" i="9"/>
  <c r="D192" i="9"/>
  <c r="D197" i="9"/>
  <c r="D191" i="9"/>
  <c r="D171" i="9"/>
  <c r="D175" i="9"/>
  <c r="D174" i="9"/>
  <c r="D166" i="9"/>
  <c r="D170" i="9"/>
  <c r="D164" i="9"/>
  <c r="D179" i="9"/>
  <c r="D173" i="9"/>
  <c r="D165" i="9"/>
  <c r="D167" i="9"/>
  <c r="D178" i="9"/>
  <c r="D172" i="9"/>
  <c r="D147" i="9"/>
  <c r="D152" i="9"/>
  <c r="D159" i="9"/>
  <c r="D154" i="9"/>
  <c r="D146" i="9"/>
  <c r="D148" i="9"/>
  <c r="D151" i="9"/>
  <c r="D155" i="9"/>
  <c r="D156" i="9"/>
  <c r="D150" i="9"/>
  <c r="D145" i="9"/>
  <c r="D149" i="9"/>
  <c r="D153" i="9"/>
  <c r="D160" i="9"/>
  <c r="D127" i="9"/>
  <c r="D135" i="9"/>
  <c r="D126" i="9"/>
  <c r="D134" i="9"/>
  <c r="D133" i="9"/>
  <c r="D128" i="9"/>
  <c r="D137" i="9"/>
  <c r="D129" i="9"/>
  <c r="D131" i="9"/>
  <c r="D141" i="9"/>
  <c r="D140" i="9"/>
  <c r="D136" i="9"/>
  <c r="D130" i="9"/>
  <c r="D132" i="9"/>
  <c r="A152" i="9"/>
  <c r="A156" i="9"/>
  <c r="A171" i="9"/>
  <c r="A184" i="9"/>
  <c r="A198" i="9"/>
  <c r="A197" i="9"/>
  <c r="A131" i="9"/>
  <c r="A133" i="9"/>
  <c r="A136" i="9"/>
  <c r="A164" i="9"/>
  <c r="A178" i="9"/>
  <c r="A183" i="9"/>
  <c r="A175" i="9"/>
  <c r="A140" i="9"/>
  <c r="A134" i="9"/>
  <c r="A160" i="9"/>
  <c r="A190" i="9"/>
  <c r="A172" i="9"/>
  <c r="A194" i="9"/>
  <c r="A135" i="9"/>
  <c r="A146" i="9"/>
  <c r="A148" i="9"/>
  <c r="A170" i="9"/>
  <c r="A154" i="9"/>
  <c r="A179" i="9"/>
  <c r="A174" i="9"/>
  <c r="A141" i="9"/>
  <c r="A185" i="9"/>
  <c r="A128" i="9"/>
  <c r="A192" i="9"/>
  <c r="A189" i="9"/>
  <c r="A165" i="9"/>
  <c r="A145" i="9"/>
  <c r="A149" i="9"/>
  <c r="A173" i="9"/>
  <c r="A167" i="9"/>
  <c r="A166" i="9"/>
  <c r="A186" i="9"/>
  <c r="A153" i="9"/>
  <c r="A191" i="9"/>
  <c r="A129" i="9"/>
  <c r="A159" i="9"/>
  <c r="A150" i="9"/>
  <c r="A147" i="9"/>
  <c r="A137" i="9"/>
  <c r="A132" i="9"/>
  <c r="A130" i="9"/>
  <c r="A155" i="9"/>
  <c r="A127" i="9"/>
  <c r="A126" i="9"/>
  <c r="A193" i="9"/>
  <c r="A151" i="9"/>
  <c r="F133" i="9"/>
  <c r="F129" i="9"/>
  <c r="B109" i="9"/>
  <c r="C109" i="9"/>
  <c r="F132" i="9"/>
  <c r="F128" i="9"/>
  <c r="B120" i="9"/>
  <c r="F165" i="9"/>
  <c r="H172" i="9" s="1"/>
  <c r="H178" i="9" s="1"/>
  <c r="F251" i="9" s="1"/>
  <c r="F258" i="9" s="1"/>
  <c r="H279" i="9" s="1"/>
  <c r="D318" i="9" s="1"/>
  <c r="H146" i="9"/>
  <c r="E106" i="9"/>
  <c r="H150" i="9"/>
  <c r="C120" i="9"/>
  <c r="F164" i="9"/>
  <c r="H173" i="9" s="1"/>
  <c r="H250" i="9" s="1"/>
  <c r="F257" i="9" s="1"/>
  <c r="F287" i="9" s="1"/>
  <c r="D321" i="9" s="1"/>
  <c r="E117" i="9"/>
  <c r="H190" i="9"/>
  <c r="H186" i="9"/>
  <c r="H185" i="9"/>
  <c r="D117" i="9"/>
  <c r="H189" i="9"/>
  <c r="H145" i="9"/>
  <c r="D106" i="9"/>
  <c r="H149" i="9"/>
  <c r="H167" i="9"/>
  <c r="H171" i="9"/>
  <c r="C117" i="9"/>
  <c r="C106" i="9"/>
  <c r="H127" i="9"/>
  <c r="H131" i="9"/>
  <c r="D120" i="9"/>
  <c r="F184" i="9"/>
  <c r="F192" i="9" s="1"/>
  <c r="H249" i="9" s="1"/>
  <c r="F256" i="9" s="1"/>
  <c r="F279" i="9" s="1"/>
  <c r="D319" i="9" s="1"/>
  <c r="F152" i="9"/>
  <c r="F148" i="9"/>
  <c r="D109" i="9"/>
  <c r="D96" i="9"/>
  <c r="D89" i="9"/>
  <c r="D87" i="9"/>
  <c r="D90" i="9"/>
  <c r="D84" i="9"/>
  <c r="D86" i="9"/>
  <c r="D85" i="9"/>
  <c r="D81" i="9"/>
  <c r="D97" i="9"/>
  <c r="D82" i="9"/>
  <c r="D91" i="9"/>
  <c r="D88" i="9"/>
  <c r="D83" i="9"/>
  <c r="F147" i="9"/>
  <c r="E109" i="9"/>
  <c r="F151" i="9"/>
  <c r="B117" i="9"/>
  <c r="H170" i="9"/>
  <c r="H166" i="9"/>
  <c r="E120" i="9"/>
  <c r="F183" i="9"/>
  <c r="H192" i="9" s="1"/>
  <c r="H198" i="9" s="1"/>
  <c r="H236" i="9" s="1"/>
  <c r="F241" i="9" s="1"/>
  <c r="H245" i="9" s="1"/>
  <c r="H276" i="9" s="1"/>
  <c r="D309" i="9" s="1"/>
  <c r="H130" i="9"/>
  <c r="B106" i="9"/>
  <c r="H126" i="9"/>
  <c r="D75" i="9"/>
  <c r="D77" i="9"/>
  <c r="D76" i="9"/>
  <c r="D67" i="9"/>
  <c r="D66" i="9"/>
  <c r="D68" i="9"/>
  <c r="D61" i="9"/>
  <c r="D62" i="9"/>
  <c r="D63" i="9"/>
  <c r="D71" i="9"/>
  <c r="D69" i="9"/>
  <c r="D64" i="9"/>
  <c r="D72" i="9"/>
  <c r="D116" i="9"/>
  <c r="F185" i="9"/>
  <c r="H193" i="9"/>
  <c r="H183" i="9"/>
  <c r="F191" i="9" s="1"/>
  <c r="H197" i="9" s="1"/>
  <c r="H234" i="9" s="1"/>
  <c r="H242" i="9" s="1"/>
  <c r="F274" i="9" s="1"/>
  <c r="D313" i="9" s="1"/>
  <c r="E121" i="9"/>
  <c r="F145" i="9"/>
  <c r="D105" i="9"/>
  <c r="H153" i="9"/>
  <c r="H129" i="9"/>
  <c r="F137" i="9"/>
  <c r="B110" i="9"/>
  <c r="H194" i="9"/>
  <c r="F136" i="9"/>
  <c r="E116" i="9"/>
  <c r="H128" i="9"/>
  <c r="C110" i="9"/>
  <c r="F186" i="9"/>
  <c r="D121" i="9"/>
  <c r="H184" i="9"/>
  <c r="H191" i="9" s="1"/>
  <c r="H251" i="9" s="1"/>
  <c r="H259" i="9" s="1"/>
  <c r="H288" i="9" s="1"/>
  <c r="D323" i="9" s="1"/>
  <c r="E105" i="9"/>
  <c r="H154" i="9"/>
  <c r="F146" i="9"/>
  <c r="H165" i="9"/>
  <c r="F173" i="9" s="1"/>
  <c r="H179" i="9" s="1"/>
  <c r="H235" i="9" s="1"/>
  <c r="H240" i="9" s="1"/>
  <c r="F275" i="9" s="1"/>
  <c r="D310" i="9" s="1"/>
  <c r="B121" i="9"/>
  <c r="D115" i="9"/>
  <c r="F189" i="9"/>
  <c r="F193" i="9"/>
  <c r="F190" i="9"/>
  <c r="F194" i="9"/>
  <c r="E115" i="9"/>
  <c r="E104" i="9"/>
  <c r="F154" i="9"/>
  <c r="F150" i="9"/>
  <c r="D40" i="9"/>
  <c r="D46" i="9"/>
  <c r="D50" i="9"/>
  <c r="D49" i="9"/>
  <c r="D43" i="9"/>
  <c r="D45" i="9"/>
  <c r="D51" i="9"/>
  <c r="D47" i="9"/>
  <c r="D48" i="9"/>
  <c r="D44" i="9"/>
  <c r="D55" i="9"/>
  <c r="D54" i="9"/>
  <c r="D56" i="9"/>
  <c r="D42" i="9"/>
  <c r="D41" i="9"/>
  <c r="F153" i="9"/>
  <c r="D104" i="9"/>
  <c r="F149" i="9"/>
  <c r="C121" i="9"/>
  <c r="H164" i="9"/>
  <c r="F172" i="9" s="1"/>
  <c r="H252" i="9" s="1"/>
  <c r="H258" i="9" s="1"/>
  <c r="H278" i="9" s="1"/>
  <c r="D317" i="9" s="1"/>
  <c r="H137" i="9"/>
  <c r="B111" i="9"/>
  <c r="H133" i="9"/>
  <c r="C111" i="9"/>
  <c r="H132" i="9"/>
  <c r="H136" i="9"/>
  <c r="D27" i="9"/>
  <c r="D25" i="9"/>
  <c r="D26" i="9"/>
  <c r="D28" i="9"/>
  <c r="D35" i="9"/>
  <c r="D31" i="9"/>
  <c r="D30" i="9"/>
  <c r="D20" i="9"/>
  <c r="D21" i="9"/>
  <c r="D36" i="9"/>
  <c r="D34" i="9"/>
  <c r="D23" i="9"/>
  <c r="D22" i="9"/>
  <c r="A44" i="9"/>
  <c r="A46" i="9"/>
  <c r="A90" i="9"/>
  <c r="A30" i="9"/>
  <c r="A49" i="9"/>
  <c r="A95" i="9"/>
  <c r="A71" i="9"/>
  <c r="A91" i="9"/>
  <c r="A89" i="9"/>
  <c r="A68" i="9"/>
  <c r="A26" i="9"/>
  <c r="A69" i="9"/>
  <c r="A96" i="9"/>
  <c r="A64" i="9"/>
  <c r="A62" i="9"/>
  <c r="A56" i="9"/>
  <c r="A34" i="9"/>
  <c r="A88" i="9"/>
  <c r="A40" i="9"/>
  <c r="A36" i="9"/>
  <c r="A45" i="9"/>
  <c r="A85" i="9"/>
  <c r="A72" i="9"/>
  <c r="A35" i="9"/>
  <c r="A27" i="9"/>
  <c r="A31" i="9"/>
  <c r="A61" i="9"/>
  <c r="A50" i="9"/>
  <c r="A54" i="9"/>
  <c r="A87" i="9"/>
  <c r="A21" i="9"/>
  <c r="A81" i="9"/>
  <c r="A83" i="9"/>
  <c r="A97" i="9"/>
  <c r="A47" i="9"/>
  <c r="A66" i="9"/>
  <c r="A92" i="9"/>
  <c r="A86" i="9"/>
  <c r="A51" i="9"/>
  <c r="A84" i="9"/>
  <c r="A82" i="9"/>
  <c r="A76" i="9"/>
  <c r="A75" i="9"/>
  <c r="A28" i="9"/>
  <c r="A77" i="9"/>
  <c r="A63" i="9"/>
  <c r="A20" i="9"/>
  <c r="A55" i="9"/>
  <c r="A23" i="9"/>
  <c r="A43" i="9"/>
  <c r="A25" i="9"/>
  <c r="A42" i="9"/>
  <c r="A41" i="9"/>
  <c r="A67" i="9"/>
  <c r="A22" i="9"/>
  <c r="A48" i="9"/>
  <c r="D263" i="7"/>
  <c r="D264" i="7"/>
  <c r="D260" i="7"/>
  <c r="D262" i="7"/>
  <c r="D261" i="7"/>
  <c r="D254" i="7"/>
  <c r="D243" i="7"/>
  <c r="D248" i="7"/>
  <c r="D245" i="7"/>
  <c r="D246" i="7"/>
  <c r="D247" i="7"/>
  <c r="D244" i="7"/>
  <c r="A245" i="7"/>
  <c r="A252" i="7"/>
  <c r="A260" i="7"/>
  <c r="A262" i="7"/>
  <c r="A270" i="7"/>
  <c r="A271" i="7"/>
  <c r="A243" i="7"/>
  <c r="A246" i="7"/>
  <c r="A253" i="7"/>
  <c r="A261" i="7"/>
  <c r="A254" i="7"/>
  <c r="A247" i="7"/>
  <c r="A272" i="7"/>
  <c r="A269" i="7"/>
  <c r="A244" i="7"/>
  <c r="A268" i="7"/>
  <c r="A273" i="7"/>
  <c r="A263" i="7"/>
  <c r="A255" i="7"/>
  <c r="A248" i="7"/>
  <c r="A275" i="7"/>
  <c r="A274" i="7"/>
  <c r="A264" i="7"/>
  <c r="A256" i="7"/>
  <c r="D237" i="7"/>
  <c r="D234" i="7"/>
  <c r="D231" i="7"/>
  <c r="D233" i="7"/>
  <c r="D229" i="7"/>
  <c r="D235" i="7"/>
  <c r="D236" i="7"/>
  <c r="D232" i="7"/>
  <c r="D230" i="7"/>
  <c r="D221" i="7"/>
  <c r="D220" i="7"/>
  <c r="D218" i="7"/>
  <c r="D224" i="7"/>
  <c r="D216" i="7"/>
  <c r="D225" i="7"/>
  <c r="D217" i="7"/>
  <c r="D223" i="7"/>
  <c r="D222" i="7"/>
  <c r="D219" i="7"/>
  <c r="D199" i="7"/>
  <c r="D191" i="7"/>
  <c r="A208" i="7"/>
  <c r="A237" i="7"/>
  <c r="A229" i="7"/>
  <c r="A194" i="7"/>
  <c r="A225" i="7"/>
  <c r="A216" i="7"/>
  <c r="A191" i="7"/>
  <c r="A206" i="7"/>
  <c r="A234" i="7"/>
  <c r="A203" i="7"/>
  <c r="A196" i="7"/>
  <c r="A231" i="7"/>
  <c r="A222" i="7"/>
  <c r="A199" i="7"/>
  <c r="A205" i="7"/>
  <c r="A236" i="7"/>
  <c r="A232" i="7"/>
  <c r="A221" i="7"/>
  <c r="A217" i="7"/>
  <c r="A209" i="7"/>
  <c r="A197" i="7"/>
  <c r="A193" i="7"/>
  <c r="A210" i="7"/>
  <c r="A233" i="7"/>
  <c r="A212" i="7"/>
  <c r="A230" i="7"/>
  <c r="A190" i="7"/>
  <c r="A223" i="7"/>
  <c r="A207" i="7"/>
  <c r="A195" i="7"/>
  <c r="A220" i="7"/>
  <c r="A204" i="7"/>
  <c r="A219" i="7"/>
  <c r="A218" i="7"/>
  <c r="A192" i="7"/>
  <c r="A211" i="7"/>
  <c r="A224" i="7"/>
  <c r="A198" i="7"/>
  <c r="A235" i="7"/>
  <c r="C183" i="7"/>
  <c r="D173" i="7"/>
  <c r="D174" i="7"/>
  <c r="D168" i="7"/>
  <c r="D172" i="7"/>
  <c r="D164" i="7"/>
  <c r="D171" i="7"/>
  <c r="D165" i="7"/>
  <c r="D170" i="7"/>
  <c r="D166" i="7"/>
  <c r="D167" i="7"/>
  <c r="D152" i="7"/>
  <c r="D148" i="7"/>
  <c r="D156" i="7"/>
  <c r="D160" i="7"/>
  <c r="D149" i="7"/>
  <c r="D150" i="7"/>
  <c r="D157" i="7"/>
  <c r="D154" i="7"/>
  <c r="D155" i="7"/>
  <c r="D151" i="7"/>
  <c r="C182" i="7"/>
  <c r="D140" i="7"/>
  <c r="D135" i="7"/>
  <c r="D131" i="7"/>
  <c r="D133" i="7"/>
  <c r="D134" i="7"/>
  <c r="D139" i="7"/>
  <c r="D141" i="7"/>
  <c r="D138" i="7"/>
  <c r="D144" i="7"/>
  <c r="D132" i="7"/>
  <c r="D137" i="7"/>
  <c r="D127" i="7"/>
  <c r="D116" i="7"/>
  <c r="D118" i="7"/>
  <c r="D124" i="7"/>
  <c r="D120" i="7"/>
  <c r="D123" i="7"/>
  <c r="D115" i="7"/>
  <c r="D122" i="7"/>
  <c r="D121" i="7"/>
  <c r="D117" i="7"/>
  <c r="D114" i="7"/>
  <c r="A170" i="7"/>
  <c r="A167" i="7"/>
  <c r="A151" i="7"/>
  <c r="A139" i="7"/>
  <c r="A138" i="7"/>
  <c r="A121" i="7"/>
  <c r="A118" i="7"/>
  <c r="A168" i="7"/>
  <c r="A120" i="7"/>
  <c r="A165" i="7"/>
  <c r="A171" i="7"/>
  <c r="A123" i="7"/>
  <c r="A144" i="7"/>
  <c r="A137" i="7"/>
  <c r="A135" i="7"/>
  <c r="A122" i="7"/>
  <c r="A117" i="7"/>
  <c r="A160" i="7"/>
  <c r="A154" i="7"/>
  <c r="A115" i="7"/>
  <c r="A132" i="7"/>
  <c r="A173" i="7"/>
  <c r="A134" i="7"/>
  <c r="A166" i="7"/>
  <c r="A164" i="7"/>
  <c r="A157" i="7"/>
  <c r="A149" i="7"/>
  <c r="A131" i="7"/>
  <c r="A127" i="7"/>
  <c r="A124" i="7"/>
  <c r="A156" i="7"/>
  <c r="A155" i="7"/>
  <c r="A152" i="7"/>
  <c r="A141" i="7"/>
  <c r="A133" i="7"/>
  <c r="A116" i="7"/>
  <c r="A177" i="7"/>
  <c r="A174" i="7"/>
  <c r="A150" i="7"/>
  <c r="A148" i="7"/>
  <c r="A140" i="7"/>
  <c r="A114" i="7"/>
  <c r="A172" i="7"/>
  <c r="D106" i="7"/>
  <c r="C103" i="7"/>
  <c r="F123" i="7"/>
  <c r="B109" i="7"/>
  <c r="D78" i="7"/>
  <c r="D76" i="7"/>
  <c r="D90" i="7"/>
  <c r="D77" i="7"/>
  <c r="D81" i="7"/>
  <c r="D83" i="7"/>
  <c r="D80" i="7"/>
  <c r="D89" i="7"/>
  <c r="D84" i="7"/>
  <c r="D79" i="7"/>
  <c r="D88" i="7"/>
  <c r="D85" i="7"/>
  <c r="B102" i="7"/>
  <c r="C102" i="7"/>
  <c r="C109" i="7"/>
  <c r="F138" i="7"/>
  <c r="F192" i="7" s="1"/>
  <c r="H198" i="7" s="1"/>
  <c r="F254" i="7" s="1"/>
  <c r="D286" i="7" s="1"/>
  <c r="D97" i="7"/>
  <c r="D65" i="7"/>
  <c r="D60" i="7"/>
  <c r="D67" i="7"/>
  <c r="D63" i="7"/>
  <c r="D61" i="7"/>
  <c r="D70" i="7"/>
  <c r="D72" i="7"/>
  <c r="D59" i="7"/>
  <c r="D62" i="7"/>
  <c r="D66" i="7"/>
  <c r="D68" i="7"/>
  <c r="D71" i="7"/>
  <c r="D58" i="7"/>
  <c r="C101" i="7"/>
  <c r="B101" i="7"/>
  <c r="D108" i="7"/>
  <c r="E98" i="7"/>
  <c r="D41" i="7"/>
  <c r="D44" i="7"/>
  <c r="D45" i="7"/>
  <c r="D47" i="7"/>
  <c r="D40" i="7"/>
  <c r="D42" i="7"/>
  <c r="D49" i="7"/>
  <c r="D52" i="7"/>
  <c r="D53" i="7"/>
  <c r="D50" i="7"/>
  <c r="D43" i="7"/>
  <c r="D54" i="7"/>
  <c r="D48" i="7"/>
  <c r="E102" i="7"/>
  <c r="H121" i="7"/>
  <c r="H193" i="7" s="1"/>
  <c r="F209" i="7" s="1"/>
  <c r="H264" i="7" s="1"/>
  <c r="D285" i="7" s="1"/>
  <c r="B107" i="7"/>
  <c r="E109" i="7"/>
  <c r="F171" i="7"/>
  <c r="H205" i="7" s="1"/>
  <c r="F210" i="7" s="1"/>
  <c r="H255" i="7" s="1"/>
  <c r="D289" i="7" s="1"/>
  <c r="B97" i="7"/>
  <c r="D26" i="7"/>
  <c r="D27" i="7"/>
  <c r="D32" i="7"/>
  <c r="D31" i="7"/>
  <c r="D36" i="7"/>
  <c r="D34" i="7"/>
  <c r="D30" i="7"/>
  <c r="D29" i="7"/>
  <c r="D22" i="7"/>
  <c r="D24" i="7"/>
  <c r="D35" i="7"/>
  <c r="D23" i="7"/>
  <c r="D25" i="7"/>
  <c r="A76" i="7"/>
  <c r="A78" i="7"/>
  <c r="A36" i="7"/>
  <c r="A62" i="7"/>
  <c r="A61" i="7"/>
  <c r="A23" i="7"/>
  <c r="A80" i="7"/>
  <c r="A60" i="7"/>
  <c r="A53" i="7"/>
  <c r="A29" i="7"/>
  <c r="A66" i="7"/>
  <c r="A30" i="7"/>
  <c r="A44" i="7"/>
  <c r="A50" i="7"/>
  <c r="A59" i="7"/>
  <c r="A34" i="7"/>
  <c r="A32" i="7"/>
  <c r="A25" i="7"/>
  <c r="A27" i="7"/>
  <c r="A81" i="7"/>
  <c r="A65" i="7"/>
  <c r="A52" i="7"/>
  <c r="A43" i="7"/>
  <c r="A42" i="7"/>
  <c r="A40" i="7"/>
  <c r="A45" i="7"/>
  <c r="A70" i="7"/>
  <c r="A67" i="7"/>
  <c r="A89" i="7"/>
  <c r="A48" i="7"/>
  <c r="A58" i="7"/>
  <c r="A41" i="7"/>
  <c r="A35" i="7"/>
  <c r="A24" i="7"/>
  <c r="A90" i="7"/>
  <c r="A83" i="7"/>
  <c r="A54" i="7"/>
  <c r="A72" i="7"/>
  <c r="A88" i="7"/>
  <c r="A22" i="7"/>
  <c r="A85" i="7"/>
  <c r="A79" i="7"/>
  <c r="A84" i="7"/>
  <c r="A71" i="7"/>
  <c r="A63" i="7"/>
  <c r="A77" i="7"/>
  <c r="A49" i="7"/>
  <c r="A47" i="7"/>
  <c r="A26" i="7"/>
  <c r="A68" i="7"/>
  <c r="A31" i="7"/>
  <c r="D293" i="6"/>
  <c r="D292" i="6"/>
  <c r="D298" i="6"/>
  <c r="D294" i="6"/>
  <c r="D286" i="6"/>
  <c r="D285" i="6"/>
  <c r="D274" i="6"/>
  <c r="D265" i="6"/>
  <c r="A292" i="6"/>
  <c r="A286" i="6"/>
  <c r="A287" i="6"/>
  <c r="A307" i="6"/>
  <c r="A288" i="6"/>
  <c r="A275" i="6"/>
  <c r="A267" i="6"/>
  <c r="A294" i="6"/>
  <c r="A299" i="6"/>
  <c r="A298" i="6"/>
  <c r="A266" i="6"/>
  <c r="A281" i="6"/>
  <c r="A295" i="6"/>
  <c r="A285" i="6"/>
  <c r="A276" i="6"/>
  <c r="A293" i="6"/>
  <c r="A303" i="6"/>
  <c r="A274" i="6"/>
  <c r="A269" i="6"/>
  <c r="A279" i="6"/>
  <c r="A277" i="6"/>
  <c r="A297" i="6"/>
  <c r="A280" i="6"/>
  <c r="A296" i="6"/>
  <c r="A268" i="6"/>
  <c r="A278" i="6"/>
  <c r="A270" i="6"/>
  <c r="A265" i="6"/>
  <c r="D229" i="6"/>
  <c r="D235" i="6"/>
  <c r="D237" i="6"/>
  <c r="D228" i="6"/>
  <c r="D233" i="6"/>
  <c r="D230" i="6"/>
  <c r="D236" i="6"/>
  <c r="D232" i="6"/>
  <c r="D227" i="6"/>
  <c r="D231" i="6"/>
  <c r="D226" i="6"/>
  <c r="D234" i="6"/>
  <c r="D213" i="6"/>
  <c r="D214" i="6"/>
  <c r="D219" i="6"/>
  <c r="D220" i="6"/>
  <c r="D215" i="6"/>
  <c r="D212" i="6"/>
  <c r="D222" i="6"/>
  <c r="D211" i="6"/>
  <c r="D216" i="6"/>
  <c r="D221" i="6"/>
  <c r="D218" i="6"/>
  <c r="D217" i="6"/>
  <c r="D199" i="6"/>
  <c r="D205" i="6"/>
  <c r="D200" i="6"/>
  <c r="D202" i="6"/>
  <c r="D204" i="6"/>
  <c r="D201" i="6"/>
  <c r="D203" i="6"/>
  <c r="D206" i="6"/>
  <c r="D197" i="6"/>
  <c r="D198" i="6"/>
  <c r="D207" i="6"/>
  <c r="D196" i="6"/>
  <c r="A205" i="6"/>
  <c r="A197" i="6"/>
  <c r="A231" i="6"/>
  <c r="A219" i="6"/>
  <c r="A207" i="6"/>
  <c r="A226" i="6"/>
  <c r="A199" i="6"/>
  <c r="A230" i="6"/>
  <c r="A232" i="6"/>
  <c r="A236" i="6"/>
  <c r="A237" i="6"/>
  <c r="A241" i="6"/>
  <c r="A249" i="6"/>
  <c r="A253" i="6"/>
  <c r="A254" i="6"/>
  <c r="A217" i="6"/>
  <c r="A259" i="6"/>
  <c r="A228" i="6"/>
  <c r="A212" i="6"/>
  <c r="A234" i="6"/>
  <c r="A233" i="6"/>
  <c r="A229" i="6"/>
  <c r="A221" i="6"/>
  <c r="A215" i="6"/>
  <c r="A206" i="6"/>
  <c r="A202" i="6"/>
  <c r="A258" i="6"/>
  <c r="A204" i="6"/>
  <c r="A251" i="6"/>
  <c r="A252" i="6"/>
  <c r="A242" i="6"/>
  <c r="A227" i="6"/>
  <c r="A220" i="6"/>
  <c r="A203" i="6"/>
  <c r="A213" i="6"/>
  <c r="A247" i="6"/>
  <c r="A216" i="6"/>
  <c r="A211" i="6"/>
  <c r="A201" i="6"/>
  <c r="A200" i="6"/>
  <c r="A196" i="6"/>
  <c r="A248" i="6"/>
  <c r="A214" i="6"/>
  <c r="A222" i="6"/>
  <c r="A246" i="6"/>
  <c r="A235" i="6"/>
  <c r="A218" i="6"/>
  <c r="A198" i="6"/>
  <c r="D176" i="6"/>
  <c r="D179" i="6"/>
  <c r="D180" i="6"/>
  <c r="D177" i="6"/>
  <c r="D175" i="6"/>
  <c r="D190" i="6"/>
  <c r="D178" i="6"/>
  <c r="D185" i="6"/>
  <c r="D186" i="6"/>
  <c r="D181" i="6"/>
  <c r="D189" i="6"/>
  <c r="D183" i="6"/>
  <c r="D184" i="6"/>
  <c r="D182" i="6"/>
  <c r="D165" i="6"/>
  <c r="D158" i="6"/>
  <c r="D156" i="6"/>
  <c r="D171" i="6"/>
  <c r="D164" i="6"/>
  <c r="D162" i="6"/>
  <c r="D167" i="6"/>
  <c r="D163" i="6"/>
  <c r="D170" i="6"/>
  <c r="D159" i="6"/>
  <c r="D157" i="6"/>
  <c r="D166" i="6"/>
  <c r="D161" i="6"/>
  <c r="D160" i="6"/>
  <c r="D138" i="6"/>
  <c r="D151" i="6"/>
  <c r="D144" i="6"/>
  <c r="D142" i="6"/>
  <c r="D152" i="6"/>
  <c r="D139" i="6"/>
  <c r="D146" i="6"/>
  <c r="D145" i="6"/>
  <c r="D141" i="6"/>
  <c r="D140" i="6"/>
  <c r="D137" i="6"/>
  <c r="D147" i="6"/>
  <c r="D148" i="6"/>
  <c r="D143" i="6"/>
  <c r="D121" i="6"/>
  <c r="D118" i="6"/>
  <c r="D127" i="6"/>
  <c r="D129" i="6"/>
  <c r="D124" i="6"/>
  <c r="D120" i="6"/>
  <c r="D122" i="6"/>
  <c r="D119" i="6"/>
  <c r="D126" i="6"/>
  <c r="D125" i="6"/>
  <c r="D133" i="6"/>
  <c r="D132" i="6"/>
  <c r="D123" i="6"/>
  <c r="D128" i="6"/>
  <c r="A118" i="6"/>
  <c r="A190" i="6"/>
  <c r="A179" i="6"/>
  <c r="A180" i="6"/>
  <c r="A158" i="6"/>
  <c r="A133" i="6"/>
  <c r="A182" i="6"/>
  <c r="A177" i="6"/>
  <c r="A176" i="6"/>
  <c r="A178" i="6"/>
  <c r="A142" i="6"/>
  <c r="A144" i="6"/>
  <c r="A139" i="6"/>
  <c r="A126" i="6"/>
  <c r="A138" i="6"/>
  <c r="A146" i="6"/>
  <c r="A181" i="6"/>
  <c r="A162" i="6"/>
  <c r="A159" i="6"/>
  <c r="A157" i="6"/>
  <c r="A151" i="6"/>
  <c r="A148" i="6"/>
  <c r="A127" i="6"/>
  <c r="A123" i="6"/>
  <c r="A141" i="6"/>
  <c r="A120" i="6"/>
  <c r="A119" i="6"/>
  <c r="A122" i="6"/>
  <c r="A124" i="6"/>
  <c r="A132" i="6"/>
  <c r="A140" i="6"/>
  <c r="A156" i="6"/>
  <c r="A143" i="6"/>
  <c r="A145" i="6"/>
  <c r="A175" i="6"/>
  <c r="A160" i="6"/>
  <c r="A189" i="6"/>
  <c r="A183" i="6"/>
  <c r="A165" i="6"/>
  <c r="A147" i="6"/>
  <c r="A137" i="6"/>
  <c r="A121" i="6"/>
  <c r="A166" i="6"/>
  <c r="A164" i="6"/>
  <c r="A185" i="6"/>
  <c r="A152" i="6"/>
  <c r="A129" i="6"/>
  <c r="A125" i="6"/>
  <c r="A171" i="6"/>
  <c r="A170" i="6"/>
  <c r="A167" i="6"/>
  <c r="A163" i="6"/>
  <c r="A161" i="6"/>
  <c r="A184" i="6"/>
  <c r="A186" i="6"/>
  <c r="A128" i="6"/>
  <c r="C101" i="6"/>
  <c r="F124" i="6"/>
  <c r="F120" i="6"/>
  <c r="H142" i="6"/>
  <c r="H138" i="6"/>
  <c r="E98" i="6"/>
  <c r="F161" i="6"/>
  <c r="F157" i="6"/>
  <c r="B112" i="6"/>
  <c r="F125" i="6"/>
  <c r="B101" i="6"/>
  <c r="F121" i="6"/>
  <c r="D109" i="6"/>
  <c r="H177" i="6"/>
  <c r="H181" i="6"/>
  <c r="E109" i="6"/>
  <c r="H182" i="6"/>
  <c r="H178" i="6"/>
  <c r="F156" i="6"/>
  <c r="F160" i="6"/>
  <c r="C112" i="6"/>
  <c r="D98" i="6"/>
  <c r="H137" i="6"/>
  <c r="H141" i="6"/>
  <c r="D112" i="6"/>
  <c r="F180" i="6"/>
  <c r="F176" i="6"/>
  <c r="F140" i="6"/>
  <c r="D101" i="6"/>
  <c r="F144" i="6"/>
  <c r="H163" i="6"/>
  <c r="H159" i="6"/>
  <c r="C109" i="6"/>
  <c r="H123" i="6"/>
  <c r="H119" i="6"/>
  <c r="C98" i="6"/>
  <c r="D89" i="6"/>
  <c r="D77" i="6"/>
  <c r="D78" i="6"/>
  <c r="D75" i="6"/>
  <c r="D81" i="6"/>
  <c r="D88" i="6"/>
  <c r="D76" i="6"/>
  <c r="D90" i="6"/>
  <c r="D83" i="6"/>
  <c r="D86" i="6"/>
  <c r="D79" i="6"/>
  <c r="D85" i="6"/>
  <c r="D84" i="6"/>
  <c r="D82" i="6"/>
  <c r="D80" i="6"/>
  <c r="D102" i="6"/>
  <c r="F148" i="6"/>
  <c r="H140" i="6"/>
  <c r="H139" i="6"/>
  <c r="F147" i="6"/>
  <c r="E102" i="6"/>
  <c r="F183" i="6"/>
  <c r="H175" i="6"/>
  <c r="E113" i="6"/>
  <c r="F118" i="6"/>
  <c r="B97" i="6"/>
  <c r="H126" i="6"/>
  <c r="H167" i="6"/>
  <c r="F159" i="6"/>
  <c r="C108" i="6"/>
  <c r="F158" i="6"/>
  <c r="H166" i="6"/>
  <c r="B108" i="6"/>
  <c r="H176" i="6"/>
  <c r="F184" i="6"/>
  <c r="D113" i="6"/>
  <c r="C97" i="6"/>
  <c r="F119" i="6"/>
  <c r="H127" i="6"/>
  <c r="F175" i="6"/>
  <c r="F179" i="6"/>
  <c r="E112" i="6"/>
  <c r="F143" i="6"/>
  <c r="E101" i="6"/>
  <c r="F139" i="6"/>
  <c r="B109" i="6"/>
  <c r="H158" i="6"/>
  <c r="H162" i="6"/>
  <c r="H122" i="6"/>
  <c r="H118" i="6"/>
  <c r="B98" i="6"/>
  <c r="D60" i="6"/>
  <c r="D58" i="6"/>
  <c r="D63" i="6"/>
  <c r="D62" i="6"/>
  <c r="D57" i="6"/>
  <c r="D71" i="6"/>
  <c r="D67" i="6"/>
  <c r="D64" i="6"/>
  <c r="D70" i="6"/>
  <c r="D56" i="6"/>
  <c r="D59" i="6"/>
  <c r="D69" i="6"/>
  <c r="D66" i="6"/>
  <c r="D61" i="6"/>
  <c r="D65" i="6"/>
  <c r="D108" i="6"/>
  <c r="F177" i="6"/>
  <c r="H185" i="6"/>
  <c r="F128" i="6"/>
  <c r="H120" i="6"/>
  <c r="C102" i="6"/>
  <c r="C113" i="6"/>
  <c r="F164" i="6"/>
  <c r="H156" i="6"/>
  <c r="D97" i="6"/>
  <c r="F137" i="6"/>
  <c r="H145" i="6"/>
  <c r="E108" i="6"/>
  <c r="H186" i="6"/>
  <c r="F178" i="6"/>
  <c r="H121" i="6"/>
  <c r="F129" i="6"/>
  <c r="B102" i="6"/>
  <c r="B113" i="6"/>
  <c r="H157" i="6"/>
  <c r="F165" i="6"/>
  <c r="E97" i="6"/>
  <c r="H146" i="6"/>
  <c r="F138" i="6"/>
  <c r="E107" i="6"/>
  <c r="F182" i="6"/>
  <c r="F186" i="6"/>
  <c r="F181" i="6"/>
  <c r="D107" i="6"/>
  <c r="F185" i="6"/>
  <c r="H165" i="6"/>
  <c r="B114" i="6"/>
  <c r="H161" i="6"/>
  <c r="F142" i="6"/>
  <c r="F146" i="6"/>
  <c r="E96" i="6"/>
  <c r="D46" i="6"/>
  <c r="D38" i="6"/>
  <c r="D50" i="6"/>
  <c r="D48" i="6"/>
  <c r="D37" i="6"/>
  <c r="D40" i="6"/>
  <c r="D45" i="6"/>
  <c r="D51" i="6"/>
  <c r="D47" i="6"/>
  <c r="D42" i="6"/>
  <c r="D39" i="6"/>
  <c r="D52" i="6"/>
  <c r="D43" i="6"/>
  <c r="D44" i="6"/>
  <c r="D41" i="6"/>
  <c r="D114" i="6"/>
  <c r="H180" i="6"/>
  <c r="H184" i="6"/>
  <c r="F166" i="6"/>
  <c r="B107" i="6"/>
  <c r="F162" i="6"/>
  <c r="F167" i="6"/>
  <c r="F163" i="6"/>
  <c r="C107" i="6"/>
  <c r="F123" i="6"/>
  <c r="F127" i="6"/>
  <c r="C96" i="6"/>
  <c r="H144" i="6"/>
  <c r="H148" i="6"/>
  <c r="D103" i="6"/>
  <c r="H143" i="6"/>
  <c r="E103" i="6"/>
  <c r="H147" i="6"/>
  <c r="H183" i="6"/>
  <c r="H179" i="6"/>
  <c r="E114" i="6"/>
  <c r="F126" i="6"/>
  <c r="B96" i="6"/>
  <c r="F122" i="6"/>
  <c r="F141" i="6"/>
  <c r="F145" i="6"/>
  <c r="D96" i="6"/>
  <c r="H125" i="6"/>
  <c r="H129" i="6"/>
  <c r="B103" i="6"/>
  <c r="H160" i="6"/>
  <c r="C114" i="6"/>
  <c r="H164" i="6"/>
  <c r="H124" i="6"/>
  <c r="C103" i="6"/>
  <c r="H128" i="6"/>
  <c r="D20" i="6"/>
  <c r="D24" i="6"/>
  <c r="D22" i="6"/>
  <c r="D19" i="6"/>
  <c r="D27" i="6"/>
  <c r="D25" i="6"/>
  <c r="D31" i="6"/>
  <c r="D23" i="6"/>
  <c r="D33" i="6"/>
  <c r="D32" i="6"/>
  <c r="D28" i="6"/>
  <c r="D21" i="6"/>
  <c r="D29" i="6"/>
  <c r="D26" i="6"/>
  <c r="D18" i="6"/>
  <c r="A69" i="6"/>
  <c r="A84" i="6"/>
  <c r="A20" i="6"/>
  <c r="A26" i="6"/>
  <c r="A77" i="6"/>
  <c r="A33" i="6"/>
  <c r="A56" i="6"/>
  <c r="A57" i="6"/>
  <c r="A58" i="6"/>
  <c r="A64" i="6"/>
  <c r="A50" i="6"/>
  <c r="A59" i="6"/>
  <c r="A21" i="6"/>
  <c r="A23" i="6"/>
  <c r="A45" i="6"/>
  <c r="A24" i="6"/>
  <c r="A27" i="6"/>
  <c r="A65" i="6"/>
  <c r="A90" i="6"/>
  <c r="A89" i="6"/>
  <c r="A29" i="6"/>
  <c r="A78" i="6"/>
  <c r="A76" i="6"/>
  <c r="A22" i="6"/>
  <c r="A83" i="6"/>
  <c r="A82" i="6"/>
  <c r="A46" i="6"/>
  <c r="A79" i="6"/>
  <c r="A75" i="6"/>
  <c r="A51" i="6"/>
  <c r="A41" i="6"/>
  <c r="A39" i="6"/>
  <c r="A38" i="6"/>
  <c r="A40" i="6"/>
  <c r="A19" i="6"/>
  <c r="A60" i="6"/>
  <c r="A18" i="6"/>
  <c r="A25" i="6"/>
  <c r="A28" i="6"/>
  <c r="A31" i="6"/>
  <c r="A44" i="6"/>
  <c r="A43" i="6"/>
  <c r="A86" i="6"/>
  <c r="A70" i="6"/>
  <c r="A85" i="6"/>
  <c r="A66" i="6"/>
  <c r="A71" i="6"/>
  <c r="A62" i="6"/>
  <c r="A52" i="6"/>
  <c r="A81" i="6"/>
  <c r="A37" i="6"/>
  <c r="A80" i="6"/>
  <c r="A63" i="6"/>
  <c r="A67" i="6"/>
  <c r="A61" i="6"/>
  <c r="A48" i="6"/>
  <c r="A47" i="6"/>
  <c r="A32" i="6"/>
  <c r="A88" i="6"/>
  <c r="A42" i="6"/>
  <c r="D291" i="5"/>
  <c r="D288" i="5"/>
  <c r="D290" i="5"/>
  <c r="D287" i="5"/>
  <c r="D289" i="5"/>
  <c r="D280" i="5"/>
  <c r="D281" i="5"/>
  <c r="D282" i="5"/>
  <c r="D283" i="5"/>
  <c r="D279" i="5"/>
  <c r="D274" i="5"/>
  <c r="D275" i="5"/>
  <c r="D273" i="5"/>
  <c r="D271" i="5"/>
  <c r="D272" i="5"/>
  <c r="D270" i="5"/>
  <c r="D269" i="5"/>
  <c r="D261" i="5"/>
  <c r="D264" i="5"/>
  <c r="D260" i="5"/>
  <c r="D259" i="5"/>
  <c r="D265" i="5"/>
  <c r="D263" i="5"/>
  <c r="D262" i="5"/>
  <c r="A283" i="5"/>
  <c r="A293" i="5"/>
  <c r="A259" i="5"/>
  <c r="A280" i="5"/>
  <c r="A271" i="5"/>
  <c r="A262" i="5"/>
  <c r="A264" i="5"/>
  <c r="A281" i="5"/>
  <c r="A269" i="5"/>
  <c r="A270" i="5"/>
  <c r="A274" i="5"/>
  <c r="A272" i="5"/>
  <c r="A263" i="5"/>
  <c r="A265" i="5"/>
  <c r="A275" i="5"/>
  <c r="A291" i="5"/>
  <c r="A287" i="5"/>
  <c r="A279" i="5"/>
  <c r="A288" i="5"/>
  <c r="A261" i="5"/>
  <c r="A298" i="5"/>
  <c r="A290" i="5"/>
  <c r="A289" i="5"/>
  <c r="A260" i="5"/>
  <c r="A302" i="5"/>
  <c r="A292" i="5"/>
  <c r="A282" i="5"/>
  <c r="A273" i="5"/>
  <c r="D242" i="5"/>
  <c r="D244" i="5"/>
  <c r="D247" i="5"/>
  <c r="D251" i="5"/>
  <c r="D248" i="5"/>
  <c r="D253" i="5"/>
  <c r="D243" i="5"/>
  <c r="D246" i="5"/>
  <c r="D250" i="5"/>
  <c r="D249" i="5"/>
  <c r="D252" i="5"/>
  <c r="D245" i="5"/>
  <c r="D233" i="5"/>
  <c r="D227" i="5"/>
  <c r="D231" i="5"/>
  <c r="D228" i="5"/>
  <c r="D237" i="5"/>
  <c r="D234" i="5"/>
  <c r="D230" i="5"/>
  <c r="D229" i="5"/>
  <c r="D232" i="5"/>
  <c r="D238" i="5"/>
  <c r="D235" i="5"/>
  <c r="D236" i="5"/>
  <c r="D220" i="5"/>
  <c r="D213" i="5"/>
  <c r="D216" i="5"/>
  <c r="D218" i="5"/>
  <c r="D212" i="5"/>
  <c r="D214" i="5"/>
  <c r="D215" i="5"/>
  <c r="D219" i="5"/>
  <c r="D222" i="5"/>
  <c r="D221" i="5"/>
  <c r="D223" i="5"/>
  <c r="D217" i="5"/>
  <c r="D208" i="5"/>
  <c r="D200" i="5"/>
  <c r="D199" i="5"/>
  <c r="D203" i="5"/>
  <c r="D198" i="5"/>
  <c r="D197" i="5"/>
  <c r="D202" i="5"/>
  <c r="D205" i="5"/>
  <c r="D206" i="5"/>
  <c r="D204" i="5"/>
  <c r="D201" i="5"/>
  <c r="D207" i="5"/>
  <c r="A203" i="5"/>
  <c r="A198" i="5"/>
  <c r="A213" i="5"/>
  <c r="A229" i="5"/>
  <c r="A222" i="5"/>
  <c r="A253" i="5"/>
  <c r="A205" i="5"/>
  <c r="A237" i="5"/>
  <c r="A228" i="5"/>
  <c r="A244" i="5"/>
  <c r="A245" i="5"/>
  <c r="A252" i="5"/>
  <c r="A248" i="5"/>
  <c r="A238" i="5"/>
  <c r="A235" i="5"/>
  <c r="A202" i="5"/>
  <c r="A201" i="5"/>
  <c r="A199" i="5"/>
  <c r="A227" i="5"/>
  <c r="A215" i="5"/>
  <c r="A214" i="5"/>
  <c r="A218" i="5"/>
  <c r="A219" i="5"/>
  <c r="A204" i="5"/>
  <c r="A234" i="5"/>
  <c r="A208" i="5"/>
  <c r="A221" i="5"/>
  <c r="A231" i="5"/>
  <c r="A236" i="5"/>
  <c r="A246" i="5"/>
  <c r="A250" i="5"/>
  <c r="A249" i="5"/>
  <c r="A247" i="5"/>
  <c r="A220" i="5"/>
  <c r="A242" i="5"/>
  <c r="A207" i="5"/>
  <c r="A232" i="5"/>
  <c r="A230" i="5"/>
  <c r="A200" i="5"/>
  <c r="A197" i="5"/>
  <c r="A217" i="5"/>
  <c r="A212" i="5"/>
  <c r="A206" i="5"/>
  <c r="A233" i="5"/>
  <c r="A223" i="5"/>
  <c r="A216" i="5"/>
  <c r="A251" i="5"/>
  <c r="A243" i="5"/>
  <c r="D181" i="5"/>
  <c r="D177" i="5"/>
  <c r="D185" i="5"/>
  <c r="D191" i="5"/>
  <c r="D182" i="5"/>
  <c r="D179" i="5"/>
  <c r="D187" i="5"/>
  <c r="D178" i="5"/>
  <c r="D190" i="5"/>
  <c r="D186" i="5"/>
  <c r="D180" i="5"/>
  <c r="D184" i="5"/>
  <c r="D183" i="5"/>
  <c r="D176" i="5"/>
  <c r="D172" i="5"/>
  <c r="D165" i="5"/>
  <c r="D161" i="5"/>
  <c r="D159" i="5"/>
  <c r="D168" i="5"/>
  <c r="D163" i="5"/>
  <c r="D157" i="5"/>
  <c r="D171" i="5"/>
  <c r="D166" i="5"/>
  <c r="D167" i="5"/>
  <c r="D164" i="5"/>
  <c r="D158" i="5"/>
  <c r="D162" i="5"/>
  <c r="D160" i="5"/>
  <c r="D146" i="5"/>
  <c r="D140" i="5"/>
  <c r="D138" i="5"/>
  <c r="D142" i="5"/>
  <c r="D149" i="5"/>
  <c r="D147" i="5"/>
  <c r="D145" i="5"/>
  <c r="D144" i="5"/>
  <c r="D143" i="5"/>
  <c r="D141" i="5"/>
  <c r="D148" i="5"/>
  <c r="D153" i="5"/>
  <c r="D152" i="5"/>
  <c r="D139" i="5"/>
  <c r="D121" i="5"/>
  <c r="D122" i="5"/>
  <c r="D124" i="5"/>
  <c r="D130" i="5"/>
  <c r="D119" i="5"/>
  <c r="D129" i="5"/>
  <c r="D126" i="5"/>
  <c r="D134" i="5"/>
  <c r="D133" i="5"/>
  <c r="D125" i="5"/>
  <c r="D127" i="5"/>
  <c r="D128" i="5"/>
  <c r="D123" i="5"/>
  <c r="D120" i="5"/>
  <c r="A162" i="5"/>
  <c r="A121" i="5"/>
  <c r="A187" i="5"/>
  <c r="A179" i="5"/>
  <c r="A166" i="5"/>
  <c r="A141" i="5"/>
  <c r="A134" i="5"/>
  <c r="A126" i="5"/>
  <c r="A124" i="5"/>
  <c r="A186" i="5"/>
  <c r="A181" i="5"/>
  <c r="A164" i="5"/>
  <c r="A180" i="5"/>
  <c r="A161" i="5"/>
  <c r="A138" i="5"/>
  <c r="A159" i="5"/>
  <c r="A157" i="5"/>
  <c r="A152" i="5"/>
  <c r="A148" i="5"/>
  <c r="A133" i="5"/>
  <c r="A128" i="5"/>
  <c r="A183" i="5"/>
  <c r="A130" i="5"/>
  <c r="A177" i="5"/>
  <c r="A168" i="5"/>
  <c r="A147" i="5"/>
  <c r="A120" i="5"/>
  <c r="A144" i="5"/>
  <c r="A122" i="5"/>
  <c r="A191" i="5"/>
  <c r="A184" i="5"/>
  <c r="A182" i="5"/>
  <c r="A178" i="5"/>
  <c r="A172" i="5"/>
  <c r="A163" i="5"/>
  <c r="A146" i="5"/>
  <c r="A140" i="5"/>
  <c r="A119" i="5"/>
  <c r="A176" i="5"/>
  <c r="A185" i="5"/>
  <c r="A149" i="5"/>
  <c r="A143" i="5"/>
  <c r="A142" i="5"/>
  <c r="A190" i="5"/>
  <c r="A129" i="5"/>
  <c r="A127" i="5"/>
  <c r="A171" i="5"/>
  <c r="A167" i="5"/>
  <c r="A160" i="5"/>
  <c r="A158" i="5"/>
  <c r="A153" i="5"/>
  <c r="A165" i="5"/>
  <c r="A145" i="5"/>
  <c r="A139" i="5"/>
  <c r="A125" i="5"/>
  <c r="A123" i="5"/>
  <c r="B113" i="5"/>
  <c r="F162" i="5"/>
  <c r="F158" i="5"/>
  <c r="H139" i="5"/>
  <c r="E99" i="5"/>
  <c r="H143" i="5"/>
  <c r="H183" i="5"/>
  <c r="E110" i="5"/>
  <c r="H179" i="5"/>
  <c r="F122" i="5"/>
  <c r="F126" i="5"/>
  <c r="B102" i="5"/>
  <c r="H178" i="5"/>
  <c r="D110" i="5"/>
  <c r="H182" i="5"/>
  <c r="F125" i="5"/>
  <c r="F121" i="5"/>
  <c r="C102" i="5"/>
  <c r="F157" i="5"/>
  <c r="C113" i="5"/>
  <c r="F161" i="5"/>
  <c r="H138" i="5"/>
  <c r="D99" i="5"/>
  <c r="H142" i="5"/>
  <c r="F140" i="5"/>
  <c r="F144" i="5"/>
  <c r="E102" i="5"/>
  <c r="D102" i="5"/>
  <c r="F141" i="5"/>
  <c r="F145" i="5"/>
  <c r="D113" i="5"/>
  <c r="F181" i="5"/>
  <c r="F177" i="5"/>
  <c r="C99" i="5"/>
  <c r="H124" i="5"/>
  <c r="H120" i="5"/>
  <c r="D79" i="5"/>
  <c r="D84" i="5"/>
  <c r="D90" i="5"/>
  <c r="D80" i="5"/>
  <c r="D78" i="5"/>
  <c r="D86" i="5"/>
  <c r="D83" i="5"/>
  <c r="D82" i="5"/>
  <c r="D89" i="5"/>
  <c r="D75" i="5"/>
  <c r="D88" i="5"/>
  <c r="D76" i="5"/>
  <c r="D77" i="5"/>
  <c r="D81" i="5"/>
  <c r="D85" i="5"/>
  <c r="E114" i="5"/>
  <c r="H176" i="5"/>
  <c r="F184" i="5"/>
  <c r="E103" i="5"/>
  <c r="F148" i="5"/>
  <c r="H140" i="5"/>
  <c r="H141" i="5"/>
  <c r="D103" i="5"/>
  <c r="F149" i="5"/>
  <c r="H127" i="5"/>
  <c r="B98" i="5"/>
  <c r="F119" i="5"/>
  <c r="H168" i="5"/>
  <c r="C109" i="5"/>
  <c r="F160" i="5"/>
  <c r="F159" i="5"/>
  <c r="B109" i="5"/>
  <c r="H167" i="5"/>
  <c r="H177" i="5"/>
  <c r="D114" i="5"/>
  <c r="F185" i="5"/>
  <c r="C98" i="5"/>
  <c r="F120" i="5"/>
  <c r="H128" i="5"/>
  <c r="H163" i="5"/>
  <c r="B110" i="5"/>
  <c r="H159" i="5"/>
  <c r="C110" i="5"/>
  <c r="H160" i="5"/>
  <c r="H164" i="5"/>
  <c r="F180" i="5"/>
  <c r="E113" i="5"/>
  <c r="F176" i="5"/>
  <c r="H119" i="5"/>
  <c r="B99" i="5"/>
  <c r="H123" i="5"/>
  <c r="D62" i="5"/>
  <c r="D61" i="5"/>
  <c r="D57" i="5"/>
  <c r="D63" i="5"/>
  <c r="D60" i="5"/>
  <c r="D59" i="5"/>
  <c r="D65" i="5"/>
  <c r="D67" i="5"/>
  <c r="D70" i="5"/>
  <c r="D69" i="5"/>
  <c r="D66" i="5"/>
  <c r="D64" i="5"/>
  <c r="D71" i="5"/>
  <c r="D58" i="5"/>
  <c r="D56" i="5"/>
  <c r="F165" i="5"/>
  <c r="C114" i="5"/>
  <c r="H157" i="5"/>
  <c r="C103" i="5"/>
  <c r="F129" i="5"/>
  <c r="H121" i="5"/>
  <c r="H186" i="5"/>
  <c r="F178" i="5"/>
  <c r="D109" i="5"/>
  <c r="F138" i="5"/>
  <c r="D98" i="5"/>
  <c r="H146" i="5"/>
  <c r="F179" i="5"/>
  <c r="E109" i="5"/>
  <c r="H187" i="5"/>
  <c r="F130" i="5"/>
  <c r="H122" i="5"/>
  <c r="B103" i="5"/>
  <c r="B114" i="5"/>
  <c r="H158" i="5"/>
  <c r="F166" i="5"/>
  <c r="F139" i="5"/>
  <c r="E98" i="5"/>
  <c r="H147" i="5"/>
  <c r="H125" i="5"/>
  <c r="C104" i="5"/>
  <c r="H129" i="5"/>
  <c r="H126" i="5"/>
  <c r="B104" i="5"/>
  <c r="H130" i="5"/>
  <c r="H166" i="5"/>
  <c r="H162" i="5"/>
  <c r="B115" i="5"/>
  <c r="F147" i="5"/>
  <c r="F143" i="5"/>
  <c r="E97" i="5"/>
  <c r="D39" i="5"/>
  <c r="D37" i="5"/>
  <c r="D46" i="5"/>
  <c r="D45" i="5"/>
  <c r="D43" i="5"/>
  <c r="D51" i="5"/>
  <c r="D41" i="5"/>
  <c r="D40" i="5"/>
  <c r="D38" i="5"/>
  <c r="D42" i="5"/>
  <c r="D50" i="5"/>
  <c r="D44" i="5"/>
  <c r="D52" i="5"/>
  <c r="D48" i="5"/>
  <c r="D47" i="5"/>
  <c r="F164" i="5"/>
  <c r="C108" i="5"/>
  <c r="F168" i="5"/>
  <c r="D104" i="5"/>
  <c r="H149" i="5"/>
  <c r="H145" i="5"/>
  <c r="H185" i="5"/>
  <c r="H181" i="5"/>
  <c r="D115" i="5"/>
  <c r="F128" i="5"/>
  <c r="C97" i="5"/>
  <c r="F124" i="5"/>
  <c r="F163" i="5"/>
  <c r="B108" i="5"/>
  <c r="F167" i="5"/>
  <c r="E104" i="5"/>
  <c r="H144" i="5"/>
  <c r="H148" i="5"/>
  <c r="E115" i="5"/>
  <c r="H180" i="5"/>
  <c r="H184" i="5"/>
  <c r="B97" i="5"/>
  <c r="F127" i="5"/>
  <c r="F123" i="5"/>
  <c r="F187" i="5"/>
  <c r="F183" i="5"/>
  <c r="E108" i="5"/>
  <c r="F186" i="5"/>
  <c r="D108" i="5"/>
  <c r="F182" i="5"/>
  <c r="H165" i="5"/>
  <c r="C115" i="5"/>
  <c r="H161" i="5"/>
  <c r="D97" i="5"/>
  <c r="F142" i="5"/>
  <c r="F146" i="5"/>
  <c r="D24" i="5"/>
  <c r="D29" i="5"/>
  <c r="D19" i="5"/>
  <c r="D22" i="5"/>
  <c r="D18" i="5"/>
  <c r="D20" i="5"/>
  <c r="D25" i="5"/>
  <c r="D28" i="5"/>
  <c r="D21" i="5"/>
  <c r="D32" i="5"/>
  <c r="D27" i="5"/>
  <c r="D33" i="5"/>
  <c r="D23" i="5"/>
  <c r="D26" i="5"/>
  <c r="D31" i="5"/>
  <c r="A81" i="5"/>
  <c r="A83" i="5"/>
  <c r="A44" i="5"/>
  <c r="A71" i="5"/>
  <c r="A50" i="5"/>
  <c r="A42" i="5"/>
  <c r="A76" i="5"/>
  <c r="A21" i="5"/>
  <c r="A66" i="5"/>
  <c r="A18" i="5"/>
  <c r="A63" i="5"/>
  <c r="A41" i="5"/>
  <c r="A33" i="5"/>
  <c r="A80" i="5"/>
  <c r="A29" i="5"/>
  <c r="A79" i="5"/>
  <c r="A67" i="5"/>
  <c r="A84" i="5"/>
  <c r="A25" i="5"/>
  <c r="A52" i="5"/>
  <c r="A89" i="5"/>
  <c r="A70" i="5"/>
  <c r="A20" i="5"/>
  <c r="A22" i="5"/>
  <c r="A32" i="5"/>
  <c r="A60" i="5"/>
  <c r="A27" i="5"/>
  <c r="A57" i="5"/>
  <c r="A24" i="5"/>
  <c r="A88" i="5"/>
  <c r="A46" i="5"/>
  <c r="A59" i="5"/>
  <c r="A61" i="5"/>
  <c r="A31" i="5"/>
  <c r="A62" i="5"/>
  <c r="A23" i="5"/>
  <c r="A37" i="5"/>
  <c r="A39" i="5"/>
  <c r="A85" i="5"/>
  <c r="A40" i="5"/>
  <c r="A26" i="5"/>
  <c r="A47" i="5"/>
  <c r="A48" i="5"/>
  <c r="A90" i="5"/>
  <c r="A38" i="5"/>
  <c r="A86" i="5"/>
  <c r="A64" i="5"/>
  <c r="A77" i="5"/>
  <c r="A43" i="5"/>
  <c r="A82" i="5"/>
  <c r="A78" i="5"/>
  <c r="A45" i="5"/>
  <c r="A19" i="5"/>
  <c r="A69" i="5"/>
  <c r="A51" i="5"/>
  <c r="A56" i="5"/>
  <c r="A28" i="5"/>
  <c r="A58" i="5"/>
  <c r="A65" i="5"/>
  <c r="A75" i="5"/>
  <c r="D228" i="2"/>
  <c r="D227" i="2"/>
  <c r="D229" i="2"/>
  <c r="D217" i="2"/>
  <c r="D215" i="2"/>
  <c r="D201" i="2"/>
  <c r="D216" i="2"/>
  <c r="D210" i="2"/>
  <c r="A216" i="2"/>
  <c r="A242" i="2"/>
  <c r="A210" i="2"/>
  <c r="A214" i="2"/>
  <c r="A227" i="2"/>
  <c r="A226" i="2"/>
  <c r="A221" i="2"/>
  <c r="A206" i="2"/>
  <c r="A225" i="2"/>
  <c r="A217" i="2"/>
  <c r="A199" i="2"/>
  <c r="A229" i="2"/>
  <c r="A207" i="2"/>
  <c r="A215" i="2"/>
  <c r="A201" i="2"/>
  <c r="A239" i="2"/>
  <c r="A233" i="2"/>
  <c r="A202" i="2"/>
  <c r="A235" i="2"/>
  <c r="A209" i="2"/>
  <c r="A240" i="2"/>
  <c r="A228" i="2"/>
  <c r="D183" i="2"/>
  <c r="D186" i="2"/>
  <c r="D184" i="2"/>
  <c r="D185" i="2"/>
  <c r="D188" i="2"/>
  <c r="D191" i="2"/>
  <c r="D190" i="2"/>
  <c r="D189" i="2"/>
  <c r="D187" i="2"/>
  <c r="D192" i="2"/>
  <c r="D181" i="2"/>
  <c r="D182" i="2"/>
  <c r="D169" i="2"/>
  <c r="D172" i="2"/>
  <c r="D173" i="2"/>
  <c r="D175" i="2"/>
  <c r="D177" i="2"/>
  <c r="D171" i="2"/>
  <c r="D168" i="2"/>
  <c r="D176" i="2"/>
  <c r="D167" i="2"/>
  <c r="D166" i="2"/>
  <c r="D170" i="2"/>
  <c r="D174" i="2"/>
  <c r="D151" i="2"/>
  <c r="D160" i="2"/>
  <c r="D154" i="2"/>
  <c r="D152" i="2"/>
  <c r="D161" i="2"/>
  <c r="D153" i="2"/>
  <c r="D162" i="2"/>
  <c r="D158" i="2"/>
  <c r="D159" i="2"/>
  <c r="D157" i="2"/>
  <c r="D156" i="2"/>
  <c r="D155" i="2"/>
  <c r="A187" i="2"/>
  <c r="A175" i="2"/>
  <c r="A153" i="2"/>
  <c r="A160" i="2"/>
  <c r="A158" i="2"/>
  <c r="A152" i="2"/>
  <c r="A162" i="2"/>
  <c r="A157" i="2"/>
  <c r="A189" i="2"/>
  <c r="A155" i="2"/>
  <c r="A174" i="2"/>
  <c r="A166" i="2"/>
  <c r="A156" i="2"/>
  <c r="A173" i="2"/>
  <c r="A192" i="2"/>
  <c r="A172" i="2"/>
  <c r="A188" i="2"/>
  <c r="A185" i="2"/>
  <c r="A184" i="2"/>
  <c r="A183" i="2"/>
  <c r="A182" i="2"/>
  <c r="A169" i="2"/>
  <c r="A154" i="2"/>
  <c r="A181" i="2"/>
  <c r="A191" i="2"/>
  <c r="A176" i="2"/>
  <c r="A167" i="2"/>
  <c r="A177" i="2"/>
  <c r="A171" i="2"/>
  <c r="A190" i="2"/>
  <c r="A151" i="2"/>
  <c r="A168" i="2"/>
  <c r="A186" i="2"/>
  <c r="A161" i="2"/>
  <c r="A159" i="2"/>
  <c r="A170" i="2"/>
  <c r="D136" i="2"/>
  <c r="D142" i="2"/>
  <c r="D145" i="2"/>
  <c r="D144" i="2"/>
  <c r="D141" i="2"/>
  <c r="D138" i="2"/>
  <c r="D137" i="2"/>
  <c r="D135" i="2"/>
  <c r="D139" i="2"/>
  <c r="D134" i="2"/>
  <c r="D143" i="2"/>
  <c r="D140" i="2"/>
  <c r="D109" i="2"/>
  <c r="D110" i="2"/>
  <c r="D113" i="2"/>
  <c r="D119" i="2"/>
  <c r="D124" i="2"/>
  <c r="D116" i="2"/>
  <c r="D120" i="2"/>
  <c r="D123" i="2"/>
  <c r="D111" i="2"/>
  <c r="D114" i="2"/>
  <c r="D115" i="2"/>
  <c r="D118" i="2"/>
  <c r="D117" i="2"/>
  <c r="D112" i="2"/>
  <c r="D92" i="2"/>
  <c r="D95" i="2"/>
  <c r="D96" i="2"/>
  <c r="D97" i="2"/>
  <c r="D90" i="2"/>
  <c r="D99" i="2"/>
  <c r="D93" i="2"/>
  <c r="D105" i="2"/>
  <c r="D94" i="2"/>
  <c r="D98" i="2"/>
  <c r="D91" i="2"/>
  <c r="D101" i="2"/>
  <c r="D104" i="2"/>
  <c r="D100" i="2"/>
  <c r="A119" i="2"/>
  <c r="A144" i="2"/>
  <c r="A115" i="2"/>
  <c r="A99" i="2"/>
  <c r="A114" i="2"/>
  <c r="A113" i="2"/>
  <c r="A110" i="2"/>
  <c r="A101" i="2"/>
  <c r="A145" i="2"/>
  <c r="A143" i="2"/>
  <c r="A137" i="2"/>
  <c r="A104" i="2"/>
  <c r="A124" i="2"/>
  <c r="A136" i="2"/>
  <c r="A90" i="2"/>
  <c r="A112" i="2"/>
  <c r="A111" i="2"/>
  <c r="A140" i="2"/>
  <c r="A95" i="2"/>
  <c r="A94" i="2"/>
  <c r="A139" i="2"/>
  <c r="A91" i="2"/>
  <c r="A141" i="2"/>
  <c r="A135" i="2"/>
  <c r="A118" i="2"/>
  <c r="A100" i="2"/>
  <c r="A109" i="2"/>
  <c r="A98" i="2"/>
  <c r="A93" i="2"/>
  <c r="A138" i="2"/>
  <c r="A123" i="2"/>
  <c r="A120" i="2"/>
  <c r="A117" i="2"/>
  <c r="A116" i="2"/>
  <c r="A134" i="2"/>
  <c r="A105" i="2"/>
  <c r="A92" i="2"/>
  <c r="A142" i="2"/>
  <c r="A97" i="2"/>
  <c r="A96" i="2"/>
  <c r="D56" i="2"/>
  <c r="D64" i="2"/>
  <c r="D57" i="2"/>
  <c r="D58" i="2"/>
  <c r="D59" i="2"/>
  <c r="D61" i="2"/>
  <c r="D62" i="2"/>
  <c r="D69" i="2"/>
  <c r="D66" i="2"/>
  <c r="D70" i="2"/>
  <c r="D67" i="2"/>
  <c r="D71" i="2"/>
  <c r="D63" i="2"/>
  <c r="D72" i="2"/>
  <c r="D60" i="2"/>
  <c r="D65" i="2"/>
  <c r="D50" i="2"/>
  <c r="D52" i="2"/>
  <c r="D47" i="2"/>
  <c r="D44" i="2"/>
  <c r="D37" i="2"/>
  <c r="D43" i="2"/>
  <c r="D46" i="2"/>
  <c r="D51" i="2"/>
  <c r="D39" i="2"/>
  <c r="D40" i="2"/>
  <c r="D38" i="2"/>
  <c r="D36" i="2"/>
  <c r="D41" i="2"/>
  <c r="D42" i="2"/>
  <c r="D45" i="2"/>
  <c r="D49" i="2"/>
  <c r="D29" i="2"/>
  <c r="D26" i="2"/>
  <c r="D17" i="2"/>
  <c r="D22" i="2"/>
  <c r="D19" i="2"/>
  <c r="D23" i="2"/>
  <c r="D25" i="2"/>
  <c r="D24" i="2"/>
  <c r="D32" i="2"/>
  <c r="D31" i="2"/>
  <c r="D30" i="2"/>
  <c r="D18" i="2"/>
  <c r="D27" i="2"/>
  <c r="D16" i="2"/>
  <c r="D21" i="2"/>
  <c r="D20" i="2"/>
  <c r="A71" i="2"/>
  <c r="A31" i="2"/>
  <c r="A66" i="2"/>
  <c r="A72" i="2"/>
  <c r="A36" i="2"/>
  <c r="A37" i="2"/>
  <c r="A65" i="2"/>
  <c r="A30" i="2"/>
  <c r="A47" i="2"/>
  <c r="A40" i="2"/>
  <c r="A44" i="2"/>
  <c r="A26" i="2"/>
  <c r="A28" i="2"/>
  <c r="A23" i="2"/>
  <c r="A57" i="2"/>
  <c r="A41" i="2"/>
  <c r="A64" i="2"/>
  <c r="A32" i="2"/>
  <c r="A59" i="2"/>
  <c r="A39" i="2"/>
  <c r="A69" i="2"/>
  <c r="A58" i="2"/>
  <c r="A46" i="2"/>
  <c r="A42" i="2"/>
  <c r="A17" i="2"/>
  <c r="A45" i="2"/>
  <c r="A21" i="2"/>
  <c r="A49" i="2"/>
  <c r="A63" i="2"/>
  <c r="A62" i="2"/>
  <c r="A22" i="2"/>
  <c r="A70" i="2"/>
  <c r="A56" i="2"/>
  <c r="A61" i="2"/>
  <c r="A60" i="2"/>
  <c r="A25" i="2"/>
  <c r="A67" i="2"/>
  <c r="A27" i="2"/>
  <c r="A43" i="2"/>
  <c r="A38" i="2"/>
  <c r="A16" i="2"/>
  <c r="A52" i="2"/>
  <c r="A51" i="2"/>
  <c r="A29" i="2"/>
  <c r="A20" i="2"/>
  <c r="A19" i="2"/>
  <c r="A50" i="2"/>
  <c r="A18" i="2"/>
  <c r="A24" i="2"/>
  <c r="D146" i="1"/>
  <c r="D140" i="1"/>
  <c r="D124" i="1"/>
  <c r="D127" i="1"/>
  <c r="D126" i="1"/>
  <c r="D125" i="1"/>
  <c r="A144" i="1"/>
  <c r="A127" i="1"/>
  <c r="A131" i="1"/>
  <c r="A125" i="1"/>
  <c r="A137" i="1"/>
  <c r="A132" i="1"/>
  <c r="A139" i="1"/>
  <c r="A126" i="1"/>
  <c r="A124" i="1"/>
  <c r="A146" i="1"/>
  <c r="A140" i="1"/>
  <c r="D115" i="1"/>
  <c r="D111" i="1"/>
  <c r="D117" i="1"/>
  <c r="D118" i="1"/>
  <c r="D114" i="1"/>
  <c r="D112" i="1"/>
  <c r="D101" i="1"/>
  <c r="D97" i="1"/>
  <c r="D99" i="1"/>
  <c r="D102" i="1"/>
  <c r="D98" i="1"/>
  <c r="D100" i="1"/>
  <c r="D104" i="1"/>
  <c r="D106" i="1"/>
  <c r="D103" i="1"/>
  <c r="D107" i="1"/>
  <c r="D105" i="1"/>
  <c r="D96" i="1"/>
  <c r="A101" i="1"/>
  <c r="A99" i="1"/>
  <c r="A97" i="1"/>
  <c r="A117" i="1"/>
  <c r="A98" i="1"/>
  <c r="A96" i="1"/>
  <c r="A102" i="1"/>
  <c r="A106" i="1"/>
  <c r="A105" i="1"/>
  <c r="A107" i="1"/>
  <c r="A103" i="1"/>
  <c r="A104" i="1"/>
  <c r="A111" i="1"/>
  <c r="A112" i="1"/>
  <c r="A114" i="1"/>
  <c r="A118" i="1"/>
  <c r="A100" i="1"/>
  <c r="A115" i="1"/>
  <c r="D84" i="1"/>
  <c r="D75" i="1"/>
  <c r="D83" i="1"/>
  <c r="D74" i="1"/>
  <c r="D78" i="1"/>
  <c r="D76" i="1"/>
  <c r="D73" i="1"/>
  <c r="D72" i="1"/>
  <c r="D77" i="1"/>
  <c r="D79" i="1"/>
  <c r="D80" i="1"/>
  <c r="D64" i="1"/>
  <c r="D68" i="1"/>
  <c r="D67" i="1"/>
  <c r="D56" i="1"/>
  <c r="D63" i="1"/>
  <c r="D59" i="1"/>
  <c r="D57" i="1"/>
  <c r="D58" i="1"/>
  <c r="D60" i="1"/>
  <c r="D61" i="1"/>
  <c r="D62" i="1"/>
  <c r="A63" i="1"/>
  <c r="A62" i="1"/>
  <c r="A75" i="1"/>
  <c r="A84" i="1"/>
  <c r="A61" i="1"/>
  <c r="A72" i="1"/>
  <c r="A79" i="1"/>
  <c r="A60" i="1"/>
  <c r="A59" i="1"/>
  <c r="A78" i="1"/>
  <c r="A73" i="1"/>
  <c r="A57" i="1"/>
  <c r="A64" i="1"/>
  <c r="A56" i="1"/>
  <c r="A76" i="1"/>
  <c r="A74" i="1"/>
  <c r="A58" i="1"/>
  <c r="A77" i="1"/>
  <c r="A68" i="1"/>
  <c r="A83" i="1"/>
  <c r="A80" i="1"/>
  <c r="A67" i="1"/>
  <c r="D30" i="1"/>
  <c r="D38" i="1"/>
  <c r="D29" i="1"/>
  <c r="D40" i="1"/>
  <c r="D28" i="1"/>
  <c r="D32" i="1"/>
  <c r="D35" i="1"/>
  <c r="D36" i="1"/>
  <c r="D31" i="1"/>
  <c r="D34" i="1"/>
  <c r="D39" i="1"/>
  <c r="D33" i="1"/>
  <c r="D16" i="1"/>
  <c r="D24" i="1"/>
  <c r="D20" i="1"/>
  <c r="D18" i="1"/>
  <c r="D14" i="1"/>
  <c r="D23" i="1"/>
  <c r="D17" i="1"/>
  <c r="D13" i="1"/>
  <c r="D12" i="1"/>
  <c r="D22" i="1"/>
  <c r="D19" i="1"/>
  <c r="D15" i="1"/>
  <c r="A15" i="1"/>
  <c r="A13" i="1"/>
  <c r="A28" i="1"/>
  <c r="A12" i="1"/>
  <c r="A18" i="1"/>
  <c r="A24" i="1"/>
  <c r="A39" i="1"/>
  <c r="A23" i="1"/>
  <c r="A30" i="1"/>
  <c r="A22" i="1"/>
  <c r="A34" i="1"/>
  <c r="A35" i="1"/>
  <c r="A20" i="1"/>
  <c r="A33" i="1"/>
  <c r="A36" i="1"/>
  <c r="A19" i="1"/>
  <c r="A38" i="1"/>
  <c r="A40" i="1"/>
  <c r="A17" i="1"/>
  <c r="A16" i="1"/>
  <c r="A32" i="1"/>
  <c r="A14" i="1"/>
  <c r="A31" i="1"/>
  <c r="A29" i="1"/>
  <c r="H186" i="10" l="1"/>
  <c r="F193" i="10"/>
  <c r="C106" i="10"/>
  <c r="H177" i="10"/>
  <c r="F170" i="10"/>
  <c r="D112" i="10"/>
  <c r="F174" i="10"/>
  <c r="F177" i="10"/>
  <c r="D111" i="10"/>
  <c r="C181" i="7"/>
</calcChain>
</file>

<file path=xl/sharedStrings.xml><?xml version="1.0" encoding="utf-8"?>
<sst xmlns="http://schemas.openxmlformats.org/spreadsheetml/2006/main" count="8575" uniqueCount="1849">
  <si>
    <t>2026 NJO S1</t>
  </si>
  <si>
    <t>SATURDAY, JULY 18</t>
  </si>
  <si>
    <t>EL TORO HS 1</t>
  </si>
  <si>
    <t>EL TORO HS 2</t>
  </si>
  <si>
    <t>EL TORO HS 3</t>
  </si>
  <si>
    <t>BECKMAN HS 2</t>
  </si>
  <si>
    <t>SADDLEBACK COLLEGE 2</t>
  </si>
  <si>
    <t>CAPISTRANO VALLEY HS 2</t>
  </si>
  <si>
    <t>TUSTIN HS 2</t>
  </si>
  <si>
    <t>OCEAN VIEW HS 2</t>
  </si>
  <si>
    <t>GOLDEN WEST COLLEGE 2</t>
  </si>
  <si>
    <t>LA HABRA HS</t>
  </si>
  <si>
    <t>PORTOLA HS 2</t>
  </si>
  <si>
    <t>TRABUCO HILLS HS</t>
  </si>
  <si>
    <t>WOOLLETT FAR RIGHT</t>
  </si>
  <si>
    <t>ALISO NIGUEL HS</t>
  </si>
  <si>
    <t>SAN CLEMENTE HS</t>
  </si>
  <si>
    <t>MISSION VIEJO HS</t>
  </si>
  <si>
    <t>LAGUNA HILLS HS</t>
  </si>
  <si>
    <t>UC IRVINE 1</t>
  </si>
  <si>
    <t>BECKMAN HS 1</t>
  </si>
  <si>
    <t>VILLA PARK HS</t>
  </si>
  <si>
    <t>ORANGE HS</t>
  </si>
  <si>
    <t>GARDEN GROVE HS</t>
  </si>
  <si>
    <t>UC IRVINE 2</t>
  </si>
  <si>
    <t>SADDLEBACK COLLEGE 1</t>
  </si>
  <si>
    <t>BUENA PARK HS</t>
  </si>
  <si>
    <t>OCEAN VIEW HS 1</t>
  </si>
  <si>
    <t>MARINA HS</t>
  </si>
  <si>
    <t>GOLDEN WEST COLLEGE 1</t>
  </si>
  <si>
    <t>CAPISTRANO VALLEY HS 1</t>
  </si>
  <si>
    <t>PORTOLA HS 1</t>
  </si>
  <si>
    <t>LA SERNA HS</t>
  </si>
  <si>
    <t>LONG BEACH CC 2</t>
  </si>
  <si>
    <t>WOOLLETT NEAR RIGHT</t>
  </si>
  <si>
    <t>LONG BEACH CC 1</t>
  </si>
  <si>
    <t>YORBA LINDA HS</t>
  </si>
  <si>
    <t>FULLERTON HS</t>
  </si>
  <si>
    <t>EDISON HS</t>
  </si>
  <si>
    <t>SONORA HS</t>
  </si>
  <si>
    <t>SERVITE HS</t>
  </si>
  <si>
    <t>SAN JUAN HILLS HS</t>
  </si>
  <si>
    <t>EL MODENA HS</t>
  </si>
  <si>
    <t>WOOLLETT NEAR LEFT</t>
  </si>
  <si>
    <t>CHAPMAN UNIVERSITY</t>
  </si>
  <si>
    <t>WESTMINSTER HS</t>
  </si>
  <si>
    <t>TUSTIN HS 1</t>
  </si>
  <si>
    <t>FULLERTON COLLEGE</t>
  </si>
  <si>
    <t>SUNDAY JULY 19</t>
  </si>
  <si>
    <t>for Marina</t>
  </si>
  <si>
    <t>MONDAY JULY 20</t>
  </si>
  <si>
    <t>9:40am start</t>
  </si>
  <si>
    <t>NO 2pm-4pm</t>
  </si>
  <si>
    <t>7am start 5pm last game</t>
  </si>
  <si>
    <t>11am-4pm YMCA 7am start</t>
  </si>
  <si>
    <t>8am start</t>
  </si>
  <si>
    <t>9am start</t>
  </si>
  <si>
    <t>TUESDAY, JULY 21</t>
  </si>
  <si>
    <t>11am-4pm YMCA</t>
  </si>
  <si>
    <t>WOOLLETT LEFT</t>
  </si>
  <si>
    <t>WOOLLETT RIGHT</t>
  </si>
  <si>
    <t>Day 1</t>
  </si>
  <si>
    <t>HOT! RESULTS</t>
  </si>
  <si>
    <t>SUBMIT SCORES LINK!</t>
  </si>
  <si>
    <t>Quarter Lengths by Day</t>
  </si>
  <si>
    <t>5-5-5-5</t>
  </si>
  <si>
    <t>NEWPORT BEACH BLUE</t>
  </si>
  <si>
    <t>SOCAL</t>
  </si>
  <si>
    <t>680 RED</t>
  </si>
  <si>
    <t>TEMPLE CITY</t>
  </si>
  <si>
    <t>PATRIOT</t>
  </si>
  <si>
    <t>908 PINK</t>
  </si>
  <si>
    <t>Seeds</t>
  </si>
  <si>
    <t>STANFORD</t>
  </si>
  <si>
    <t>NEWPORT WHITE</t>
  </si>
  <si>
    <t>DEL MAR A</t>
  </si>
  <si>
    <t>COMMERCE</t>
  </si>
  <si>
    <t>SAN CLEMENTE</t>
  </si>
  <si>
    <t>LAMORINDA BLUE</t>
  </si>
  <si>
    <t>GREENWICH</t>
  </si>
  <si>
    <t>YOLO FLAMINGOS</t>
  </si>
  <si>
    <t>LA JOLLA UNITED</t>
  </si>
  <si>
    <t>DAVIS</t>
  </si>
  <si>
    <t>LAMORINDA GOLD</t>
  </si>
  <si>
    <t>DEL MAR B</t>
  </si>
  <si>
    <t>A</t>
  </si>
  <si>
    <t>B</t>
  </si>
  <si>
    <t>C</t>
  </si>
  <si>
    <t>D</t>
  </si>
  <si>
    <t>E</t>
  </si>
  <si>
    <t>F</t>
  </si>
  <si>
    <t>A1(1)-NEWPORT BEACH BLUE</t>
  </si>
  <si>
    <t>B1(2)-SOCAL</t>
  </si>
  <si>
    <t>C1(3)-680 RED</t>
  </si>
  <si>
    <t>D1(4)-TEMPLE CITY</t>
  </si>
  <si>
    <t>E1(5)-PATRIOT</t>
  </si>
  <si>
    <t>F1(6)-908 PINK</t>
  </si>
  <si>
    <t>A2(12)-STANFORD</t>
  </si>
  <si>
    <t>B2(11)-NEWPORT WHITE</t>
  </si>
  <si>
    <t>C2(10)-DEL MAR A</t>
  </si>
  <si>
    <t>D2(9)-COMMERCE</t>
  </si>
  <si>
    <t>E2(8)-SAN CLEMENTE</t>
  </si>
  <si>
    <t>F2(7)-LAMORINDA BLUE</t>
  </si>
  <si>
    <t>A3(13)-GREENWICH</t>
  </si>
  <si>
    <t>B3(14)-YOLO FLAMINGOS</t>
  </si>
  <si>
    <t>C3(15)-LA JOLLA UNITED</t>
  </si>
  <si>
    <t>D3(16)-DAVIS</t>
  </si>
  <si>
    <t>E3(17)-LAMORINDA GOLD</t>
  </si>
  <si>
    <t>F3(18)-DEL MAR B</t>
  </si>
  <si>
    <t>10G</t>
  </si>
  <si>
    <t>Date</t>
  </si>
  <si>
    <t>Time</t>
  </si>
  <si>
    <t>Type</t>
  </si>
  <si>
    <t>Location</t>
  </si>
  <si>
    <t>Gm #</t>
  </si>
  <si>
    <t>White</t>
  </si>
  <si>
    <t>S</t>
  </si>
  <si>
    <t>Dark</t>
  </si>
  <si>
    <t>W to #</t>
  </si>
  <si>
    <t>L to #</t>
  </si>
  <si>
    <t>GMID</t>
  </si>
  <si>
    <t>RR</t>
  </si>
  <si>
    <t>Cross</t>
  </si>
  <si>
    <t>2nd_A</t>
  </si>
  <si>
    <t>3rd_B</t>
  </si>
  <si>
    <t>pt_P3</t>
  </si>
  <si>
    <t>pt_R1</t>
  </si>
  <si>
    <t>2nd_B</t>
  </si>
  <si>
    <t>3rd_A</t>
  </si>
  <si>
    <t>pt_O3</t>
  </si>
  <si>
    <t>pt_S1</t>
  </si>
  <si>
    <t>2nd_C</t>
  </si>
  <si>
    <t>3rd_D</t>
  </si>
  <si>
    <t>pt_N3</t>
  </si>
  <si>
    <t>pt_S2</t>
  </si>
  <si>
    <t>2nd_F</t>
  </si>
  <si>
    <t>3rd_E</t>
  </si>
  <si>
    <t>pt_N2</t>
  </si>
  <si>
    <t>pt_S3</t>
  </si>
  <si>
    <t>2nd_E</t>
  </si>
  <si>
    <t>3rd_F</t>
  </si>
  <si>
    <t>pt_M2</t>
  </si>
  <si>
    <t>pt_R3</t>
  </si>
  <si>
    <t>2nd_D</t>
  </si>
  <si>
    <t>3rd_C</t>
  </si>
  <si>
    <t>pt_M3</t>
  </si>
  <si>
    <t>pt_R2</t>
  </si>
  <si>
    <t>5 minute quarters</t>
  </si>
  <si>
    <t>Platinum</t>
  </si>
  <si>
    <t>M</t>
  </si>
  <si>
    <t>N</t>
  </si>
  <si>
    <t>O</t>
  </si>
  <si>
    <t>P</t>
  </si>
  <si>
    <t>1st_A</t>
  </si>
  <si>
    <t>1st_B</t>
  </si>
  <si>
    <t>1st_C</t>
  </si>
  <si>
    <t>1st_D</t>
  </si>
  <si>
    <t>1st_F</t>
  </si>
  <si>
    <t>1st_E</t>
  </si>
  <si>
    <t>R</t>
  </si>
  <si>
    <t>MSR</t>
  </si>
  <si>
    <t>pt</t>
  </si>
  <si>
    <t>au</t>
  </si>
  <si>
    <t>Group</t>
  </si>
  <si>
    <t>pt_M1</t>
  </si>
  <si>
    <t>pt_N1</t>
  </si>
  <si>
    <t>Play-in</t>
  </si>
  <si>
    <t>3rd pt_M</t>
  </si>
  <si>
    <t>2nd pt_R</t>
  </si>
  <si>
    <t>au_W2</t>
  </si>
  <si>
    <t>3rd pt_N</t>
  </si>
  <si>
    <t>1st pt_R</t>
  </si>
  <si>
    <t>au_V3</t>
  </si>
  <si>
    <t/>
  </si>
  <si>
    <t>pt_O1</t>
  </si>
  <si>
    <t>pt_P1</t>
  </si>
  <si>
    <t>pt_O2</t>
  </si>
  <si>
    <t>pt_P2</t>
  </si>
  <si>
    <t>3rd pt_O</t>
  </si>
  <si>
    <t>1st pt_S</t>
  </si>
  <si>
    <t>au_W3</t>
  </si>
  <si>
    <t>3rd pt_P</t>
  </si>
  <si>
    <t>2nd pt_S</t>
  </si>
  <si>
    <t>au_V2</t>
  </si>
  <si>
    <t>au_V Gold 1st-6th</t>
  </si>
  <si>
    <t>au_W Gold 1st-6th</t>
  </si>
  <si>
    <t>3rd pt_R</t>
  </si>
  <si>
    <t>3rd pt_S</t>
  </si>
  <si>
    <t>Day 3</t>
  </si>
  <si>
    <t>5-8 v 9-12</t>
  </si>
  <si>
    <t>2nd pt_P</t>
  </si>
  <si>
    <t>2nd pt_M</t>
  </si>
  <si>
    <t>2nd pt_O</t>
  </si>
  <si>
    <t>2nd pt_N</t>
  </si>
  <si>
    <t>1-2 v 3-4</t>
  </si>
  <si>
    <t>1st pt_N</t>
  </si>
  <si>
    <t>1st pt_O</t>
  </si>
  <si>
    <t>1st pt_M</t>
  </si>
  <si>
    <t>1st pt_P</t>
  </si>
  <si>
    <t>5-6 v 7-8</t>
  </si>
  <si>
    <t>9-12 semi</t>
  </si>
  <si>
    <t>play to semi</t>
  </si>
  <si>
    <t>au_V1</t>
  </si>
  <si>
    <t>au_W1</t>
  </si>
  <si>
    <t>BREAK</t>
  </si>
  <si>
    <t>Day 4</t>
  </si>
  <si>
    <t>5th</t>
  </si>
  <si>
    <t>3rd au_V</t>
  </si>
  <si>
    <t>3rd au_W</t>
  </si>
  <si>
    <t>6th</t>
  </si>
  <si>
    <t>3rd</t>
  </si>
  <si>
    <t>2nd au_V</t>
  </si>
  <si>
    <t>2nd au_W</t>
  </si>
  <si>
    <t>4th</t>
  </si>
  <si>
    <t>1st</t>
  </si>
  <si>
    <t>1st au_V</t>
  </si>
  <si>
    <t>1st au_W</t>
  </si>
  <si>
    <t>2nd</t>
  </si>
  <si>
    <t>11th</t>
  </si>
  <si>
    <t>12th</t>
  </si>
  <si>
    <t>7th</t>
  </si>
  <si>
    <t>8th</t>
  </si>
  <si>
    <t>9th</t>
  </si>
  <si>
    <t>10th</t>
  </si>
  <si>
    <t>semi</t>
  </si>
  <si>
    <t>pt_Place</t>
  </si>
  <si>
    <t>au_Place</t>
  </si>
  <si>
    <t>Team Travels</t>
  </si>
  <si>
    <t>A(1)-CHULA VISTA PREMIER</t>
  </si>
  <si>
    <t>B(2)-PATRIOT NAVY</t>
  </si>
  <si>
    <t>C(3)-SD SHORES BLACK</t>
  </si>
  <si>
    <t>D(4)-YOLO</t>
  </si>
  <si>
    <t>E(5)-CHANNEL ISLANDS UNITED</t>
  </si>
  <si>
    <t>F(6)-SANTA BARBARA WPC</t>
  </si>
  <si>
    <t>A(24)-ROSE BOWL RED</t>
  </si>
  <si>
    <t>B(23)-ASA</t>
  </si>
  <si>
    <t>C(22)-SOUTH COAST RED</t>
  </si>
  <si>
    <t>D(21)-CHAWP</t>
  </si>
  <si>
    <t>E(20)-TPC SHARKS</t>
  </si>
  <si>
    <t>F(19)-LA CITY UNITED</t>
  </si>
  <si>
    <t>A(25)-LA PREMIER BLACK</t>
  </si>
  <si>
    <t>B(26)-DIABLO ALLIANCE A</t>
  </si>
  <si>
    <t>C(27)-CORONADO</t>
  </si>
  <si>
    <t>D(28)-CMAC</t>
  </si>
  <si>
    <t>E(29)-ALAMEDA</t>
  </si>
  <si>
    <t>F(30)-SHAQ</t>
  </si>
  <si>
    <t>G</t>
  </si>
  <si>
    <t>H</t>
  </si>
  <si>
    <t>I</t>
  </si>
  <si>
    <t>J</t>
  </si>
  <si>
    <t>K</t>
  </si>
  <si>
    <t>L</t>
  </si>
  <si>
    <t>G(7)-FOOTHILL RED</t>
  </si>
  <si>
    <t>H(8)-ECA</t>
  </si>
  <si>
    <t>I(9)-OCWPC BLUE</t>
  </si>
  <si>
    <t>J(10)-NORTH IRVINE</t>
  </si>
  <si>
    <t>K(11)-LOS ALAMITOS</t>
  </si>
  <si>
    <t>L(12)-AMERICAN RIVER</t>
  </si>
  <si>
    <t>G(18)-WHITTIER</t>
  </si>
  <si>
    <t>H(17)-VANGUARD</t>
  </si>
  <si>
    <t>I(16)-PRAETORIAN</t>
  </si>
  <si>
    <t>J(15)-LAGUNA BLACK</t>
  </si>
  <si>
    <t>K(14)-SAN JOSE EXPRESS</t>
  </si>
  <si>
    <t>L(13)-LYONS AQUATICS</t>
  </si>
  <si>
    <t>G(31)-LOWPO</t>
  </si>
  <si>
    <t>H(32)-A TOWN</t>
  </si>
  <si>
    <t>I(33)-WEST VALLEY</t>
  </si>
  <si>
    <t>J(34)-AQUATEX</t>
  </si>
  <si>
    <t>K(35)-CHICAGO PARK</t>
  </si>
  <si>
    <t>L(36)-CARMEL</t>
  </si>
  <si>
    <t>10C</t>
  </si>
  <si>
    <t>Group A</t>
  </si>
  <si>
    <t>Group B</t>
  </si>
  <si>
    <t>Group C</t>
  </si>
  <si>
    <t>Group D</t>
  </si>
  <si>
    <t>2-3 cross</t>
  </si>
  <si>
    <t>2nd A-</t>
  </si>
  <si>
    <t>3rd B-</t>
  </si>
  <si>
    <t>pt_U3</t>
  </si>
  <si>
    <t>au_N1</t>
  </si>
  <si>
    <t>2nd B-</t>
  </si>
  <si>
    <t>3rd A-</t>
  </si>
  <si>
    <t>pt_T3</t>
  </si>
  <si>
    <t>au_M1</t>
  </si>
  <si>
    <t>2nd C-</t>
  </si>
  <si>
    <t>3rd D-</t>
  </si>
  <si>
    <t>au_P1</t>
  </si>
  <si>
    <t>2nd D-</t>
  </si>
  <si>
    <t>3rd C-</t>
  </si>
  <si>
    <t>au_O1</t>
  </si>
  <si>
    <t>Group H</t>
  </si>
  <si>
    <t>Group G</t>
  </si>
  <si>
    <t>Group F</t>
  </si>
  <si>
    <t>Group E</t>
  </si>
  <si>
    <t>2nd H-</t>
  </si>
  <si>
    <t>3rd G-</t>
  </si>
  <si>
    <t>pt_U2</t>
  </si>
  <si>
    <t>au_N2</t>
  </si>
  <si>
    <t>2nd G-</t>
  </si>
  <si>
    <t>3rd H-</t>
  </si>
  <si>
    <t>pt_T2</t>
  </si>
  <si>
    <t>au_M2</t>
  </si>
  <si>
    <t>2nd F-</t>
  </si>
  <si>
    <t>3rd E-</t>
  </si>
  <si>
    <t>au_P2</t>
  </si>
  <si>
    <t>2nd E-</t>
  </si>
  <si>
    <t>3rd F-</t>
  </si>
  <si>
    <t>au_O2</t>
  </si>
  <si>
    <t>Group I</t>
  </si>
  <si>
    <t>Group J</t>
  </si>
  <si>
    <t>Group K</t>
  </si>
  <si>
    <t>Group L</t>
  </si>
  <si>
    <t>2nd I-</t>
  </si>
  <si>
    <t>3rd J-</t>
  </si>
  <si>
    <t>pt_U1</t>
  </si>
  <si>
    <t>au_N3</t>
  </si>
  <si>
    <t>2nd J-</t>
  </si>
  <si>
    <t>3rd I-</t>
  </si>
  <si>
    <t>pt_T1</t>
  </si>
  <si>
    <t>au_M3</t>
  </si>
  <si>
    <t>2nd K-</t>
  </si>
  <si>
    <t>3rd L-</t>
  </si>
  <si>
    <t>au_P3</t>
  </si>
  <si>
    <t>2nd L-</t>
  </si>
  <si>
    <t>3rd K-</t>
  </si>
  <si>
    <t>au_O3</t>
  </si>
  <si>
    <t>Day 2</t>
  </si>
  <si>
    <t>pt_M</t>
  </si>
  <si>
    <t>pt_N</t>
  </si>
  <si>
    <t>pt_O</t>
  </si>
  <si>
    <t>pt_P</t>
  </si>
  <si>
    <t>1st A-</t>
  </si>
  <si>
    <t>1st B-</t>
  </si>
  <si>
    <t>1st C-</t>
  </si>
  <si>
    <t>1st D-</t>
  </si>
  <si>
    <t>1st H-</t>
  </si>
  <si>
    <t>1st G-</t>
  </si>
  <si>
    <t>1st F-</t>
  </si>
  <si>
    <t>1st E-</t>
  </si>
  <si>
    <t>1st I-</t>
  </si>
  <si>
    <t>1st J-</t>
  </si>
  <si>
    <t>1st K-</t>
  </si>
  <si>
    <t>1st L-</t>
  </si>
  <si>
    <t>pt_R</t>
  </si>
  <si>
    <t>pt_S</t>
  </si>
  <si>
    <t>pt_T</t>
  </si>
  <si>
    <t>pt_U</t>
  </si>
  <si>
    <t>2nd L</t>
  </si>
  <si>
    <t>pt_O2-</t>
  </si>
  <si>
    <t>pt_O3-</t>
  </si>
  <si>
    <t>pt_M2-</t>
  </si>
  <si>
    <t>pt_M3-</t>
  </si>
  <si>
    <t>pt_O1-</t>
  </si>
  <si>
    <t>pt_M1-</t>
  </si>
  <si>
    <t>3rd pt_O-</t>
  </si>
  <si>
    <t>1st pt_U-</t>
  </si>
  <si>
    <t>3rd pt_M-</t>
  </si>
  <si>
    <t>1st pt_S-</t>
  </si>
  <si>
    <t>pt_P2-</t>
  </si>
  <si>
    <t>pt_P3-</t>
  </si>
  <si>
    <t>pt_N2-</t>
  </si>
  <si>
    <t>pt_N3-</t>
  </si>
  <si>
    <t>pt_P1-</t>
  </si>
  <si>
    <t>pt_N1-</t>
  </si>
  <si>
    <t>3rd pt_P-</t>
  </si>
  <si>
    <t>1st pt_T-</t>
  </si>
  <si>
    <t>3rd pt_N-</t>
  </si>
  <si>
    <t>1st pt_R-</t>
  </si>
  <si>
    <t>Gold</t>
  </si>
  <si>
    <t>au_M</t>
  </si>
  <si>
    <t>au_N</t>
  </si>
  <si>
    <t>au_O</t>
  </si>
  <si>
    <t>au_P</t>
  </si>
  <si>
    <t>pt_</t>
  </si>
  <si>
    <t>au_</t>
  </si>
  <si>
    <t>2nd pt_P-</t>
  </si>
  <si>
    <t>2nd pt_M-</t>
  </si>
  <si>
    <t>2nd pt_O-</t>
  </si>
  <si>
    <t>2nd pt_N-</t>
  </si>
  <si>
    <t>1st pt_N-</t>
  </si>
  <si>
    <t>1st pt_O-</t>
  </si>
  <si>
    <t>1st pt_M-</t>
  </si>
  <si>
    <t>1st pt_P-</t>
  </si>
  <si>
    <t>21-24 RR</t>
  </si>
  <si>
    <t>3rd pt_T-</t>
  </si>
  <si>
    <t>3rd pt_S-</t>
  </si>
  <si>
    <t>3rd pt_U-</t>
  </si>
  <si>
    <t>3rd pt_R-</t>
  </si>
  <si>
    <t>13-20 qtr</t>
  </si>
  <si>
    <t>2nd pt_U-</t>
  </si>
  <si>
    <t>2nd pt_S-</t>
  </si>
  <si>
    <t>2nd pt_T-</t>
  </si>
  <si>
    <t>2nd pt_R-</t>
  </si>
  <si>
    <t>13-16 semi</t>
  </si>
  <si>
    <t>17-20 semi</t>
  </si>
  <si>
    <t>2nd au_P-</t>
  </si>
  <si>
    <t>3rd au_O-</t>
  </si>
  <si>
    <t>2nd au_O-</t>
  </si>
  <si>
    <t>3rd au_P-</t>
  </si>
  <si>
    <t>2nd au_M-</t>
  </si>
  <si>
    <t>3rd au_N-</t>
  </si>
  <si>
    <t>2nd au_N-</t>
  </si>
  <si>
    <t>3rd au_M-</t>
  </si>
  <si>
    <t>1st au_N-</t>
  </si>
  <si>
    <t>1st au_O-</t>
  </si>
  <si>
    <t>1st au_M-</t>
  </si>
  <si>
    <t>1st au_P-</t>
  </si>
  <si>
    <t>15th</t>
  </si>
  <si>
    <t>16th</t>
  </si>
  <si>
    <t>19th</t>
  </si>
  <si>
    <t>20th</t>
  </si>
  <si>
    <t>17th</t>
  </si>
  <si>
    <t>18th</t>
  </si>
  <si>
    <t>13th</t>
  </si>
  <si>
    <t>14th</t>
  </si>
  <si>
    <t>21st</t>
  </si>
  <si>
    <t>22nd</t>
  </si>
  <si>
    <t>23rd</t>
  </si>
  <si>
    <t>24th</t>
  </si>
  <si>
    <t>23 teams</t>
  </si>
  <si>
    <t>A1(1)-SD SHORES B</t>
  </si>
  <si>
    <t>B1(2)-PATRIOT RED</t>
  </si>
  <si>
    <t>C1(3)-YOLO B</t>
  </si>
  <si>
    <t>D1(4)-680 RED</t>
  </si>
  <si>
    <t>E1(5)-TROJAN SOUTH</t>
  </si>
  <si>
    <t>F1(6)-LB VIKING</t>
  </si>
  <si>
    <t>A2(12)-BURLINGAME</t>
  </si>
  <si>
    <t>B2(11)-LOYOLA</t>
  </si>
  <si>
    <t>C2(10)-NGEN</t>
  </si>
  <si>
    <t>D2(9)-VALLEY UNITED</t>
  </si>
  <si>
    <t>E2(8)-OCWPC RED</t>
  </si>
  <si>
    <t>F2(7)-DIABLO ALLIANCE B</t>
  </si>
  <si>
    <t>A3(13)-NEWPORT BEACH</t>
  </si>
  <si>
    <t>B3(14)-TROJAN NORTH B</t>
  </si>
  <si>
    <t>C3(15)-FOOTHILL BLACK B</t>
  </si>
  <si>
    <t>D3(16)-TSUNAMI</t>
  </si>
  <si>
    <t>E3(17)- SANTA BARBARA WPC B</t>
  </si>
  <si>
    <t>F3(18)-ROSE BOWL BLACK</t>
  </si>
  <si>
    <t>C4(22)-TITANS</t>
  </si>
  <si>
    <t>D4(21)-SANTA BARBARA WPC 8U</t>
  </si>
  <si>
    <t>E4(20)-MAC</t>
  </si>
  <si>
    <t>F4(19)-LAGUNA MAROON</t>
  </si>
  <si>
    <t>10CX</t>
  </si>
  <si>
    <t>W1-</t>
  </si>
  <si>
    <t>W3-</t>
  </si>
  <si>
    <t>ag_C1</t>
  </si>
  <si>
    <t>L1-</t>
  </si>
  <si>
    <t>L3-</t>
  </si>
  <si>
    <t>bz_A5</t>
  </si>
  <si>
    <t>W5-</t>
  </si>
  <si>
    <t>W7-</t>
  </si>
  <si>
    <t>ag_D1</t>
  </si>
  <si>
    <t>L5-</t>
  </si>
  <si>
    <t>L7-</t>
  </si>
  <si>
    <t>bz_B5</t>
  </si>
  <si>
    <t>W9-</t>
  </si>
  <si>
    <t>W11-</t>
  </si>
  <si>
    <t>ag_D2</t>
  </si>
  <si>
    <t>L9-</t>
  </si>
  <si>
    <t>L11-</t>
  </si>
  <si>
    <t>bz_A4</t>
  </si>
  <si>
    <t>L17-</t>
  </si>
  <si>
    <t>W15-</t>
  </si>
  <si>
    <t>ag_A3</t>
  </si>
  <si>
    <t>bz_B2</t>
  </si>
  <si>
    <t>L13-</t>
  </si>
  <si>
    <t>W19-</t>
  </si>
  <si>
    <t>ag_B3</t>
  </si>
  <si>
    <t>bz_A2</t>
  </si>
  <si>
    <t>L21-</t>
  </si>
  <si>
    <t>W14-</t>
  </si>
  <si>
    <t>ag_A2</t>
  </si>
  <si>
    <t>bz_A3</t>
  </si>
  <si>
    <t>W23-</t>
  </si>
  <si>
    <t>L16-</t>
  </si>
  <si>
    <t>ag_B2</t>
  </si>
  <si>
    <t>bz_B3</t>
  </si>
  <si>
    <t>L4-</t>
  </si>
  <si>
    <t>L6-</t>
  </si>
  <si>
    <t>bz_B4</t>
  </si>
  <si>
    <t>W4-</t>
  </si>
  <si>
    <t>W6-</t>
  </si>
  <si>
    <t>ag_C2</t>
  </si>
  <si>
    <t>2ndB-</t>
  </si>
  <si>
    <t>ag_C3</t>
  </si>
  <si>
    <t>bz_B1</t>
  </si>
  <si>
    <t>3rdB-</t>
  </si>
  <si>
    <t>ag_D3</t>
  </si>
  <si>
    <t>bz_A1</t>
  </si>
  <si>
    <t>ag_A</t>
  </si>
  <si>
    <t>ag_B</t>
  </si>
  <si>
    <t>ag_C</t>
  </si>
  <si>
    <t>ag_D</t>
  </si>
  <si>
    <t>1stB-</t>
  </si>
  <si>
    <t>W13-</t>
  </si>
  <si>
    <t>W17-</t>
  </si>
  <si>
    <t>W25-</t>
  </si>
  <si>
    <t>W27-</t>
  </si>
  <si>
    <t>W16-</t>
  </si>
  <si>
    <t>W21-</t>
  </si>
  <si>
    <t>W99-</t>
  </si>
  <si>
    <t>W24-</t>
  </si>
  <si>
    <t>W26-</t>
  </si>
  <si>
    <t>W28-</t>
  </si>
  <si>
    <t>bz_A</t>
  </si>
  <si>
    <t>bz_B</t>
  </si>
  <si>
    <t>L28-</t>
  </si>
  <si>
    <t>L26-</t>
  </si>
  <si>
    <t>L24-</t>
  </si>
  <si>
    <t>L99-</t>
  </si>
  <si>
    <t>L25-</t>
  </si>
  <si>
    <t>L27-</t>
  </si>
  <si>
    <t>L23-</t>
  </si>
  <si>
    <t>L14-</t>
  </si>
  <si>
    <t>L15-</t>
  </si>
  <si>
    <t>L19-</t>
  </si>
  <si>
    <t>ag_</t>
  </si>
  <si>
    <t>bz_</t>
  </si>
  <si>
    <t>ag_A1-</t>
  </si>
  <si>
    <t>ag_A2-</t>
  </si>
  <si>
    <t>ag_D1-</t>
  </si>
  <si>
    <t>ag_D2-</t>
  </si>
  <si>
    <t>ag_B1-</t>
  </si>
  <si>
    <t>ag_B2-</t>
  </si>
  <si>
    <t>ag_C1-</t>
  </si>
  <si>
    <t>ag_C2-</t>
  </si>
  <si>
    <t>ag_A3-</t>
  </si>
  <si>
    <t>ag_D3-</t>
  </si>
  <si>
    <t>ag_B3-</t>
  </si>
  <si>
    <t>ag_C3-</t>
  </si>
  <si>
    <t>bz_A2-</t>
  </si>
  <si>
    <t>bz_A4-</t>
  </si>
  <si>
    <t>bz_A3-</t>
  </si>
  <si>
    <t>bz_A5-</t>
  </si>
  <si>
    <t>bz_B1-</t>
  </si>
  <si>
    <t>bz_B3-</t>
  </si>
  <si>
    <t>bz_B2-</t>
  </si>
  <si>
    <t>bz_B5-</t>
  </si>
  <si>
    <t>no game</t>
  </si>
  <si>
    <t>bz_A1-</t>
  </si>
  <si>
    <t>bz_B4-</t>
  </si>
  <si>
    <t>2nd ag_D</t>
  </si>
  <si>
    <t>3rd ag_C</t>
  </si>
  <si>
    <t>2nd ag_A</t>
  </si>
  <si>
    <t>3rd ag_B</t>
  </si>
  <si>
    <t>2nd ag_C</t>
  </si>
  <si>
    <t>3rd ag_D</t>
  </si>
  <si>
    <t>2nd ag_B</t>
  </si>
  <si>
    <t>3rd ag_A</t>
  </si>
  <si>
    <t>1st ag_B</t>
  </si>
  <si>
    <t>1st ag_C</t>
  </si>
  <si>
    <t>W53</t>
  </si>
  <si>
    <t>W55</t>
  </si>
  <si>
    <t>1st ag_A</t>
  </si>
  <si>
    <t>1st ag_D</t>
  </si>
  <si>
    <t>W57</t>
  </si>
  <si>
    <t>W59</t>
  </si>
  <si>
    <t>L55</t>
  </si>
  <si>
    <t>L53</t>
  </si>
  <si>
    <t>L59</t>
  </si>
  <si>
    <t>L57</t>
  </si>
  <si>
    <t>qtr final</t>
  </si>
  <si>
    <t>L61</t>
  </si>
  <si>
    <t>W63</t>
  </si>
  <si>
    <t>L65</t>
  </si>
  <si>
    <t>W67</t>
  </si>
  <si>
    <t>Place</t>
  </si>
  <si>
    <t>L63</t>
  </si>
  <si>
    <t>L67</t>
  </si>
  <si>
    <t>L73</t>
  </si>
  <si>
    <t>L75</t>
  </si>
  <si>
    <t>4th bz_A</t>
  </si>
  <si>
    <t>4th bz_B</t>
  </si>
  <si>
    <t>L69</t>
  </si>
  <si>
    <t>L71</t>
  </si>
  <si>
    <t>W69</t>
  </si>
  <si>
    <t>W71</t>
  </si>
  <si>
    <t>3rd bz_A</t>
  </si>
  <si>
    <t>3rd bz_B</t>
  </si>
  <si>
    <t>5th bz_A</t>
  </si>
  <si>
    <t>5th bz_B</t>
  </si>
  <si>
    <t>Semi</t>
  </si>
  <si>
    <t>1st bz_A</t>
  </si>
  <si>
    <t>2nd bz_B</t>
  </si>
  <si>
    <t>1st bz_B</t>
  </si>
  <si>
    <t>2nd bz_A</t>
  </si>
  <si>
    <t>L77</t>
  </si>
  <si>
    <t>L78</t>
  </si>
  <si>
    <t>W77</t>
  </si>
  <si>
    <t>W78</t>
  </si>
  <si>
    <t>W65</t>
  </si>
  <si>
    <t>W73</t>
  </si>
  <si>
    <t>L79</t>
  </si>
  <si>
    <t>L80</t>
  </si>
  <si>
    <t>W79</t>
  </si>
  <si>
    <t>W80</t>
  </si>
  <si>
    <t>W61</t>
  </si>
  <si>
    <t>W75</t>
  </si>
  <si>
    <t>6-6-6-6</t>
  </si>
  <si>
    <t>Teams</t>
  </si>
  <si>
    <t>A1(1)-YOLO A</t>
  </si>
  <si>
    <t>2-SACRAMENTO</t>
  </si>
  <si>
    <t>3-LA CITY UNITED</t>
  </si>
  <si>
    <t>D1 (4)-CORONADO</t>
  </si>
  <si>
    <t>5-VNITED</t>
  </si>
  <si>
    <t>6-LOWPO</t>
  </si>
  <si>
    <t>(Seed-Team Name)</t>
  </si>
  <si>
    <t>A2(24)-BIG VALLEY</t>
  </si>
  <si>
    <t>23-VIKING</t>
  </si>
  <si>
    <t>22-PRAETORIAN</t>
  </si>
  <si>
    <t>D2(21)-RAIN CITY</t>
  </si>
  <si>
    <t>20-WEST VALLEY</t>
  </si>
  <si>
    <t>19-PHOENIX RENEGADES</t>
  </si>
  <si>
    <t>A3(25)-NGEN</t>
  </si>
  <si>
    <t>26-PALOS VERDES</t>
  </si>
  <si>
    <t>27-INNIS ARDEN</t>
  </si>
  <si>
    <t>D3(28)-VALLEY UNITED</t>
  </si>
  <si>
    <t>29-NSD STARS</t>
  </si>
  <si>
    <t>30-RIVERSIDE</t>
  </si>
  <si>
    <t>45-NWC</t>
  </si>
  <si>
    <t>44-SMAC</t>
  </si>
  <si>
    <t>43-AQUATEX</t>
  </si>
  <si>
    <t>42-ELITE</t>
  </si>
  <si>
    <t>G1(7)-ALAMEDA</t>
  </si>
  <si>
    <t>8-TITANS</t>
  </si>
  <si>
    <t>9-LOKAHI</t>
  </si>
  <si>
    <t>10-CHULA VISTA PREMIER</t>
  </si>
  <si>
    <t>11-TRILOGY</t>
  </si>
  <si>
    <t>12-SHARKS</t>
  </si>
  <si>
    <t>G2(18)-KEARNS</t>
  </si>
  <si>
    <t>17-PUGET SOUND</t>
  </si>
  <si>
    <t>16-PRINCETON</t>
  </si>
  <si>
    <t>15-A TOWN</t>
  </si>
  <si>
    <t>14-CENTRAL VALLEY UNITED</t>
  </si>
  <si>
    <t>13-LONGHORN</t>
  </si>
  <si>
    <t>G3(31)-MV POLO</t>
  </si>
  <si>
    <t>32-MARIN</t>
  </si>
  <si>
    <t>33-YOLO B</t>
  </si>
  <si>
    <t>34-WCAC UNITED</t>
  </si>
  <si>
    <t>35-CARMEL</t>
  </si>
  <si>
    <t>36-SET</t>
  </si>
  <si>
    <t>41-PROSPER</t>
  </si>
  <si>
    <t>40-NORTHWEST</t>
  </si>
  <si>
    <t>39-HIELAND</t>
  </si>
  <si>
    <t>38-MESA</t>
  </si>
  <si>
    <t>37-BAINBRIDGE</t>
  </si>
  <si>
    <t>DAY 1</t>
  </si>
  <si>
    <t>6 min Quarters</t>
  </si>
  <si>
    <t>12C</t>
  </si>
  <si>
    <t>bracket</t>
  </si>
  <si>
    <t>W1</t>
  </si>
  <si>
    <t>W5</t>
  </si>
  <si>
    <t>L1</t>
  </si>
  <si>
    <t>L5</t>
  </si>
  <si>
    <t>au_S3</t>
  </si>
  <si>
    <t>W17</t>
  </si>
  <si>
    <t>W21</t>
  </si>
  <si>
    <t>W-pt_N1</t>
  </si>
  <si>
    <t>L17</t>
  </si>
  <si>
    <t>L21</t>
  </si>
  <si>
    <t>au_T3</t>
  </si>
  <si>
    <t>W29</t>
  </si>
  <si>
    <t>L41</t>
  </si>
  <si>
    <t>W45</t>
  </si>
  <si>
    <t>W4</t>
  </si>
  <si>
    <t>W8</t>
  </si>
  <si>
    <t>L4</t>
  </si>
  <si>
    <t>L8</t>
  </si>
  <si>
    <t>au_T1</t>
  </si>
  <si>
    <t>W12</t>
  </si>
  <si>
    <t>W16</t>
  </si>
  <si>
    <t>L12</t>
  </si>
  <si>
    <t>L16</t>
  </si>
  <si>
    <t>au_S1</t>
  </si>
  <si>
    <t>W20</t>
  </si>
  <si>
    <t>W24</t>
  </si>
  <si>
    <t>L20</t>
  </si>
  <si>
    <t>L24</t>
  </si>
  <si>
    <t>au_R1</t>
  </si>
  <si>
    <t>2nd_G</t>
  </si>
  <si>
    <t>W32</t>
  </si>
  <si>
    <t>L44</t>
  </si>
  <si>
    <t>W40</t>
  </si>
  <si>
    <t>L36</t>
  </si>
  <si>
    <t>W48</t>
  </si>
  <si>
    <t>W11</t>
  </si>
  <si>
    <t>W15</t>
  </si>
  <si>
    <t>L11</t>
  </si>
  <si>
    <t>L15</t>
  </si>
  <si>
    <t>au_S2</t>
  </si>
  <si>
    <t>W19</t>
  </si>
  <si>
    <t>W23</t>
  </si>
  <si>
    <t>L19</t>
  </si>
  <si>
    <t>L23</t>
  </si>
  <si>
    <t>au_T2</t>
  </si>
  <si>
    <t>L28</t>
  </si>
  <si>
    <t>3rd_G</t>
  </si>
  <si>
    <t>L43</t>
  </si>
  <si>
    <t>W39</t>
  </si>
  <si>
    <t>L35</t>
  </si>
  <si>
    <t>W47</t>
  </si>
  <si>
    <t>W10</t>
  </si>
  <si>
    <t>W14</t>
  </si>
  <si>
    <t>L10</t>
  </si>
  <si>
    <t>L14</t>
  </si>
  <si>
    <t>au_R3</t>
  </si>
  <si>
    <t>W18</t>
  </si>
  <si>
    <t>W22</t>
  </si>
  <si>
    <t>L18</t>
  </si>
  <si>
    <t>L22</t>
  </si>
  <si>
    <t>au_R2</t>
  </si>
  <si>
    <t>L25</t>
  </si>
  <si>
    <t>L42</t>
  </si>
  <si>
    <t>W38</t>
  </si>
  <si>
    <t>L34</t>
  </si>
  <si>
    <t>W46</t>
  </si>
  <si>
    <t>DAY 2</t>
  </si>
  <si>
    <t>Silver</t>
  </si>
  <si>
    <t>W41</t>
  </si>
  <si>
    <t>W25</t>
  </si>
  <si>
    <t>W35</t>
  </si>
  <si>
    <t>1st_G</t>
  </si>
  <si>
    <t>W42</t>
  </si>
  <si>
    <t>W34</t>
  </si>
  <si>
    <t>W43</t>
  </si>
  <si>
    <t>W28</t>
  </si>
  <si>
    <t>W36</t>
  </si>
  <si>
    <t>W44</t>
  </si>
  <si>
    <t>W56</t>
  </si>
  <si>
    <t>W60</t>
  </si>
  <si>
    <t>W51</t>
  </si>
  <si>
    <t>W58</t>
  </si>
  <si>
    <t>W54</t>
  </si>
  <si>
    <t>W52</t>
  </si>
  <si>
    <t>W49</t>
  </si>
  <si>
    <t>W50</t>
  </si>
  <si>
    <t>Bronze</t>
  </si>
  <si>
    <t>L49</t>
  </si>
  <si>
    <t>L50</t>
  </si>
  <si>
    <t>L51</t>
  </si>
  <si>
    <t>L58</t>
  </si>
  <si>
    <t>L54</t>
  </si>
  <si>
    <t>L52</t>
  </si>
  <si>
    <t>L56</t>
  </si>
  <si>
    <t>L60</t>
  </si>
  <si>
    <t>au_R</t>
  </si>
  <si>
    <t>au_S</t>
  </si>
  <si>
    <t>au_T</t>
  </si>
  <si>
    <t>au_U</t>
  </si>
  <si>
    <t>L48</t>
  </si>
  <si>
    <t>L40</t>
  </si>
  <si>
    <t>L32</t>
  </si>
  <si>
    <t>L46</t>
  </si>
  <si>
    <t>L39</t>
  </si>
  <si>
    <t>L47</t>
  </si>
  <si>
    <t>L38</t>
  </si>
  <si>
    <t>L29</t>
  </si>
  <si>
    <t>L45</t>
  </si>
  <si>
    <t>play-in</t>
  </si>
  <si>
    <t>3rd_pt_P</t>
  </si>
  <si>
    <t>1st_pt_T</t>
  </si>
  <si>
    <t>3rd_au_P</t>
  </si>
  <si>
    <t>1st_au_T</t>
  </si>
  <si>
    <t>3rd_pt_O</t>
  </si>
  <si>
    <t>1st_pt_U</t>
  </si>
  <si>
    <t>2nd_au_R</t>
  </si>
  <si>
    <t>3rd_au_S</t>
  </si>
  <si>
    <t>au_X1</t>
  </si>
  <si>
    <t>3rd_pt_N</t>
  </si>
  <si>
    <t>1st_pt_R</t>
  </si>
  <si>
    <t>3rd_au_N</t>
  </si>
  <si>
    <t>1st_au_R</t>
  </si>
  <si>
    <t>2nd_au_T</t>
  </si>
  <si>
    <t>3rd_au_R</t>
  </si>
  <si>
    <t>au_X3</t>
  </si>
  <si>
    <t>3rd_pt_M</t>
  </si>
  <si>
    <t>1st_pt_S</t>
  </si>
  <si>
    <t>3rd_au_M</t>
  </si>
  <si>
    <t>1st_au_S</t>
  </si>
  <si>
    <t>2nd_au_S</t>
  </si>
  <si>
    <t>3rd_au_T</t>
  </si>
  <si>
    <t>au_X2</t>
  </si>
  <si>
    <t>DAY 3</t>
  </si>
  <si>
    <t>3rd_pt_T</t>
  </si>
  <si>
    <t>3rd_pt_S</t>
  </si>
  <si>
    <t>pt_21-24 RR</t>
  </si>
  <si>
    <t>1st_pt_N</t>
  </si>
  <si>
    <t>1st_pt_O</t>
  </si>
  <si>
    <t>2nd_pt_P</t>
  </si>
  <si>
    <t>W111</t>
  </si>
  <si>
    <t>2nd_pt_M</t>
  </si>
  <si>
    <t>W110</t>
  </si>
  <si>
    <t>L110</t>
  </si>
  <si>
    <t>2nd_pt_U</t>
  </si>
  <si>
    <t>L112</t>
  </si>
  <si>
    <t>2nd_pt_S</t>
  </si>
  <si>
    <t>3rd_pt_R</t>
  </si>
  <si>
    <t>W125</t>
  </si>
  <si>
    <t>W129</t>
  </si>
  <si>
    <t>L129</t>
  </si>
  <si>
    <t>L125</t>
  </si>
  <si>
    <t>W133</t>
  </si>
  <si>
    <t>W137</t>
  </si>
  <si>
    <t>L137</t>
  </si>
  <si>
    <t>L133</t>
  </si>
  <si>
    <t>L121</t>
  </si>
  <si>
    <t>W145</t>
  </si>
  <si>
    <t>3rd_pt_U</t>
  </si>
  <si>
    <t>1st_pt_M</t>
  </si>
  <si>
    <t>1st_pt_P</t>
  </si>
  <si>
    <t>2nd_pt_O</t>
  </si>
  <si>
    <t>W112</t>
  </si>
  <si>
    <t>2nd_pt_N</t>
  </si>
  <si>
    <t>W109</t>
  </si>
  <si>
    <t>L109</t>
  </si>
  <si>
    <t>2nd_pt_T</t>
  </si>
  <si>
    <t>L111</t>
  </si>
  <si>
    <t>2nd_pt_R</t>
  </si>
  <si>
    <t>W126</t>
  </si>
  <si>
    <t>W130</t>
  </si>
  <si>
    <t>L130</t>
  </si>
  <si>
    <t>L126</t>
  </si>
  <si>
    <t>W134</t>
  </si>
  <si>
    <t>W138</t>
  </si>
  <si>
    <t>L138</t>
  </si>
  <si>
    <t>L134</t>
  </si>
  <si>
    <t>L122</t>
  </si>
  <si>
    <t>W146</t>
  </si>
  <si>
    <t>au_V</t>
  </si>
  <si>
    <t>au_W</t>
  </si>
  <si>
    <t>au_X</t>
  </si>
  <si>
    <t>L113</t>
  </si>
  <si>
    <t>L116</t>
  </si>
  <si>
    <t>L115</t>
  </si>
  <si>
    <t>L114</t>
  </si>
  <si>
    <t>W115</t>
  </si>
  <si>
    <t>W83</t>
  </si>
  <si>
    <t>L83</t>
  </si>
  <si>
    <t>2nd_au_O</t>
  </si>
  <si>
    <t>W116</t>
  </si>
  <si>
    <t>2nd_au_N</t>
  </si>
  <si>
    <t>W113</t>
  </si>
  <si>
    <t>19-21 RR</t>
  </si>
  <si>
    <t>au_19-21 RR</t>
  </si>
  <si>
    <t>1st_au_M</t>
  </si>
  <si>
    <t>1st_au_P</t>
  </si>
  <si>
    <t>W128</t>
  </si>
  <si>
    <t>W132</t>
  </si>
  <si>
    <t>L132</t>
  </si>
  <si>
    <t>L128</t>
  </si>
  <si>
    <t>L124</t>
  </si>
  <si>
    <t>W148</t>
  </si>
  <si>
    <t>2nd_au_P</t>
  </si>
  <si>
    <t>3rd_au_O</t>
  </si>
  <si>
    <t>2nd_au_M</t>
  </si>
  <si>
    <t>W114</t>
  </si>
  <si>
    <t>1st_au_N</t>
  </si>
  <si>
    <t>1st_au_O</t>
  </si>
  <si>
    <t>W127</t>
  </si>
  <si>
    <t>W131</t>
  </si>
  <si>
    <t>L131</t>
  </si>
  <si>
    <t>L127</t>
  </si>
  <si>
    <t>L123</t>
  </si>
  <si>
    <t>W147</t>
  </si>
  <si>
    <t>DAY 4</t>
  </si>
  <si>
    <t>W124</t>
  </si>
  <si>
    <t>W163</t>
  </si>
  <si>
    <t>W123</t>
  </si>
  <si>
    <t>W164</t>
  </si>
  <si>
    <t>L163</t>
  </si>
  <si>
    <t>L164</t>
  </si>
  <si>
    <t>au_5th</t>
  </si>
  <si>
    <t>L147</t>
  </si>
  <si>
    <t>L148</t>
  </si>
  <si>
    <t>au_7th</t>
  </si>
  <si>
    <t>au_8th</t>
  </si>
  <si>
    <t>L171</t>
  </si>
  <si>
    <t>L172</t>
  </si>
  <si>
    <t>au_3rd</t>
  </si>
  <si>
    <t>au_4th</t>
  </si>
  <si>
    <t>W171</t>
  </si>
  <si>
    <t>W172</t>
  </si>
  <si>
    <t>au_1st</t>
  </si>
  <si>
    <t>au_2nd</t>
  </si>
  <si>
    <t>3rd_au_V</t>
  </si>
  <si>
    <t>3rd_au_W</t>
  </si>
  <si>
    <t>au_17th</t>
  </si>
  <si>
    <t>au_18th</t>
  </si>
  <si>
    <t>1st_au_V</t>
  </si>
  <si>
    <t>1st_au_W</t>
  </si>
  <si>
    <t>au_13th</t>
  </si>
  <si>
    <t>au_14th</t>
  </si>
  <si>
    <t>L151</t>
  </si>
  <si>
    <t>L152</t>
  </si>
  <si>
    <t>au_11th</t>
  </si>
  <si>
    <t>au_12th</t>
  </si>
  <si>
    <t>W151</t>
  </si>
  <si>
    <t>W152</t>
  </si>
  <si>
    <t>au_9th</t>
  </si>
  <si>
    <t>au_10th</t>
  </si>
  <si>
    <t>L149</t>
  </si>
  <si>
    <t>L150</t>
  </si>
  <si>
    <t>pt_11th</t>
  </si>
  <si>
    <t>pt_12th</t>
  </si>
  <si>
    <t>W153</t>
  </si>
  <si>
    <t>W154</t>
  </si>
  <si>
    <t>pt_13th</t>
  </si>
  <si>
    <t>pt_14th</t>
  </si>
  <si>
    <t>L153</t>
  </si>
  <si>
    <t>L154</t>
  </si>
  <si>
    <t>pt_15th</t>
  </si>
  <si>
    <t>pt_16th</t>
  </si>
  <si>
    <t>L157</t>
  </si>
  <si>
    <t>L158</t>
  </si>
  <si>
    <t>pt_19th</t>
  </si>
  <si>
    <t>pt_20th</t>
  </si>
  <si>
    <t>2nd_au_V</t>
  </si>
  <si>
    <t>2nd_au_W</t>
  </si>
  <si>
    <t>au_15th</t>
  </si>
  <si>
    <t>au_16th</t>
  </si>
  <si>
    <t>W157</t>
  </si>
  <si>
    <t>W158</t>
  </si>
  <si>
    <t>pt_17th</t>
  </si>
  <si>
    <t>pt_18th</t>
  </si>
  <si>
    <t>W122</t>
  </si>
  <si>
    <t>W161</t>
  </si>
  <si>
    <t>W121</t>
  </si>
  <si>
    <t>W162</t>
  </si>
  <si>
    <t>L161</t>
  </si>
  <si>
    <t>L162</t>
  </si>
  <si>
    <t>pt_5th</t>
  </si>
  <si>
    <t>pt_6th</t>
  </si>
  <si>
    <t>L145</t>
  </si>
  <si>
    <t>L146</t>
  </si>
  <si>
    <t>pt_7th</t>
  </si>
  <si>
    <t>pt_8th</t>
  </si>
  <si>
    <t>W149</t>
  </si>
  <si>
    <t>W150</t>
  </si>
  <si>
    <t>pt_9th</t>
  </si>
  <si>
    <t>pt_10th</t>
  </si>
  <si>
    <t>L173</t>
  </si>
  <si>
    <t>L174</t>
  </si>
  <si>
    <t>pt_3rd</t>
  </si>
  <si>
    <t>pt_4th</t>
  </si>
  <si>
    <t>W173</t>
  </si>
  <si>
    <t>W174</t>
  </si>
  <si>
    <t>pt_1st</t>
  </si>
  <si>
    <t>pt_2nd</t>
  </si>
  <si>
    <t>SUBMIT SCORES</t>
  </si>
  <si>
    <t>ONEDRIVE SCHEDULES</t>
  </si>
  <si>
    <t>E (RR)</t>
  </si>
  <si>
    <t>F (RR)</t>
  </si>
  <si>
    <t>B1(2)-LAMORINDA A</t>
  </si>
  <si>
    <t>C1(3)-COMMERCE</t>
  </si>
  <si>
    <t>D1(4)-680 RED A</t>
  </si>
  <si>
    <t>E1(5)-SAN CLEMENTE RED</t>
  </si>
  <si>
    <t>F1(6)-BACK BAY NAVY</t>
  </si>
  <si>
    <t>G1(7)-STANFORD A</t>
  </si>
  <si>
    <t>H1(8)-DEL MAR</t>
  </si>
  <si>
    <t>A2(32)-AMERICAN RIVER</t>
  </si>
  <si>
    <t>B2(31)-SD SHORES</t>
  </si>
  <si>
    <t>C2(30)-BROOKLYN HUSTLE</t>
  </si>
  <si>
    <t>D2(29)-TEMPLE CITY</t>
  </si>
  <si>
    <t>E2(28)-NORTH IRVINE</t>
  </si>
  <si>
    <t>F2(27)-DAVIS</t>
  </si>
  <si>
    <t>G2(26)-PUNAHOU</t>
  </si>
  <si>
    <t>H2(25)-SOUTH COAST RED</t>
  </si>
  <si>
    <t>A3(33)-CHAWP</t>
  </si>
  <si>
    <t>B3(34)-STANFORD B</t>
  </si>
  <si>
    <t>C3(35)-SEASIDE</t>
  </si>
  <si>
    <t>D3(36)-NEWPORT BEACH WHITE</t>
  </si>
  <si>
    <t>E3(37)-BACK BAY BLACK</t>
  </si>
  <si>
    <t>F3(38)-SAN JOSE EXPRESS</t>
  </si>
  <si>
    <t>G3(39)-SOUTHSIDE</t>
  </si>
  <si>
    <t>H3(40)-SANTA BARBARA WPC B</t>
  </si>
  <si>
    <t>E4(51)-CHICAGO PARK</t>
  </si>
  <si>
    <t>F4(50)-WHITTIER</t>
  </si>
  <si>
    <t>2's cross</t>
  </si>
  <si>
    <t>2P</t>
  </si>
  <si>
    <t>17v32</t>
  </si>
  <si>
    <t>2A</t>
  </si>
  <si>
    <t>51-</t>
  </si>
  <si>
    <t>50-</t>
  </si>
  <si>
    <t>2O</t>
  </si>
  <si>
    <t>18v31</t>
  </si>
  <si>
    <t>2B</t>
  </si>
  <si>
    <t>2N</t>
  </si>
  <si>
    <t>19v30</t>
  </si>
  <si>
    <t>2C</t>
  </si>
  <si>
    <t>K (RR)</t>
  </si>
  <si>
    <t>L (RR)</t>
  </si>
  <si>
    <t>2M</t>
  </si>
  <si>
    <t>20v29</t>
  </si>
  <si>
    <t>2D</t>
  </si>
  <si>
    <t>I1(9)-OCWPC</t>
  </si>
  <si>
    <t>J1(10)-LA JOLLA UNITED</t>
  </si>
  <si>
    <t>K1(11)-TSUNAMI</t>
  </si>
  <si>
    <t>L1(12)-SANTA BARBARA WPC</t>
  </si>
  <si>
    <t>M1(13)-LA PREMIER</t>
  </si>
  <si>
    <t>N1(14)-ARROYO GRANDE</t>
  </si>
  <si>
    <t>O1(15)-SHAQ</t>
  </si>
  <si>
    <t>P1(16)-LAMORINDA B</t>
  </si>
  <si>
    <t>2L</t>
  </si>
  <si>
    <t>21v28</t>
  </si>
  <si>
    <t>2E</t>
  </si>
  <si>
    <t>I2(24)-908</t>
  </si>
  <si>
    <t>J2(23)-LAMORINDA C</t>
  </si>
  <si>
    <t>K2(22)-LOS ALAMITOS</t>
  </si>
  <si>
    <t>L2(21)-FOOTHILL</t>
  </si>
  <si>
    <t>M2(20)-ROSE BOWL RED</t>
  </si>
  <si>
    <t>N2(19)-LB SHORE</t>
  </si>
  <si>
    <t>O2(18)-GREENWICH</t>
  </si>
  <si>
    <t>P2(17)-DIABLO ALLIANCE A</t>
  </si>
  <si>
    <t>2K</t>
  </si>
  <si>
    <t>22v27</t>
  </si>
  <si>
    <t>2F</t>
  </si>
  <si>
    <t>I3(41)-NORCAL BLACK</t>
  </si>
  <si>
    <t>J3(42)-LAGUNA BEACH</t>
  </si>
  <si>
    <t>K3(43)-680 BLUE</t>
  </si>
  <si>
    <t>L3(44)-SAN CLEMENTE BLACK</t>
  </si>
  <si>
    <t>M3(45)-CIU</t>
  </si>
  <si>
    <t>N3(46)-LYONS AQUATICS</t>
  </si>
  <si>
    <t>O3(47)-CENTRAL COAST</t>
  </si>
  <si>
    <t>P3(48)-CAL REPUBLIC</t>
  </si>
  <si>
    <t>2J</t>
  </si>
  <si>
    <t>23v26</t>
  </si>
  <si>
    <t>2G</t>
  </si>
  <si>
    <t>K4(49)-NORTH IDAHO</t>
  </si>
  <si>
    <t>L4(52)-CMAC</t>
  </si>
  <si>
    <t>2I</t>
  </si>
  <si>
    <t>24v25</t>
  </si>
  <si>
    <t>2H</t>
  </si>
  <si>
    <t>I,H</t>
  </si>
  <si>
    <t>5A</t>
  </si>
  <si>
    <t>53A</t>
  </si>
  <si>
    <t>53B</t>
  </si>
  <si>
    <t>2's cross 21v28</t>
  </si>
  <si>
    <t>2's cross 24v25</t>
  </si>
  <si>
    <t>2's cross 23v26</t>
  </si>
  <si>
    <t>12G</t>
  </si>
  <si>
    <t>2's cross 17v32</t>
  </si>
  <si>
    <t>2nd P-</t>
  </si>
  <si>
    <t>au_U1</t>
  </si>
  <si>
    <t>2's cross 18v31</t>
  </si>
  <si>
    <t>2nd O-</t>
  </si>
  <si>
    <t>2's cross 19v30</t>
  </si>
  <si>
    <t>2nd N-</t>
  </si>
  <si>
    <t>2's cross 20v29</t>
  </si>
  <si>
    <t>2nd M-</t>
  </si>
  <si>
    <t>2's cross 22v27</t>
  </si>
  <si>
    <t>DAY 1 CROSSES</t>
  </si>
  <si>
    <t>1stA-</t>
  </si>
  <si>
    <t>1stC-</t>
  </si>
  <si>
    <t>1stD-</t>
  </si>
  <si>
    <t>1stP-</t>
  </si>
  <si>
    <t>1stO-</t>
  </si>
  <si>
    <t>1stN-</t>
  </si>
  <si>
    <t>1stM-</t>
  </si>
  <si>
    <t>W62</t>
  </si>
  <si>
    <t>1stE-</t>
  </si>
  <si>
    <t>1stF-</t>
  </si>
  <si>
    <t>1stG-</t>
  </si>
  <si>
    <t>1stH-</t>
  </si>
  <si>
    <t>1stL-</t>
  </si>
  <si>
    <t>1stK-</t>
  </si>
  <si>
    <t>1stJ-</t>
  </si>
  <si>
    <t>1stI-</t>
  </si>
  <si>
    <t>W64</t>
  </si>
  <si>
    <t>L#65</t>
  </si>
  <si>
    <t>L64</t>
  </si>
  <si>
    <t>3rd K -</t>
  </si>
  <si>
    <t>L62</t>
  </si>
  <si>
    <t>3rd P-</t>
  </si>
  <si>
    <t>3rd O-</t>
  </si>
  <si>
    <t>3rd N-</t>
  </si>
  <si>
    <t>3rd M-</t>
  </si>
  <si>
    <t>DAY 2 PLATINUM Crosses</t>
  </si>
  <si>
    <t>DAY 3 PLATINUM QF Crosses</t>
  </si>
  <si>
    <t>4thL-</t>
  </si>
  <si>
    <t>4th K-</t>
  </si>
  <si>
    <t>4th F-</t>
  </si>
  <si>
    <t>4th E-</t>
  </si>
  <si>
    <t>16v11</t>
  </si>
  <si>
    <t>1v6</t>
  </si>
  <si>
    <t>15v12</t>
  </si>
  <si>
    <t>2v5</t>
  </si>
  <si>
    <t>14v9</t>
  </si>
  <si>
    <t>2nd pt_U</t>
  </si>
  <si>
    <t>3v8</t>
  </si>
  <si>
    <t>1st pt_U</t>
  </si>
  <si>
    <t>13v10</t>
  </si>
  <si>
    <t>2nd pt_T</t>
  </si>
  <si>
    <t>4v7</t>
  </si>
  <si>
    <t>1st pt_T</t>
  </si>
  <si>
    <t>DAY 2 GOLD Crosses</t>
  </si>
  <si>
    <t>DAY 3 GOLD QF Crosses</t>
  </si>
  <si>
    <t>2nd au_M</t>
  </si>
  <si>
    <t>37v34</t>
  </si>
  <si>
    <t>2nd au_S(L97)</t>
  </si>
  <si>
    <t>1st au_M</t>
  </si>
  <si>
    <t>25v30</t>
  </si>
  <si>
    <t>1st au_S</t>
  </si>
  <si>
    <t>2nd au_N</t>
  </si>
  <si>
    <t>38v33</t>
  </si>
  <si>
    <t>2nd au_R</t>
  </si>
  <si>
    <t>1st au_N</t>
  </si>
  <si>
    <t>26v29</t>
  </si>
  <si>
    <t>1st au_R</t>
  </si>
  <si>
    <t>2nd au_O</t>
  </si>
  <si>
    <t>39v36</t>
  </si>
  <si>
    <t>2nd au_U</t>
  </si>
  <si>
    <t>1st au_O</t>
  </si>
  <si>
    <t>.27v32</t>
  </si>
  <si>
    <t>1st au_U</t>
  </si>
  <si>
    <t>2nd au_P</t>
  </si>
  <si>
    <t>40v35</t>
  </si>
  <si>
    <t>2nd au_T(L98)</t>
  </si>
  <si>
    <t>1st au_P</t>
  </si>
  <si>
    <t>28v31</t>
  </si>
  <si>
    <t>1st au_T</t>
  </si>
  <si>
    <t>65A</t>
  </si>
  <si>
    <t>pt_S1-</t>
  </si>
  <si>
    <t>pt_S2-</t>
  </si>
  <si>
    <t>pt_R1-</t>
  </si>
  <si>
    <t>pt_R2-</t>
  </si>
  <si>
    <t>65B</t>
  </si>
  <si>
    <t>pt_U1-</t>
  </si>
  <si>
    <t>pt_U2-</t>
  </si>
  <si>
    <t>pt_T1-</t>
  </si>
  <si>
    <t>pt_T2-</t>
  </si>
  <si>
    <t>65C</t>
  </si>
  <si>
    <t>au_N2-</t>
  </si>
  <si>
    <t>au_M2-</t>
  </si>
  <si>
    <t>au_M3-</t>
  </si>
  <si>
    <t>R Group of 4</t>
  </si>
  <si>
    <t>au_R4-</t>
  </si>
  <si>
    <t>97A</t>
  </si>
  <si>
    <t>73A</t>
  </si>
  <si>
    <t>au_R2-</t>
  </si>
  <si>
    <t>au_R3-</t>
  </si>
  <si>
    <t>S Group of 4</t>
  </si>
  <si>
    <t>au_S2-</t>
  </si>
  <si>
    <t>au_S3-</t>
  </si>
  <si>
    <t>au_S4-</t>
  </si>
  <si>
    <t>au_N3-</t>
  </si>
  <si>
    <t>1st/2ndR</t>
  </si>
  <si>
    <t>W73A</t>
  </si>
  <si>
    <t>1st/2ndS</t>
  </si>
  <si>
    <t>3rd/4thR</t>
  </si>
  <si>
    <t>L73A</t>
  </si>
  <si>
    <t>au_V4</t>
  </si>
  <si>
    <t>3rd/4thS</t>
  </si>
  <si>
    <t>au_O2-</t>
  </si>
  <si>
    <t>U Group of 4</t>
  </si>
  <si>
    <t>au_U4</t>
  </si>
  <si>
    <t>90A</t>
  </si>
  <si>
    <t>au_U2-</t>
  </si>
  <si>
    <t>au_U3-</t>
  </si>
  <si>
    <t>au_P2-</t>
  </si>
  <si>
    <t>T group of 4</t>
  </si>
  <si>
    <t>au_T2-</t>
  </si>
  <si>
    <t>au_T3-</t>
  </si>
  <si>
    <t>au_T4-</t>
  </si>
  <si>
    <t>au_O3-</t>
  </si>
  <si>
    <t>1st/2ndU</t>
  </si>
  <si>
    <t>W#U1/U4</t>
  </si>
  <si>
    <t>W#U2/U3</t>
  </si>
  <si>
    <t>3rd/4thU</t>
  </si>
  <si>
    <t>L#U1/U4</t>
  </si>
  <si>
    <t>L#U2/U3</t>
  </si>
  <si>
    <t>au_W4</t>
  </si>
  <si>
    <t>au_P3-</t>
  </si>
  <si>
    <t>1st/2ndT</t>
  </si>
  <si>
    <t>3rd/4thT</t>
  </si>
  <si>
    <t>DAY 3 PLATINUM Crosses</t>
  </si>
  <si>
    <t>W117 2O/2U</t>
  </si>
  <si>
    <t>W127 2N/2R</t>
  </si>
  <si>
    <t>W122 2P/T</t>
  </si>
  <si>
    <t>W124 2M/S</t>
  </si>
  <si>
    <t>DAY 3 GOLD Crosses</t>
  </si>
  <si>
    <t>au_V bz-21-28</t>
  </si>
  <si>
    <t>au_W bz-21-28</t>
  </si>
  <si>
    <t>25th</t>
  </si>
  <si>
    <t>4th_au_V</t>
  </si>
  <si>
    <t>4th_au_W</t>
  </si>
  <si>
    <t>27th</t>
  </si>
  <si>
    <t>4th_au_R</t>
  </si>
  <si>
    <t>4th au_U</t>
  </si>
  <si>
    <t>1v6 QF</t>
  </si>
  <si>
    <t>2v5 QF</t>
  </si>
  <si>
    <t>9-16 QF</t>
  </si>
  <si>
    <t>W to semi, L to play-in 1v4</t>
  </si>
  <si>
    <t>W to semi, L to play-in 2v3</t>
  </si>
  <si>
    <t>W to play-in</t>
  </si>
  <si>
    <t>21st-24th</t>
  </si>
  <si>
    <t>13th-16th</t>
  </si>
  <si>
    <t>L117</t>
  </si>
  <si>
    <t>play to semi, L to 5th</t>
  </si>
  <si>
    <t>3v8 QF</t>
  </si>
  <si>
    <t>4v7 QF</t>
  </si>
  <si>
    <t>17th-24th</t>
  </si>
  <si>
    <t>17th-20th</t>
  </si>
  <si>
    <t>9th-12th</t>
  </si>
  <si>
    <t>W117</t>
  </si>
  <si>
    <t>17-24 QF</t>
  </si>
  <si>
    <t>3rd au_R-</t>
  </si>
  <si>
    <t>3rd au_U-</t>
  </si>
  <si>
    <t xml:space="preserve"> 21-28 W1/W4</t>
  </si>
  <si>
    <t>135A</t>
  </si>
  <si>
    <t>147A</t>
  </si>
  <si>
    <t>21-28 W2/W3</t>
  </si>
  <si>
    <t>2nd au_R-</t>
  </si>
  <si>
    <t>2nd au_U-</t>
  </si>
  <si>
    <t>21-28 1st/2ndW</t>
  </si>
  <si>
    <t>W#W1/W4</t>
  </si>
  <si>
    <t>W#W2/W3</t>
  </si>
  <si>
    <t>21-28 3rd/4thW</t>
  </si>
  <si>
    <t>L#W1/W4</t>
  </si>
  <si>
    <t>L#W2/W3</t>
  </si>
  <si>
    <t>21-28 3rd/4thV</t>
  </si>
  <si>
    <t>152A</t>
  </si>
  <si>
    <t>L144</t>
  </si>
  <si>
    <t>1st au_U-</t>
  </si>
  <si>
    <t>1st au_R-</t>
  </si>
  <si>
    <t>21-28 V1/V4</t>
  </si>
  <si>
    <t>W to semi, L to play-in</t>
  </si>
  <si>
    <t>21-28 V2/V3</t>
  </si>
  <si>
    <t>21-28 1st/2ndV</t>
  </si>
  <si>
    <t>W144</t>
  </si>
  <si>
    <t>no game 166</t>
  </si>
  <si>
    <t>4th_au_V-</t>
  </si>
  <si>
    <t>4th au_W-</t>
  </si>
  <si>
    <t>28th</t>
  </si>
  <si>
    <t>3rd au_V-</t>
  </si>
  <si>
    <t>3rd au_W-</t>
  </si>
  <si>
    <t>26th</t>
  </si>
  <si>
    <t>2nd au_V-</t>
  </si>
  <si>
    <t>2nd au_W-</t>
  </si>
  <si>
    <t>1st au_V-</t>
  </si>
  <si>
    <t>1st au_W-</t>
  </si>
  <si>
    <t>ag_Place</t>
  </si>
  <si>
    <t>6-6-7-7</t>
  </si>
  <si>
    <t>1-NEWPORT BEACH BLUE</t>
  </si>
  <si>
    <t>2-SAN CLEMENTE RED</t>
  </si>
  <si>
    <t>3-908</t>
  </si>
  <si>
    <t>4-DIABLO ALLIANCE A</t>
  </si>
  <si>
    <t>5-LAMORINDA A</t>
  </si>
  <si>
    <t>6-STANFORD A</t>
  </si>
  <si>
    <t>24-LAMORINDA B</t>
  </si>
  <si>
    <t>23-INNIA ARDEN</t>
  </si>
  <si>
    <t>22-STANFORD B</t>
  </si>
  <si>
    <t>21-CDM</t>
  </si>
  <si>
    <t>20-SD DONS</t>
  </si>
  <si>
    <t>19-LAGUNA BEACH</t>
  </si>
  <si>
    <t>25-SAN CLEMENTE BLACK</t>
  </si>
  <si>
    <t>26-SHAQ</t>
  </si>
  <si>
    <t>27-ARROYO GRANDE</t>
  </si>
  <si>
    <t>28-CLOVIS A</t>
  </si>
  <si>
    <t>29-SD SHORES GOLD</t>
  </si>
  <si>
    <t>30-MAVERICKS</t>
  </si>
  <si>
    <t>48-TOPAZ TSUNAMI</t>
  </si>
  <si>
    <t>47-NORTHWEST</t>
  </si>
  <si>
    <t>46-ELITE</t>
  </si>
  <si>
    <t>45-SOUTHSIDE</t>
  </si>
  <si>
    <t>44-CENTRAL COAST</t>
  </si>
  <si>
    <t>43-CHICAGO PARK</t>
  </si>
  <si>
    <t>7-SANTA CRUZ</t>
  </si>
  <si>
    <t>8-GREENWICH</t>
  </si>
  <si>
    <t>9-SANTA BARBARA WPC A</t>
  </si>
  <si>
    <t>10-680 RED</t>
  </si>
  <si>
    <t>11-LB SHORE</t>
  </si>
  <si>
    <t>12-COMMERCE</t>
  </si>
  <si>
    <t>18-SOUTH COAST RED</t>
  </si>
  <si>
    <t>17-CC UNITED</t>
  </si>
  <si>
    <t>16-DAVIS</t>
  </si>
  <si>
    <t>15-CHAWP WHITE</t>
  </si>
  <si>
    <t>14-SD SHORES BLACK</t>
  </si>
  <si>
    <t>13-PATRIOT NAVY</t>
  </si>
  <si>
    <t>31-BIG VALLEY</t>
  </si>
  <si>
    <t>32-TEMPLE CITY</t>
  </si>
  <si>
    <t>33-BROOKLYN HUSTLE</t>
  </si>
  <si>
    <t>34-KEARNS</t>
  </si>
  <si>
    <t>35-ROGUE 619</t>
  </si>
  <si>
    <t>36-LOWPO</t>
  </si>
  <si>
    <t>42-PUNAHOU</t>
  </si>
  <si>
    <t>41-NORCO</t>
  </si>
  <si>
    <t>40-HONOLULU A</t>
  </si>
  <si>
    <t>39-TEXAS THUNDER</t>
  </si>
  <si>
    <t>38-AMERICAN RIVER</t>
  </si>
  <si>
    <t>37-LA JOLLA UNITED</t>
  </si>
  <si>
    <t>14G</t>
  </si>
  <si>
    <t>au_U3</t>
  </si>
  <si>
    <t>au_U2</t>
  </si>
  <si>
    <t>1st au_S-</t>
  </si>
  <si>
    <t>1st au_T-</t>
  </si>
  <si>
    <t>3rd au_T-</t>
  </si>
  <si>
    <t>3rd au_S-</t>
  </si>
  <si>
    <t>2nd au_S-</t>
  </si>
  <si>
    <t>2nd au_T-</t>
  </si>
  <si>
    <t>1-MISSION</t>
  </si>
  <si>
    <t>2-SANTA BARBARA WPC A</t>
  </si>
  <si>
    <t>3-CLUB DAYGO</t>
  </si>
  <si>
    <t>4-LAMORINDA A</t>
  </si>
  <si>
    <t>5-ARROYO GRANDE</t>
  </si>
  <si>
    <t>6-NEWPORT BEACH</t>
  </si>
  <si>
    <t>24-PALOS VERDES BLACK</t>
  </si>
  <si>
    <t>23-STANFORD A</t>
  </si>
  <si>
    <t>22-SHAQ BLUE</t>
  </si>
  <si>
    <t>21-SANTA BARBARA WPC B</t>
  </si>
  <si>
    <t>20-CHAWP WHITE</t>
  </si>
  <si>
    <t>19-GREENWICH</t>
  </si>
  <si>
    <t>25-CLOVIS</t>
  </si>
  <si>
    <t>26-DIABLO ALLIANCE A</t>
  </si>
  <si>
    <t>27-NORCAL BLACK</t>
  </si>
  <si>
    <t>28-NORCO</t>
  </si>
  <si>
    <t>29-TEMPLE CITY</t>
  </si>
  <si>
    <t>30-LOWPO</t>
  </si>
  <si>
    <t>48-THIRD COAST</t>
  </si>
  <si>
    <t>47-BROOKLYN HUSTLE</t>
  </si>
  <si>
    <t>46-COLORADO</t>
  </si>
  <si>
    <t>45-SEASIDE</t>
  </si>
  <si>
    <t>44-GREAT LAKES AQUATICS</t>
  </si>
  <si>
    <t>43-NIPC</t>
  </si>
  <si>
    <t>7-SOUTH COAST RED</t>
  </si>
  <si>
    <t>8-680 RED</t>
  </si>
  <si>
    <t>9-LA JOLLA UNITED</t>
  </si>
  <si>
    <t>10-LEGACY</t>
  </si>
  <si>
    <t>11-SANTA CRUZ</t>
  </si>
  <si>
    <t>12-SD SHORES BLACK</t>
  </si>
  <si>
    <t>18-MERIDIAN</t>
  </si>
  <si>
    <t>17-SD SHORES GOLD</t>
  </si>
  <si>
    <t>16-CIU</t>
  </si>
  <si>
    <t>15-LB VIKING</t>
  </si>
  <si>
    <t>14-PATRIOT</t>
  </si>
  <si>
    <t>13-TSUNAMI</t>
  </si>
  <si>
    <t>31-OLYMPUS</t>
  </si>
  <si>
    <t>32-BULLDOG</t>
  </si>
  <si>
    <t>33-ELMHURST</t>
  </si>
  <si>
    <t>34-LONGHORN</t>
  </si>
  <si>
    <t>35-DAVIS</t>
  </si>
  <si>
    <t>36-PRAETORIAN</t>
  </si>
  <si>
    <t>42-VISALIA UNITED</t>
  </si>
  <si>
    <t>41-VIPER PIGEON HILL COUNTRY</t>
  </si>
  <si>
    <t>40-VIPER PIGEON HTOWN</t>
  </si>
  <si>
    <t>39-LYONS AQUATICS</t>
  </si>
  <si>
    <t>38-RAIN CITY</t>
  </si>
  <si>
    <t>37-SAN JOE EXPRESS BLUE</t>
  </si>
  <si>
    <t>16G</t>
  </si>
  <si>
    <t>`</t>
  </si>
  <si>
    <t>sc</t>
  </si>
  <si>
    <t>pn</t>
  </si>
  <si>
    <t>clo</t>
  </si>
  <si>
    <t>7-7-7-7</t>
  </si>
  <si>
    <t>1-NEWPORT BEACH</t>
  </si>
  <si>
    <t>2-REGENCY</t>
  </si>
  <si>
    <t>3-SOCAL BLACK</t>
  </si>
  <si>
    <t>5-LB VIKING WHITE</t>
  </si>
  <si>
    <t>6-SD SHORES BLACK</t>
  </si>
  <si>
    <t>24-STANFORD A</t>
  </si>
  <si>
    <t>23-PALOS VERDES BLACK</t>
  </si>
  <si>
    <t>22-SEASIDE</t>
  </si>
  <si>
    <t>21-SANTA CRUZ</t>
  </si>
  <si>
    <t>20-MID VALLEY BLUE</t>
  </si>
  <si>
    <t>19-ASPHALT GREEN</t>
  </si>
  <si>
    <t>25-FOOTHILL</t>
  </si>
  <si>
    <t>26-NORCAL BLACK</t>
  </si>
  <si>
    <t>27-VIPER PIGEON</t>
  </si>
  <si>
    <t>28-SHAQ BLUE</t>
  </si>
  <si>
    <t>29-BIG VALLEY</t>
  </si>
  <si>
    <t>30-DIABLO ALLIANCE B</t>
  </si>
  <si>
    <t>48-SOUTH COAST RED</t>
  </si>
  <si>
    <t>47-CHAWP WHITE</t>
  </si>
  <si>
    <t>46-NORCO</t>
  </si>
  <si>
    <t>45-OAHU</t>
  </si>
  <si>
    <t>44-NORTH IDAHO</t>
  </si>
  <si>
    <t>43-ELMHURST</t>
  </si>
  <si>
    <t>7-CORONA DEL MAR</t>
  </si>
  <si>
    <t>8-LEGACY</t>
  </si>
  <si>
    <t>9-DIABLO ALLIANCE A</t>
  </si>
  <si>
    <t>10-CLOVIS</t>
  </si>
  <si>
    <t>11-SANTA BARBARA WPC A</t>
  </si>
  <si>
    <t>12-MISSION</t>
  </si>
  <si>
    <t>18-ROSE BOWL RED</t>
  </si>
  <si>
    <t>17-DAVIS</t>
  </si>
  <si>
    <t>16-GREENWICH</t>
  </si>
  <si>
    <t>15-LA JOLLA UNITED</t>
  </si>
  <si>
    <t>14-SANTA BARBARA WPC B</t>
  </si>
  <si>
    <t>13-680 RED</t>
  </si>
  <si>
    <t>31-COLORADO</t>
  </si>
  <si>
    <t>32-SD SHORES GOLD</t>
  </si>
  <si>
    <t>33-HAWAIIAN ISLANDS</t>
  </si>
  <si>
    <t>34-BULLDOG</t>
  </si>
  <si>
    <t>35-LYONS AQUATICS</t>
  </si>
  <si>
    <t>36-SKIP</t>
  </si>
  <si>
    <t>42-NIPC</t>
  </si>
  <si>
    <t>41-WOLVERINE</t>
  </si>
  <si>
    <t>40-TEXAS THUNDER</t>
  </si>
  <si>
    <t>39-RAIN CITY</t>
  </si>
  <si>
    <t>38-PACIFIC VALLEY PREMIER</t>
  </si>
  <si>
    <t>18G</t>
  </si>
  <si>
    <t xml:space="preserve">   </t>
  </si>
  <si>
    <t>flipped 28,29</t>
  </si>
  <si>
    <t>40 teams</t>
  </si>
  <si>
    <t>Championship Platinum</t>
  </si>
  <si>
    <t>Championship Gold</t>
  </si>
  <si>
    <t>A1(1)-SOCAL</t>
  </si>
  <si>
    <t>B1(2)-ROSE BOWL</t>
  </si>
  <si>
    <t>C1(3)-PALOS VERDES</t>
  </si>
  <si>
    <t>D1(4)-SET</t>
  </si>
  <si>
    <t>E1(5)-LOS ALAMITOS</t>
  </si>
  <si>
    <t>6-SAN JOSE EXPRESS BLUE</t>
  </si>
  <si>
    <t>A2(24)-ALAMEDA</t>
  </si>
  <si>
    <t>B2(23)-SOUTH COAST WHITE</t>
  </si>
  <si>
    <t>C2(22)-PRAETORIAN</t>
  </si>
  <si>
    <t>D2(21)-ECA</t>
  </si>
  <si>
    <t>E2(20)-BULLDOG</t>
  </si>
  <si>
    <t>19-FOOTHILL RED</t>
  </si>
  <si>
    <t>A3(25)-BACK BAY</t>
  </si>
  <si>
    <t>B3(26)-PLACER</t>
  </si>
  <si>
    <t>C3(27)-NORTH IRVINE</t>
  </si>
  <si>
    <t>D3(28)-STANFORD C</t>
  </si>
  <si>
    <t>E3(29)-MID VALLEY</t>
  </si>
  <si>
    <t>30-CLOVIS B</t>
  </si>
  <si>
    <t>39-CHULA VISTA PREMIER</t>
  </si>
  <si>
    <t>G1(7)-SEASIDE</t>
  </si>
  <si>
    <t>8-VIKING</t>
  </si>
  <si>
    <t>I1(9)-SANTA BARBARA WPC B</t>
  </si>
  <si>
    <t>J1(10)-PAC PREMIER</t>
  </si>
  <si>
    <t>K1(11)-680 BLUE</t>
  </si>
  <si>
    <t>12-PATRIOT RED</t>
  </si>
  <si>
    <t>G2(18)-GOLD COAST</t>
  </si>
  <si>
    <t>17-NEWPORT BEACH WHITE</t>
  </si>
  <si>
    <t>I2(16)-SD SHORES WHITE</t>
  </si>
  <si>
    <t>J2(15)-NORCAL</t>
  </si>
  <si>
    <t>K2(14)-ASPHALT GREEN</t>
  </si>
  <si>
    <t>13-SHARKS</t>
  </si>
  <si>
    <t>G3(31)-TURAL</t>
  </si>
  <si>
    <t>32-TROJAN</t>
  </si>
  <si>
    <t>I3(33)-CT PREMIER</t>
  </si>
  <si>
    <t>J3(34)-SAN JOSE EXPRESS GOLD</t>
  </si>
  <si>
    <t>K3(35)-HONOLULU</t>
  </si>
  <si>
    <t>36-FOOTHILL BLACK</t>
  </si>
  <si>
    <t>38-CHAWP BLUE</t>
  </si>
  <si>
    <t>37-WCAC UNITED</t>
  </si>
  <si>
    <t>6 minute quarters</t>
  </si>
  <si>
    <t>14GX</t>
  </si>
  <si>
    <t xml:space="preserve">bracket </t>
  </si>
  <si>
    <t>ag_M2</t>
  </si>
  <si>
    <t>bz_P4</t>
  </si>
  <si>
    <t>3rd_G-</t>
  </si>
  <si>
    <t>ag_U2</t>
  </si>
  <si>
    <t>bz_N2</t>
  </si>
  <si>
    <t>2nd_J-</t>
  </si>
  <si>
    <t>3rd_I-</t>
  </si>
  <si>
    <t>ag_T1</t>
  </si>
  <si>
    <t>bz_M3</t>
  </si>
  <si>
    <t>2nd_G-</t>
  </si>
  <si>
    <t>ag_T2</t>
  </si>
  <si>
    <t>bz_M2</t>
  </si>
  <si>
    <t>ag_P3</t>
  </si>
  <si>
    <t>bz_O3</t>
  </si>
  <si>
    <t>3rd_K-</t>
  </si>
  <si>
    <t>ag_R1</t>
  </si>
  <si>
    <t>bz_N3</t>
  </si>
  <si>
    <t>2nd_I-</t>
  </si>
  <si>
    <t>3rd_J-</t>
  </si>
  <si>
    <t>ag_U1</t>
  </si>
  <si>
    <t>?</t>
  </si>
  <si>
    <t>2nd_K-</t>
  </si>
  <si>
    <t>ag_S1</t>
  </si>
  <si>
    <t>bz_P3</t>
  </si>
  <si>
    <t>ag_O2</t>
  </si>
  <si>
    <t>bz_N4</t>
  </si>
  <si>
    <t>2nd_C-</t>
  </si>
  <si>
    <t>3rd_D-</t>
  </si>
  <si>
    <t>ag_S3</t>
  </si>
  <si>
    <t>bz_P1</t>
  </si>
  <si>
    <t>3rd_E-</t>
  </si>
  <si>
    <t>ag_S2</t>
  </si>
  <si>
    <t>bz_P2</t>
  </si>
  <si>
    <t>2nd_E-</t>
  </si>
  <si>
    <t>ag_R2</t>
  </si>
  <si>
    <t>bz_O2</t>
  </si>
  <si>
    <t>2nd_D-</t>
  </si>
  <si>
    <t>ag_R3</t>
  </si>
  <si>
    <t>bz_O1</t>
  </si>
  <si>
    <t>2nd_B-</t>
  </si>
  <si>
    <t>3rd_A-</t>
  </si>
  <si>
    <t>ag_T3</t>
  </si>
  <si>
    <t>bz_M1</t>
  </si>
  <si>
    <t>2nd_A-</t>
  </si>
  <si>
    <t>3rd_B-</t>
  </si>
  <si>
    <t>ag_U3</t>
  </si>
  <si>
    <t>bz_N1</t>
  </si>
  <si>
    <t>ag_M</t>
  </si>
  <si>
    <t>ag_N</t>
  </si>
  <si>
    <t>ag_O</t>
  </si>
  <si>
    <t>ag_P</t>
  </si>
  <si>
    <t>1st_A-</t>
  </si>
  <si>
    <t>1st_B-</t>
  </si>
  <si>
    <t>1st_C-</t>
  </si>
  <si>
    <t>1st_D-</t>
  </si>
  <si>
    <t>1st_G-</t>
  </si>
  <si>
    <t>1st_E-</t>
  </si>
  <si>
    <t>1st_I-</t>
  </si>
  <si>
    <t>1st_J-</t>
  </si>
  <si>
    <t>1st_K-</t>
  </si>
  <si>
    <t>ag_R</t>
  </si>
  <si>
    <t>ag_S</t>
  </si>
  <si>
    <t>ag_T</t>
  </si>
  <si>
    <t>ag_U</t>
  </si>
  <si>
    <t>bz_M</t>
  </si>
  <si>
    <t>bz_N</t>
  </si>
  <si>
    <t>bz_O</t>
  </si>
  <si>
    <t>bz_P</t>
  </si>
  <si>
    <t>ag_M3-</t>
  </si>
  <si>
    <t>ag_M1-</t>
  </si>
  <si>
    <t>bz_X1</t>
  </si>
  <si>
    <t>3rd_ag_M-</t>
  </si>
  <si>
    <t>1st_ag_S-</t>
  </si>
  <si>
    <t>ag_N2-</t>
  </si>
  <si>
    <t>ag_N3-</t>
  </si>
  <si>
    <t>ag_N1-</t>
  </si>
  <si>
    <t>bz_X2</t>
  </si>
  <si>
    <t>3rd_ag_N-</t>
  </si>
  <si>
    <t>1st_ag_R-</t>
  </si>
  <si>
    <t>ag_O3-</t>
  </si>
  <si>
    <t>3rd_ag_O-</t>
  </si>
  <si>
    <t>1st_ag_U-</t>
  </si>
  <si>
    <t>ag_P2-</t>
  </si>
  <si>
    <t>ag_P1-</t>
  </si>
  <si>
    <t>bz_X3</t>
  </si>
  <si>
    <t>3rd_ag_P-</t>
  </si>
  <si>
    <t>1st_ag_T-</t>
  </si>
  <si>
    <t>bzX (13-15) double RR</t>
  </si>
  <si>
    <t>bz_X</t>
  </si>
  <si>
    <t>no more L99</t>
  </si>
  <si>
    <t>7 minute quarters</t>
  </si>
  <si>
    <t>1st_ag_M-</t>
  </si>
  <si>
    <t>1st_ag_P-</t>
  </si>
  <si>
    <t>13-15 RR</t>
  </si>
  <si>
    <t>3rd_ag_T-</t>
  </si>
  <si>
    <t>3rd_ag_S-</t>
  </si>
  <si>
    <t>1st bz_O-</t>
  </si>
  <si>
    <t>5-6 vs 7-8</t>
  </si>
  <si>
    <t>1st_ag_N-</t>
  </si>
  <si>
    <t>1st_ag_O-</t>
  </si>
  <si>
    <t>3rd bz_O-</t>
  </si>
  <si>
    <t>2nd bz_O-</t>
  </si>
  <si>
    <t>3rd_ag_U-</t>
  </si>
  <si>
    <t>3rd_ag_R-</t>
  </si>
  <si>
    <t>2nd_ag_P-</t>
  </si>
  <si>
    <t>2nd_ag_M-</t>
  </si>
  <si>
    <t>13-20 quarter</t>
  </si>
  <si>
    <t>2nd_ag_U-</t>
  </si>
  <si>
    <t>2nd_ag_S-</t>
  </si>
  <si>
    <t>2nd_ag_O-</t>
  </si>
  <si>
    <t>2nd_ag_N-</t>
  </si>
  <si>
    <t>2nd_ag_T-</t>
  </si>
  <si>
    <t>2nd_ag_R-</t>
  </si>
  <si>
    <t>bz_Place</t>
  </si>
  <si>
    <t>A1(1)-REGENCY</t>
  </si>
  <si>
    <t>2-SAN CLEMENTE</t>
  </si>
  <si>
    <t>3-SET</t>
  </si>
  <si>
    <t>D1 (4)-CORONA DEL MAR</t>
  </si>
  <si>
    <t>5-ROSE BOWL RED A</t>
  </si>
  <si>
    <t>6-TRILOGY</t>
  </si>
  <si>
    <t>A2(24)-ROSE BOWL BLACK</t>
  </si>
  <si>
    <t>23-ALAMEDA</t>
  </si>
  <si>
    <t>22-680 BLUE</t>
  </si>
  <si>
    <t>D2(21)-SOUTH VALLEY</t>
  </si>
  <si>
    <t>20-MIDVALLEY BLUE</t>
  </si>
  <si>
    <t>19-BIG VALLEY</t>
  </si>
  <si>
    <t>A3(25)-LEGACY ORANGE</t>
  </si>
  <si>
    <t>26-TURUL</t>
  </si>
  <si>
    <t>27-LAMORINDA BRENTWOOD</t>
  </si>
  <si>
    <t>D3(28)-WCAC UNITED B</t>
  </si>
  <si>
    <t>29-SOUTH COAST WHITE</t>
  </si>
  <si>
    <t>30-SHARKS</t>
  </si>
  <si>
    <t>45-BURLINGAME</t>
  </si>
  <si>
    <t>44-PACIFIC VALLEY PREMIER</t>
  </si>
  <si>
    <t>43-SAN FRANCISCO WARRIORS</t>
  </si>
  <si>
    <t>42-NORCAL TEAL</t>
  </si>
  <si>
    <t>G1(7)-CAL REPUBLIC</t>
  </si>
  <si>
    <t>8-COMMERCE</t>
  </si>
  <si>
    <t>9-ASPHALT GREEN</t>
  </si>
  <si>
    <t>10-WCAC UNITED A</t>
  </si>
  <si>
    <t>11-SOCAL BLACK</t>
  </si>
  <si>
    <t>12-OAHU</t>
  </si>
  <si>
    <t>G2(18)-SACRAMENTO BLACK</t>
  </si>
  <si>
    <t>17-AMERICAN RIVER</t>
  </si>
  <si>
    <t>16-FOOTHILL</t>
  </si>
  <si>
    <t>15-LAMORINDA B</t>
  </si>
  <si>
    <t>14-LA JOLLA UNITED</t>
  </si>
  <si>
    <t>13-STANFORD B</t>
  </si>
  <si>
    <t>G3(31)-CHAWP BLUE</t>
  </si>
  <si>
    <t>32-CC UNITED</t>
  </si>
  <si>
    <t>33-SURF CITY</t>
  </si>
  <si>
    <t>34-LOYOLA VENICE</t>
  </si>
  <si>
    <t>35-SACRAMENTO ORANGE</t>
  </si>
  <si>
    <t>36-SHAQ WHITE</t>
  </si>
  <si>
    <t>41-MID VALLEY WHITE</t>
  </si>
  <si>
    <t>40-TRI VALLEY</t>
  </si>
  <si>
    <t>39-TRI VALLEY TRITONS</t>
  </si>
  <si>
    <t>38-LB SHORE</t>
  </si>
  <si>
    <t>37-SAN JOSE EXPRESS GOLD</t>
  </si>
  <si>
    <t>16GX</t>
  </si>
  <si>
    <t>ag_O1</t>
  </si>
  <si>
    <t>bz_S3</t>
  </si>
  <si>
    <t>W-ag_N1</t>
  </si>
  <si>
    <t>bz_T3</t>
  </si>
  <si>
    <t>ag_N3</t>
  </si>
  <si>
    <t>bz_T1</t>
  </si>
  <si>
    <t>ag_O3</t>
  </si>
  <si>
    <t>L-60</t>
  </si>
  <si>
    <t>bz_S1</t>
  </si>
  <si>
    <t>bz_R1</t>
  </si>
  <si>
    <t>bz_S2</t>
  </si>
  <si>
    <t>ag_M3</t>
  </si>
  <si>
    <t>bz_T2</t>
  </si>
  <si>
    <t>ag_P2</t>
  </si>
  <si>
    <t>bz_R3</t>
  </si>
  <si>
    <t>bz_R2</t>
  </si>
  <si>
    <t>bz_R</t>
  </si>
  <si>
    <t>bz_S</t>
  </si>
  <si>
    <t>bz_T</t>
  </si>
  <si>
    <t>bz_U</t>
  </si>
  <si>
    <t>ag_P1</t>
  </si>
  <si>
    <t>3rd_ag_P</t>
  </si>
  <si>
    <t>1st_ag_T</t>
  </si>
  <si>
    <t>3rd_bz_P</t>
  </si>
  <si>
    <t>1st_bz_T</t>
  </si>
  <si>
    <t>bz_W1</t>
  </si>
  <si>
    <t>3rd_ag_O</t>
  </si>
  <si>
    <t>1st_ag_U</t>
  </si>
  <si>
    <t>2nd_bz_R</t>
  </si>
  <si>
    <t>3rd_bz_S</t>
  </si>
  <si>
    <t>bz_W2</t>
  </si>
  <si>
    <t>ag_N2</t>
  </si>
  <si>
    <t>ag_N1</t>
  </si>
  <si>
    <t>3rd_ag_N</t>
  </si>
  <si>
    <t>1st_ag_R</t>
  </si>
  <si>
    <t>3rd_bz_N</t>
  </si>
  <si>
    <t>1st_bz_R</t>
  </si>
  <si>
    <t>bz_V2</t>
  </si>
  <si>
    <t>2nd_bz_T</t>
  </si>
  <si>
    <t>3rd_bz_R</t>
  </si>
  <si>
    <t>bz_W3</t>
  </si>
  <si>
    <t>ag_M1</t>
  </si>
  <si>
    <t>3rd_ag_M</t>
  </si>
  <si>
    <t>1st_ag_S</t>
  </si>
  <si>
    <t>3rd_bz_M</t>
  </si>
  <si>
    <t>1st_bz_S</t>
  </si>
  <si>
    <t>bz_V1</t>
  </si>
  <si>
    <t>2nd_bz_S</t>
  </si>
  <si>
    <t>3rd_bz_T</t>
  </si>
  <si>
    <t>bz_V3</t>
  </si>
  <si>
    <t>3rd_ag_T</t>
  </si>
  <si>
    <t>3rd_ag_S</t>
  </si>
  <si>
    <t>ag_21-24 RR</t>
  </si>
  <si>
    <t>1st_ag_N</t>
  </si>
  <si>
    <t>1st_ag_O</t>
  </si>
  <si>
    <t>2nd_ag_P</t>
  </si>
  <si>
    <t>2nd_ag_M</t>
  </si>
  <si>
    <t>2nd_ag_U</t>
  </si>
  <si>
    <t>2nd_ag_S</t>
  </si>
  <si>
    <t>3rd_ag_R</t>
  </si>
  <si>
    <t>3rd_ag_U</t>
  </si>
  <si>
    <t>1st_ag_M</t>
  </si>
  <si>
    <t>1st_ag_P</t>
  </si>
  <si>
    <t>2nd_ag_O</t>
  </si>
  <si>
    <t>2nd_ag_N</t>
  </si>
  <si>
    <t>2nd_ag_T</t>
  </si>
  <si>
    <t>2nd_ag_R</t>
  </si>
  <si>
    <t>bz_V</t>
  </si>
  <si>
    <t>bz_W</t>
  </si>
  <si>
    <t>2nd_bz_O</t>
  </si>
  <si>
    <t>2nd_bz_N</t>
  </si>
  <si>
    <t>bz_19-21 RR</t>
  </si>
  <si>
    <t>1st_bz_M</t>
  </si>
  <si>
    <t>1st_bz_P</t>
  </si>
  <si>
    <t>2nd_bz_P</t>
  </si>
  <si>
    <t>2nd_bz_M</t>
  </si>
  <si>
    <t>1st_bz_N</t>
  </si>
  <si>
    <t>1st_bz_O</t>
  </si>
  <si>
    <t>bz_3rd</t>
  </si>
  <si>
    <t>bz_4th</t>
  </si>
  <si>
    <t>bz_1st</t>
  </si>
  <si>
    <t>bz_2nd</t>
  </si>
  <si>
    <t>ag_3rd</t>
  </si>
  <si>
    <t>ag_4th</t>
  </si>
  <si>
    <t>ag_1st</t>
  </si>
  <si>
    <t>ag_2nd</t>
  </si>
  <si>
    <t>3rd_bz_V</t>
  </si>
  <si>
    <t>3rd_bz_W</t>
  </si>
  <si>
    <t>bz_17th</t>
  </si>
  <si>
    <t>bz_18th</t>
  </si>
  <si>
    <t>1st_bz_V</t>
  </si>
  <si>
    <t>1st_bz_W</t>
  </si>
  <si>
    <t>bz_13th</t>
  </si>
  <si>
    <t>bz_14th</t>
  </si>
  <si>
    <t>bz_11th</t>
  </si>
  <si>
    <t>bz_12th</t>
  </si>
  <si>
    <t>ag_17th</t>
  </si>
  <si>
    <t>ag_18th</t>
  </si>
  <si>
    <t>ag_15th</t>
  </si>
  <si>
    <t>ag_16th</t>
  </si>
  <si>
    <t>ag_5th</t>
  </si>
  <si>
    <t>ag_6th</t>
  </si>
  <si>
    <t>ag_7th</t>
  </si>
  <si>
    <t>ag_8th</t>
  </si>
  <si>
    <t>ag_9th</t>
  </si>
  <si>
    <t>ag_10th</t>
  </si>
  <si>
    <t>ag_13th</t>
  </si>
  <si>
    <t>ag_14th</t>
  </si>
  <si>
    <t>ag_19th</t>
  </si>
  <si>
    <t>ag_20th</t>
  </si>
  <si>
    <t>2nd_bz_V</t>
  </si>
  <si>
    <t>2nd_bz_W</t>
  </si>
  <si>
    <t>bz_15th</t>
  </si>
  <si>
    <t>bz_16th</t>
  </si>
  <si>
    <t>ag_11th</t>
  </si>
  <si>
    <t>ag_12th</t>
  </si>
  <si>
    <t>bz_9th</t>
  </si>
  <si>
    <t>bz_10th</t>
  </si>
  <si>
    <t>bz_7th</t>
  </si>
  <si>
    <t>bz_8th</t>
  </si>
  <si>
    <t>bz_5th</t>
  </si>
  <si>
    <t>44 teams</t>
  </si>
  <si>
    <t>12+12</t>
  </si>
  <si>
    <t>12+8</t>
  </si>
  <si>
    <t>A1(1)-SAN CLEMENTE</t>
  </si>
  <si>
    <t>B1(2)-TSUNAMI</t>
  </si>
  <si>
    <t>C1(3)-LB VIKING BLUE</t>
  </si>
  <si>
    <t>D1(4)-PATRIOT NAVY</t>
  </si>
  <si>
    <t>E1(5)-SACRAMENTO</t>
  </si>
  <si>
    <t>F1(6)-ALAMEDA</t>
  </si>
  <si>
    <t>A2(24)-CHAWP BLUE</t>
  </si>
  <si>
    <t>B2(23)-SAN JOSE EXPRESS</t>
  </si>
  <si>
    <t>C2(22)-CHICAGO PARK</t>
  </si>
  <si>
    <t>D2(21)-A TEAM CALLED QUEST</t>
  </si>
  <si>
    <t>E2(20)-TRI VALLEY</t>
  </si>
  <si>
    <t>F2(19)-KERN PREMIER</t>
  </si>
  <si>
    <t>A3(25)-NORTH IRVINE</t>
  </si>
  <si>
    <t>B3(26)-NC SELECT</t>
  </si>
  <si>
    <t>C3(27)-TRI VALLEY TRITONS</t>
  </si>
  <si>
    <t>D3(28)-SAND CANYON</t>
  </si>
  <si>
    <t>E3(29)-LA JOLLA UNITED</t>
  </si>
  <si>
    <t>F3(30)-SFV</t>
  </si>
  <si>
    <t>C4(44)-CENTRAL COAST</t>
  </si>
  <si>
    <t>D4(43)-MOOSE</t>
  </si>
  <si>
    <t>E4(42)-SOUTHSIDE</t>
  </si>
  <si>
    <t>F4(41)-HILO GRAMMAZ</t>
  </si>
  <si>
    <t>G1(7)-SANTA BARBARA WPC C</t>
  </si>
  <si>
    <t>H1(8)-COMMERCE</t>
  </si>
  <si>
    <t>I1(9)-WCAC UNITED</t>
  </si>
  <si>
    <t>J1(10)-SOCAL GOLD</t>
  </si>
  <si>
    <t>K1(11)-AMERICAN RIVER</t>
  </si>
  <si>
    <t>L1(12)-MID VALLEY WHITE</t>
  </si>
  <si>
    <t>G2(18)-A TOWN</t>
  </si>
  <si>
    <t>H2(17)-WEST VALLEY</t>
  </si>
  <si>
    <t>I2(16)-BROOKLYN HUSTLE</t>
  </si>
  <si>
    <t>J2(15)-SAN JOSE ALMADEN</t>
  </si>
  <si>
    <t>K2(14)-LA VERNE LEGENDS</t>
  </si>
  <si>
    <t>L2(13)-PRAETORIAN</t>
  </si>
  <si>
    <t>G3(31)-DART</t>
  </si>
  <si>
    <t>H3(32)-CHULA VISTA PREMIER</t>
  </si>
  <si>
    <t>I3(33)-BURLINGAME</t>
  </si>
  <si>
    <t>J3(34)-MAVERICKS</t>
  </si>
  <si>
    <t>K3(35)-NWC</t>
  </si>
  <si>
    <t>L3(36)-KEARNS</t>
  </si>
  <si>
    <t>I4(40)-ATWATER</t>
  </si>
  <si>
    <t>J4(39)-WILDKIT</t>
  </si>
  <si>
    <t>K4(38)-LONGHORN</t>
  </si>
  <si>
    <t>L4(37)-HILO HAMMAHZ</t>
  </si>
  <si>
    <t>18GX</t>
  </si>
  <si>
    <t>A B C</t>
  </si>
  <si>
    <t>1stC</t>
  </si>
  <si>
    <t>2ndC</t>
  </si>
  <si>
    <t>3rdC</t>
  </si>
  <si>
    <t>4thC</t>
  </si>
  <si>
    <t>3rdA-</t>
  </si>
  <si>
    <t>2ndA-</t>
  </si>
  <si>
    <t>D E F</t>
  </si>
  <si>
    <t>1stD</t>
  </si>
  <si>
    <t>2ndD</t>
  </si>
  <si>
    <t>3rdD</t>
  </si>
  <si>
    <t>4thD</t>
  </si>
  <si>
    <t>1stE</t>
  </si>
  <si>
    <t>2ndE</t>
  </si>
  <si>
    <t>3rdE</t>
  </si>
  <si>
    <t>1stF</t>
  </si>
  <si>
    <t>2ndF</t>
  </si>
  <si>
    <t>bz_U2</t>
  </si>
  <si>
    <t>3rdF</t>
  </si>
  <si>
    <t>4thF</t>
  </si>
  <si>
    <t>I G H</t>
  </si>
  <si>
    <t>bz_U1</t>
  </si>
  <si>
    <t>2ndH-</t>
  </si>
  <si>
    <t>3rdG-</t>
  </si>
  <si>
    <t>2ndG-</t>
  </si>
  <si>
    <t>3rdH-</t>
  </si>
  <si>
    <t>J K L</t>
  </si>
  <si>
    <t>12 teams</t>
  </si>
  <si>
    <t>8 teams</t>
  </si>
  <si>
    <t>M N S R</t>
  </si>
  <si>
    <t>ag</t>
  </si>
  <si>
    <t>ag_M2-</t>
  </si>
  <si>
    <t>3rd ag_M-</t>
  </si>
  <si>
    <t>1st ag_S-</t>
  </si>
  <si>
    <t>3rd ag_N-</t>
  </si>
  <si>
    <t>1st ag_R-</t>
  </si>
  <si>
    <t>O P U T</t>
  </si>
  <si>
    <t>3rd ag_O-</t>
  </si>
  <si>
    <t>1st ag_U-</t>
  </si>
  <si>
    <t>3rd ag_P-</t>
  </si>
  <si>
    <t>1st ag_T-</t>
  </si>
  <si>
    <r>
      <rPr>
        <sz val="9"/>
        <color rgb="FFFF0000"/>
        <rFont val="Arial Narrow"/>
        <family val="2"/>
      </rPr>
      <t>S R</t>
    </r>
    <r>
      <rPr>
        <sz val="9"/>
        <rFont val="Arial Narrow"/>
        <family val="2"/>
      </rPr>
      <t xml:space="preserve"> M N</t>
    </r>
  </si>
  <si>
    <t>bz</t>
  </si>
  <si>
    <r>
      <rPr>
        <sz val="9"/>
        <color rgb="FFFF0000"/>
        <rFont val="Arial Narrow"/>
        <family val="2"/>
      </rPr>
      <t xml:space="preserve">U T </t>
    </r>
    <r>
      <rPr>
        <sz val="9"/>
        <rFont val="Arial Narrow"/>
        <family val="2"/>
      </rPr>
      <t xml:space="preserve">O P </t>
    </r>
  </si>
  <si>
    <t>3rd bz_P-</t>
  </si>
  <si>
    <t>2nd ag_P-</t>
  </si>
  <si>
    <t>2nd ag_M-</t>
  </si>
  <si>
    <t>2nd ag_O-</t>
  </si>
  <si>
    <t>2nd ag_N-</t>
  </si>
  <si>
    <t>1st ag_N-</t>
  </si>
  <si>
    <t>1st ag_O-</t>
  </si>
  <si>
    <t>1st ag_M-</t>
  </si>
  <si>
    <t>1st ag_P-</t>
  </si>
  <si>
    <t>3rd ag_U-</t>
  </si>
  <si>
    <t>3rd ag_R-</t>
  </si>
  <si>
    <t>3rd ag_T-</t>
  </si>
  <si>
    <t>3rd ag_S-</t>
  </si>
  <si>
    <t>2nd ag_U-</t>
  </si>
  <si>
    <t>2nd ag_S-</t>
  </si>
  <si>
    <t>2nd ag_T-</t>
  </si>
  <si>
    <t>2nd ag_R-</t>
  </si>
  <si>
    <t>2nd bz_P-</t>
  </si>
  <si>
    <t>2nd bz_M-</t>
  </si>
  <si>
    <t>2nd bz_N-</t>
  </si>
  <si>
    <t>1st bz_N-</t>
  </si>
  <si>
    <t>1st bz_M-</t>
  </si>
  <si>
    <t>1st bz_P-</t>
  </si>
  <si>
    <t>no game 167</t>
  </si>
  <si>
    <t>no game 168</t>
  </si>
  <si>
    <t>au_19th</t>
  </si>
  <si>
    <t>au_Semi</t>
  </si>
  <si>
    <t>pt_semi</t>
  </si>
  <si>
    <t>3s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</si>
</sst>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-409]ddd\,\ mmmm\ d"/>
    <numFmt numFmtId="165" formatCode="[$-409]h:mm\ AM/PM;@"/>
    <numFmt numFmtId="166" formatCode="0.0"/>
    <numFmt numFmtId="167" formatCode="[$-409]h:mm\ AM/PM"/>
    <numFmt numFmtId="168" formatCode="[$-409]d\-mmm"/>
    <numFmt numFmtId="169" formatCode="[$-409]d\-mmm;@"/>
    <numFmt numFmtId="170" formatCode="m/d/yy;@"/>
  </numFmts>
  <fonts count="4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9"/>
      <color theme="1"/>
      <name val="Arial Narrow"/>
      <family val="2"/>
    </font>
    <font>
      <sz val="9"/>
      <name val="Arial Narrow"/>
      <family val="2"/>
    </font>
    <font>
      <b/>
      <sz val="9"/>
      <color rgb="FF00B0F0"/>
      <name val="Arial Narrow"/>
      <family val="2"/>
    </font>
    <font>
      <b/>
      <sz val="9"/>
      <name val="Arial Narrow"/>
      <family val="2"/>
    </font>
    <font>
      <b/>
      <sz val="9"/>
      <color theme="0"/>
      <name val="Arial Narrow"/>
      <family val="2"/>
    </font>
    <font>
      <sz val="9"/>
      <color theme="1"/>
      <name val="Arial Narrow"/>
      <family val="2"/>
    </font>
    <font>
      <sz val="9"/>
      <color indexed="8"/>
      <name val="Arial Narrow"/>
      <family val="2"/>
    </font>
    <font>
      <sz val="9"/>
      <color rgb="FFFF0000"/>
      <name val="Arial Narrow"/>
      <family val="2"/>
    </font>
    <font>
      <b/>
      <sz val="9"/>
      <color rgb="FF4472C4"/>
      <name val="Arial Narrow"/>
      <family val="2"/>
    </font>
    <font>
      <b/>
      <sz val="8"/>
      <color theme="1"/>
      <name val="Arial"/>
      <family val="2"/>
    </font>
    <font>
      <sz val="9"/>
      <color rgb="FF000000"/>
      <name val="Arial Narrow"/>
      <family val="2"/>
    </font>
    <font>
      <sz val="9"/>
      <color theme="0"/>
      <name val="Arial Narrow"/>
      <family val="2"/>
    </font>
    <font>
      <sz val="9"/>
      <color theme="9"/>
      <name val="Arial Narrow"/>
      <family val="2"/>
    </font>
    <font>
      <b/>
      <sz val="9"/>
      <color indexed="8"/>
      <name val="Arial Narrow"/>
      <family val="2"/>
    </font>
    <font>
      <b/>
      <sz val="9"/>
      <color indexed="9"/>
      <name val="Arial Narrow"/>
      <family val="2"/>
    </font>
    <font>
      <b/>
      <sz val="9"/>
      <color rgb="FF000000"/>
      <name val="Arial Narrow"/>
      <family val="2"/>
    </font>
    <font>
      <b/>
      <sz val="9"/>
      <color rgb="FFFFFFFF"/>
      <name val="Arial Narrow"/>
      <family val="2"/>
    </font>
    <font>
      <sz val="9"/>
      <color theme="1"/>
      <name val="Calibri"/>
      <family val="2"/>
    </font>
    <font>
      <u/>
      <sz val="9"/>
      <color rgb="FF000000"/>
      <name val="Arial Narrow"/>
      <family val="2"/>
    </font>
    <font>
      <sz val="9"/>
      <color rgb="FFFFFFFF"/>
      <name val="Arial Narrow"/>
      <family val="2"/>
    </font>
    <font>
      <b/>
      <sz val="9"/>
      <color rgb="FF009933"/>
      <name val="Arial Narrow"/>
      <family val="2"/>
    </font>
    <font>
      <sz val="9"/>
      <color rgb="FF444444"/>
      <name val="Arial Narrow"/>
      <family val="2"/>
    </font>
    <font>
      <sz val="8"/>
      <color indexed="8"/>
      <name val="Arial Narrow"/>
      <family val="2"/>
    </font>
    <font>
      <sz val="8"/>
      <color theme="0"/>
      <name val="Arial"/>
      <family val="2"/>
    </font>
    <font>
      <b/>
      <sz val="8"/>
      <color indexed="9"/>
      <name val="Arial Narrow"/>
      <family val="2"/>
    </font>
    <font>
      <b/>
      <sz val="8"/>
      <color indexed="8"/>
      <name val="Arial Narrow"/>
      <family val="2"/>
    </font>
    <font>
      <sz val="8"/>
      <name val="Arial Narrow"/>
      <family val="2"/>
    </font>
    <font>
      <b/>
      <sz val="8"/>
      <name val="Arial Narrow"/>
      <family val="2"/>
    </font>
    <font>
      <sz val="9"/>
      <color rgb="FF00B0F0"/>
      <name val="Arial Narrow"/>
      <family val="2"/>
    </font>
    <font>
      <b/>
      <u/>
      <sz val="9"/>
      <color indexed="8"/>
      <name val="Arial Narrow"/>
      <family val="2"/>
    </font>
    <font>
      <sz val="8"/>
      <color indexed="9"/>
      <name val="Arial Narrow"/>
      <family val="2"/>
    </font>
    <font>
      <sz val="8"/>
      <name val="Aptos Narrow"/>
      <family val="2"/>
      <scheme val="minor"/>
    </font>
    <font>
      <b/>
      <sz val="10"/>
      <color theme="1"/>
      <name val="Arial Narrow"/>
      <family val="2"/>
    </font>
    <font>
      <b/>
      <sz val="10"/>
      <color theme="0"/>
      <name val="Arial Narrow"/>
      <family val="2"/>
    </font>
    <font>
      <sz val="9"/>
      <color theme="1"/>
      <name val="Aptos Narrow"/>
      <family val="2"/>
      <scheme val="minor"/>
    </font>
    <font>
      <b/>
      <sz val="10"/>
      <color rgb="FFFF0000"/>
      <name val="Arial Narrow"/>
      <family val="2"/>
    </font>
    <font>
      <b/>
      <sz val="9"/>
      <color rgb="FFFF0000"/>
      <name val="Arial Narrow"/>
      <family val="2"/>
    </font>
    <font>
      <b/>
      <sz val="9"/>
      <color theme="8" tint="0.39997558519241921"/>
      <name val="Arial Narrow"/>
      <family val="2"/>
    </font>
    <font>
      <b/>
      <sz val="9"/>
      <color rgb="FF38D4D6"/>
      <name val="Arial Narrow"/>
      <family val="2"/>
    </font>
    <font>
      <b/>
      <sz val="9"/>
      <color theme="7" tint="-0.249977111117893"/>
      <name val="Arial Narrow"/>
      <family val="2"/>
    </font>
  </fonts>
  <fills count="51">
    <fill>
      <patternFill patternType="none"/>
    </fill>
    <fill>
      <patternFill patternType="gray125"/>
    </fill>
    <fill>
      <patternFill patternType="solid">
        <fgColor rgb="FFFF6600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5"/>
      </patternFill>
    </fill>
    <fill>
      <patternFill patternType="solid">
        <fgColor rgb="FFCCCCCC"/>
      </patternFill>
    </fill>
    <fill>
      <patternFill patternType="solid">
        <fgColor rgb="FFFFCC33"/>
      </patternFill>
    </fill>
    <fill>
      <patternFill patternType="solid">
        <fgColor rgb="FFCC3333"/>
        <bgColor theme="0"/>
      </patternFill>
    </fill>
    <fill>
      <patternFill patternType="solid">
        <fgColor rgb="FF38D4D6"/>
        <bgColor indexed="64"/>
      </patternFill>
    </fill>
    <fill>
      <patternFill patternType="solid">
        <fgColor rgb="FFB4F2BB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CC9966"/>
      </patternFill>
    </fill>
    <fill>
      <patternFill patternType="solid">
        <fgColor rgb="FF0066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CC66"/>
      </patternFill>
    </fill>
    <fill>
      <patternFill patternType="solid">
        <fgColor rgb="FF0066CC"/>
        <bgColor indexed="64"/>
      </patternFill>
    </fill>
    <fill>
      <patternFill patternType="solid">
        <fgColor theme="0" tint="-0.149998474074526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ABC7FF"/>
        <bgColor indexed="64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  <fill>
      <patternFill patternType="solid">
        <fgColor rgb="FFFFCC33"/>
        <bgColor rgb="FFFFCC33"/>
      </patternFill>
    </fill>
    <fill>
      <patternFill patternType="solid">
        <fgColor rgb="FFFF9900"/>
        <bgColor rgb="FFFF9900"/>
      </patternFill>
    </fill>
    <fill>
      <patternFill patternType="solid">
        <fgColor rgb="FFB4F2BB"/>
        <bgColor rgb="FF0066CC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CCCCCC"/>
        <bgColor rgb="FFCCCCCC"/>
      </patternFill>
    </fill>
    <fill>
      <patternFill patternType="solid">
        <fgColor rgb="FFFF6600"/>
        <bgColor rgb="FFFF6600"/>
      </patternFill>
    </fill>
    <fill>
      <patternFill patternType="solid">
        <fgColor rgb="FFCC3333"/>
      </patternFill>
    </fill>
    <fill>
      <patternFill patternType="solid">
        <fgColor indexed="22"/>
        <bgColor indexed="64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52"/>
      </patternFill>
    </fill>
    <fill>
      <patternFill patternType="solid">
        <fgColor rgb="FFFF9933"/>
        <bgColor rgb="FF0066CC"/>
      </patternFill>
    </fill>
    <fill>
      <patternFill patternType="solid">
        <fgColor rgb="FFCC9966"/>
        <bgColor indexed="64"/>
      </patternFill>
    </fill>
    <fill>
      <patternFill patternType="solid">
        <fgColor rgb="FFCC9966"/>
        <bgColor rgb="FFFFCC33"/>
      </patternFill>
    </fill>
    <fill>
      <patternFill patternType="solid">
        <fgColor rgb="FFCC9966"/>
        <bgColor rgb="FFFF0000"/>
      </patternFill>
    </fill>
    <fill>
      <patternFill patternType="solid">
        <fgColor rgb="FF0066CC"/>
      </patternFill>
    </fill>
    <fill>
      <patternFill patternType="solid">
        <fgColor rgb="FFDD0806"/>
        <bgColor rgb="FF000000"/>
      </patternFill>
    </fill>
    <fill>
      <patternFill patternType="solid">
        <fgColor rgb="FFCC6666"/>
        <bgColor indexed="64"/>
      </patternFill>
    </fill>
    <fill>
      <patternFill patternType="solid">
        <fgColor rgb="FFCC3333"/>
        <bgColor rgb="FFCC3333"/>
      </patternFill>
    </fill>
    <fill>
      <patternFill patternType="solid">
        <fgColor rgb="FFCCFF6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C3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CC3333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CC66"/>
        <bgColor indexed="64"/>
      </patternFill>
    </fill>
  </fills>
  <borders count="32">
    <border>
      <left/>
      <right/>
      <top/>
      <bottom/>
      <diagonal/>
    </border>
    <border>
      <left style="medium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double">
        <color auto="1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47">
    <xf numFmtId="0" fontId="0" fillId="0" borderId="0"/>
    <xf numFmtId="0" fontId="3" fillId="0" borderId="1" applyNumberFormat="0">
      <alignment horizontal="center" vertical="center"/>
    </xf>
    <xf numFmtId="0" fontId="4" fillId="0" borderId="0">
      <alignment horizontal="center" vertical="center"/>
    </xf>
    <xf numFmtId="0" fontId="6" fillId="0" borderId="2" applyProtection="0">
      <alignment horizontal="center" vertical="center" wrapText="1"/>
    </xf>
    <xf numFmtId="18" fontId="7" fillId="2" borderId="3" applyNumberFormat="0">
      <alignment horizontal="center" vertical="center"/>
    </xf>
    <xf numFmtId="0" fontId="8" fillId="0" borderId="3">
      <alignment horizontal="center" vertical="center"/>
    </xf>
    <xf numFmtId="0" fontId="4" fillId="0" borderId="3" applyNumberFormat="0">
      <alignment horizontal="center" vertical="center"/>
    </xf>
    <xf numFmtId="18" fontId="6" fillId="4" borderId="3" applyNumberFormat="0">
      <alignment horizontal="center" vertical="center"/>
    </xf>
    <xf numFmtId="18" fontId="4" fillId="5" borderId="3" applyNumberFormat="0">
      <alignment horizontal="center" vertical="center"/>
    </xf>
    <xf numFmtId="18" fontId="4" fillId="6" borderId="3" applyNumberFormat="0">
      <alignment horizontal="center" vertical="center"/>
    </xf>
    <xf numFmtId="0" fontId="3" fillId="0" borderId="10" applyNumberFormat="0">
      <alignment horizontal="center" vertical="center"/>
    </xf>
    <xf numFmtId="18" fontId="7" fillId="7" borderId="3" applyNumberFormat="0">
      <alignment horizontal="center" vertical="center"/>
    </xf>
    <xf numFmtId="0" fontId="12" fillId="9" borderId="14">
      <alignment horizontal="center" vertical="center"/>
    </xf>
    <xf numFmtId="18" fontId="7" fillId="11" borderId="3" applyNumberFormat="0">
      <alignment horizontal="center" vertical="center"/>
    </xf>
    <xf numFmtId="18" fontId="14" fillId="12" borderId="3" applyNumberFormat="0">
      <alignment horizontal="center" vertical="center"/>
    </xf>
    <xf numFmtId="0" fontId="4" fillId="0" borderId="0">
      <alignment horizontal="center" vertical="center"/>
    </xf>
    <xf numFmtId="0" fontId="16" fillId="0" borderId="1" applyNumberFormat="0">
      <alignment horizontal="center" vertical="center"/>
    </xf>
    <xf numFmtId="0" fontId="16" fillId="0" borderId="10" applyNumberFormat="0">
      <alignment horizontal="center" vertical="center"/>
    </xf>
    <xf numFmtId="0" fontId="6" fillId="0" borderId="2">
      <alignment horizontal="center" vertical="center"/>
    </xf>
    <xf numFmtId="18" fontId="6" fillId="15" borderId="3">
      <alignment horizontal="center" vertical="center"/>
    </xf>
    <xf numFmtId="0" fontId="9" fillId="0" borderId="3">
      <alignment horizontal="center" vertical="center"/>
    </xf>
    <xf numFmtId="18" fontId="6" fillId="17" borderId="3" applyNumberFormat="0">
      <alignment horizontal="center" vertical="center"/>
    </xf>
    <xf numFmtId="18" fontId="7" fillId="12" borderId="3" applyNumberFormat="0">
      <alignment horizontal="center" vertical="center"/>
    </xf>
    <xf numFmtId="18" fontId="14" fillId="12" borderId="3" applyNumberFormat="0">
      <alignment horizontal="center" vertical="center"/>
    </xf>
    <xf numFmtId="0" fontId="4" fillId="0" borderId="0">
      <alignment horizontal="center" vertical="center"/>
    </xf>
    <xf numFmtId="0" fontId="1" fillId="0" borderId="0"/>
    <xf numFmtId="0" fontId="2" fillId="0" borderId="0" applyNumberFormat="0" applyFill="0" applyBorder="0" applyAlignment="0" applyProtection="0"/>
    <xf numFmtId="0" fontId="25" fillId="0" borderId="0"/>
    <xf numFmtId="0" fontId="1" fillId="0" borderId="0"/>
    <xf numFmtId="0" fontId="26" fillId="29" borderId="3">
      <alignment horizontal="center" vertical="center"/>
    </xf>
    <xf numFmtId="0" fontId="25" fillId="0" borderId="3">
      <alignment horizontal="center"/>
    </xf>
    <xf numFmtId="0" fontId="8" fillId="0" borderId="0" applyNumberFormat="0">
      <alignment horizontal="center" vertical="center"/>
    </xf>
    <xf numFmtId="18" fontId="27" fillId="11" borderId="3" applyNumberFormat="0">
      <alignment horizontal="center"/>
    </xf>
    <xf numFmtId="0" fontId="28" fillId="0" borderId="10" applyNumberFormat="0">
      <alignment horizontal="center"/>
    </xf>
    <xf numFmtId="0" fontId="4" fillId="0" borderId="0">
      <alignment horizontal="center" vertical="center"/>
    </xf>
    <xf numFmtId="0" fontId="29" fillId="0" borderId="3" applyNumberFormat="0">
      <alignment horizontal="center"/>
    </xf>
    <xf numFmtId="0" fontId="28" fillId="0" borderId="0">
      <alignment horizontal="center"/>
    </xf>
    <xf numFmtId="18" fontId="30" fillId="30" borderId="3" applyNumberFormat="0">
      <alignment horizontal="center"/>
    </xf>
    <xf numFmtId="18" fontId="6" fillId="6" borderId="3" applyNumberFormat="0">
      <alignment horizontal="center" vertical="center"/>
    </xf>
    <xf numFmtId="18" fontId="29" fillId="31" borderId="3" applyNumberFormat="0">
      <alignment horizontal="center"/>
    </xf>
    <xf numFmtId="18" fontId="29" fillId="32" borderId="3" applyNumberFormat="0">
      <alignment horizontal="center" vertical="center"/>
    </xf>
    <xf numFmtId="18" fontId="33" fillId="33" borderId="3" applyNumberFormat="0">
      <alignment horizontal="center" vertical="center"/>
    </xf>
    <xf numFmtId="0" fontId="4" fillId="0" borderId="0">
      <alignment horizontal="center" vertical="center"/>
    </xf>
    <xf numFmtId="0" fontId="7" fillId="38" borderId="3">
      <alignment horizontal="center" vertical="center"/>
    </xf>
    <xf numFmtId="0" fontId="7" fillId="38" borderId="3">
      <alignment horizontal="center" vertical="center"/>
    </xf>
    <xf numFmtId="0" fontId="1" fillId="0" borderId="0"/>
    <xf numFmtId="0" fontId="1" fillId="0" borderId="0"/>
  </cellStyleXfs>
  <cellXfs count="458">
    <xf numFmtId="0" fontId="0" fillId="0" borderId="0" xfId="0"/>
    <xf numFmtId="0" fontId="3" fillId="0" borderId="1" xfId="1">
      <alignment horizontal="center" vertical="center"/>
    </xf>
    <xf numFmtId="0" fontId="4" fillId="0" borderId="0" xfId="2">
      <alignment horizontal="center" vertical="center"/>
    </xf>
    <xf numFmtId="164" fontId="4" fillId="0" borderId="0" xfId="2" applyNumberFormat="1">
      <alignment horizontal="center" vertical="center"/>
    </xf>
    <xf numFmtId="0" fontId="6" fillId="0" borderId="2" xfId="3">
      <alignment horizontal="center" vertical="center" wrapText="1"/>
    </xf>
    <xf numFmtId="0" fontId="8" fillId="0" borderId="3" xfId="5">
      <alignment horizontal="center" vertical="center"/>
    </xf>
    <xf numFmtId="16" fontId="4" fillId="0" borderId="3" xfId="6" applyNumberFormat="1">
      <alignment horizontal="center" vertical="center"/>
    </xf>
    <xf numFmtId="165" fontId="4" fillId="0" borderId="3" xfId="6" applyNumberFormat="1">
      <alignment horizontal="center" vertical="center"/>
    </xf>
    <xf numFmtId="0" fontId="4" fillId="0" borderId="3" xfId="6">
      <alignment horizontal="center" vertical="center"/>
    </xf>
    <xf numFmtId="0" fontId="4" fillId="0" borderId="7" xfId="6" applyBorder="1">
      <alignment horizontal="center" vertical="center"/>
    </xf>
    <xf numFmtId="0" fontId="4" fillId="0" borderId="6" xfId="2" applyBorder="1">
      <alignment horizontal="center" vertical="center"/>
    </xf>
    <xf numFmtId="0" fontId="4" fillId="0" borderId="9" xfId="6" applyBorder="1">
      <alignment horizontal="center" vertical="center"/>
    </xf>
    <xf numFmtId="0" fontId="4" fillId="0" borderId="0" xfId="6" applyBorder="1">
      <alignment horizontal="center" vertical="center"/>
    </xf>
    <xf numFmtId="1" fontId="4" fillId="0" borderId="3" xfId="6" applyNumberFormat="1">
      <alignment horizontal="center" vertical="center"/>
    </xf>
    <xf numFmtId="0" fontId="7" fillId="3" borderId="3" xfId="6" applyFont="1" applyFill="1">
      <alignment horizontal="center" vertical="center"/>
    </xf>
    <xf numFmtId="0" fontId="4" fillId="0" borderId="3" xfId="2" applyBorder="1">
      <alignment horizontal="center" vertical="center"/>
    </xf>
    <xf numFmtId="0" fontId="6" fillId="0" borderId="0" xfId="2" applyFont="1">
      <alignment horizontal="center" vertical="center"/>
    </xf>
    <xf numFmtId="165" fontId="6" fillId="4" borderId="3" xfId="7" applyNumberFormat="1">
      <alignment horizontal="center" vertical="center"/>
    </xf>
    <xf numFmtId="0" fontId="9" fillId="0" borderId="0" xfId="2" applyFont="1">
      <alignment horizontal="center" vertical="center"/>
    </xf>
    <xf numFmtId="1" fontId="4" fillId="0" borderId="0" xfId="2" applyNumberFormat="1">
      <alignment horizontal="center" vertical="center"/>
    </xf>
    <xf numFmtId="16" fontId="4" fillId="0" borderId="3" xfId="2" applyNumberFormat="1" applyBorder="1">
      <alignment horizontal="center" vertical="center"/>
    </xf>
    <xf numFmtId="18" fontId="4" fillId="0" borderId="3" xfId="6" applyNumberFormat="1">
      <alignment horizontal="center" vertical="center"/>
    </xf>
    <xf numFmtId="0" fontId="4" fillId="5" borderId="3" xfId="8" applyNumberFormat="1">
      <alignment horizontal="center" vertical="center"/>
    </xf>
    <xf numFmtId="16" fontId="9" fillId="0" borderId="0" xfId="2" applyNumberFormat="1" applyFont="1">
      <alignment horizontal="center" vertical="center"/>
    </xf>
    <xf numFmtId="16" fontId="4" fillId="0" borderId="0" xfId="2" applyNumberFormat="1">
      <alignment horizontal="center" vertical="center"/>
    </xf>
    <xf numFmtId="0" fontId="4" fillId="6" borderId="3" xfId="9" applyNumberFormat="1">
      <alignment horizontal="center" vertical="center"/>
    </xf>
    <xf numFmtId="0" fontId="3" fillId="0" borderId="10" xfId="10">
      <alignment horizontal="center" vertical="center"/>
    </xf>
    <xf numFmtId="18" fontId="4" fillId="0" borderId="0" xfId="2" applyNumberFormat="1">
      <alignment horizontal="center" vertical="center"/>
    </xf>
    <xf numFmtId="0" fontId="10" fillId="0" borderId="0" xfId="2" applyFont="1">
      <alignment horizontal="center" vertical="center"/>
    </xf>
    <xf numFmtId="18" fontId="4" fillId="0" borderId="3" xfId="2" applyNumberFormat="1" applyBorder="1">
      <alignment horizontal="center" vertical="center"/>
    </xf>
    <xf numFmtId="0" fontId="4" fillId="0" borderId="3" xfId="11" applyNumberFormat="1" applyFont="1" applyFill="1">
      <alignment horizontal="center" vertical="center"/>
    </xf>
    <xf numFmtId="165" fontId="4" fillId="0" borderId="0" xfId="2" applyNumberFormat="1">
      <alignment horizontal="center" vertical="center"/>
    </xf>
    <xf numFmtId="0" fontId="8" fillId="0" borderId="0" xfId="5" applyBorder="1">
      <alignment horizontal="center" vertical="center"/>
    </xf>
    <xf numFmtId="0" fontId="4" fillId="0" borderId="5" xfId="6" applyBorder="1">
      <alignment horizontal="center" vertical="center"/>
    </xf>
    <xf numFmtId="0" fontId="4" fillId="0" borderId="6" xfId="6" applyBorder="1">
      <alignment horizontal="center" vertical="center"/>
    </xf>
    <xf numFmtId="0" fontId="4" fillId="0" borderId="8" xfId="6" applyBorder="1">
      <alignment horizontal="center" vertical="center"/>
    </xf>
    <xf numFmtId="0" fontId="6" fillId="4" borderId="3" xfId="7" applyNumberFormat="1">
      <alignment horizontal="center" vertical="center"/>
    </xf>
    <xf numFmtId="0" fontId="8" fillId="0" borderId="4" xfId="5" applyBorder="1">
      <alignment horizontal="center" vertical="center"/>
    </xf>
    <xf numFmtId="0" fontId="8" fillId="0" borderId="5" xfId="5" applyBorder="1">
      <alignment horizontal="center" vertical="center"/>
    </xf>
    <xf numFmtId="0" fontId="8" fillId="0" borderId="6" xfId="5" applyBorder="1">
      <alignment horizontal="center" vertical="center"/>
    </xf>
    <xf numFmtId="0" fontId="4" fillId="5" borderId="7" xfId="8" applyNumberFormat="1" applyBorder="1">
      <alignment horizontal="center" vertical="center"/>
    </xf>
    <xf numFmtId="0" fontId="8" fillId="0" borderId="3" xfId="6" applyFont="1">
      <alignment horizontal="center" vertical="center"/>
    </xf>
    <xf numFmtId="0" fontId="8" fillId="5" borderId="6" xfId="8" applyNumberFormat="1" applyFont="1" applyBorder="1">
      <alignment horizontal="center" vertical="center"/>
    </xf>
    <xf numFmtId="0" fontId="8" fillId="5" borderId="3" xfId="8" applyNumberFormat="1" applyFont="1">
      <alignment horizontal="center" vertical="center"/>
    </xf>
    <xf numFmtId="0" fontId="8" fillId="5" borderId="9" xfId="8" applyNumberFormat="1" applyFont="1" applyBorder="1">
      <alignment horizontal="center" vertical="center"/>
    </xf>
    <xf numFmtId="0" fontId="8" fillId="0" borderId="0" xfId="6" applyFont="1" applyBorder="1">
      <alignment horizontal="center" vertical="center"/>
    </xf>
    <xf numFmtId="18" fontId="6" fillId="8" borderId="3" xfId="4" applyFont="1" applyFill="1">
      <alignment horizontal="center" vertical="center"/>
    </xf>
    <xf numFmtId="0" fontId="6" fillId="8" borderId="3" xfId="4" applyNumberFormat="1" applyFont="1" applyFill="1">
      <alignment horizontal="center" vertical="center"/>
    </xf>
    <xf numFmtId="0" fontId="6" fillId="0" borderId="1" xfId="1" applyFont="1">
      <alignment horizontal="center" vertical="center"/>
    </xf>
    <xf numFmtId="0" fontId="11" fillId="0" borderId="12" xfId="10" applyFont="1" applyBorder="1">
      <alignment horizontal="center" vertical="center"/>
    </xf>
    <xf numFmtId="0" fontId="6" fillId="0" borderId="10" xfId="10" applyFont="1">
      <alignment horizontal="center" vertical="center"/>
    </xf>
    <xf numFmtId="0" fontId="11" fillId="0" borderId="13" xfId="10" applyFont="1" applyBorder="1">
      <alignment horizontal="center" vertical="center"/>
    </xf>
    <xf numFmtId="0" fontId="7" fillId="11" borderId="3" xfId="13" applyNumberFormat="1">
      <alignment horizontal="center" vertical="center"/>
    </xf>
    <xf numFmtId="166" fontId="4" fillId="0" borderId="3" xfId="6" applyNumberFormat="1">
      <alignment horizontal="center" vertical="center"/>
    </xf>
    <xf numFmtId="0" fontId="10" fillId="0" borderId="3" xfId="6" applyFont="1">
      <alignment horizontal="center" vertical="center"/>
    </xf>
    <xf numFmtId="0" fontId="13" fillId="0" borderId="3" xfId="6" applyFont="1">
      <alignment horizontal="center" vertical="center"/>
    </xf>
    <xf numFmtId="1" fontId="10" fillId="0" borderId="3" xfId="6" applyNumberFormat="1" applyFont="1">
      <alignment horizontal="center" vertical="center"/>
    </xf>
    <xf numFmtId="1" fontId="6" fillId="0" borderId="10" xfId="10" applyNumberFormat="1" applyFont="1">
      <alignment horizontal="center" vertical="center"/>
    </xf>
    <xf numFmtId="0" fontId="4" fillId="0" borderId="3" xfId="5" applyFont="1">
      <alignment horizontal="center" vertical="center"/>
    </xf>
    <xf numFmtId="0" fontId="4" fillId="0" borderId="4" xfId="5" applyFont="1" applyBorder="1">
      <alignment horizontal="center" vertical="center"/>
    </xf>
    <xf numFmtId="0" fontId="4" fillId="0" borderId="15" xfId="5" applyFont="1" applyBorder="1">
      <alignment horizontal="center" vertical="center"/>
    </xf>
    <xf numFmtId="0" fontId="4" fillId="0" borderId="6" xfId="5" applyFont="1" applyBorder="1">
      <alignment horizontal="center" vertical="center"/>
    </xf>
    <xf numFmtId="0" fontId="4" fillId="0" borderId="16" xfId="5" applyFont="1" applyBorder="1">
      <alignment horizontal="center" vertical="center"/>
    </xf>
    <xf numFmtId="0" fontId="4" fillId="0" borderId="17" xfId="5" applyFont="1" applyBorder="1">
      <alignment horizontal="center" vertical="center"/>
    </xf>
    <xf numFmtId="0" fontId="4" fillId="0" borderId="9" xfId="5" applyFont="1" applyBorder="1">
      <alignment horizontal="center" vertical="center"/>
    </xf>
    <xf numFmtId="1" fontId="4" fillId="5" borderId="3" xfId="8" applyNumberFormat="1">
      <alignment horizontal="center" vertical="center"/>
    </xf>
    <xf numFmtId="18" fontId="6" fillId="0" borderId="0" xfId="2" applyNumberFormat="1" applyFont="1">
      <alignment horizontal="center" vertical="center"/>
    </xf>
    <xf numFmtId="166" fontId="4" fillId="5" borderId="3" xfId="8" applyNumberFormat="1">
      <alignment horizontal="center" vertical="center"/>
    </xf>
    <xf numFmtId="0" fontId="4" fillId="5" borderId="5" xfId="8" applyNumberFormat="1" applyBorder="1">
      <alignment horizontal="center" vertical="center"/>
    </xf>
    <xf numFmtId="0" fontId="4" fillId="0" borderId="0" xfId="9" applyNumberFormat="1" applyFill="1" applyBorder="1">
      <alignment horizontal="center" vertical="center"/>
    </xf>
    <xf numFmtId="0" fontId="4" fillId="5" borderId="15" xfId="8" applyNumberFormat="1" applyBorder="1">
      <alignment horizontal="center" vertical="center"/>
    </xf>
    <xf numFmtId="0" fontId="4" fillId="5" borderId="20" xfId="8" applyNumberFormat="1" applyBorder="1">
      <alignment horizontal="center" vertical="center"/>
    </xf>
    <xf numFmtId="18" fontId="4" fillId="0" borderId="3" xfId="15" applyNumberFormat="1" applyBorder="1">
      <alignment horizontal="center" vertical="center"/>
    </xf>
    <xf numFmtId="18" fontId="4" fillId="0" borderId="4" xfId="15" applyNumberFormat="1" applyBorder="1">
      <alignment horizontal="center" vertical="center"/>
    </xf>
    <xf numFmtId="18" fontId="4" fillId="0" borderId="18" xfId="15" applyNumberFormat="1" applyBorder="1">
      <alignment horizontal="center" vertical="center"/>
    </xf>
    <xf numFmtId="18" fontId="4" fillId="0" borderId="6" xfId="15" applyNumberFormat="1" applyBorder="1">
      <alignment horizontal="center" vertical="center"/>
    </xf>
    <xf numFmtId="18" fontId="4" fillId="0" borderId="0" xfId="15" applyNumberFormat="1">
      <alignment horizontal="center" vertical="center"/>
    </xf>
    <xf numFmtId="0" fontId="4" fillId="5" borderId="18" xfId="8" applyNumberFormat="1" applyBorder="1">
      <alignment horizontal="center" vertical="center"/>
    </xf>
    <xf numFmtId="0" fontId="4" fillId="5" borderId="19" xfId="8" applyNumberFormat="1" applyBorder="1">
      <alignment horizontal="center" vertical="center"/>
    </xf>
    <xf numFmtId="18" fontId="4" fillId="0" borderId="17" xfId="15" applyNumberFormat="1" applyBorder="1">
      <alignment horizontal="center" vertical="center"/>
    </xf>
    <xf numFmtId="0" fontId="7" fillId="13" borderId="14" xfId="12" applyFont="1" applyFill="1">
      <alignment horizontal="center" vertical="center"/>
    </xf>
    <xf numFmtId="0" fontId="14" fillId="13" borderId="14" xfId="12" applyFont="1" applyFill="1">
      <alignment horizontal="center" vertical="center"/>
    </xf>
    <xf numFmtId="18" fontId="8" fillId="0" borderId="3" xfId="6" applyNumberFormat="1" applyFont="1">
      <alignment horizontal="center" vertical="center"/>
    </xf>
    <xf numFmtId="16" fontId="8" fillId="0" borderId="3" xfId="6" applyNumberFormat="1" applyFont="1">
      <alignment horizontal="center" vertical="center"/>
    </xf>
    <xf numFmtId="1" fontId="8" fillId="5" borderId="3" xfId="8" applyNumberFormat="1" applyFont="1">
      <alignment horizontal="center" vertical="center"/>
    </xf>
    <xf numFmtId="0" fontId="15" fillId="0" borderId="15" xfId="5" applyFont="1" applyBorder="1">
      <alignment horizontal="center" vertical="center"/>
    </xf>
    <xf numFmtId="0" fontId="15" fillId="0" borderId="3" xfId="5" applyFont="1">
      <alignment horizontal="center" vertical="center"/>
    </xf>
    <xf numFmtId="0" fontId="16" fillId="0" borderId="1" xfId="16">
      <alignment horizontal="center" vertical="center"/>
    </xf>
    <xf numFmtId="0" fontId="16" fillId="0" borderId="10" xfId="17">
      <alignment horizontal="center" vertical="center"/>
    </xf>
    <xf numFmtId="0" fontId="6" fillId="0" borderId="2" xfId="18">
      <alignment horizontal="center" vertical="center"/>
    </xf>
    <xf numFmtId="0" fontId="9" fillId="0" borderId="3" xfId="20">
      <alignment horizontal="center" vertical="center"/>
    </xf>
    <xf numFmtId="0" fontId="17" fillId="11" borderId="3" xfId="6" applyFont="1" applyFill="1">
      <alignment horizontal="center" vertical="center"/>
    </xf>
    <xf numFmtId="0" fontId="17" fillId="11" borderId="3" xfId="13" applyNumberFormat="1" applyFont="1">
      <alignment horizontal="center" vertical="center"/>
    </xf>
    <xf numFmtId="0" fontId="17" fillId="16" borderId="3" xfId="13" applyNumberFormat="1" applyFont="1" applyFill="1">
      <alignment horizontal="center" vertical="center"/>
    </xf>
    <xf numFmtId="0" fontId="6" fillId="17" borderId="3" xfId="21" applyNumberFormat="1">
      <alignment horizontal="center" vertical="center"/>
    </xf>
    <xf numFmtId="0" fontId="14" fillId="12" borderId="3" xfId="23" applyNumberFormat="1">
      <alignment horizontal="center" vertical="center"/>
    </xf>
    <xf numFmtId="16" fontId="4" fillId="0" borderId="4" xfId="6" applyNumberFormat="1" applyBorder="1">
      <alignment horizontal="center" vertical="center"/>
    </xf>
    <xf numFmtId="16" fontId="4" fillId="0" borderId="9" xfId="6" applyNumberFormat="1" applyBorder="1">
      <alignment horizontal="center" vertical="center"/>
    </xf>
    <xf numFmtId="0" fontId="14" fillId="12" borderId="9" xfId="23" applyNumberFormat="1" applyBorder="1">
      <alignment horizontal="center" vertical="center"/>
    </xf>
    <xf numFmtId="16" fontId="4" fillId="0" borderId="0" xfId="6" applyNumberFormat="1" applyBorder="1">
      <alignment horizontal="center" vertical="center"/>
    </xf>
    <xf numFmtId="18" fontId="4" fillId="0" borderId="0" xfId="6" applyNumberFormat="1" applyBorder="1">
      <alignment horizontal="center" vertical="center"/>
    </xf>
    <xf numFmtId="0" fontId="4" fillId="0" borderId="0" xfId="8" applyNumberFormat="1" applyFill="1" applyBorder="1">
      <alignment horizontal="center" vertical="center"/>
    </xf>
    <xf numFmtId="165" fontId="4" fillId="0" borderId="3" xfId="24" applyNumberFormat="1" applyBorder="1">
      <alignment horizontal="center" vertical="center"/>
    </xf>
    <xf numFmtId="18" fontId="6" fillId="19" borderId="3" xfId="19" applyFill="1">
      <alignment horizontal="center" vertical="center"/>
    </xf>
    <xf numFmtId="0" fontId="7" fillId="12" borderId="3" xfId="22" applyNumberFormat="1">
      <alignment horizontal="center" vertical="center"/>
    </xf>
    <xf numFmtId="0" fontId="3" fillId="0" borderId="21" xfId="25" applyFont="1" applyBorder="1" applyAlignment="1">
      <alignment horizontal="center" vertical="center"/>
    </xf>
    <xf numFmtId="0" fontId="8" fillId="0" borderId="0" xfId="25" applyFont="1" applyAlignment="1">
      <alignment horizontal="center" vertical="center"/>
    </xf>
    <xf numFmtId="0" fontId="1" fillId="0" borderId="0" xfId="25"/>
    <xf numFmtId="164" fontId="8" fillId="0" borderId="0" xfId="25" applyNumberFormat="1" applyFont="1" applyAlignment="1">
      <alignment horizontal="center" vertical="center"/>
    </xf>
    <xf numFmtId="0" fontId="13" fillId="0" borderId="0" xfId="25" applyFont="1" applyAlignment="1">
      <alignment horizontal="center" vertical="center"/>
    </xf>
    <xf numFmtId="1" fontId="8" fillId="0" borderId="0" xfId="25" applyNumberFormat="1" applyFont="1" applyAlignment="1">
      <alignment horizontal="center" vertical="center"/>
    </xf>
    <xf numFmtId="0" fontId="13" fillId="0" borderId="0" xfId="25" applyFont="1"/>
    <xf numFmtId="0" fontId="18" fillId="0" borderId="0" xfId="25" applyFont="1" applyAlignment="1">
      <alignment horizontal="center"/>
    </xf>
    <xf numFmtId="0" fontId="13" fillId="0" borderId="6" xfId="25" applyFont="1" applyBorder="1" applyAlignment="1">
      <alignment horizontal="center"/>
    </xf>
    <xf numFmtId="18" fontId="13" fillId="0" borderId="0" xfId="25" applyNumberFormat="1" applyFont="1" applyAlignment="1">
      <alignment horizontal="center"/>
    </xf>
    <xf numFmtId="0" fontId="19" fillId="20" borderId="6" xfId="25" applyFont="1" applyFill="1" applyBorder="1" applyAlignment="1">
      <alignment horizontal="center"/>
    </xf>
    <xf numFmtId="0" fontId="18" fillId="0" borderId="22" xfId="25" applyFont="1" applyBorder="1" applyAlignment="1">
      <alignment horizontal="center"/>
    </xf>
    <xf numFmtId="14" fontId="8" fillId="0" borderId="0" xfId="25" applyNumberFormat="1" applyFont="1" applyAlignment="1">
      <alignment horizontal="center" vertical="center"/>
    </xf>
    <xf numFmtId="167" fontId="8" fillId="0" borderId="0" xfId="25" applyNumberFormat="1" applyFont="1" applyAlignment="1">
      <alignment horizontal="center" vertical="center"/>
    </xf>
    <xf numFmtId="0" fontId="3" fillId="0" borderId="11" xfId="25" applyFont="1" applyBorder="1" applyAlignment="1">
      <alignment horizontal="center" vertical="center"/>
    </xf>
    <xf numFmtId="168" fontId="8" fillId="0" borderId="6" xfId="25" applyNumberFormat="1" applyFont="1" applyBorder="1" applyAlignment="1">
      <alignment horizontal="center"/>
    </xf>
    <xf numFmtId="18" fontId="8" fillId="0" borderId="6" xfId="25" applyNumberFormat="1" applyFont="1" applyBorder="1" applyAlignment="1">
      <alignment horizontal="center"/>
    </xf>
    <xf numFmtId="0" fontId="8" fillId="0" borderId="6" xfId="25" applyFont="1" applyBorder="1" applyAlignment="1">
      <alignment horizontal="center" vertical="center"/>
    </xf>
    <xf numFmtId="0" fontId="8" fillId="0" borderId="6" xfId="25" applyFont="1" applyBorder="1" applyAlignment="1">
      <alignment horizontal="center"/>
    </xf>
    <xf numFmtId="18" fontId="19" fillId="20" borderId="6" xfId="25" applyNumberFormat="1" applyFont="1" applyFill="1" applyBorder="1" applyAlignment="1">
      <alignment horizontal="center"/>
    </xf>
    <xf numFmtId="0" fontId="20" fillId="0" borderId="6" xfId="25" applyFont="1" applyBorder="1" applyAlignment="1">
      <alignment horizontal="center" vertical="center"/>
    </xf>
    <xf numFmtId="0" fontId="13" fillId="0" borderId="6" xfId="25" applyFont="1" applyBorder="1" applyAlignment="1">
      <alignment horizontal="center" vertical="center"/>
    </xf>
    <xf numFmtId="0" fontId="8" fillId="0" borderId="0" xfId="25" applyFont="1" applyAlignment="1">
      <alignment horizontal="center"/>
    </xf>
    <xf numFmtId="18" fontId="8" fillId="0" borderId="0" xfId="25" applyNumberFormat="1" applyFont="1" applyAlignment="1">
      <alignment horizontal="center"/>
    </xf>
    <xf numFmtId="168" fontId="13" fillId="0" borderId="0" xfId="25" applyNumberFormat="1" applyFont="1" applyAlignment="1">
      <alignment horizontal="center"/>
    </xf>
    <xf numFmtId="0" fontId="13" fillId="0" borderId="0" xfId="25" applyFont="1" applyAlignment="1">
      <alignment horizontal="center"/>
    </xf>
    <xf numFmtId="18" fontId="3" fillId="21" borderId="6" xfId="25" applyNumberFormat="1" applyFont="1" applyFill="1" applyBorder="1" applyAlignment="1">
      <alignment horizontal="center"/>
    </xf>
    <xf numFmtId="0" fontId="3" fillId="21" borderId="6" xfId="25" applyFont="1" applyFill="1" applyBorder="1" applyAlignment="1">
      <alignment horizontal="center"/>
    </xf>
    <xf numFmtId="18" fontId="8" fillId="22" borderId="6" xfId="25" applyNumberFormat="1" applyFont="1" applyFill="1" applyBorder="1" applyAlignment="1">
      <alignment horizontal="center" vertical="center"/>
    </xf>
    <xf numFmtId="0" fontId="8" fillId="22" borderId="6" xfId="25" applyFont="1" applyFill="1" applyBorder="1" applyAlignment="1">
      <alignment horizontal="center" vertical="center"/>
    </xf>
    <xf numFmtId="168" fontId="8" fillId="21" borderId="6" xfId="25" applyNumberFormat="1" applyFont="1" applyFill="1" applyBorder="1" applyAlignment="1">
      <alignment horizontal="center" vertical="center"/>
    </xf>
    <xf numFmtId="18" fontId="8" fillId="21" borderId="6" xfId="25" applyNumberFormat="1" applyFont="1" applyFill="1" applyBorder="1" applyAlignment="1">
      <alignment horizontal="center" vertical="center"/>
    </xf>
    <xf numFmtId="0" fontId="8" fillId="21" borderId="6" xfId="25" applyFont="1" applyFill="1" applyBorder="1" applyAlignment="1">
      <alignment horizontal="center" vertical="center"/>
    </xf>
    <xf numFmtId="168" fontId="8" fillId="22" borderId="6" xfId="25" applyNumberFormat="1" applyFont="1" applyFill="1" applyBorder="1" applyAlignment="1">
      <alignment horizontal="center" vertical="center"/>
    </xf>
    <xf numFmtId="0" fontId="10" fillId="0" borderId="0" xfId="25" applyFont="1"/>
    <xf numFmtId="167" fontId="8" fillId="21" borderId="6" xfId="25" applyNumberFormat="1" applyFont="1" applyFill="1" applyBorder="1" applyAlignment="1">
      <alignment horizontal="center" vertical="center"/>
    </xf>
    <xf numFmtId="0" fontId="21" fillId="23" borderId="6" xfId="25" applyFont="1" applyFill="1" applyBorder="1" applyAlignment="1">
      <alignment horizontal="center" vertical="center"/>
    </xf>
    <xf numFmtId="0" fontId="13" fillId="22" borderId="6" xfId="25" applyFont="1" applyFill="1" applyBorder="1" applyAlignment="1">
      <alignment horizontal="center"/>
    </xf>
    <xf numFmtId="18" fontId="13" fillId="22" borderId="6" xfId="25" applyNumberFormat="1" applyFont="1" applyFill="1" applyBorder="1" applyAlignment="1">
      <alignment horizontal="center"/>
    </xf>
    <xf numFmtId="0" fontId="22" fillId="22" borderId="6" xfId="25" applyFont="1" applyFill="1" applyBorder="1" applyAlignment="1">
      <alignment horizontal="center" vertical="center"/>
    </xf>
    <xf numFmtId="0" fontId="6" fillId="24" borderId="6" xfId="25" applyFont="1" applyFill="1" applyBorder="1" applyAlignment="1">
      <alignment horizontal="center" vertical="center"/>
    </xf>
    <xf numFmtId="167" fontId="6" fillId="24" borderId="6" xfId="25" applyNumberFormat="1" applyFont="1" applyFill="1" applyBorder="1" applyAlignment="1">
      <alignment horizontal="center" vertical="center"/>
    </xf>
    <xf numFmtId="0" fontId="23" fillId="0" borderId="22" xfId="25" applyFont="1" applyBorder="1" applyAlignment="1">
      <alignment horizontal="center" vertical="center"/>
    </xf>
    <xf numFmtId="0" fontId="3" fillId="0" borderId="22" xfId="25" applyFont="1" applyBorder="1" applyAlignment="1">
      <alignment horizontal="center" vertical="center"/>
    </xf>
    <xf numFmtId="0" fontId="23" fillId="0" borderId="0" xfId="25" applyFont="1" applyAlignment="1">
      <alignment horizontal="center" vertical="center"/>
    </xf>
    <xf numFmtId="0" fontId="3" fillId="0" borderId="11" xfId="25" applyFont="1" applyBorder="1" applyAlignment="1">
      <alignment horizontal="center" vertical="center" wrapText="1"/>
    </xf>
    <xf numFmtId="18" fontId="3" fillId="25" borderId="6" xfId="25" applyNumberFormat="1" applyFont="1" applyFill="1" applyBorder="1" applyAlignment="1">
      <alignment horizontal="center" vertical="center"/>
    </xf>
    <xf numFmtId="0" fontId="7" fillId="20" borderId="6" xfId="25" applyFont="1" applyFill="1" applyBorder="1" applyAlignment="1">
      <alignment horizontal="center" vertical="center"/>
    </xf>
    <xf numFmtId="0" fontId="18" fillId="0" borderId="11" xfId="25" applyFont="1" applyBorder="1" applyAlignment="1">
      <alignment horizontal="center" vertical="center"/>
    </xf>
    <xf numFmtId="0" fontId="3" fillId="25" borderId="6" xfId="25" applyFont="1" applyFill="1" applyBorder="1" applyAlignment="1">
      <alignment horizontal="center" vertical="center"/>
    </xf>
    <xf numFmtId="16" fontId="8" fillId="0" borderId="6" xfId="25" applyNumberFormat="1" applyFont="1" applyBorder="1" applyAlignment="1">
      <alignment horizontal="center" vertical="center"/>
    </xf>
    <xf numFmtId="18" fontId="8" fillId="0" borderId="6" xfId="25" applyNumberFormat="1" applyFont="1" applyBorder="1" applyAlignment="1">
      <alignment horizontal="center" vertical="center"/>
    </xf>
    <xf numFmtId="1" fontId="8" fillId="0" borderId="6" xfId="25" applyNumberFormat="1" applyFont="1" applyBorder="1" applyAlignment="1">
      <alignment horizontal="center" vertical="center"/>
    </xf>
    <xf numFmtId="16" fontId="8" fillId="0" borderId="0" xfId="25" applyNumberFormat="1" applyFont="1" applyAlignment="1">
      <alignment horizontal="center" vertical="center"/>
    </xf>
    <xf numFmtId="16" fontId="13" fillId="0" borderId="0" xfId="25" applyNumberFormat="1" applyFont="1" applyAlignment="1">
      <alignment horizontal="center" vertical="center"/>
    </xf>
    <xf numFmtId="18" fontId="8" fillId="0" borderId="0" xfId="25" applyNumberFormat="1" applyFont="1" applyAlignment="1">
      <alignment horizontal="center" vertical="center"/>
    </xf>
    <xf numFmtId="1" fontId="13" fillId="0" borderId="0" xfId="25" applyNumberFormat="1" applyFont="1" applyAlignment="1">
      <alignment horizontal="center" vertical="center"/>
    </xf>
    <xf numFmtId="18" fontId="22" fillId="20" borderId="6" xfId="25" applyNumberFormat="1" applyFont="1" applyFill="1" applyBorder="1" applyAlignment="1">
      <alignment horizontal="center"/>
    </xf>
    <xf numFmtId="0" fontId="18" fillId="0" borderId="0" xfId="25" applyFont="1" applyAlignment="1">
      <alignment horizontal="center" vertical="center"/>
    </xf>
    <xf numFmtId="166" fontId="8" fillId="0" borderId="6" xfId="25" applyNumberFormat="1" applyFont="1" applyBorder="1" applyAlignment="1">
      <alignment horizontal="center" vertical="center"/>
    </xf>
    <xf numFmtId="0" fontId="18" fillId="0" borderId="22" xfId="25" applyFont="1" applyBorder="1" applyAlignment="1">
      <alignment horizontal="center" vertical="center"/>
    </xf>
    <xf numFmtId="1" fontId="18" fillId="0" borderId="22" xfId="25" applyNumberFormat="1" applyFont="1" applyBorder="1" applyAlignment="1">
      <alignment horizontal="center" vertical="center"/>
    </xf>
    <xf numFmtId="0" fontId="3" fillId="26" borderId="6" xfId="25" applyFont="1" applyFill="1" applyBorder="1" applyAlignment="1">
      <alignment horizontal="center" vertical="center"/>
    </xf>
    <xf numFmtId="0" fontId="3" fillId="22" borderId="6" xfId="25" applyFont="1" applyFill="1" applyBorder="1" applyAlignment="1">
      <alignment horizontal="center" vertical="center"/>
    </xf>
    <xf numFmtId="0" fontId="8" fillId="27" borderId="6" xfId="25" applyFont="1" applyFill="1" applyBorder="1" applyAlignment="1">
      <alignment horizontal="center" vertical="center"/>
    </xf>
    <xf numFmtId="1" fontId="8" fillId="22" borderId="6" xfId="25" applyNumberFormat="1" applyFont="1" applyFill="1" applyBorder="1" applyAlignment="1">
      <alignment horizontal="center" vertical="center"/>
    </xf>
    <xf numFmtId="1" fontId="8" fillId="27" borderId="6" xfId="25" applyNumberFormat="1" applyFont="1" applyFill="1" applyBorder="1" applyAlignment="1">
      <alignment horizontal="center" vertical="center"/>
    </xf>
    <xf numFmtId="0" fontId="8" fillId="22" borderId="12" xfId="25" applyFont="1" applyFill="1" applyBorder="1" applyAlignment="1">
      <alignment horizontal="center" vertical="center"/>
    </xf>
    <xf numFmtId="0" fontId="8" fillId="0" borderId="15" xfId="25" applyFont="1" applyBorder="1" applyAlignment="1">
      <alignment horizontal="center" vertical="center"/>
    </xf>
    <xf numFmtId="0" fontId="8" fillId="22" borderId="23" xfId="25" applyFont="1" applyFill="1" applyBorder="1" applyAlignment="1">
      <alignment horizontal="center" vertical="center"/>
    </xf>
    <xf numFmtId="0" fontId="8" fillId="22" borderId="17" xfId="25" applyFont="1" applyFill="1" applyBorder="1" applyAlignment="1">
      <alignment horizontal="center" vertical="center"/>
    </xf>
    <xf numFmtId="0" fontId="8" fillId="0" borderId="23" xfId="25" applyFont="1" applyBorder="1" applyAlignment="1">
      <alignment horizontal="center" vertical="center"/>
    </xf>
    <xf numFmtId="167" fontId="8" fillId="0" borderId="6" xfId="25" applyNumberFormat="1" applyFont="1" applyBorder="1" applyAlignment="1">
      <alignment horizontal="center" vertical="center"/>
    </xf>
    <xf numFmtId="0" fontId="24" fillId="0" borderId="6" xfId="25" applyFont="1" applyBorder="1" applyAlignment="1">
      <alignment horizontal="center" vertical="center"/>
    </xf>
    <xf numFmtId="0" fontId="24" fillId="0" borderId="12" xfId="25" applyFont="1" applyBorder="1" applyAlignment="1">
      <alignment horizontal="center" vertical="center"/>
    </xf>
    <xf numFmtId="0" fontId="24" fillId="0" borderId="0" xfId="25" applyFont="1" applyAlignment="1">
      <alignment horizontal="center" vertical="center"/>
    </xf>
    <xf numFmtId="0" fontId="8" fillId="22" borderId="15" xfId="25" applyFont="1" applyFill="1" applyBorder="1" applyAlignment="1">
      <alignment horizontal="center" vertical="center"/>
    </xf>
    <xf numFmtId="0" fontId="24" fillId="0" borderId="24" xfId="25" applyFont="1" applyBorder="1" applyAlignment="1">
      <alignment horizontal="center" vertical="center"/>
    </xf>
    <xf numFmtId="0" fontId="24" fillId="0" borderId="17" xfId="25" applyFont="1" applyBorder="1" applyAlignment="1">
      <alignment horizontal="center" vertical="center"/>
    </xf>
    <xf numFmtId="0" fontId="8" fillId="27" borderId="12" xfId="25" applyFont="1" applyFill="1" applyBorder="1" applyAlignment="1">
      <alignment horizontal="center" vertical="center"/>
    </xf>
    <xf numFmtId="0" fontId="8" fillId="27" borderId="15" xfId="25" applyFont="1" applyFill="1" applyBorder="1" applyAlignment="1">
      <alignment horizontal="center" vertical="center"/>
    </xf>
    <xf numFmtId="0" fontId="8" fillId="27" borderId="25" xfId="25" applyFont="1" applyFill="1" applyBorder="1" applyAlignment="1">
      <alignment horizontal="center" vertical="center"/>
    </xf>
    <xf numFmtId="0" fontId="8" fillId="22" borderId="16" xfId="25" applyFont="1" applyFill="1" applyBorder="1" applyAlignment="1">
      <alignment horizontal="center" vertical="center"/>
    </xf>
    <xf numFmtId="0" fontId="13" fillId="0" borderId="17" xfId="25" applyFont="1" applyBorder="1" applyAlignment="1">
      <alignment horizontal="center"/>
    </xf>
    <xf numFmtId="18" fontId="7" fillId="28" borderId="6" xfId="25" applyNumberFormat="1" applyFont="1" applyFill="1" applyBorder="1" applyAlignment="1">
      <alignment horizontal="center" vertical="center"/>
    </xf>
    <xf numFmtId="0" fontId="7" fillId="28" borderId="6" xfId="25" applyFont="1" applyFill="1" applyBorder="1" applyAlignment="1">
      <alignment horizontal="center" vertical="center"/>
    </xf>
    <xf numFmtId="0" fontId="7" fillId="28" borderId="12" xfId="25" applyFont="1" applyFill="1" applyBorder="1" applyAlignment="1">
      <alignment horizontal="center" vertical="center"/>
    </xf>
    <xf numFmtId="1" fontId="8" fillId="27" borderId="23" xfId="25" applyNumberFormat="1" applyFont="1" applyFill="1" applyBorder="1" applyAlignment="1">
      <alignment horizontal="center" vertical="center"/>
    </xf>
    <xf numFmtId="1" fontId="8" fillId="22" borderId="15" xfId="25" applyNumberFormat="1" applyFont="1" applyFill="1" applyBorder="1" applyAlignment="1">
      <alignment horizontal="center" vertical="center"/>
    </xf>
    <xf numFmtId="1" fontId="8" fillId="22" borderId="23" xfId="25" applyNumberFormat="1" applyFont="1" applyFill="1" applyBorder="1" applyAlignment="1">
      <alignment horizontal="center" vertical="center"/>
    </xf>
    <xf numFmtId="0" fontId="10" fillId="0" borderId="0" xfId="25" applyFont="1" applyAlignment="1">
      <alignment horizontal="center" vertical="center"/>
    </xf>
    <xf numFmtId="0" fontId="24" fillId="22" borderId="6" xfId="25" applyFont="1" applyFill="1" applyBorder="1" applyAlignment="1">
      <alignment horizontal="center" vertical="center"/>
    </xf>
    <xf numFmtId="16" fontId="8" fillId="0" borderId="15" xfId="25" applyNumberFormat="1" applyFont="1" applyBorder="1" applyAlignment="1">
      <alignment horizontal="center" vertical="center"/>
    </xf>
    <xf numFmtId="0" fontId="9" fillId="0" borderId="0" xfId="27" applyFont="1" applyAlignment="1">
      <alignment horizontal="center" vertical="center"/>
    </xf>
    <xf numFmtId="0" fontId="23" fillId="0" borderId="10" xfId="10" applyFont="1">
      <alignment horizontal="center" vertical="center"/>
    </xf>
    <xf numFmtId="0" fontId="16" fillId="0" borderId="0" xfId="2" applyFont="1">
      <alignment horizontal="center" vertical="center"/>
    </xf>
    <xf numFmtId="0" fontId="23" fillId="0" borderId="0" xfId="28" applyFont="1" applyAlignment="1">
      <alignment horizontal="center" vertical="center"/>
    </xf>
    <xf numFmtId="0" fontId="9" fillId="0" borderId="0" xfId="27" applyFont="1"/>
    <xf numFmtId="0" fontId="9" fillId="0" borderId="3" xfId="30" applyFont="1">
      <alignment horizontal="center"/>
    </xf>
    <xf numFmtId="0" fontId="10" fillId="0" borderId="3" xfId="30" applyFont="1">
      <alignment horizontal="center"/>
    </xf>
    <xf numFmtId="18" fontId="9" fillId="0" borderId="0" xfId="31" applyNumberFormat="1" applyFont="1">
      <alignment horizontal="center" vertical="center"/>
    </xf>
    <xf numFmtId="0" fontId="17" fillId="11" borderId="3" xfId="32" applyNumberFormat="1" applyFont="1">
      <alignment horizontal="center"/>
    </xf>
    <xf numFmtId="0" fontId="16" fillId="0" borderId="10" xfId="33" applyFont="1">
      <alignment horizontal="center"/>
    </xf>
    <xf numFmtId="0" fontId="16" fillId="0" borderId="10" xfId="33" applyNumberFormat="1" applyFont="1">
      <alignment horizontal="center"/>
    </xf>
    <xf numFmtId="18" fontId="16" fillId="0" borderId="10" xfId="33" applyNumberFormat="1" applyFont="1">
      <alignment horizontal="center"/>
    </xf>
    <xf numFmtId="0" fontId="9" fillId="0" borderId="0" xfId="27" applyFont="1" applyAlignment="1">
      <alignment horizontal="center"/>
    </xf>
    <xf numFmtId="164" fontId="4" fillId="0" borderId="0" xfId="34" applyNumberFormat="1">
      <alignment horizontal="center" vertical="center"/>
    </xf>
    <xf numFmtId="0" fontId="6" fillId="0" borderId="2" xfId="3" applyAlignment="1">
      <alignment horizontal="center" vertical="center"/>
    </xf>
    <xf numFmtId="169" fontId="4" fillId="0" borderId="3" xfId="35" applyNumberFormat="1" applyFont="1">
      <alignment horizontal="center"/>
    </xf>
    <xf numFmtId="18" fontId="4" fillId="0" borderId="3" xfId="35" applyNumberFormat="1" applyFont="1">
      <alignment horizontal="center"/>
    </xf>
    <xf numFmtId="0" fontId="4" fillId="0" borderId="3" xfId="35" applyFont="1">
      <alignment horizontal="center"/>
    </xf>
    <xf numFmtId="0" fontId="4" fillId="0" borderId="3" xfId="35" applyNumberFormat="1" applyFont="1">
      <alignment horizontal="center"/>
    </xf>
    <xf numFmtId="0" fontId="4" fillId="0" borderId="0" xfId="34">
      <alignment horizontal="center" vertical="center"/>
    </xf>
    <xf numFmtId="18" fontId="8" fillId="0" borderId="3" xfId="35" applyNumberFormat="1" applyFont="1">
      <alignment horizontal="center"/>
    </xf>
    <xf numFmtId="0" fontId="4" fillId="0" borderId="3" xfId="27" applyFont="1" applyBorder="1" applyAlignment="1">
      <alignment horizontal="center" vertical="center"/>
    </xf>
    <xf numFmtId="18" fontId="22" fillId="3" borderId="3" xfId="35" applyNumberFormat="1" applyFont="1" applyFill="1">
      <alignment horizontal="center"/>
    </xf>
    <xf numFmtId="170" fontId="4" fillId="0" borderId="0" xfId="34" applyNumberFormat="1">
      <alignment horizontal="center" vertical="center"/>
    </xf>
    <xf numFmtId="165" fontId="4" fillId="0" borderId="0" xfId="34" applyNumberFormat="1">
      <alignment horizontal="center" vertical="center"/>
    </xf>
    <xf numFmtId="18" fontId="10" fillId="0" borderId="3" xfId="35" applyNumberFormat="1" applyFont="1">
      <alignment horizontal="center"/>
    </xf>
    <xf numFmtId="0" fontId="10" fillId="0" borderId="0" xfId="27" applyFont="1" applyAlignment="1">
      <alignment horizontal="center" vertical="center"/>
    </xf>
    <xf numFmtId="18" fontId="4" fillId="0" borderId="4" xfId="35" applyNumberFormat="1" applyFont="1" applyBorder="1">
      <alignment horizontal="center"/>
    </xf>
    <xf numFmtId="0" fontId="4" fillId="0" borderId="4" xfId="35" applyNumberFormat="1" applyFont="1" applyBorder="1">
      <alignment horizontal="center"/>
    </xf>
    <xf numFmtId="0" fontId="4" fillId="0" borderId="4" xfId="35" applyFont="1" applyBorder="1">
      <alignment horizontal="center"/>
    </xf>
    <xf numFmtId="0" fontId="4" fillId="0" borderId="5" xfId="35" applyFont="1" applyBorder="1">
      <alignment horizontal="center"/>
    </xf>
    <xf numFmtId="0" fontId="4" fillId="0" borderId="6" xfId="34" applyBorder="1">
      <alignment horizontal="center" vertical="center"/>
    </xf>
    <xf numFmtId="0" fontId="4" fillId="0" borderId="19" xfId="34" applyBorder="1">
      <alignment horizontal="center" vertical="center"/>
    </xf>
    <xf numFmtId="0" fontId="4" fillId="0" borderId="12" xfId="34" applyBorder="1">
      <alignment horizontal="center" vertical="center"/>
    </xf>
    <xf numFmtId="18" fontId="4" fillId="0" borderId="9" xfId="35" applyNumberFormat="1" applyFont="1" applyBorder="1">
      <alignment horizontal="center"/>
    </xf>
    <xf numFmtId="0" fontId="4" fillId="0" borderId="9" xfId="35" applyNumberFormat="1" applyFont="1" applyBorder="1">
      <alignment horizontal="center"/>
    </xf>
    <xf numFmtId="0" fontId="4" fillId="0" borderId="20" xfId="35" applyNumberFormat="1" applyFont="1" applyBorder="1">
      <alignment horizontal="center"/>
    </xf>
    <xf numFmtId="0" fontId="4" fillId="0" borderId="6" xfId="35" applyFont="1" applyBorder="1">
      <alignment horizontal="center"/>
    </xf>
    <xf numFmtId="0" fontId="4" fillId="0" borderId="26" xfId="35" applyNumberFormat="1" applyFont="1" applyBorder="1">
      <alignment horizontal="center"/>
    </xf>
    <xf numFmtId="0" fontId="4" fillId="0" borderId="5" xfId="35" applyNumberFormat="1" applyFont="1" applyBorder="1">
      <alignment horizontal="center"/>
    </xf>
    <xf numFmtId="0" fontId="4" fillId="0" borderId="7" xfId="35" applyNumberFormat="1" applyFont="1" applyBorder="1">
      <alignment horizontal="center"/>
    </xf>
    <xf numFmtId="18" fontId="17" fillId="11" borderId="3" xfId="32" applyFont="1">
      <alignment horizontal="center"/>
    </xf>
    <xf numFmtId="169" fontId="9" fillId="0" borderId="0" xfId="31" applyNumberFormat="1" applyFont="1">
      <alignment horizontal="center" vertical="center"/>
    </xf>
    <xf numFmtId="0" fontId="9" fillId="0" borderId="0" xfId="31" applyFont="1">
      <alignment horizontal="center" vertical="center"/>
    </xf>
    <xf numFmtId="0" fontId="9" fillId="0" borderId="0" xfId="31" applyNumberFormat="1" applyFont="1">
      <alignment horizontal="center" vertical="center"/>
    </xf>
    <xf numFmtId="0" fontId="0" fillId="0" borderId="0" xfId="34" applyFont="1">
      <alignment horizontal="center" vertical="center"/>
    </xf>
    <xf numFmtId="0" fontId="16" fillId="0" borderId="2" xfId="1" applyFont="1" applyBorder="1">
      <alignment horizontal="center" vertical="center"/>
    </xf>
    <xf numFmtId="0" fontId="16" fillId="0" borderId="0" xfId="36" applyFont="1">
      <alignment horizontal="center"/>
    </xf>
    <xf numFmtId="18" fontId="6" fillId="30" borderId="3" xfId="37" applyFont="1">
      <alignment horizontal="center"/>
    </xf>
    <xf numFmtId="0" fontId="6" fillId="30" borderId="3" xfId="37" applyNumberFormat="1" applyFont="1">
      <alignment horizontal="center"/>
    </xf>
    <xf numFmtId="165" fontId="6" fillId="6" borderId="3" xfId="38" applyNumberFormat="1">
      <alignment horizontal="center" vertical="center"/>
    </xf>
    <xf numFmtId="0" fontId="13" fillId="0" borderId="3" xfId="30" applyFont="1">
      <alignment horizontal="center"/>
    </xf>
    <xf numFmtId="169" fontId="4" fillId="0" borderId="3" xfId="39" applyNumberFormat="1" applyFont="1" applyFill="1">
      <alignment horizontal="center"/>
    </xf>
    <xf numFmtId="0" fontId="4" fillId="0" borderId="3" xfId="39" applyNumberFormat="1" applyFont="1" applyFill="1">
      <alignment horizontal="center"/>
    </xf>
    <xf numFmtId="0" fontId="4" fillId="0" borderId="3" xfId="40" applyNumberFormat="1" applyFont="1" applyFill="1">
      <alignment horizontal="center" vertical="center"/>
    </xf>
    <xf numFmtId="18" fontId="4" fillId="0" borderId="3" xfId="39" applyFont="1" applyFill="1">
      <alignment horizontal="center"/>
    </xf>
    <xf numFmtId="18" fontId="4" fillId="0" borderId="3" xfId="40" applyFont="1" applyFill="1">
      <alignment horizontal="center" vertical="center"/>
    </xf>
    <xf numFmtId="0" fontId="31" fillId="0" borderId="3" xfId="39" applyNumberFormat="1" applyFont="1" applyFill="1">
      <alignment horizontal="center"/>
    </xf>
    <xf numFmtId="0" fontId="32" fillId="0" borderId="0" xfId="27" applyFont="1" applyAlignment="1">
      <alignment horizontal="center" vertical="center"/>
    </xf>
    <xf numFmtId="165" fontId="8" fillId="0" borderId="3" xfId="5" applyNumberFormat="1">
      <alignment horizontal="center" vertical="center"/>
    </xf>
    <xf numFmtId="0" fontId="5" fillId="0" borderId="3" xfId="39" applyNumberFormat="1" applyFont="1" applyFill="1">
      <alignment horizontal="center"/>
    </xf>
    <xf numFmtId="170" fontId="0" fillId="0" borderId="0" xfId="34" applyNumberFormat="1" applyFont="1">
      <alignment horizontal="center" vertical="center"/>
    </xf>
    <xf numFmtId="165" fontId="0" fillId="0" borderId="0" xfId="34" applyNumberFormat="1" applyFont="1">
      <alignment horizontal="center" vertical="center"/>
    </xf>
    <xf numFmtId="0" fontId="0" fillId="0" borderId="3" xfId="40" applyNumberFormat="1" applyFont="1" applyFill="1">
      <alignment horizontal="center" vertical="center"/>
    </xf>
    <xf numFmtId="169" fontId="4" fillId="0" borderId="3" xfId="40" applyNumberFormat="1" applyFont="1" applyFill="1">
      <alignment horizontal="center" vertical="center"/>
    </xf>
    <xf numFmtId="0" fontId="8" fillId="0" borderId="3" xfId="41" applyNumberFormat="1" applyFont="1" applyFill="1">
      <alignment horizontal="center" vertical="center"/>
    </xf>
    <xf numFmtId="0" fontId="8" fillId="0" borderId="3" xfId="40" applyNumberFormat="1" applyFont="1" applyFill="1">
      <alignment horizontal="center" vertical="center"/>
    </xf>
    <xf numFmtId="0" fontId="4" fillId="0" borderId="3" xfId="41" applyNumberFormat="1" applyFont="1" applyFill="1">
      <alignment horizontal="center" vertical="center"/>
    </xf>
    <xf numFmtId="0" fontId="4" fillId="5" borderId="9" xfId="8" applyNumberFormat="1" applyBorder="1">
      <alignment horizontal="center" vertical="center"/>
    </xf>
    <xf numFmtId="0" fontId="4" fillId="0" borderId="3" xfId="8" applyNumberFormat="1" applyFill="1">
      <alignment horizontal="center" vertical="center"/>
    </xf>
    <xf numFmtId="0" fontId="4" fillId="0" borderId="12" xfId="2" applyBorder="1">
      <alignment horizontal="center" vertical="center"/>
    </xf>
    <xf numFmtId="0" fontId="4" fillId="0" borderId="4" xfId="8" applyNumberFormat="1" applyFill="1" applyBorder="1">
      <alignment horizontal="center" vertical="center"/>
    </xf>
    <xf numFmtId="0" fontId="4" fillId="0" borderId="19" xfId="8" applyNumberFormat="1" applyFill="1" applyBorder="1">
      <alignment horizontal="center" vertical="center"/>
    </xf>
    <xf numFmtId="0" fontId="4" fillId="0" borderId="6" xfId="8" applyNumberFormat="1" applyFill="1" applyBorder="1">
      <alignment horizontal="center" vertical="center"/>
    </xf>
    <xf numFmtId="0" fontId="4" fillId="0" borderId="17" xfId="8" applyNumberFormat="1" applyFill="1" applyBorder="1">
      <alignment horizontal="center" vertical="center"/>
    </xf>
    <xf numFmtId="0" fontId="4" fillId="0" borderId="9" xfId="8" applyNumberFormat="1" applyFill="1" applyBorder="1">
      <alignment horizontal="center" vertical="center"/>
    </xf>
    <xf numFmtId="0" fontId="8" fillId="0" borderId="3" xfId="8" applyNumberFormat="1" applyFont="1" applyFill="1">
      <alignment horizontal="center" vertical="center"/>
    </xf>
    <xf numFmtId="0" fontId="10" fillId="0" borderId="3" xfId="35" applyNumberFormat="1" applyFont="1">
      <alignment horizontal="center"/>
    </xf>
    <xf numFmtId="0" fontId="4" fillId="0" borderId="3" xfId="30" applyFont="1">
      <alignment horizontal="center"/>
    </xf>
    <xf numFmtId="0" fontId="6" fillId="10" borderId="3" xfId="29" applyFont="1" applyFill="1">
      <alignment horizontal="center" vertical="center"/>
    </xf>
    <xf numFmtId="165" fontId="7" fillId="12" borderId="3" xfId="22" applyNumberFormat="1">
      <alignment horizontal="center" vertical="center"/>
    </xf>
    <xf numFmtId="1" fontId="14" fillId="12" borderId="3" xfId="23" applyNumberFormat="1">
      <alignment horizontal="center" vertical="center"/>
    </xf>
    <xf numFmtId="0" fontId="6" fillId="34" borderId="6" xfId="25" applyFont="1" applyFill="1" applyBorder="1" applyAlignment="1">
      <alignment horizontal="center" vertical="center"/>
    </xf>
    <xf numFmtId="167" fontId="6" fillId="34" borderId="6" xfId="25" applyNumberFormat="1" applyFont="1" applyFill="1" applyBorder="1" applyAlignment="1">
      <alignment horizontal="center" vertical="center"/>
    </xf>
    <xf numFmtId="18" fontId="8" fillId="36" borderId="6" xfId="25" applyNumberFormat="1" applyFont="1" applyFill="1" applyBorder="1" applyAlignment="1">
      <alignment horizontal="center" vertical="center"/>
    </xf>
    <xf numFmtId="0" fontId="8" fillId="36" borderId="6" xfId="25" applyFont="1" applyFill="1" applyBorder="1" applyAlignment="1">
      <alignment horizontal="center" vertical="center"/>
    </xf>
    <xf numFmtId="168" fontId="14" fillId="36" borderId="6" xfId="25" applyNumberFormat="1" applyFont="1" applyFill="1" applyBorder="1" applyAlignment="1">
      <alignment horizontal="center" vertical="center"/>
    </xf>
    <xf numFmtId="18" fontId="14" fillId="36" borderId="6" xfId="25" applyNumberFormat="1" applyFont="1" applyFill="1" applyBorder="1" applyAlignment="1">
      <alignment horizontal="center" vertical="center"/>
    </xf>
    <xf numFmtId="0" fontId="14" fillId="36" borderId="6" xfId="25" applyFont="1" applyFill="1" applyBorder="1" applyAlignment="1">
      <alignment horizontal="center" vertical="center"/>
    </xf>
    <xf numFmtId="0" fontId="23" fillId="0" borderId="0" xfId="42" applyFont="1">
      <alignment horizontal="center" vertical="center"/>
    </xf>
    <xf numFmtId="0" fontId="19" fillId="39" borderId="3" xfId="2" applyFont="1" applyFill="1" applyBorder="1">
      <alignment horizontal="center" vertical="center"/>
    </xf>
    <xf numFmtId="1" fontId="9" fillId="0" borderId="0" xfId="2" applyNumberFormat="1" applyFont="1">
      <alignment horizontal="center" vertical="center"/>
    </xf>
    <xf numFmtId="0" fontId="10" fillId="0" borderId="3" xfId="6" applyNumberFormat="1" applyFont="1">
      <alignment horizontal="center" vertical="center"/>
    </xf>
    <xf numFmtId="0" fontId="13" fillId="0" borderId="3" xfId="13" applyNumberFormat="1" applyFont="1" applyFill="1">
      <alignment horizontal="center" vertical="center"/>
    </xf>
    <xf numFmtId="0" fontId="16" fillId="0" borderId="10" xfId="10" applyFont="1">
      <alignment horizontal="center" vertical="center"/>
    </xf>
    <xf numFmtId="1" fontId="16" fillId="0" borderId="10" xfId="10" applyNumberFormat="1" applyFont="1">
      <alignment horizontal="center" vertical="center"/>
    </xf>
    <xf numFmtId="0" fontId="16" fillId="0" borderId="0" xfId="1" applyFont="1" applyBorder="1">
      <alignment horizontal="center" vertical="center"/>
    </xf>
    <xf numFmtId="0" fontId="9" fillId="0" borderId="3" xfId="5" applyFont="1">
      <alignment horizontal="center" vertical="center"/>
    </xf>
    <xf numFmtId="0" fontId="9" fillId="0" borderId="27" xfId="5" applyFont="1" applyBorder="1">
      <alignment horizontal="center" vertical="center"/>
    </xf>
    <xf numFmtId="0" fontId="7" fillId="12" borderId="3" xfId="14" applyNumberFormat="1" applyFont="1">
      <alignment horizontal="center" vertical="center"/>
    </xf>
    <xf numFmtId="0" fontId="9" fillId="14" borderId="3" xfId="5" applyFont="1" applyFill="1">
      <alignment horizontal="center" vertical="center"/>
    </xf>
    <xf numFmtId="0" fontId="13" fillId="0" borderId="3" xfId="14" applyNumberFormat="1" applyFont="1" applyFill="1">
      <alignment horizontal="center" vertical="center"/>
    </xf>
    <xf numFmtId="1" fontId="3" fillId="0" borderId="22" xfId="25" applyNumberFormat="1" applyFont="1" applyBorder="1" applyAlignment="1">
      <alignment horizontal="center" vertical="center"/>
    </xf>
    <xf numFmtId="0" fontId="7" fillId="41" borderId="6" xfId="25" applyFont="1" applyFill="1" applyBorder="1" applyAlignment="1">
      <alignment horizontal="center" vertical="center"/>
    </xf>
    <xf numFmtId="1" fontId="7" fillId="41" borderId="6" xfId="25" applyNumberFormat="1" applyFont="1" applyFill="1" applyBorder="1" applyAlignment="1">
      <alignment horizontal="center" vertical="center"/>
    </xf>
    <xf numFmtId="1" fontId="8" fillId="0" borderId="12" xfId="25" applyNumberFormat="1" applyFont="1" applyBorder="1" applyAlignment="1">
      <alignment horizontal="center" vertical="center"/>
    </xf>
    <xf numFmtId="0" fontId="8" fillId="0" borderId="12" xfId="25" applyFont="1" applyBorder="1" applyAlignment="1">
      <alignment horizontal="center" vertical="center"/>
    </xf>
    <xf numFmtId="1" fontId="8" fillId="0" borderId="15" xfId="25" applyNumberFormat="1" applyFont="1" applyBorder="1" applyAlignment="1">
      <alignment horizontal="center" vertical="center"/>
    </xf>
    <xf numFmtId="1" fontId="8" fillId="0" borderId="23" xfId="25" applyNumberFormat="1" applyFont="1" applyBorder="1" applyAlignment="1">
      <alignment horizontal="center" vertical="center"/>
    </xf>
    <xf numFmtId="1" fontId="8" fillId="0" borderId="17" xfId="25" applyNumberFormat="1" applyFont="1" applyBorder="1" applyAlignment="1">
      <alignment horizontal="center" vertical="center"/>
    </xf>
    <xf numFmtId="0" fontId="8" fillId="0" borderId="17" xfId="25" applyFont="1" applyBorder="1" applyAlignment="1">
      <alignment horizontal="center" vertical="center"/>
    </xf>
    <xf numFmtId="168" fontId="8" fillId="0" borderId="6" xfId="25" applyNumberFormat="1" applyFont="1" applyBorder="1" applyAlignment="1">
      <alignment horizontal="center" vertical="center"/>
    </xf>
    <xf numFmtId="166" fontId="8" fillId="27" borderId="6" xfId="25" applyNumberFormat="1" applyFont="1" applyFill="1" applyBorder="1" applyAlignment="1">
      <alignment horizontal="center" vertical="center"/>
    </xf>
    <xf numFmtId="0" fontId="8" fillId="0" borderId="28" xfId="25" applyFont="1" applyBorder="1" applyAlignment="1">
      <alignment horizontal="center" vertical="center"/>
    </xf>
    <xf numFmtId="166" fontId="8" fillId="22" borderId="6" xfId="25" applyNumberFormat="1" applyFont="1" applyFill="1" applyBorder="1" applyAlignment="1">
      <alignment horizontal="center" vertical="center"/>
    </xf>
    <xf numFmtId="168" fontId="8" fillId="0" borderId="16" xfId="25" applyNumberFormat="1" applyFont="1" applyBorder="1" applyAlignment="1">
      <alignment horizontal="center" vertical="center"/>
    </xf>
    <xf numFmtId="0" fontId="8" fillId="0" borderId="16" xfId="25" applyFont="1" applyBorder="1" applyAlignment="1">
      <alignment horizontal="center" vertical="center"/>
    </xf>
    <xf numFmtId="18" fontId="10" fillId="0" borderId="6" xfId="25" applyNumberFormat="1" applyFont="1" applyBorder="1" applyAlignment="1">
      <alignment horizontal="center" vertical="center"/>
    </xf>
    <xf numFmtId="0" fontId="7" fillId="41" borderId="12" xfId="25" applyFont="1" applyFill="1" applyBorder="1" applyAlignment="1">
      <alignment horizontal="center" vertical="center"/>
    </xf>
    <xf numFmtId="1" fontId="7" fillId="41" borderId="12" xfId="25" applyNumberFormat="1" applyFont="1" applyFill="1" applyBorder="1" applyAlignment="1">
      <alignment horizontal="center" vertical="center"/>
    </xf>
    <xf numFmtId="166" fontId="8" fillId="22" borderId="17" xfId="25" applyNumberFormat="1" applyFont="1" applyFill="1" applyBorder="1" applyAlignment="1">
      <alignment horizontal="center" vertical="center"/>
    </xf>
    <xf numFmtId="0" fontId="3" fillId="9" borderId="14" xfId="12" applyFont="1">
      <alignment horizontal="center" vertical="center"/>
    </xf>
    <xf numFmtId="0" fontId="3" fillId="0" borderId="3" xfId="0" applyFont="1" applyBorder="1" applyAlignment="1">
      <alignment horizontal="center" vertical="center"/>
    </xf>
    <xf numFmtId="18" fontId="3" fillId="0" borderId="3" xfId="0" applyNumberFormat="1" applyFont="1" applyBorder="1" applyAlignment="1">
      <alignment horizontal="center" vertical="center"/>
    </xf>
    <xf numFmtId="0" fontId="3" fillId="45" borderId="3" xfId="0" applyFont="1" applyFill="1" applyBorder="1" applyAlignment="1">
      <alignment horizontal="center" vertical="center"/>
    </xf>
    <xf numFmtId="0" fontId="35" fillId="0" borderId="3" xfId="0" applyFont="1" applyBorder="1" applyAlignment="1">
      <alignment horizontal="center" vertical="center"/>
    </xf>
    <xf numFmtId="15" fontId="35" fillId="0" borderId="3" xfId="0" applyNumberFormat="1" applyFont="1" applyBorder="1" applyAlignment="1">
      <alignment horizontal="center" vertical="center"/>
    </xf>
    <xf numFmtId="18" fontId="35" fillId="0" borderId="3" xfId="0" applyNumberFormat="1" applyFont="1" applyBorder="1" applyAlignment="1">
      <alignment horizontal="center" vertical="center"/>
    </xf>
    <xf numFmtId="0" fontId="35" fillId="45" borderId="3" xfId="0" applyFont="1" applyFill="1" applyBorder="1" applyAlignment="1">
      <alignment horizontal="center" vertical="center"/>
    </xf>
    <xf numFmtId="14" fontId="35" fillId="0" borderId="3" xfId="0" applyNumberFormat="1" applyFont="1" applyBorder="1" applyAlignment="1">
      <alignment horizontal="center" vertical="center"/>
    </xf>
    <xf numFmtId="0" fontId="3" fillId="14" borderId="3" xfId="0" applyFont="1" applyFill="1" applyBorder="1" applyAlignment="1">
      <alignment horizontal="center" vertical="center"/>
    </xf>
    <xf numFmtId="0" fontId="7" fillId="46" borderId="3" xfId="0" applyFont="1" applyFill="1" applyBorder="1" applyAlignment="1">
      <alignment horizontal="center" vertical="center"/>
    </xf>
    <xf numFmtId="0" fontId="7" fillId="47" borderId="3" xfId="0" applyFont="1" applyFill="1" applyBorder="1" applyAlignment="1">
      <alignment horizontal="center" vertical="center"/>
    </xf>
    <xf numFmtId="0" fontId="7" fillId="40" borderId="3" xfId="0" applyFont="1" applyFill="1" applyBorder="1" applyAlignment="1">
      <alignment horizontal="center" vertical="center"/>
    </xf>
    <xf numFmtId="0" fontId="7" fillId="40" borderId="3" xfId="43" applyFill="1">
      <alignment horizontal="center" vertical="center"/>
    </xf>
    <xf numFmtId="0" fontId="7" fillId="40" borderId="3" xfId="44" applyFill="1">
      <alignment horizontal="center" vertical="center"/>
    </xf>
    <xf numFmtId="0" fontId="37" fillId="0" borderId="3" xfId="6" applyFont="1">
      <alignment horizontal="center" vertical="center"/>
    </xf>
    <xf numFmtId="0" fontId="4" fillId="0" borderId="3" xfId="6" applyNumberFormat="1">
      <alignment horizontal="center" vertical="center"/>
    </xf>
    <xf numFmtId="0" fontId="4" fillId="14" borderId="3" xfId="6" applyFill="1">
      <alignment horizontal="center" vertical="center"/>
    </xf>
    <xf numFmtId="0" fontId="14" fillId="12" borderId="3" xfId="14" applyNumberFormat="1">
      <alignment horizontal="center" vertical="center"/>
    </xf>
    <xf numFmtId="0" fontId="37" fillId="0" borderId="0" xfId="2" applyFont="1">
      <alignment horizontal="center" vertical="center"/>
    </xf>
    <xf numFmtId="0" fontId="3" fillId="48" borderId="3" xfId="0" applyFont="1" applyFill="1" applyBorder="1" applyAlignment="1">
      <alignment horizontal="center" vertical="center"/>
    </xf>
    <xf numFmtId="0" fontId="1" fillId="0" borderId="0" xfId="25" applyAlignment="1">
      <alignment vertical="center"/>
    </xf>
    <xf numFmtId="0" fontId="13" fillId="0" borderId="0" xfId="25" applyFont="1" applyAlignment="1">
      <alignment vertical="center"/>
    </xf>
    <xf numFmtId="18" fontId="13" fillId="0" borderId="0" xfId="25" applyNumberFormat="1" applyFont="1" applyAlignment="1">
      <alignment horizontal="center" vertical="center"/>
    </xf>
    <xf numFmtId="0" fontId="19" fillId="20" borderId="6" xfId="25" applyFont="1" applyFill="1" applyBorder="1" applyAlignment="1">
      <alignment horizontal="center" vertical="center"/>
    </xf>
    <xf numFmtId="18" fontId="19" fillId="20" borderId="6" xfId="25" applyNumberFormat="1" applyFont="1" applyFill="1" applyBorder="1" applyAlignment="1">
      <alignment horizontal="center" vertical="center"/>
    </xf>
    <xf numFmtId="168" fontId="13" fillId="0" borderId="0" xfId="25" applyNumberFormat="1" applyFont="1" applyAlignment="1">
      <alignment horizontal="center" vertical="center"/>
    </xf>
    <xf numFmtId="18" fontId="3" fillId="21" borderId="6" xfId="25" applyNumberFormat="1" applyFont="1" applyFill="1" applyBorder="1" applyAlignment="1">
      <alignment horizontal="center" vertical="center"/>
    </xf>
    <xf numFmtId="0" fontId="3" fillId="21" borderId="6" xfId="25" applyFont="1" applyFill="1" applyBorder="1" applyAlignment="1">
      <alignment horizontal="center" vertical="center"/>
    </xf>
    <xf numFmtId="0" fontId="10" fillId="0" borderId="0" xfId="25" applyFont="1" applyAlignment="1">
      <alignment vertical="center"/>
    </xf>
    <xf numFmtId="18" fontId="14" fillId="12" borderId="3" xfId="14" applyNumberFormat="1">
      <alignment horizontal="center" vertical="center"/>
    </xf>
    <xf numFmtId="18" fontId="14" fillId="35" borderId="3" xfId="14" applyNumberFormat="1" applyFill="1">
      <alignment horizontal="center" vertical="center"/>
    </xf>
    <xf numFmtId="18" fontId="7" fillId="20" borderId="6" xfId="25" applyNumberFormat="1" applyFont="1" applyFill="1" applyBorder="1" applyAlignment="1">
      <alignment horizontal="center" vertical="center"/>
    </xf>
    <xf numFmtId="0" fontId="7" fillId="37" borderId="6" xfId="25" applyFont="1" applyFill="1" applyBorder="1" applyAlignment="1">
      <alignment horizontal="center" vertical="center"/>
    </xf>
    <xf numFmtId="18" fontId="38" fillId="0" borderId="3" xfId="0" applyNumberFormat="1" applyFont="1" applyBorder="1" applyAlignment="1">
      <alignment horizontal="center" vertical="center"/>
    </xf>
    <xf numFmtId="18" fontId="7" fillId="15" borderId="3" xfId="19" applyFont="1">
      <alignment horizontal="center" vertical="center"/>
    </xf>
    <xf numFmtId="18" fontId="7" fillId="50" borderId="3" xfId="19" applyFont="1" applyFill="1">
      <alignment horizontal="center" vertical="center"/>
    </xf>
    <xf numFmtId="0" fontId="7" fillId="50" borderId="14" xfId="12" applyFont="1" applyFill="1">
      <alignment horizontal="center" vertical="center"/>
    </xf>
    <xf numFmtId="0" fontId="6" fillId="0" borderId="3" xfId="6" applyFont="1">
      <alignment horizontal="center" vertical="center"/>
    </xf>
    <xf numFmtId="0" fontId="7" fillId="3" borderId="3" xfId="9" applyNumberFormat="1" applyFont="1" applyFill="1">
      <alignment horizontal="center" vertical="center"/>
    </xf>
    <xf numFmtId="0" fontId="6" fillId="0" borderId="0" xfId="45" applyFont="1" applyAlignment="1">
      <alignment horizontal="center" vertical="center"/>
    </xf>
    <xf numFmtId="0" fontId="16" fillId="0" borderId="0" xfId="45" applyFont="1" applyAlignment="1">
      <alignment horizontal="center" vertical="center"/>
    </xf>
    <xf numFmtId="164" fontId="6" fillId="0" borderId="0" xfId="2" applyNumberFormat="1" applyFont="1">
      <alignment horizontal="center" vertical="center"/>
    </xf>
    <xf numFmtId="1" fontId="6" fillId="0" borderId="0" xfId="2" applyNumberFormat="1" applyFont="1">
      <alignment horizontal="center" vertical="center"/>
    </xf>
    <xf numFmtId="0" fontId="3" fillId="0" borderId="3" xfId="5" applyFont="1">
      <alignment horizontal="center" vertical="center"/>
    </xf>
    <xf numFmtId="0" fontId="6" fillId="0" borderId="3" xfId="46" applyFont="1" applyBorder="1" applyAlignment="1">
      <alignment horizontal="center" vertical="center"/>
    </xf>
    <xf numFmtId="0" fontId="39" fillId="0" borderId="3" xfId="5" applyFont="1">
      <alignment horizontal="center" vertical="center"/>
    </xf>
    <xf numFmtId="0" fontId="16" fillId="0" borderId="3" xfId="46" applyFont="1" applyBorder="1" applyAlignment="1">
      <alignment horizontal="center" vertical="center"/>
    </xf>
    <xf numFmtId="1" fontId="16" fillId="0" borderId="3" xfId="46" applyNumberFormat="1" applyFont="1" applyBorder="1" applyAlignment="1">
      <alignment horizontal="center" vertical="center"/>
    </xf>
    <xf numFmtId="0" fontId="40" fillId="49" borderId="3" xfId="5" applyFont="1" applyFill="1">
      <alignment horizontal="center" vertical="center"/>
    </xf>
    <xf numFmtId="0" fontId="40" fillId="49" borderId="3" xfId="46" applyFont="1" applyFill="1" applyBorder="1" applyAlignment="1">
      <alignment horizontal="center" vertical="center"/>
    </xf>
    <xf numFmtId="16" fontId="16" fillId="0" borderId="0" xfId="45" applyNumberFormat="1" applyFont="1" applyAlignment="1">
      <alignment horizontal="center" vertical="center"/>
    </xf>
    <xf numFmtId="18" fontId="6" fillId="0" borderId="0" xfId="45" applyNumberFormat="1" applyFont="1" applyAlignment="1">
      <alignment horizontal="center" vertical="center"/>
    </xf>
    <xf numFmtId="1" fontId="16" fillId="0" borderId="0" xfId="45" applyNumberFormat="1" applyFont="1" applyAlignment="1">
      <alignment horizontal="center" vertical="center"/>
    </xf>
    <xf numFmtId="16" fontId="6" fillId="0" borderId="3" xfId="6" applyNumberFormat="1" applyFont="1">
      <alignment horizontal="center" vertical="center"/>
    </xf>
    <xf numFmtId="18" fontId="6" fillId="0" borderId="3" xfId="6" applyNumberFormat="1" applyFont="1">
      <alignment horizontal="center" vertical="center"/>
    </xf>
    <xf numFmtId="0" fontId="18" fillId="0" borderId="3" xfId="6" applyFont="1">
      <alignment horizontal="center" vertical="center"/>
    </xf>
    <xf numFmtId="0" fontId="18" fillId="0" borderId="3" xfId="46" applyFont="1" applyBorder="1" applyAlignment="1">
      <alignment horizontal="center" vertical="center"/>
    </xf>
    <xf numFmtId="0" fontId="3" fillId="42" borderId="3" xfId="5" applyFont="1" applyFill="1">
      <alignment horizontal="center" vertical="center"/>
    </xf>
    <xf numFmtId="0" fontId="6" fillId="42" borderId="3" xfId="6" applyFont="1" applyFill="1">
      <alignment horizontal="center" vertical="center"/>
    </xf>
    <xf numFmtId="0" fontId="39" fillId="0" borderId="0" xfId="45" applyFont="1" applyAlignment="1">
      <alignment horizontal="center" vertical="center"/>
    </xf>
    <xf numFmtId="0" fontId="18" fillId="0" borderId="0" xfId="45" applyFont="1" applyAlignment="1">
      <alignment horizontal="center" vertical="center"/>
    </xf>
    <xf numFmtId="1" fontId="16" fillId="0" borderId="0" xfId="46" applyNumberFormat="1" applyFont="1" applyAlignment="1">
      <alignment horizontal="center" vertical="center"/>
    </xf>
    <xf numFmtId="0" fontId="16" fillId="0" borderId="0" xfId="46" applyFont="1" applyAlignment="1">
      <alignment horizontal="center" vertical="center"/>
    </xf>
    <xf numFmtId="0" fontId="6" fillId="0" borderId="0" xfId="46" applyFont="1" applyAlignment="1">
      <alignment horizontal="center" vertical="center"/>
    </xf>
    <xf numFmtId="0" fontId="39" fillId="0" borderId="3" xfId="6" applyFont="1">
      <alignment horizontal="center" vertical="center"/>
    </xf>
    <xf numFmtId="166" fontId="6" fillId="0" borderId="3" xfId="6" applyNumberFormat="1" applyFont="1">
      <alignment horizontal="center" vertical="center"/>
    </xf>
    <xf numFmtId="0" fontId="6" fillId="0" borderId="3" xfId="6" applyNumberFormat="1" applyFont="1">
      <alignment horizontal="center" vertical="center"/>
    </xf>
    <xf numFmtId="0" fontId="18" fillId="42" borderId="3" xfId="6" applyNumberFormat="1" applyFont="1" applyFill="1">
      <alignment horizontal="center" vertical="center"/>
    </xf>
    <xf numFmtId="0" fontId="6" fillId="6" borderId="3" xfId="38" applyNumberFormat="1">
      <alignment horizontal="center" vertical="center"/>
    </xf>
    <xf numFmtId="0" fontId="6" fillId="42" borderId="3" xfId="6" applyNumberFormat="1" applyFont="1" applyFill="1">
      <alignment horizontal="center" vertical="center"/>
    </xf>
    <xf numFmtId="0" fontId="18" fillId="0" borderId="3" xfId="6" applyNumberFormat="1" applyFont="1">
      <alignment horizontal="center" vertical="center"/>
    </xf>
    <xf numFmtId="0" fontId="39" fillId="0" borderId="3" xfId="46" applyFont="1" applyBorder="1" applyAlignment="1">
      <alignment horizontal="center" vertical="center"/>
    </xf>
    <xf numFmtId="0" fontId="16" fillId="43" borderId="0" xfId="45" applyFont="1" applyFill="1" applyAlignment="1">
      <alignment horizontal="center" vertical="center"/>
    </xf>
    <xf numFmtId="0" fontId="16" fillId="18" borderId="0" xfId="45" applyFont="1" applyFill="1" applyAlignment="1">
      <alignment horizontal="center" vertical="center"/>
    </xf>
    <xf numFmtId="16" fontId="6" fillId="0" borderId="3" xfId="2" applyNumberFormat="1" applyFont="1" applyBorder="1">
      <alignment horizontal="center" vertical="center"/>
    </xf>
    <xf numFmtId="0" fontId="6" fillId="5" borderId="3" xfId="8" applyNumberFormat="1" applyFont="1">
      <alignment horizontal="center" vertical="center"/>
    </xf>
    <xf numFmtId="0" fontId="18" fillId="5" borderId="3" xfId="8" applyNumberFormat="1" applyFont="1">
      <alignment horizontal="center" vertical="center"/>
    </xf>
    <xf numFmtId="16" fontId="16" fillId="0" borderId="0" xfId="2" applyNumberFormat="1" applyFont="1">
      <alignment horizontal="center" vertical="center"/>
    </xf>
    <xf numFmtId="0" fontId="6" fillId="6" borderId="3" xfId="9" applyNumberFormat="1" applyFont="1">
      <alignment horizontal="center" vertical="center"/>
    </xf>
    <xf numFmtId="0" fontId="18" fillId="6" borderId="3" xfId="9" applyNumberFormat="1" applyFont="1">
      <alignment horizontal="center" vertical="center"/>
    </xf>
    <xf numFmtId="0" fontId="41" fillId="0" borderId="3" xfId="6" applyFont="1">
      <alignment horizontal="center" vertical="center"/>
    </xf>
    <xf numFmtId="0" fontId="41" fillId="6" borderId="3" xfId="9" applyNumberFormat="1" applyFont="1">
      <alignment horizontal="center" vertical="center"/>
    </xf>
    <xf numFmtId="1" fontId="18" fillId="6" borderId="3" xfId="9" applyNumberFormat="1" applyFont="1">
      <alignment horizontal="center" vertical="center"/>
    </xf>
    <xf numFmtId="0" fontId="39" fillId="0" borderId="3" xfId="2" applyFont="1" applyBorder="1">
      <alignment horizontal="center" vertical="center"/>
    </xf>
    <xf numFmtId="0" fontId="39" fillId="6" borderId="3" xfId="9" applyNumberFormat="1" applyFont="1">
      <alignment horizontal="center" vertical="center"/>
    </xf>
    <xf numFmtId="0" fontId="39" fillId="0" borderId="0" xfId="2" applyFont="1">
      <alignment horizontal="center" vertical="center"/>
    </xf>
    <xf numFmtId="0" fontId="42" fillId="0" borderId="3" xfId="6" applyFont="1">
      <alignment horizontal="center" vertical="center"/>
    </xf>
    <xf numFmtId="0" fontId="42" fillId="6" borderId="3" xfId="9" applyNumberFormat="1" applyFont="1">
      <alignment horizontal="center" vertical="center"/>
    </xf>
    <xf numFmtId="18" fontId="6" fillId="0" borderId="3" xfId="2" applyNumberFormat="1" applyFont="1" applyBorder="1">
      <alignment horizontal="center" vertical="center"/>
    </xf>
    <xf numFmtId="0" fontId="18" fillId="0" borderId="3" xfId="2" applyFont="1" applyBorder="1">
      <alignment horizontal="center" vertical="center"/>
    </xf>
    <xf numFmtId="1" fontId="18" fillId="5" borderId="3" xfId="8" applyNumberFormat="1" applyFont="1">
      <alignment horizontal="center" vertical="center"/>
    </xf>
    <xf numFmtId="0" fontId="6" fillId="5" borderId="9" xfId="8" applyNumberFormat="1" applyFont="1" applyBorder="1">
      <alignment horizontal="center" vertical="center"/>
    </xf>
    <xf numFmtId="0" fontId="7" fillId="3" borderId="9" xfId="8" applyNumberFormat="1" applyFont="1" applyFill="1" applyBorder="1">
      <alignment horizontal="center" vertical="center"/>
    </xf>
    <xf numFmtId="0" fontId="7" fillId="3" borderId="3" xfId="8" applyNumberFormat="1" applyFont="1" applyFill="1">
      <alignment horizontal="center" vertical="center"/>
    </xf>
    <xf numFmtId="1" fontId="39" fillId="0" borderId="0" xfId="2" applyNumberFormat="1" applyFont="1">
      <alignment horizontal="center" vertical="center"/>
    </xf>
    <xf numFmtId="1" fontId="6" fillId="5" borderId="3" xfId="8" applyNumberFormat="1" applyFont="1">
      <alignment horizontal="center" vertical="center"/>
    </xf>
    <xf numFmtId="0" fontId="18" fillId="0" borderId="28" xfId="2" applyFont="1" applyBorder="1">
      <alignment horizontal="center" vertical="center"/>
    </xf>
    <xf numFmtId="0" fontId="18" fillId="0" borderId="0" xfId="2" applyFont="1">
      <alignment horizontal="center" vertical="center"/>
    </xf>
    <xf numFmtId="0" fontId="18" fillId="6" borderId="29" xfId="9" applyNumberFormat="1" applyFont="1" applyBorder="1">
      <alignment horizontal="center" vertical="center"/>
    </xf>
    <xf numFmtId="0" fontId="16" fillId="0" borderId="6" xfId="45" applyFont="1" applyBorder="1" applyAlignment="1">
      <alignment horizontal="center" vertical="center"/>
    </xf>
    <xf numFmtId="0" fontId="6" fillId="0" borderId="30" xfId="6" applyFont="1" applyBorder="1">
      <alignment horizontal="center" vertical="center"/>
    </xf>
    <xf numFmtId="0" fontId="18" fillId="6" borderId="7" xfId="9" applyNumberFormat="1" applyFont="1" applyBorder="1">
      <alignment horizontal="center" vertical="center"/>
    </xf>
    <xf numFmtId="0" fontId="18" fillId="44" borderId="3" xfId="2" applyFont="1" applyFill="1" applyBorder="1">
      <alignment horizontal="center" vertical="center"/>
    </xf>
    <xf numFmtId="0" fontId="18" fillId="44" borderId="3" xfId="9" applyNumberFormat="1" applyFont="1" applyFill="1">
      <alignment horizontal="center" vertical="center"/>
    </xf>
    <xf numFmtId="166" fontId="18" fillId="6" borderId="3" xfId="9" applyNumberFormat="1" applyFont="1">
      <alignment horizontal="center" vertical="center"/>
    </xf>
    <xf numFmtId="0" fontId="41" fillId="44" borderId="3" xfId="2" applyFont="1" applyFill="1" applyBorder="1">
      <alignment horizontal="center" vertical="center"/>
    </xf>
    <xf numFmtId="0" fontId="41" fillId="44" borderId="3" xfId="9" applyNumberFormat="1" applyFont="1" applyFill="1">
      <alignment horizontal="center" vertical="center"/>
    </xf>
    <xf numFmtId="0" fontId="41" fillId="44" borderId="9" xfId="2" applyFont="1" applyFill="1" applyBorder="1">
      <alignment horizontal="center" vertical="center"/>
    </xf>
    <xf numFmtId="0" fontId="39" fillId="0" borderId="10" xfId="10" applyFont="1">
      <alignment horizontal="center" vertical="center"/>
    </xf>
    <xf numFmtId="1" fontId="39" fillId="0" borderId="10" xfId="10" applyNumberFormat="1" applyFont="1">
      <alignment horizontal="center" vertical="center"/>
    </xf>
    <xf numFmtId="1" fontId="39" fillId="6" borderId="3" xfId="9" applyNumberFormat="1" applyFont="1">
      <alignment horizontal="center" vertical="center"/>
    </xf>
    <xf numFmtId="16" fontId="6" fillId="0" borderId="0" xfId="6" applyNumberFormat="1" applyFont="1" applyBorder="1">
      <alignment horizontal="center" vertical="center"/>
    </xf>
    <xf numFmtId="0" fontId="6" fillId="0" borderId="0" xfId="6" applyFont="1" applyBorder="1">
      <alignment horizontal="center" vertical="center"/>
    </xf>
    <xf numFmtId="0" fontId="6" fillId="0" borderId="7" xfId="6" applyFont="1" applyBorder="1">
      <alignment horizontal="center" vertical="center"/>
    </xf>
    <xf numFmtId="166" fontId="18" fillId="5" borderId="3" xfId="8" applyNumberFormat="1" applyFont="1">
      <alignment horizontal="center" vertical="center"/>
    </xf>
    <xf numFmtId="16" fontId="6" fillId="0" borderId="0" xfId="2" applyNumberFormat="1" applyFont="1">
      <alignment horizontal="center" vertical="center"/>
    </xf>
    <xf numFmtId="0" fontId="6" fillId="0" borderId="3" xfId="11" applyNumberFormat="1" applyFont="1" applyFill="1">
      <alignment horizontal="center" vertical="center"/>
    </xf>
    <xf numFmtId="1" fontId="16" fillId="0" borderId="0" xfId="2" applyNumberFormat="1" applyFont="1">
      <alignment horizontal="center" vertical="center"/>
    </xf>
    <xf numFmtId="165" fontId="6" fillId="0" borderId="3" xfId="6" applyNumberFormat="1" applyFont="1">
      <alignment horizontal="center" vertical="center"/>
    </xf>
    <xf numFmtId="0" fontId="6" fillId="6" borderId="5" xfId="9" applyNumberFormat="1" applyFont="1" applyBorder="1">
      <alignment horizontal="center" vertical="center"/>
    </xf>
    <xf numFmtId="0" fontId="6" fillId="5" borderId="4" xfId="8" applyNumberFormat="1" applyFont="1" applyBorder="1">
      <alignment horizontal="center" vertical="center"/>
    </xf>
    <xf numFmtId="0" fontId="6" fillId="5" borderId="15" xfId="8" applyNumberFormat="1" applyFont="1" applyBorder="1">
      <alignment horizontal="center" vertical="center"/>
    </xf>
    <xf numFmtId="0" fontId="6" fillId="6" borderId="7" xfId="9" applyNumberFormat="1" applyFont="1" applyBorder="1">
      <alignment horizontal="center" vertical="center"/>
    </xf>
    <xf numFmtId="0" fontId="6" fillId="5" borderId="20" xfId="8" applyNumberFormat="1" applyFont="1" applyBorder="1">
      <alignment horizontal="center" vertical="center"/>
    </xf>
    <xf numFmtId="0" fontId="6" fillId="6" borderId="30" xfId="9" applyNumberFormat="1" applyFont="1" applyBorder="1">
      <alignment horizontal="center" vertical="center"/>
    </xf>
    <xf numFmtId="0" fontId="6" fillId="5" borderId="5" xfId="8" applyNumberFormat="1" applyFont="1" applyBorder="1">
      <alignment horizontal="center" vertical="center"/>
    </xf>
    <xf numFmtId="0" fontId="6" fillId="6" borderId="31" xfId="9" applyNumberFormat="1" applyFont="1" applyBorder="1">
      <alignment horizontal="center" vertical="center"/>
    </xf>
    <xf numFmtId="0" fontId="6" fillId="6" borderId="6" xfId="9" applyNumberFormat="1" applyFont="1" applyBorder="1">
      <alignment horizontal="center" vertical="center"/>
    </xf>
    <xf numFmtId="165" fontId="6" fillId="0" borderId="7" xfId="6" applyNumberFormat="1" applyFont="1" applyBorder="1">
      <alignment horizontal="center" vertical="center"/>
    </xf>
    <xf numFmtId="18" fontId="36" fillId="50" borderId="3" xfId="0" applyNumberFormat="1" applyFont="1" applyFill="1" applyBorder="1" applyAlignment="1">
      <alignment horizontal="center" vertical="center"/>
    </xf>
    <xf numFmtId="18" fontId="35" fillId="10" borderId="3" xfId="0" applyNumberFormat="1" applyFont="1" applyFill="1" applyBorder="1" applyAlignment="1">
      <alignment horizontal="center" vertical="center"/>
    </xf>
    <xf numFmtId="18" fontId="35" fillId="45" borderId="3" xfId="0" applyNumberFormat="1" applyFont="1" applyFill="1" applyBorder="1" applyAlignment="1">
      <alignment horizontal="center" vertical="center"/>
    </xf>
    <xf numFmtId="0" fontId="38" fillId="0" borderId="3" xfId="0" applyFont="1" applyBorder="1" applyAlignment="1">
      <alignment horizontal="center" vertical="center"/>
    </xf>
    <xf numFmtId="0" fontId="39" fillId="0" borderId="3" xfId="0" applyFont="1" applyBorder="1" applyAlignment="1">
      <alignment horizontal="center" vertical="center"/>
    </xf>
    <xf numFmtId="18" fontId="10" fillId="0" borderId="3" xfId="6" applyNumberFormat="1" applyFont="1">
      <alignment horizontal="center" vertical="center"/>
    </xf>
    <xf numFmtId="18" fontId="10" fillId="22" borderId="6" xfId="25" applyNumberFormat="1" applyFont="1" applyFill="1" applyBorder="1" applyAlignment="1">
      <alignment horizontal="center" vertical="center"/>
    </xf>
    <xf numFmtId="18" fontId="13" fillId="22" borderId="6" xfId="25" applyNumberFormat="1" applyFont="1" applyFill="1" applyBorder="1" applyAlignment="1">
      <alignment horizontal="center" vertical="center"/>
    </xf>
    <xf numFmtId="0" fontId="10" fillId="0" borderId="3" xfId="35" applyFont="1">
      <alignment horizontal="center"/>
    </xf>
  </cellXfs>
  <cellStyles count="47">
    <cellStyle name="_10U_DayHead" xfId="44" xr:uid="{9891F0DE-3FC3-4096-841B-6566D31D33ED}"/>
    <cellStyle name="_10U_SeedsHead" xfId="43" xr:uid="{EA6A34A3-202B-46B8-8B19-2143FB9A34C6}"/>
    <cellStyle name="_12Uc_Chics_Head" xfId="12" xr:uid="{2C38DA27-527A-4BE7-8EC6-864FEEF5C6A0}"/>
    <cellStyle name="_12Ux_SeedsHead" xfId="19" xr:uid="{9B1FFB6B-45C4-41BA-B6E8-5012ECE0A6D8}"/>
    <cellStyle name="_16U_DayHead" xfId="4" xr:uid="{4E3CD8F7-3102-4E66-8DAE-422AA2D71BAC}"/>
    <cellStyle name="_18U_Chics_Gm" xfId="29" xr:uid="{FF146FFD-7CB2-4DB9-B69F-0C25459A01D0}"/>
    <cellStyle name="_18U_DayHead" xfId="11" xr:uid="{024F6D57-EDE5-453B-BD11-FC33133F75D8}"/>
    <cellStyle name="_AU_GmFill" xfId="9" xr:uid="{9D3DF120-4B8E-47F1-890C-9BD061AE98F3}"/>
    <cellStyle name="_AU_GmFill 2" xfId="39" xr:uid="{CDCA76DF-C7BA-4497-8239-44430BE44BC3}"/>
    <cellStyle name="_AU_SeedHead" xfId="38" xr:uid="{BD836C77-D2B1-45C2-B03F-C78C5AB007E2}"/>
    <cellStyle name="_BreakDay" xfId="10" xr:uid="{C2CB7F93-15BB-4009-A8C9-86CC4756C61C}"/>
    <cellStyle name="_BreakDay 2" xfId="33" xr:uid="{8B5EE338-CC0F-495A-A3EB-FCDD163815BC}"/>
    <cellStyle name="_BreakDay 2 2_2014_NJO_Master-Sched_Session1_7-19-14_SEEDED-1" xfId="17" xr:uid="{2E04B9C3-A7D3-453B-A718-6233BEB07F88}"/>
    <cellStyle name="_BreakDay Box" xfId="1" xr:uid="{ABB99C54-EFED-43A2-BD69-AB69157119DA}"/>
    <cellStyle name="_BreakDay Box 2 2_2014_NJO_Master-Sched_Session1_7-19-14_SEEDED-1" xfId="16" xr:uid="{6710B10B-20D8-437E-BDFC-7A848E7003E1}"/>
    <cellStyle name="_BZ_GmFill" xfId="14" xr:uid="{73E145DF-AB70-40C9-ACF2-6E47F44B9733}"/>
    <cellStyle name="_BZ_GmFill 2" xfId="41" xr:uid="{6AEC2793-FD62-4707-B7AE-E21B9A4FAA2C}"/>
    <cellStyle name="_BZ_GmFill 2 2" xfId="23" xr:uid="{54999577-8715-4BCE-87F7-23706E20C215}"/>
    <cellStyle name="_BZ_SeedHead 2 2" xfId="22" xr:uid="{91F328DA-30D2-40CE-B452-AA55693817C2}"/>
    <cellStyle name="_GmBox Clear 2 2" xfId="6" xr:uid="{937E7427-72A8-455D-A295-F31286448C7D}"/>
    <cellStyle name="_Normal Sched" xfId="31" xr:uid="{F130B587-333B-48A8-B585-44F995A0451F}"/>
    <cellStyle name="_PT_AG_GmFill 2" xfId="40" xr:uid="{A00B0B36-88D9-4438-B131-47A3ABD66077}"/>
    <cellStyle name="_PT_AG_GmFill 2 2" xfId="8" xr:uid="{18C238A6-987C-477F-A84F-2406F759EAB1}"/>
    <cellStyle name="_PT_AG_SeedsHead" xfId="7" xr:uid="{A5384F66-E870-494D-999C-106D0736A522}"/>
    <cellStyle name="_PT_AG_SeedsHead 2" xfId="37" xr:uid="{EE34EB13-4AA9-441C-B37E-B4E851114A67}"/>
    <cellStyle name="_PT_AG_SeedsHead 2 2" xfId="21" xr:uid="{0062116D-7895-462A-9852-7F99840E4430}"/>
    <cellStyle name="_SeedTeams" xfId="5" xr:uid="{DDAC5218-BEC3-489C-9FF1-D910757D7834}"/>
    <cellStyle name="_SeedTeams 2" xfId="30" xr:uid="{3385EA0E-AB68-4A0E-8FA9-AA63BFA9C398}"/>
    <cellStyle name="_SeedTeams 2 2_2014_NJO_Master-Sched_Session1_7-19-14_SEEDED-1" xfId="20" xr:uid="{8BC05C86-6E92-4BB9-9076-74D54ABD09DB}"/>
    <cellStyle name="_TeamTravel" xfId="13" xr:uid="{161D3E7D-2E92-460C-8AD2-87E25E9713B2}"/>
    <cellStyle name="_TeamTravel 2" xfId="32" xr:uid="{7E492841-29DD-40B8-901B-AFC2CA7EAD67}"/>
    <cellStyle name="BoldClear" xfId="36" xr:uid="{BF12F926-66AE-491F-9A4F-6428D2536998}"/>
    <cellStyle name="Course_Box" xfId="3" xr:uid="{6FD26861-50F5-42D2-9509-CB4667133E26}"/>
    <cellStyle name="Course_Box 2 2 2" xfId="18" xr:uid="{3A0B8814-E10A-438C-B1AE-A2BD1D5F62E8}"/>
    <cellStyle name="GmBox Clear" xfId="35" xr:uid="{E0DC38A8-7D09-4752-BF37-7CA3CEC5A365}"/>
    <cellStyle name="Hyperlink 2" xfId="26" xr:uid="{2069852A-B835-4F01-8A26-CEA3770F657E}"/>
    <cellStyle name="Normal" xfId="0" builtinId="0"/>
    <cellStyle name="Normal 2" xfId="25" xr:uid="{6F584088-563E-4050-9E58-CDA055AF7918}"/>
    <cellStyle name="Normal 2 2" xfId="2" xr:uid="{B143666B-264E-44D4-8974-56EA96EDB128}"/>
    <cellStyle name="Normal 3" xfId="42" xr:uid="{4DCEA2CE-57F9-4FE5-91DE-3D86F173450A}"/>
    <cellStyle name="Normal 4" xfId="27" xr:uid="{E2C71A97-B4B5-4727-AFAD-ED2D89D6054C}"/>
    <cellStyle name="Normal 5" xfId="24" xr:uid="{27C78A84-A82B-4622-9E4C-A14FE314E83A}"/>
    <cellStyle name="Normal 5 2" xfId="34" xr:uid="{2B0115D9-8C23-419E-BC9F-8E37720C8F49}"/>
    <cellStyle name="Normal 6" xfId="15" xr:uid="{7238491B-CEA1-462B-AA98-6FD7EF32D919}"/>
    <cellStyle name="Normal 6 3 2 2" xfId="46" xr:uid="{F33F8AA2-495B-4F26-BB6E-8FFCEF4B5CFE}"/>
    <cellStyle name="Normal 6 3 3" xfId="45" xr:uid="{B4F1997B-1B65-48F3-A6D8-393A88EB8638}"/>
    <cellStyle name="Normal 7" xfId="28" xr:uid="{98E07BB5-2BE1-4E36-B7AA-50A1CA5AC920}"/>
  </cellStyles>
  <dxfs count="1268"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CCCC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/>
        <right/>
        <top/>
        <bottom/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lor theme="1"/>
      </font>
      <numFmt numFmtId="0" formatCode="General"/>
      <fill>
        <patternFill>
          <bgColor rgb="FF49D2E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lor theme="1"/>
      </font>
      <numFmt numFmtId="0" formatCode="General"/>
      <fill>
        <patternFill>
          <bgColor rgb="FFAEE9A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theme="0"/>
      </font>
      <fill>
        <patternFill>
          <bgColor rgb="FFD75FD7"/>
        </patternFill>
      </fill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CCCC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/>
        <right/>
        <top/>
        <bottom/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CCCC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lor theme="1"/>
      </font>
      <numFmt numFmtId="0" formatCode="General"/>
      <fill>
        <patternFill>
          <bgColor rgb="FF49D2E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lor theme="1"/>
      </font>
      <numFmt numFmtId="0" formatCode="General"/>
      <fill>
        <patternFill>
          <bgColor rgb="FFAEE9A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theme="0"/>
      </font>
      <fill>
        <patternFill>
          <bgColor rgb="FFD75FD7"/>
        </patternFill>
      </fill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lor theme="1"/>
      </font>
      <numFmt numFmtId="0" formatCode="General"/>
      <fill>
        <patternFill>
          <bgColor rgb="FF49D2E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lor theme="1"/>
      </font>
      <numFmt numFmtId="0" formatCode="General"/>
      <fill>
        <patternFill>
          <bgColor rgb="FFAEE9A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lor theme="1"/>
      </font>
      <numFmt numFmtId="0" formatCode="General"/>
      <fill>
        <patternFill>
          <bgColor rgb="FF49D2E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lor theme="1"/>
      </font>
      <numFmt numFmtId="0" formatCode="General"/>
      <fill>
        <patternFill>
          <bgColor rgb="FF49D2E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lor theme="1"/>
      </font>
      <numFmt numFmtId="0" formatCode="General"/>
      <fill>
        <patternFill>
          <bgColor rgb="FF49D2E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lor theme="1"/>
      </font>
      <numFmt numFmtId="0" formatCode="General"/>
      <fill>
        <patternFill>
          <bgColor rgb="FFAEE9A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theme="0"/>
      </font>
      <fill>
        <patternFill>
          <bgColor rgb="FFD75FD7"/>
        </patternFill>
      </fill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/>
        <right/>
        <top/>
        <bottom/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</font>
      <fill>
        <patternFill patternType="solid">
          <fgColor indexed="64"/>
          <bgColor rgb="FFCCCC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/>
        <right/>
        <top/>
        <bottom/>
      </border>
    </dxf>
    <dxf>
      <font>
        <color auto="1"/>
      </font>
      <fill>
        <patternFill patternType="solid">
          <fgColor indexed="64"/>
          <bgColor rgb="FFCCCC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lor theme="1"/>
      </font>
      <numFmt numFmtId="0" formatCode="General"/>
      <fill>
        <patternFill>
          <bgColor rgb="FFAEE9A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lor theme="1"/>
      </font>
      <numFmt numFmtId="0" formatCode="General"/>
      <fill>
        <patternFill>
          <bgColor rgb="FF49D2E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</font>
      <fill>
        <patternFill patternType="solid">
          <fgColor indexed="64"/>
          <bgColor rgb="FFCCCC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color theme="0"/>
      </font>
      <fill>
        <patternFill>
          <bgColor rgb="FFD75FD7"/>
        </patternFill>
      </fill>
    </dxf>
    <dxf>
      <font>
        <b val="0"/>
        <i val="0"/>
        <strike val="0"/>
        <color theme="1"/>
      </font>
      <numFmt numFmtId="0" formatCode="General"/>
      <fill>
        <patternFill>
          <bgColor rgb="FFAEE9A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lor theme="1"/>
      </font>
      <numFmt numFmtId="0" formatCode="General"/>
      <fill>
        <patternFill>
          <bgColor rgb="FF49D2E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theme="0"/>
      </font>
      <fill>
        <patternFill>
          <bgColor rgb="FFD75FD7"/>
        </patternFill>
      </fill>
    </dxf>
    <dxf>
      <font>
        <b val="0"/>
        <i val="0"/>
        <strike val="0"/>
        <color theme="1"/>
      </font>
      <numFmt numFmtId="0" formatCode="General"/>
      <fill>
        <patternFill>
          <bgColor rgb="FFAEE9A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lor theme="1"/>
      </font>
      <numFmt numFmtId="0" formatCode="General"/>
      <fill>
        <patternFill>
          <bgColor rgb="FF49D2E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lor theme="0"/>
      </font>
      <fill>
        <patternFill>
          <bgColor rgb="FFD75FD7"/>
        </patternFill>
      </fill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CCCC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CCCC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/>
        <right/>
        <top/>
        <bottom/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lor theme="1"/>
      </font>
      <numFmt numFmtId="0" formatCode="General"/>
      <fill>
        <patternFill>
          <bgColor rgb="FF49D2E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lor theme="1"/>
      </font>
      <numFmt numFmtId="0" formatCode="General"/>
      <fill>
        <patternFill>
          <bgColor rgb="FFAEE9A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theme="0"/>
      </font>
      <fill>
        <patternFill>
          <bgColor rgb="FFD75FD7"/>
        </patternFill>
      </fill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CCCC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/>
        <right/>
        <top/>
        <bottom/>
      </border>
    </dxf>
    <dxf>
      <font>
        <color auto="1"/>
      </font>
      <fill>
        <patternFill patternType="solid">
          <fgColor indexed="64"/>
          <bgColor rgb="FFCCCC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lor theme="1"/>
      </font>
      <numFmt numFmtId="0" formatCode="General"/>
      <fill>
        <patternFill>
          <bgColor rgb="FF49D2E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/>
        <right/>
        <top/>
        <bottom/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</font>
      <fill>
        <patternFill patternType="solid">
          <fgColor indexed="64"/>
          <bgColor rgb="FFCCCC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lor theme="0"/>
      </font>
      <fill>
        <patternFill>
          <bgColor rgb="FFD75FD7"/>
        </patternFill>
      </fill>
    </dxf>
    <dxf>
      <font>
        <b val="0"/>
        <i val="0"/>
        <strike val="0"/>
        <color theme="1"/>
      </font>
      <numFmt numFmtId="0" formatCode="General"/>
      <fill>
        <patternFill>
          <bgColor rgb="FFAEE9A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/>
        <right/>
        <top/>
        <bottom/>
      </border>
    </dxf>
    <dxf>
      <font>
        <color auto="1"/>
      </font>
      <fill>
        <patternFill patternType="solid">
          <fgColor indexed="64"/>
          <bgColor rgb="FFCCCC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lor theme="0"/>
      </font>
      <fill>
        <patternFill>
          <bgColor rgb="FFD75FD7"/>
        </patternFill>
      </fill>
    </dxf>
    <dxf>
      <font>
        <b val="0"/>
        <i val="0"/>
        <strike val="0"/>
        <color theme="1"/>
      </font>
      <numFmt numFmtId="0" formatCode="General"/>
      <fill>
        <patternFill>
          <bgColor rgb="FFAEE9A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/>
        <right/>
        <top/>
        <bottom/>
      </border>
    </dxf>
    <dxf>
      <font>
        <color auto="1"/>
      </font>
      <fill>
        <patternFill patternType="solid">
          <fgColor indexed="64"/>
          <bgColor rgb="FFCCCC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lor theme="0"/>
      </font>
      <fill>
        <patternFill>
          <bgColor rgb="FFD75FD7"/>
        </patternFill>
      </fill>
    </dxf>
    <dxf>
      <font>
        <b val="0"/>
        <i val="0"/>
        <strike val="0"/>
        <color theme="1"/>
      </font>
      <numFmt numFmtId="0" formatCode="General"/>
      <fill>
        <patternFill>
          <bgColor rgb="FFAEE9A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/>
        <right/>
        <top/>
        <bottom/>
      </border>
    </dxf>
    <dxf>
      <font>
        <color auto="1"/>
      </font>
      <fill>
        <patternFill patternType="solid">
          <fgColor indexed="64"/>
          <bgColor rgb="FFCCCC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</font>
      <fill>
        <patternFill patternType="solid">
          <fgColor indexed="64"/>
          <bgColor rgb="FFCCCC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lor theme="0"/>
      </font>
      <fill>
        <patternFill>
          <bgColor rgb="FFD75FD7"/>
        </patternFill>
      </fill>
    </dxf>
    <dxf>
      <font>
        <b val="0"/>
        <i val="0"/>
        <strike val="0"/>
        <color theme="1"/>
      </font>
      <numFmt numFmtId="0" formatCode="General"/>
      <fill>
        <patternFill>
          <bgColor rgb="FFAEE9A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lor theme="1"/>
      </font>
      <numFmt numFmtId="0" formatCode="General"/>
      <fill>
        <patternFill>
          <bgColor rgb="FF49D2E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lor theme="1"/>
      </font>
      <numFmt numFmtId="0" formatCode="General"/>
      <fill>
        <patternFill>
          <bgColor rgb="FF49D2E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</font>
      <fill>
        <patternFill patternType="solid">
          <fgColor indexed="64"/>
          <bgColor rgb="FFCCCC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lor theme="0"/>
      </font>
      <fill>
        <patternFill>
          <bgColor rgb="FFD75FD7"/>
        </patternFill>
      </fill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lor theme="1"/>
      </font>
      <numFmt numFmtId="0" formatCode="General"/>
      <fill>
        <patternFill>
          <bgColor rgb="FFAEE9A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/>
        <right/>
        <top/>
        <bottom/>
      </border>
    </dxf>
    <dxf>
      <font>
        <color auto="1"/>
      </font>
      <fill>
        <patternFill patternType="solid">
          <fgColor indexed="64"/>
          <bgColor rgb="FFCCCC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lor theme="0"/>
      </font>
      <fill>
        <patternFill>
          <bgColor rgb="FFD75FD7"/>
        </patternFill>
      </fill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lor theme="1"/>
      </font>
      <numFmt numFmtId="0" formatCode="General"/>
      <fill>
        <patternFill>
          <bgColor rgb="FFAEE9A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/>
        <right/>
        <top/>
        <bottom/>
      </border>
    </dxf>
    <dxf>
      <font>
        <color auto="1"/>
      </font>
      <fill>
        <patternFill patternType="solid">
          <fgColor indexed="64"/>
          <bgColor rgb="FFCCCC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lor theme="1"/>
      </font>
      <numFmt numFmtId="0" formatCode="General"/>
      <fill>
        <patternFill>
          <bgColor rgb="FF49D2E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lor theme="1"/>
      </font>
      <numFmt numFmtId="0" formatCode="General"/>
      <fill>
        <patternFill>
          <bgColor rgb="FFAEE9A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theme="0"/>
      </font>
      <fill>
        <patternFill>
          <bgColor rgb="FFD75FD7"/>
        </patternFill>
      </fill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CCCC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/>
        <right/>
        <top/>
        <bottom/>
      </border>
    </dxf>
    <dxf>
      <font>
        <color auto="1"/>
      </font>
      <fill>
        <patternFill patternType="solid">
          <fgColor indexed="64"/>
          <bgColor rgb="FFCCCC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lor theme="0"/>
      </font>
      <fill>
        <patternFill>
          <bgColor rgb="FFD75FD7"/>
        </patternFill>
      </fill>
    </dxf>
    <dxf>
      <font>
        <b val="0"/>
        <i val="0"/>
        <strike val="0"/>
        <color theme="1"/>
      </font>
      <numFmt numFmtId="0" formatCode="General"/>
      <fill>
        <patternFill>
          <bgColor rgb="FFAEE9A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/>
        <right/>
        <top/>
        <bottom/>
      </border>
    </dxf>
    <dxf>
      <font>
        <color auto="1"/>
      </font>
      <fill>
        <patternFill patternType="solid">
          <fgColor indexed="64"/>
          <bgColor rgb="FFCCCC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CCCC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/>
        <right/>
        <top/>
        <bottom/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lor theme="1"/>
      </font>
      <numFmt numFmtId="0" formatCode="General"/>
      <fill>
        <patternFill>
          <bgColor rgb="FFAEE9A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theme="0"/>
      </font>
      <fill>
        <patternFill>
          <bgColor rgb="FFD75FD7"/>
        </patternFill>
      </fill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CCCC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CCCC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/>
        <right/>
        <top/>
        <bottom/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lor theme="1"/>
      </font>
      <numFmt numFmtId="0" formatCode="General"/>
      <fill>
        <patternFill>
          <bgColor rgb="FF49D2E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lor theme="1"/>
      </font>
      <numFmt numFmtId="0" formatCode="General"/>
      <fill>
        <patternFill>
          <bgColor rgb="FFAEE9A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theme="0"/>
      </font>
      <fill>
        <patternFill>
          <bgColor rgb="FFD75FD7"/>
        </patternFill>
      </fill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</font>
      <fill>
        <patternFill patternType="solid">
          <fgColor indexed="64"/>
          <bgColor rgb="FFCCCC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/>
        <right/>
        <top/>
        <bottom/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lor theme="1"/>
      </font>
      <numFmt numFmtId="0" formatCode="General"/>
      <fill>
        <patternFill>
          <bgColor rgb="FF49D2E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CCCC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CCCC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/>
        <right/>
        <top/>
        <bottom/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lor theme="1"/>
      </font>
      <numFmt numFmtId="0" formatCode="General"/>
      <fill>
        <patternFill>
          <bgColor rgb="FFAEE9A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theme="0"/>
      </font>
      <fill>
        <patternFill>
          <bgColor rgb="FFD75FD7"/>
        </patternFill>
      </fill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color theme="0"/>
      </font>
      <fill>
        <patternFill>
          <bgColor rgb="FFD75FD7"/>
        </patternFill>
      </fill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</font>
      <fill>
        <patternFill patternType="solid">
          <fgColor indexed="64"/>
          <bgColor rgb="FFCCCC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lor theme="0"/>
      </font>
      <fill>
        <patternFill>
          <bgColor rgb="FFD75FD7"/>
        </patternFill>
      </fill>
    </dxf>
    <dxf>
      <font>
        <b val="0"/>
        <i val="0"/>
        <strike val="0"/>
        <color theme="1"/>
      </font>
      <numFmt numFmtId="0" formatCode="General"/>
      <fill>
        <patternFill>
          <bgColor rgb="FFAEE9A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lor theme="1"/>
      </font>
      <numFmt numFmtId="0" formatCode="General"/>
      <fill>
        <patternFill>
          <bgColor rgb="FF49D2E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/>
        <right/>
        <top/>
        <bottom/>
      </border>
    </dxf>
    <dxf>
      <font>
        <color auto="1"/>
      </font>
      <fill>
        <patternFill patternType="solid">
          <fgColor indexed="64"/>
          <bgColor rgb="FFCCCC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lor theme="0"/>
      </font>
      <fill>
        <patternFill>
          <bgColor rgb="FFD75FD7"/>
        </patternFill>
      </fill>
    </dxf>
    <dxf>
      <font>
        <b val="0"/>
        <i val="0"/>
        <strike val="0"/>
        <color theme="1"/>
      </font>
      <numFmt numFmtId="0" formatCode="General"/>
      <fill>
        <patternFill>
          <bgColor rgb="FFAEE9A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lor theme="1"/>
      </font>
      <numFmt numFmtId="0" formatCode="General"/>
      <fill>
        <patternFill>
          <bgColor rgb="FF49D2E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CCCC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/>
        <right/>
        <top/>
        <bottom/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lor theme="1"/>
      </font>
      <numFmt numFmtId="0" formatCode="General"/>
      <fill>
        <patternFill>
          <bgColor rgb="FF49D2E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lor theme="1"/>
      </font>
      <numFmt numFmtId="0" formatCode="General"/>
      <fill>
        <patternFill>
          <bgColor rgb="FFAEE9A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theme="0"/>
      </font>
      <fill>
        <patternFill>
          <bgColor rgb="FFD75FD7"/>
        </patternFill>
      </fill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CCCC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/>
        <right/>
        <top/>
        <bottom/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CCCC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/>
        <right/>
        <top/>
        <bottom/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CCCC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lor theme="1"/>
      </font>
      <numFmt numFmtId="0" formatCode="General"/>
      <fill>
        <patternFill>
          <bgColor rgb="FF49D2E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lor theme="1"/>
      </font>
      <numFmt numFmtId="0" formatCode="General"/>
      <fill>
        <patternFill>
          <bgColor rgb="FFAEE9A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theme="0"/>
      </font>
      <fill>
        <patternFill>
          <bgColor rgb="FFD75FD7"/>
        </patternFill>
      </fill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/>
        <right/>
        <top/>
        <bottom/>
      </border>
    </dxf>
    <dxf>
      <font>
        <color auto="1"/>
      </font>
      <fill>
        <patternFill patternType="solid">
          <fgColor indexed="64"/>
          <bgColor rgb="FFCCCC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lor theme="1"/>
      </font>
      <numFmt numFmtId="0" formatCode="General"/>
      <fill>
        <patternFill>
          <bgColor rgb="FF49D2E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lor theme="1"/>
      </font>
      <numFmt numFmtId="0" formatCode="General"/>
      <fill>
        <patternFill>
          <bgColor rgb="FFAEE9A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theme="0"/>
      </font>
      <fill>
        <patternFill>
          <bgColor rgb="FFD75FD7"/>
        </patternFill>
      </fill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CCCC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/>
        <right/>
        <top/>
        <bottom/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lor theme="1"/>
      </font>
      <numFmt numFmtId="0" formatCode="General"/>
      <fill>
        <patternFill>
          <bgColor rgb="FF49D2E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lor theme="1"/>
      </font>
      <numFmt numFmtId="0" formatCode="General"/>
      <fill>
        <patternFill>
          <bgColor rgb="FFAEE9A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theme="0"/>
      </font>
      <fill>
        <patternFill>
          <bgColor rgb="FFD75FD7"/>
        </patternFill>
      </fill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CCCC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/>
        <right/>
        <top/>
        <bottom/>
      </border>
    </dxf>
    <dxf>
      <font>
        <color auto="1"/>
      </font>
      <fill>
        <patternFill patternType="solid">
          <fgColor indexed="64"/>
          <bgColor rgb="FFCCCC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lor theme="0"/>
      </font>
      <fill>
        <patternFill>
          <bgColor rgb="FFD75FD7"/>
        </patternFill>
      </fill>
    </dxf>
    <dxf>
      <font>
        <b val="0"/>
        <i val="0"/>
        <strike val="0"/>
        <color theme="1"/>
      </font>
      <numFmt numFmtId="0" formatCode="General"/>
      <fill>
        <patternFill>
          <bgColor rgb="FFAEE9A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lor theme="1"/>
      </font>
      <numFmt numFmtId="0" formatCode="General"/>
      <fill>
        <patternFill>
          <bgColor rgb="FF49D2E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/>
        <right/>
        <top/>
        <bottom/>
      </border>
    </dxf>
    <dxf>
      <font>
        <color auto="1"/>
      </font>
      <fill>
        <patternFill patternType="solid">
          <fgColor indexed="64"/>
          <bgColor rgb="FFCCCC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</font>
      <fill>
        <patternFill patternType="solid">
          <fgColor indexed="64"/>
          <bgColor rgb="FFCCCC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lor theme="0"/>
      </font>
      <fill>
        <patternFill>
          <bgColor rgb="FFD75FD7"/>
        </patternFill>
      </fill>
    </dxf>
    <dxf>
      <font>
        <b val="0"/>
        <i val="0"/>
        <strike val="0"/>
        <color theme="1"/>
      </font>
      <numFmt numFmtId="0" formatCode="General"/>
      <fill>
        <patternFill>
          <bgColor rgb="FFAEE9A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lor theme="1"/>
      </font>
      <numFmt numFmtId="0" formatCode="General"/>
      <fill>
        <patternFill>
          <bgColor rgb="FF49D2E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lor theme="1"/>
      </font>
      <numFmt numFmtId="0" formatCode="General"/>
      <fill>
        <patternFill>
          <bgColor rgb="FF49D2E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lor theme="1"/>
      </font>
      <numFmt numFmtId="0" formatCode="General"/>
      <fill>
        <patternFill>
          <bgColor rgb="FFAEE9A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theme="0"/>
      </font>
      <fill>
        <patternFill>
          <bgColor rgb="FFD75FD7"/>
        </patternFill>
      </fill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CCCC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/>
        <right/>
        <top/>
        <bottom/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CCCC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/>
        <right/>
        <top/>
        <bottom/>
      </border>
    </dxf>
    <dxf>
      <font>
        <color auto="1"/>
      </font>
      <fill>
        <patternFill patternType="solid">
          <fgColor indexed="64"/>
          <bgColor rgb="FFCCCC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lor theme="0"/>
      </font>
      <fill>
        <patternFill>
          <bgColor rgb="FFD75FD7"/>
        </patternFill>
      </fill>
    </dxf>
    <dxf>
      <font>
        <b val="0"/>
        <i val="0"/>
        <strike val="0"/>
        <color theme="1"/>
      </font>
      <numFmt numFmtId="0" formatCode="General"/>
      <fill>
        <patternFill>
          <bgColor rgb="FFAEE9A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lor theme="1"/>
      </font>
      <numFmt numFmtId="0" formatCode="General"/>
      <fill>
        <patternFill>
          <bgColor rgb="FF49D2E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lor theme="1"/>
      </font>
      <numFmt numFmtId="0" formatCode="General"/>
      <fill>
        <patternFill>
          <bgColor rgb="FFAEE9A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theme="0"/>
      </font>
      <fill>
        <patternFill>
          <bgColor rgb="FFD75FD7"/>
        </patternFill>
      </fill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CCCC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/>
        <right/>
        <top/>
        <bottom/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CCCC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/>
        <right/>
        <top/>
        <bottom/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lor theme="1"/>
      </font>
      <numFmt numFmtId="0" formatCode="General"/>
      <fill>
        <patternFill>
          <bgColor rgb="FF49D2E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lor theme="1"/>
      </font>
      <numFmt numFmtId="0" formatCode="General"/>
      <fill>
        <patternFill>
          <bgColor rgb="FFAEE9A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theme="0"/>
      </font>
      <fill>
        <patternFill>
          <bgColor rgb="FFD75FD7"/>
        </patternFill>
      </fill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CCCC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lor theme="1"/>
      </font>
      <numFmt numFmtId="0" formatCode="General"/>
      <fill>
        <patternFill>
          <bgColor rgb="FFAEE9A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lor theme="0"/>
      </font>
      <fill>
        <patternFill>
          <bgColor rgb="FFD75FD7"/>
        </patternFill>
      </fill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/>
        <right/>
        <top/>
        <bottom/>
      </border>
    </dxf>
    <dxf>
      <font>
        <color auto="1"/>
      </font>
      <fill>
        <patternFill patternType="solid">
          <fgColor indexed="64"/>
          <bgColor rgb="FFCCCC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lor theme="1"/>
      </font>
      <numFmt numFmtId="0" formatCode="General"/>
      <fill>
        <patternFill>
          <bgColor rgb="FF49D2E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/>
        <right/>
        <top/>
        <bottom/>
      </border>
    </dxf>
    <dxf>
      <font>
        <color auto="1"/>
      </font>
      <fill>
        <patternFill patternType="solid">
          <fgColor indexed="64"/>
          <bgColor rgb="FFCCCC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CCCC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lor theme="1"/>
      </font>
      <numFmt numFmtId="0" formatCode="General"/>
      <fill>
        <patternFill>
          <bgColor rgb="FFAEE9A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theme="0"/>
      </font>
      <fill>
        <patternFill>
          <bgColor rgb="FFD75FD7"/>
        </patternFill>
      </fill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color theme="0"/>
      </font>
      <fill>
        <patternFill>
          <bgColor rgb="FFD75FD7"/>
        </patternFill>
      </fill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CCCC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/>
        <right/>
        <top/>
        <bottom/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CCCC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CCCC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/>
        <right/>
        <top/>
        <bottom/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lor theme="1"/>
      </font>
      <numFmt numFmtId="0" formatCode="General"/>
      <fill>
        <patternFill>
          <bgColor rgb="FF49D2E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lor theme="1"/>
      </font>
      <numFmt numFmtId="0" formatCode="General"/>
      <fill>
        <patternFill>
          <bgColor rgb="FFAEE9A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lor theme="0"/>
      </font>
      <fill>
        <patternFill>
          <bgColor rgb="FFD75FD7"/>
        </patternFill>
      </fill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lor theme="1"/>
      </font>
      <numFmt numFmtId="0" formatCode="General"/>
      <fill>
        <patternFill>
          <bgColor rgb="FFAEE9A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lor theme="1"/>
      </font>
      <numFmt numFmtId="0" formatCode="General"/>
      <fill>
        <patternFill>
          <bgColor rgb="FF49D2E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CCCC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/>
        <right/>
        <top/>
        <bottom/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lor theme="1"/>
      </font>
      <numFmt numFmtId="0" formatCode="General"/>
      <fill>
        <patternFill>
          <bgColor rgb="FF49D2E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lor theme="1"/>
      </font>
      <numFmt numFmtId="0" formatCode="General"/>
      <fill>
        <patternFill>
          <bgColor rgb="FFAEE9A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theme="0"/>
      </font>
      <fill>
        <patternFill>
          <bgColor rgb="FFD75FD7"/>
        </patternFill>
      </fill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CCCC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lor theme="1"/>
      </font>
      <numFmt numFmtId="0" formatCode="General"/>
      <fill>
        <patternFill>
          <bgColor rgb="FF49D2E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lor theme="1"/>
      </font>
      <numFmt numFmtId="0" formatCode="General"/>
      <fill>
        <patternFill>
          <bgColor rgb="FFAEE9A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lor theme="0"/>
      </font>
      <fill>
        <patternFill>
          <bgColor rgb="FFD75FD7"/>
        </patternFill>
      </fill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CCCC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/>
        <right/>
        <top/>
        <bottom/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/>
        <right/>
        <top/>
        <bottom/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</font>
      <fill>
        <patternFill patternType="solid">
          <fgColor indexed="64"/>
          <bgColor rgb="FFCCCC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lor theme="0"/>
      </font>
      <fill>
        <patternFill>
          <bgColor rgb="FFD75FD7"/>
        </patternFill>
      </fill>
    </dxf>
    <dxf>
      <font>
        <b val="0"/>
        <i val="0"/>
        <strike val="0"/>
        <color theme="1"/>
      </font>
      <numFmt numFmtId="0" formatCode="General"/>
      <fill>
        <patternFill>
          <bgColor rgb="FFAEE9A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lor theme="1"/>
      </font>
      <numFmt numFmtId="0" formatCode="General"/>
      <fill>
        <patternFill>
          <bgColor rgb="FF49D2E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CC33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color theme="0"/>
      </font>
      <fill>
        <patternFill patternType="solid">
          <fgColor indexed="64"/>
          <bgColor rgb="FFCC6666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FF993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lor auto="1"/>
      </font>
      <fill>
        <patternFill patternType="solid">
          <fgColor indexed="64"/>
          <bgColor rgb="FFFFFF00"/>
        </patternFill>
      </fill>
      <border>
        <left/>
        <right/>
        <top/>
        <bottom/>
      </border>
    </dxf>
    <dxf>
      <font>
        <color auto="1"/>
      </font>
      <fill>
        <patternFill patternType="solid">
          <fgColor indexed="64"/>
          <bgColor rgb="FFCCCC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66CC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66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0099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auto="1"/>
      </font>
      <fill>
        <patternFill patternType="solid">
          <fgColor indexed="64"/>
          <bgColor rgb="FFCCCC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fgColor indexed="64"/>
          <bgColor rgb="FFFF66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mruColors>
      <color rgb="FF00CC66"/>
      <color rgb="FF38D4D6"/>
      <color rgb="FFFF9933"/>
      <color rgb="FFCC9966"/>
      <color rgb="FFCCCC00"/>
      <color rgb="FFB4F2BB"/>
      <color rgb="FFABC7FF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7be80ab7076e48ea/Documents/OCJO_2015_PUBLIC/2014_NJO_Master_Session1_New23team.xlsx" TargetMode="External"/><Relationship Id="rId1" Type="http://schemas.openxmlformats.org/officeDocument/2006/relationships/externalLinkPath" Target="/7be80ab7076e48ea/Documents/OCJO_2015_PUBLIC/2014_NJO_Master_Session1_New23team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Nick/AppData/Local/Microsoft/Windows/Temporary%20Internet%20Files/Content.Outlook/UOFFHLQK/36%20team%20generic%20with%20advancement.xlsx" TargetMode="External"/><Relationship Id="rId1" Type="http://schemas.openxmlformats.org/officeDocument/2006/relationships/externalLinkPath" Target="/Users/Nick/AppData/Local/Microsoft/Windows/Temporary%20Internet%20Files/Content.Outlook/UOFFHLQK/36%20team%20generic%20with%20advancement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kaipalch/Library/Mail%20Downloads/48%20team%205%20pool%20with%20advancement.xlsx" TargetMode="External"/><Relationship Id="rId1" Type="http://schemas.openxmlformats.org/officeDocument/2006/relationships/externalLinkPath" Target="/Users/kaipalch/Library/Mail%20Downloads/48%20team%205%20pool%20with%20advancemen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kaipalch/Library/Mail%20Downloads/24%20team%20generic%20-%20like%2048%20generic%20with%20advancement.xlsx" TargetMode="External"/><Relationship Id="rId1" Type="http://schemas.openxmlformats.org/officeDocument/2006/relationships/externalLinkPath" Target="/Users/kaipalch/Library/Mail%20Downloads/24%20team%20generic%20-%20like%2048%20generic%20with%20advanceme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6f253ef3afcfe1c8/2019%20EVENTS/2019%20NJOS/45%20team%20-%20first%20draft.xlsx" TargetMode="External"/><Relationship Id="rId1" Type="http://schemas.openxmlformats.org/officeDocument/2006/relationships/externalLinkPath" Target="/6f253ef3afcfe1c8/2019%20EVENTS/2019%20NJOS/45%20team%20-%20first%20draf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6f253ef3afcfe1c8/Desktop/JO%20SCHEDULE%20TEMPLATES/46%20team%20-%20first%20draft.xls" TargetMode="External"/><Relationship Id="rId1" Type="http://schemas.openxmlformats.org/officeDocument/2006/relationships/externalLinkPath" Target="/6f253ef3afcfe1c8/Desktop/JO%20SCHEDULE%20TEMPLATES/46%20team%20-%20first%20draf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cratch Sheet"/>
      <sheetName val="Master_S1"/>
      <sheetName val="OLD_10F_CHAMP 6 teams"/>
      <sheetName val="OLD2_10F_CHAMP"/>
      <sheetName val="OLD 10U_F_Champ"/>
      <sheetName val="10F_CHAMP"/>
      <sheetName val="12U_M_Champ"/>
      <sheetName val="14U_M_Champ"/>
      <sheetName val="16U_M_Champ"/>
      <sheetName val="18U_M_Champ"/>
      <sheetName val="12bx_advance"/>
      <sheetName val="New 12U_M_Classic"/>
      <sheetName val="12U_M_Classic"/>
      <sheetName val="OLD_12U_M_Classic_24"/>
      <sheetName val="OLD 12U_M_Classic"/>
      <sheetName val="14U_M_Classic"/>
      <sheetName val="16U_M_Classic"/>
      <sheetName val="NEW-18U_M_Classic"/>
      <sheetName val="OLD 18U_M_Classic"/>
      <sheetName val="Site_Codes"/>
      <sheetName val="16U_M_Invite"/>
      <sheetName val="ChampionshipDay"/>
      <sheetName val="MASTER_SCHED"/>
      <sheetName val="Master by Location"/>
      <sheetName val="Sheet1"/>
      <sheetName val="POO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JO 36 team"/>
      <sheetName val="NJO 36 team - revised"/>
      <sheetName val="Advancement Table"/>
      <sheetName val="Sheet2"/>
      <sheetName val="Sheet1"/>
      <sheetName val="Advance - formul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urrent Schedule"/>
      <sheetName val="Old version"/>
      <sheetName val="Necessary quarter times"/>
      <sheetName val="schedule sorted"/>
      <sheetName val="Advancement Table"/>
      <sheetName val="Sheet3"/>
      <sheetName val="Checking sheet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24 team"/>
      <sheetName val="24 team - revised"/>
      <sheetName val="Lookup page"/>
      <sheetName val="Advancement table"/>
      <sheetName val="Advance - formula"/>
      <sheetName val="Sheet3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M16X_v4"/>
      <sheetName val="Sheet2"/>
      <sheetName val="M12_v6"/>
      <sheetName val="advancement"/>
      <sheetName val="Advance - 46 team"/>
      <sheetName val="46+5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M16X_v4"/>
      <sheetName val="Sheet2"/>
      <sheetName val="M12_v6"/>
      <sheetName val="advancement"/>
      <sheetName val="Advance - 46 team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D45E1-63A6-4FA3-8D53-47CAC457FBD0}">
  <dimension ref="A1:BE120"/>
  <sheetViews>
    <sheetView topLeftCell="T1" workbookViewId="0">
      <selection activeCell="AA19" sqref="AA19"/>
    </sheetView>
  </sheetViews>
  <sheetFormatPr defaultColWidth="9.19921875" defaultRowHeight="13.8"/>
  <cols>
    <col min="1" max="1" width="20.796875" style="323" bestFit="1" customWidth="1"/>
    <col min="2" max="2" width="20.796875" style="320" bestFit="1" customWidth="1"/>
    <col min="3" max="4" width="21.19921875" style="320" bestFit="1" customWidth="1"/>
    <col min="5" max="5" width="22.5" style="320" bestFit="1" customWidth="1"/>
    <col min="6" max="6" width="21.5" style="320" bestFit="1" customWidth="1"/>
    <col min="7" max="7" width="22" style="320" bestFit="1" customWidth="1"/>
    <col min="8" max="9" width="22.5" style="320" bestFit="1" customWidth="1"/>
    <col min="10" max="10" width="16.5" style="323" bestFit="1" customWidth="1"/>
    <col min="11" max="11" width="22.5" style="320" bestFit="1" customWidth="1"/>
    <col min="12" max="14" width="23.5" style="320" bestFit="1" customWidth="1"/>
    <col min="15" max="15" width="16.5" style="323" bestFit="1" customWidth="1"/>
    <col min="16" max="16" width="27.69921875" style="323" bestFit="1" customWidth="1"/>
    <col min="17" max="17" width="38.19921875" style="323" bestFit="1" customWidth="1"/>
    <col min="18" max="18" width="26" style="323" customWidth="1"/>
    <col min="19" max="19" width="27.796875" style="323" customWidth="1"/>
    <col min="20" max="20" width="34.5" style="323" bestFit="1" customWidth="1"/>
    <col min="21" max="21" width="16.5" style="323" bestFit="1" customWidth="1"/>
    <col min="22" max="22" width="22.5" style="320" bestFit="1" customWidth="1"/>
    <col min="23" max="23" width="30.5" style="323" customWidth="1"/>
    <col min="24" max="24" width="28.796875" style="323" customWidth="1"/>
    <col min="25" max="25" width="26.19921875" style="323" customWidth="1"/>
    <col min="26" max="26" width="16.5" style="323" bestFit="1" customWidth="1"/>
    <col min="27" max="27" width="30.796875" style="320" customWidth="1"/>
    <col min="28" max="28" width="21.19921875" style="320" bestFit="1" customWidth="1"/>
    <col min="29" max="29" width="21.5" style="320" bestFit="1" customWidth="1"/>
    <col min="30" max="30" width="27.19921875" style="320" customWidth="1"/>
    <col min="31" max="31" width="23.296875" style="320" customWidth="1"/>
    <col min="32" max="32" width="26.796875" style="320" customWidth="1"/>
    <col min="33" max="33" width="25.69921875" style="320" customWidth="1"/>
    <col min="34" max="34" width="26" style="320" customWidth="1"/>
    <col min="35" max="35" width="23.69921875" style="320" bestFit="1" customWidth="1"/>
    <col min="36" max="36" width="22.69921875" style="320" bestFit="1" customWidth="1"/>
    <col min="37" max="37" width="21.5" style="320" bestFit="1" customWidth="1"/>
    <col min="38" max="38" width="16.5" style="323" bestFit="1" customWidth="1"/>
    <col min="39" max="39" width="19.796875" style="320" bestFit="1" customWidth="1"/>
    <col min="40" max="40" width="22.5" style="320" bestFit="1" customWidth="1"/>
    <col min="41" max="41" width="21.69921875" style="320" customWidth="1"/>
    <col min="42" max="42" width="23.19921875" style="320" customWidth="1"/>
    <col min="43" max="43" width="22" style="320" customWidth="1"/>
    <col min="44" max="44" width="23.5" style="320" customWidth="1"/>
    <col min="45" max="45" width="22" style="320" customWidth="1"/>
    <col min="46" max="46" width="3.796875" style="320" customWidth="1"/>
    <col min="47" max="47" width="16.5" style="323" bestFit="1" customWidth="1"/>
    <col min="48" max="48" width="28.5" style="320" customWidth="1"/>
    <col min="49" max="49" width="22.69921875" style="320" bestFit="1" customWidth="1"/>
    <col min="50" max="50" width="19.19921875" style="320" bestFit="1" customWidth="1"/>
    <col min="51" max="54" width="22" style="320" customWidth="1"/>
    <col min="55" max="55" width="10.69921875" style="320" customWidth="1"/>
    <col min="56" max="16384" width="9.19921875" style="320"/>
  </cols>
  <sheetData>
    <row r="1" spans="1:57">
      <c r="A1" s="323" t="s">
        <v>0</v>
      </c>
      <c r="J1" s="323" t="s">
        <v>0</v>
      </c>
      <c r="O1" s="323" t="s">
        <v>0</v>
      </c>
      <c r="U1" s="323" t="s">
        <v>0</v>
      </c>
      <c r="Z1" s="323" t="s">
        <v>0</v>
      </c>
      <c r="AL1" s="323" t="s">
        <v>0</v>
      </c>
      <c r="AU1" s="323" t="s">
        <v>0</v>
      </c>
    </row>
    <row r="2" spans="1:57">
      <c r="A2" s="324" t="s">
        <v>1</v>
      </c>
      <c r="J2" s="324" t="s">
        <v>1</v>
      </c>
      <c r="O2" s="324" t="s">
        <v>1</v>
      </c>
      <c r="P2" s="324"/>
      <c r="Q2" s="324"/>
      <c r="R2" s="324"/>
      <c r="S2" s="324"/>
      <c r="T2" s="324"/>
      <c r="U2" s="324" t="s">
        <v>1</v>
      </c>
      <c r="W2" s="324"/>
      <c r="X2" s="324"/>
      <c r="Y2" s="324"/>
      <c r="Z2" s="324" t="s">
        <v>1</v>
      </c>
      <c r="AL2" s="324" t="s">
        <v>1</v>
      </c>
      <c r="AU2" s="324" t="s">
        <v>1</v>
      </c>
    </row>
    <row r="3" spans="1:57" s="323" customFormat="1">
      <c r="B3" s="323" t="s">
        <v>2</v>
      </c>
      <c r="C3" s="323" t="s">
        <v>3</v>
      </c>
      <c r="D3" s="323" t="s">
        <v>4</v>
      </c>
      <c r="E3" s="323" t="s">
        <v>5</v>
      </c>
      <c r="F3" s="323" t="s">
        <v>6</v>
      </c>
      <c r="G3" s="323" t="s">
        <v>7</v>
      </c>
      <c r="H3" s="323" t="s">
        <v>8</v>
      </c>
      <c r="I3" s="323" t="s">
        <v>9</v>
      </c>
      <c r="K3" s="323" t="s">
        <v>10</v>
      </c>
      <c r="L3" s="323" t="s">
        <v>11</v>
      </c>
      <c r="M3" s="323" t="s">
        <v>12</v>
      </c>
      <c r="N3" s="323" t="s">
        <v>13</v>
      </c>
      <c r="P3" s="323" t="s">
        <v>14</v>
      </c>
      <c r="Q3" s="323" t="s">
        <v>15</v>
      </c>
      <c r="R3" s="323" t="s">
        <v>16</v>
      </c>
      <c r="S3" s="323" t="s">
        <v>17</v>
      </c>
      <c r="T3" s="323" t="s">
        <v>18</v>
      </c>
      <c r="V3" s="323" t="s">
        <v>19</v>
      </c>
      <c r="W3" s="323" t="s">
        <v>20</v>
      </c>
      <c r="X3" s="323" t="s">
        <v>21</v>
      </c>
      <c r="Y3" s="323" t="s">
        <v>22</v>
      </c>
      <c r="AA3" s="323" t="s">
        <v>23</v>
      </c>
      <c r="AB3" s="323" t="s">
        <v>24</v>
      </c>
      <c r="AC3" s="323" t="s">
        <v>25</v>
      </c>
      <c r="AD3" s="323" t="s">
        <v>26</v>
      </c>
      <c r="AE3" s="323" t="s">
        <v>27</v>
      </c>
      <c r="AF3" s="323" t="s">
        <v>28</v>
      </c>
      <c r="AG3" s="323" t="s">
        <v>29</v>
      </c>
      <c r="AH3" s="323" t="s">
        <v>30</v>
      </c>
      <c r="AI3" s="323" t="s">
        <v>31</v>
      </c>
      <c r="AJ3" s="323" t="s">
        <v>32</v>
      </c>
      <c r="AK3" s="323" t="s">
        <v>33</v>
      </c>
      <c r="AM3" s="323" t="s">
        <v>34</v>
      </c>
      <c r="AN3" s="323" t="s">
        <v>35</v>
      </c>
      <c r="AO3" s="323" t="s">
        <v>36</v>
      </c>
      <c r="AP3" s="323" t="s">
        <v>37</v>
      </c>
      <c r="AQ3" s="323" t="s">
        <v>38</v>
      </c>
      <c r="AR3" s="323" t="s">
        <v>39</v>
      </c>
      <c r="AS3" s="323" t="s">
        <v>40</v>
      </c>
      <c r="AV3" s="323" t="s">
        <v>41</v>
      </c>
      <c r="AW3" s="323" t="s">
        <v>42</v>
      </c>
      <c r="AX3" s="323" t="s">
        <v>43</v>
      </c>
      <c r="AY3" s="323" t="s">
        <v>44</v>
      </c>
      <c r="AZ3" s="323" t="s">
        <v>45</v>
      </c>
      <c r="BA3" s="323" t="s">
        <v>46</v>
      </c>
      <c r="BB3" s="323" t="s">
        <v>47</v>
      </c>
      <c r="BE3" s="323">
        <f>COUNTA(B3:BC3)</f>
        <v>46</v>
      </c>
    </row>
    <row r="4" spans="1:57">
      <c r="A4" s="325">
        <v>0.29166666666666669</v>
      </c>
      <c r="C4" s="80" t="str">
        <f>'10U_Coed_Champ_36'!L36&amp;"-"&amp;'10U_Coed_Champ_36'!C36&amp;"-"&amp;TEXT('10U_Coed_Champ_36'!B16,"h:mm am/pm")</f>
        <v>10C-002-Group H-7:00 AM</v>
      </c>
      <c r="E4" s="80" t="str">
        <f>'10U_Coed_Champ_36'!L16&amp;"-"&amp;'10U_Coed_Champ_36'!C16&amp;"-"&amp;TEXT('10U_Coed_Champ_36'!B16,"h:mm am/pm")</f>
        <v>10C-001-Group A-7:00 AM</v>
      </c>
      <c r="F4" s="80" t="str">
        <f>'10U_Coed_Champ_36'!L56&amp;"-"&amp;'10U_Coed_Champ_36'!C56&amp;"-"&amp;TEXT('10U_Coed_Champ_36'!B36,"h:mm am/pm")</f>
        <v>10C-003-Group I-7:00 AM</v>
      </c>
      <c r="H4" s="322"/>
      <c r="I4" s="103" t="str">
        <f>'10U_Coed_Classic 22 from 23'!L12&amp;"-"&amp;'10U_Coed_Classic 22 from 23'!C12&amp;"-"&amp;TEXT('10U_Coed_Classic 22 from 23'!B12,"h:mm am/pm")</f>
        <v>10CX-001-Group-7:00 AM</v>
      </c>
      <c r="J4" s="325">
        <v>0.29166666666666669</v>
      </c>
      <c r="K4" s="319" t="str">
        <f>'12U_Coed_Champ-45'!L20&amp;"-"&amp;'12U_Coed_Champ-45'!C20&amp;"-"&amp;TEXT('12U_Coed_Champ-45'!B20,"h:mm am/pm")</f>
        <v>12C-001-Group-7:00 AM</v>
      </c>
      <c r="L4" s="319" t="str">
        <f>'12U_Coed_Champ-45'!L38&amp;"-"&amp;'12U_Coed_Champ-45'!C38&amp;"-"&amp;TEXT('12U_Coed_Champ-45'!B38,"h:mm am/pm")</f>
        <v>12C-004-Group-7:00 AM</v>
      </c>
      <c r="M4" s="319" t="str">
        <f>'12U_Coed_Champ-45'!L57&amp;"-"&amp;'12U_Coed_Champ-45'!C57&amp;"-"&amp;TEXT('12U_Coed_Champ-45'!B57,"h:mm am/pm")</f>
        <v>12C-003-bracket-7:00 AM</v>
      </c>
      <c r="N4" s="319" t="str">
        <f>'12U_Coed_Champ-45'!L75&amp;"-"&amp;'12U_Coed_Champ-45'!C75&amp;"-"&amp;TEXT('12U_Coed_Champ-45'!B75,"h:mm am/pm")</f>
        <v>12C-002-bracket-7:00 AM</v>
      </c>
      <c r="O4" s="325">
        <v>0.29166666666666669</v>
      </c>
      <c r="P4" s="449" t="str">
        <f>'12U_F_Champ-52'!L29&amp;"-"&amp;'12U_F_Champ-52'!C29&amp;"-"&amp;TEXT('12U_F_Champ-52'!B29,"h:mm am/pm")</f>
        <v>12G-005-Group-7:00 AM</v>
      </c>
      <c r="Q4" s="449" t="str">
        <f>'12U_F_Champ-52'!L68&amp;"-"&amp;'12U_F_Champ-52'!C68&amp;"-"&amp;TEXT('12U_F_Champ-52'!B68,"h:mm am/pm")</f>
        <v>12G-002-Group-7:00 AM</v>
      </c>
      <c r="R4" s="449" t="str">
        <f>'12U_F_Champ-52'!L107&amp;"-"&amp;'12U_F_Champ-52'!C107&amp;"-"&amp;TEXT('12U_F_Champ-52'!B107,"h:mm am/pm")</f>
        <v>12G-004-Group-7:00 AM</v>
      </c>
      <c r="S4" s="449" t="str">
        <f>'12U_F_Champ-52'!L48&amp;"-"&amp;'12U_F_Champ-52'!C48&amp;"-"&amp;TEXT('12U_F_Champ-52'!B48,"h:mm am/pm")</f>
        <v>12G-001-Group-7:00 AM</v>
      </c>
      <c r="T4" s="449" t="str">
        <f>'12U_F_Champ-52'!L88&amp;"-"&amp;'12U_F_Champ-52'!C88&amp;"-"&amp;TEXT('12U_F_Champ-52'!B88,"h:mm am/pm")</f>
        <v>12G-003-Group-7:00 AM</v>
      </c>
      <c r="U4" s="325">
        <v>0.29166666666666669</v>
      </c>
      <c r="V4" s="328" t="str">
        <f>'14U_F_Champ'!L18&amp;"-"&amp;'14U_F_Champ'!C18&amp;"-"&amp;TEXT('14U_F_Champ'!B18,"h:mm am/pm")</f>
        <v>14G-001-Group-7:00 AM</v>
      </c>
      <c r="W4" s="450" t="str">
        <f>'14U_F_Classic-39 from 40'!L40&amp;"-"&amp;'14U_F_Classic-39 from 40'!C40&amp;"-"&amp;TEXT('14U_F_Classic-39 from 40'!B40,"h:mm am/pm")</f>
        <v>14GX-004-Group-7:00 AM</v>
      </c>
      <c r="X4" s="450" t="str">
        <f>'14U_F_Classic-39 from 40'!L58&amp;"-"&amp;'14U_F_Classic-39 from 40'!C58&amp;"-"&amp;TEXT('14U_F_Classic-39 from 40'!B58,"h:mm am/pm")</f>
        <v>14GX-002-Group-7:00 AM</v>
      </c>
      <c r="Y4" s="450" t="str">
        <f>'14U_F_Classic-39 from 40'!L76&amp;"-"&amp;'14U_F_Classic-39 from 40'!C76&amp;"-"&amp;TEXT('14U_F_Classic-39 from 40'!B76,"h:mm am/pm")</f>
        <v>14GX-001-Group-7:00 AM</v>
      </c>
      <c r="Z4" s="325">
        <v>0.29166666666666669</v>
      </c>
      <c r="AA4" s="450" t="str">
        <f>'14U_F_Classic-39 from 40'!L22&amp;"-"&amp;'14U_F_Classic-39 from 40'!C22&amp;"-"&amp;TEXT('14U_F_Classic-39 from 40'!B22,"h:mm am/pm")</f>
        <v>14GX-003-Group-7:00 AM</v>
      </c>
      <c r="AB4" s="328" t="str">
        <f>'14U_F_Champ'!L37&amp;"-"&amp;'14U_F_Champ'!C37&amp;"-"&amp;TEXT('14U_F_Champ'!B37,"h:mm am/pm")</f>
        <v>14G-002-Group-7:00 AM</v>
      </c>
      <c r="AC4" s="328" t="str">
        <f>'14U_F_Champ'!L56&amp;"-"&amp;'14U_F_Champ'!C56&amp;"-"&amp;TEXT('14U_F_Champ'!B56,"h:mm am/pm")</f>
        <v>14G-003-Group-7:00 AM</v>
      </c>
      <c r="AD4" s="328" t="str">
        <f>'14U_F_Champ'!L75&amp;"-"&amp;'14U_F_Champ'!C75&amp;"-"&amp;TEXT('14U_F_Champ'!B75,"h:mm am/pm")</f>
        <v>14G-004-Group-7:00 AM</v>
      </c>
      <c r="AE4" s="322"/>
      <c r="AF4" s="339" t="str">
        <f>'16U_F_Classic-45'!L38&amp;"-"&amp;'16U_F_Classic-45'!C38&amp;"-"&amp;TEXT('16U_F_Classic-45'!B38,"h:mm am/pm")</f>
        <v>16GX-004-Group-7:00 AM</v>
      </c>
      <c r="AG4" s="339" t="str">
        <f>'16U_F_Classic-45'!L20&amp;"-"&amp;'16U_F_Classic-45'!C20&amp;"-"&amp;TEXT('16U_F_Classic-45'!B20,"h:mm am/pm")</f>
        <v>16GX-001-Group-7:00 AM</v>
      </c>
      <c r="AH4" s="339" t="str">
        <f>'16U_F_Classic-45'!L75&amp;"-"&amp;'16U_F_Classic-45'!C75&amp;"-"&amp;TEXT('16U_F_Classic-45'!B75,"h:mm am/pm")</f>
        <v>16GX-002-bracket-7:00 AM</v>
      </c>
      <c r="AI4" s="339" t="str">
        <f>'16U_F_Classic-45'!L57&amp;"-"&amp;'16U_F_Classic-45'!C57&amp;"-"&amp;TEXT('16U_F_Classic-45'!B57,"h:mm am/pm")</f>
        <v>16GX-003-bracket-7:00 AM</v>
      </c>
      <c r="AJ4" s="329" t="str">
        <f>'16U_F_Champ'!L75&amp;"-"&amp;'16U_F_Champ'!C75&amp;"-"&amp;TEXT('16U_F_Champ'!B75,"h:mm am/pm")</f>
        <v>16G-004-Group-7:00 AM</v>
      </c>
      <c r="AK4" s="331" t="str">
        <f>'18U_F_Classic-44'!L20&amp;"-"&amp;'18U_F_Classic-44'!C20&amp;"-"&amp;TEXT('18U_F_Classic-44'!B20,"h:mm am/pm")</f>
        <v>18GX-009-Group-7:00 AM</v>
      </c>
      <c r="AL4" s="325">
        <v>0.29166666666666669</v>
      </c>
      <c r="AM4" s="329" t="str">
        <f>'16U_F_Champ'!L18&amp;"-"&amp;'16U_F_Champ'!C18&amp;"-"&amp;TEXT('16U_F_Champ'!B18,"h:mm am/pm")</f>
        <v>16G-001-Group-7:00 AM</v>
      </c>
      <c r="AN4" s="329" t="str">
        <f>'16U_F_Champ'!L37&amp;"-"&amp;'16U_F_Champ'!C37&amp;"-"&amp;TEXT('16U_F_Champ'!B37,"h:mm am/pm")</f>
        <v>16G-002-Group-7:00 AM</v>
      </c>
      <c r="AO4" s="329" t="str">
        <f>'16U_F_Champ'!L56&amp;"-"&amp;'16U_F_Champ'!C56&amp;"-"&amp;TEXT('16U_F_Champ'!B56,"h:mm am/pm")</f>
        <v>16G-003-Group-7:00 AM</v>
      </c>
      <c r="AP4" s="331" t="str">
        <f>'18U_F_Classic-44'!L81&amp;"-"&amp;'18U_F_Classic-44'!C81&amp;"-"&amp;TEXT('18U_F_Classic-44'!B81,"h:mm am/pm")</f>
        <v>18GX-004-Group-7:00 AM</v>
      </c>
      <c r="AQ4" s="331" t="str">
        <f>'18U_F_Classic-44'!L40&amp;"-"&amp;'18U_F_Classic-44'!C40&amp;"-"&amp;TEXT('18U_F_Classic-44'!B40,"h:mm am/pm")</f>
        <v>18GX-002-Group-7:00 AM</v>
      </c>
      <c r="AR4" s="331" t="str">
        <f>'18U_F_Classic-44'!L61&amp;"-"&amp;'18U_F_Classic-44'!C61&amp;"-"&amp;TEXT('18U_F_Classic-44'!B61,"h:mm am/pm")</f>
        <v>18GX-011-Group-7:00 AM</v>
      </c>
      <c r="AS4" s="322"/>
      <c r="AU4" s="325">
        <v>0.29166666666666669</v>
      </c>
      <c r="AV4" s="330" t="str">
        <f>'18U_F_Champ'!L50&amp;"-"&amp;'18U_F_Champ'!C50&amp;"-"&amp;TEXT('18U_F_Champ'!B50,"h:mm am/pm")</f>
        <v>18G-004-Group-7:00 AM</v>
      </c>
      <c r="AW4" s="322"/>
      <c r="AX4" s="330" t="str">
        <f>'18U_F_Champ'!L82&amp;"-"&amp;'18U_F_Champ'!C82&amp;"-"&amp;TEXT('18U_F_Champ'!B82,"h:mm am/pm")</f>
        <v>18G-005-Group-7:00 AM</v>
      </c>
      <c r="AY4" s="330" t="str">
        <f>'18U_F_Champ'!L18&amp;"-"&amp;'18U_F_Champ'!C18&amp;"-"&amp;TEXT('18U_F_Champ'!B18,"h:mm am/pm")</f>
        <v>18G-001-Group-7:00 AM</v>
      </c>
      <c r="AZ4" s="330" t="str">
        <f>'18U_F_Champ'!L66&amp;"-"&amp;'18U_F_Champ'!C66&amp;"-"&amp;TEXT('18U_F_Champ'!B66,"h:mm am/pm")</f>
        <v>18G-003-Group-7:00 AM</v>
      </c>
      <c r="BA4" s="322"/>
      <c r="BB4" s="330" t="str">
        <f>'18U_F_Champ'!L34&amp;"-"&amp;'18U_F_Champ'!C34&amp;"-"&amp;TEXT('18U_F_Champ'!B34,"h:mm am/pm")</f>
        <v>18G-002-Group-7:00 AM</v>
      </c>
    </row>
    <row r="5" spans="1:57">
      <c r="A5" s="325">
        <v>0.3263888888888889</v>
      </c>
      <c r="B5" s="103" t="str">
        <f>'10U_Coed_Classic 22 from 23'!L31&amp;"-"&amp;'10U_Coed_Classic 22 from 23'!C31&amp;"-"&amp;TEXT('10U_Coed_Classic 22 from 23'!B31,"h:mm am/pm")</f>
        <v>10CX-002-Group-7:50 AM</v>
      </c>
      <c r="C5" s="80" t="str">
        <f>'10U_Coed_Champ_36'!L37&amp;"-"&amp;'10U_Coed_Champ_36'!C37&amp;"-"&amp;TEXT('10U_Coed_Champ_36'!B17,"h:mm am/pm")</f>
        <v>10C-005-Group G-7:50 AM</v>
      </c>
      <c r="E5" s="80" t="str">
        <f>'10U_Coed_Champ_36'!L17&amp;"-"&amp;'10U_Coed_Champ_36'!C17&amp;"-"&amp;TEXT('10U_Coed_Champ_36'!B17,"h:mm am/pm")</f>
        <v>10C-004-Group B-7:50 AM</v>
      </c>
      <c r="F5" s="80" t="str">
        <f>'10U_Coed_Champ_36'!L57&amp;"-"&amp;'10U_Coed_Champ_36'!C57&amp;"-"&amp;TEXT('10U_Coed_Champ_36'!B37,"h:mm am/pm")</f>
        <v>10C-006-Group J-7:50 AM</v>
      </c>
      <c r="H5" s="322"/>
      <c r="I5" s="103" t="str">
        <f>'10U_Coed_Classic 22 from 23'!L13&amp;"-"&amp;'10U_Coed_Classic 22 from 23'!C13&amp;"-"&amp;TEXT('10U_Coed_Classic 22 from 23'!B13,"h:mm am/pm")</f>
        <v>10CX-003-Group-7:50 AM</v>
      </c>
      <c r="J5" s="325">
        <v>0.3263888888888889</v>
      </c>
      <c r="K5" s="319" t="str">
        <f>'12U_Coed_Champ-45'!L21&amp;"-"&amp;'12U_Coed_Champ-45'!C21&amp;"-"&amp;TEXT('12U_Coed_Champ-45'!B21,"h:mm am/pm")</f>
        <v>12C-005-Group-7:50 AM</v>
      </c>
      <c r="L5" s="319" t="str">
        <f>'12U_Coed_Champ-45'!L39&amp;"-"&amp;'12U_Coed_Champ-45'!C39&amp;"-"&amp;TEXT('12U_Coed_Champ-45'!B39,"h:mm am/pm")</f>
        <v>12C-008-Group-7:50 AM</v>
      </c>
      <c r="M5" s="319" t="str">
        <f>'12U_Coed_Champ-45'!L58&amp;"-"&amp;'12U_Coed_Champ-45'!C58&amp;"-"&amp;TEXT('12U_Coed_Champ-45'!B58,"h:mm am/pm")</f>
        <v>12C-011-Group-7:50 AM</v>
      </c>
      <c r="N5" s="319" t="str">
        <f>'12U_Coed_Champ-45'!L76&amp;"-"&amp;'12U_Coed_Champ-45'!C76&amp;"-"&amp;TEXT('12U_Coed_Champ-45'!B76,"h:mm am/pm")</f>
        <v>12C-010-Group-7:50 AM</v>
      </c>
      <c r="O5" s="325">
        <v>0.3263888888888889</v>
      </c>
      <c r="P5" s="449" t="str">
        <f>'12U_F_Champ-52'!L30&amp;"-"&amp;'12U_F_Champ-52'!C30&amp;"-"&amp;TEXT('12U_F_Champ-52'!B30,"h:mm am/pm")</f>
        <v>12G-5A-Group-7:50 AM</v>
      </c>
      <c r="Q5" s="449" t="str">
        <f>'12U_F_Champ-52'!L69&amp;"-"&amp;'12U_F_Champ-52'!C69&amp;"-"&amp;TEXT('12U_F_Champ-52'!B69,"h:mm am/pm")</f>
        <v>12G-007-Group-7:50 AM</v>
      </c>
      <c r="R5" s="449" t="str">
        <f>'12U_F_Champ-52'!L108&amp;"-"&amp;'12U_F_Champ-52'!C108&amp;"-"&amp;TEXT('12U_F_Champ-52'!B108,"h:mm am/pm")</f>
        <v>12G-009-Group-7:50 AM</v>
      </c>
      <c r="S5" s="449" t="str">
        <f>'12U_F_Champ-52'!L49&amp;"-"&amp;'12U_F_Champ-52'!C49&amp;"-"&amp;TEXT('12U_F_Champ-52'!B49,"h:mm am/pm")</f>
        <v>12G-006-Group-7:50 AM</v>
      </c>
      <c r="T5" s="449" t="str">
        <f>'12U_F_Champ-52'!L89&amp;"-"&amp;'12U_F_Champ-52'!C89&amp;"-"&amp;TEXT('12U_F_Champ-52'!B89,"h:mm am/pm")</f>
        <v>12G-008-Group-7:50 AM</v>
      </c>
      <c r="U5" s="325">
        <v>0.3263888888888889</v>
      </c>
      <c r="V5" s="328" t="str">
        <f>'14U_F_Champ'!L19&amp;"-"&amp;'14U_F_Champ'!C19&amp;"-"&amp;TEXT('14U_F_Champ'!B19,"h:mm am/pm")</f>
        <v>14G-005-Group-7:50 AM</v>
      </c>
      <c r="W5" s="450" t="str">
        <f>'14U_F_Classic-39 from 40'!L41&amp;"-"&amp;'14U_F_Classic-39 from 40'!C41&amp;"-"&amp;TEXT('14U_F_Classic-39 from 40'!B41,"h:mm am/pm")</f>
        <v>14GX-008-Group-7:50 AM</v>
      </c>
      <c r="X5" s="450" t="str">
        <f>'14U_F_Classic-39 from 40'!L59&amp;"-"&amp;'14U_F_Classic-39 from 40'!C59&amp;"-"&amp;TEXT('14U_F_Classic-39 from 40'!B59,"h:mm am/pm")</f>
        <v>14GX-006-Group-7:50 AM</v>
      </c>
      <c r="Y5" s="450" t="str">
        <f>'14U_F_Classic-39 from 40'!L77&amp;"-"&amp;'14U_F_Classic-39 from 40'!C77&amp;"-"&amp;TEXT('14U_F_Classic-39 from 40'!B77,"h:mm am/pm")</f>
        <v>14GX-005-Group-7:50 AM</v>
      </c>
      <c r="Z5" s="325">
        <v>0.3263888888888889</v>
      </c>
      <c r="AA5" s="450" t="str">
        <f>'14U_F_Classic-39 from 40'!L23&amp;"-"&amp;'14U_F_Classic-39 from 40'!C23&amp;"-"&amp;TEXT('14U_F_Classic-39 from 40'!B23,"h:mm am/pm")</f>
        <v>14GX-007-Group-7:50 AM</v>
      </c>
      <c r="AB5" s="328" t="str">
        <f>'14U_F_Champ'!L38&amp;"-"&amp;'14U_F_Champ'!C38&amp;"-"&amp;TEXT('14U_F_Champ'!B38,"h:mm am/pm")</f>
        <v>14G-006-Group-7:50 AM</v>
      </c>
      <c r="AC5" s="328" t="str">
        <f>'14U_F_Champ'!L57&amp;"-"&amp;'14U_F_Champ'!C57&amp;"-"&amp;TEXT('14U_F_Champ'!B57,"h:mm am/pm")</f>
        <v>14G-007-Group-7:50 AM</v>
      </c>
      <c r="AD5" s="328" t="str">
        <f>'14U_F_Champ'!L76&amp;"-"&amp;'14U_F_Champ'!C76&amp;"-"&amp;TEXT('14U_F_Champ'!B76,"h:mm am/pm")</f>
        <v>14G-008-Group-7:50 AM</v>
      </c>
      <c r="AE5" s="322"/>
      <c r="AF5" s="339" t="str">
        <f>'16U_F_Classic-45'!L39&amp;"-"&amp;'16U_F_Classic-45'!C39&amp;"-"&amp;TEXT('16U_F_Classic-45'!B39,"h:mm am/pm")</f>
        <v>16GX-008-Group-7:50 AM</v>
      </c>
      <c r="AG5" s="339" t="str">
        <f>'16U_F_Classic-45'!L21&amp;"-"&amp;'16U_F_Classic-45'!C21&amp;"-"&amp;TEXT('16U_F_Classic-45'!B21,"h:mm am/pm")</f>
        <v>16GX-005-Group-7:50 AM</v>
      </c>
      <c r="AH5" s="339" t="str">
        <f>'16U_F_Classic-45'!L76&amp;"-"&amp;'16U_F_Classic-45'!C76&amp;"-"&amp;TEXT('16U_F_Classic-45'!B76,"h:mm am/pm")</f>
        <v>16GX-010-Group-7:50 AM</v>
      </c>
      <c r="AI5" s="339" t="str">
        <f>'16U_F_Classic-45'!L58&amp;"-"&amp;'16U_F_Classic-45'!C58&amp;"-"&amp;TEXT('16U_F_Classic-45'!B58,"h:mm am/pm")</f>
        <v>16GX-011-Group-7:50 AM</v>
      </c>
      <c r="AJ5" s="329" t="str">
        <f>'16U_F_Champ'!L76&amp;"-"&amp;'16U_F_Champ'!C76&amp;"-"&amp;TEXT('16U_F_Champ'!B76,"h:mm am/pm")</f>
        <v>16G-008-Group-7:50 AM</v>
      </c>
      <c r="AK5" s="331" t="str">
        <f>'18U_F_Classic-44'!L21&amp;"-"&amp;'18U_F_Classic-44'!C21&amp;"-"&amp;TEXT('18U_F_Classic-44'!B21,"h:mm am/pm")</f>
        <v>18GX-013-Group-7:50 AM</v>
      </c>
      <c r="AL5" s="325">
        <v>0.3263888888888889</v>
      </c>
      <c r="AM5" s="329" t="str">
        <f>'16U_F_Champ'!L19&amp;"-"&amp;'16U_F_Champ'!C19&amp;"-"&amp;TEXT('16U_F_Champ'!B19,"h:mm am/pm")</f>
        <v>16G-005-Group-7:50 AM</v>
      </c>
      <c r="AN5" s="329" t="str">
        <f>'16U_F_Champ'!L38&amp;"-"&amp;'16U_F_Champ'!C38&amp;"-"&amp;TEXT('16U_F_Champ'!B38,"h:mm am/pm")</f>
        <v>16G-006-Group-7:50 AM</v>
      </c>
      <c r="AO5" s="329" t="str">
        <f>'16U_F_Champ'!L57&amp;"-"&amp;'16U_F_Champ'!C57&amp;"-"&amp;TEXT('16U_F_Champ'!B57,"h:mm am/pm")</f>
        <v>16G-007-Group-7:50 AM</v>
      </c>
      <c r="AP5" s="331" t="str">
        <f>'18U_F_Classic-44'!L82&amp;"-"&amp;'18U_F_Classic-44'!C82&amp;"-"&amp;TEXT('18U_F_Classic-44'!B82,"h:mm am/pm")</f>
        <v>18GX-008-Group-7:50 AM</v>
      </c>
      <c r="AQ5" s="331" t="str">
        <f>'18U_F_Classic-44'!L41&amp;"-"&amp;'18U_F_Classic-44'!C41&amp;"-"&amp;TEXT('18U_F_Classic-44'!B41,"h:mm am/pm")</f>
        <v>18GX-006-Group-7:50 AM</v>
      </c>
      <c r="AR5" s="331" t="str">
        <f>'18U_F_Classic-44'!L62&amp;"-"&amp;'18U_F_Classic-44'!C62&amp;"-"&amp;TEXT('18U_F_Classic-44'!B62,"h:mm am/pm")</f>
        <v>18GX-015-Group-7:50 AM</v>
      </c>
      <c r="AS5" s="322"/>
      <c r="AU5" s="325">
        <v>0.33333333333333298</v>
      </c>
      <c r="AV5" s="330" t="str">
        <f>'18U_F_Champ'!L51&amp;"-"&amp;'18U_F_Champ'!C51&amp;"-"&amp;TEXT('18U_F_Champ'!B51,"h:mm am/pm")</f>
        <v>18G-008-Group-8:00 AM</v>
      </c>
      <c r="AW5" s="322"/>
      <c r="AX5" s="330" t="str">
        <f>'18U_F_Champ'!L83&amp;"-"&amp;'18U_F_Champ'!C83&amp;"-"&amp;TEXT('18U_F_Champ'!B83,"h:mm am/pm")</f>
        <v>18G-010-Group-8:00 AM</v>
      </c>
      <c r="AY5" s="330" t="str">
        <f>'18U_F_Champ'!L19&amp;"-"&amp;'18U_F_Champ'!C19&amp;"-"&amp;TEXT('18U_F_Champ'!B19,"h:mm am/pm")</f>
        <v>18G-006-Group-8:00 AM</v>
      </c>
      <c r="AZ5" s="330" t="str">
        <f>'18U_F_Champ'!L67&amp;"-"&amp;'18U_F_Champ'!C67&amp;"-"&amp;TEXT('18U_F_Champ'!B67,"h:mm am/pm")</f>
        <v>18G-009-Group-8:00 AM</v>
      </c>
      <c r="BA5" s="322"/>
      <c r="BB5" s="330" t="str">
        <f>'18U_F_Champ'!L35&amp;"-"&amp;'18U_F_Champ'!C35&amp;"-"&amp;TEXT('18U_F_Champ'!B35,"h:mm am/pm")</f>
        <v>18G-007-Group-8:00 AM</v>
      </c>
    </row>
    <row r="6" spans="1:57">
      <c r="A6" s="325">
        <v>0.36111111111111099</v>
      </c>
      <c r="B6" s="103" t="str">
        <f>'10U_Coed_Classic 22 from 23'!L32&amp;"-"&amp;'10U_Coed_Classic 22 from 23'!C32&amp;"-"&amp;TEXT('10U_Coed_Classic 22 from 23'!B32,"h:mm am/pm")</f>
        <v>10CX-008-Group-8:40 AM</v>
      </c>
      <c r="C6" s="80" t="str">
        <f>'10U_Coed_Champ_36'!L38&amp;"-"&amp;'10U_Coed_Champ_36'!C38&amp;"-"&amp;TEXT('10U_Coed_Champ_36'!B18,"h:mm am/pm")</f>
        <v>10C-008-Group F-8:40 AM</v>
      </c>
      <c r="D6" s="46" t="str">
        <f>'10U_F_Champ-18 teams'!L12&amp;"-"&amp;'10U_F_Champ-18 teams'!C12&amp;"-"&amp;TEXT('10U_F_Champ-18 teams'!B12,"h:mm am/pm")</f>
        <v>10G-001-RR-8:40 AM</v>
      </c>
      <c r="E6" s="80" t="str">
        <f>'10U_Coed_Champ_36'!L18&amp;"-"&amp;'10U_Coed_Champ_36'!C18&amp;"-"&amp;TEXT('10U_Coed_Champ_36'!B18,"h:mm am/pm")</f>
        <v>10C-007-Group C-8:40 AM</v>
      </c>
      <c r="F6" s="80" t="str">
        <f>'10U_Coed_Champ_36'!L58&amp;"-"&amp;'10U_Coed_Champ_36'!C58&amp;"-"&amp;TEXT('10U_Coed_Champ_36'!B38,"h:mm am/pm")</f>
        <v>10C-009-Group K-8:40 AM</v>
      </c>
      <c r="G6" s="46" t="str">
        <f>'10U_F_Champ-18 teams'!L28&amp;"-"&amp;'10U_F_Champ-18 teams'!C28&amp;"-"&amp;TEXT('10U_F_Champ-18 teams'!B28,"h:mm am/pm")</f>
        <v>10G-002-RR-8:40 AM</v>
      </c>
      <c r="H6" s="322"/>
      <c r="I6" s="103" t="str">
        <f>'10U_Coed_Classic 22 from 23'!L14&amp;"-"&amp;'10U_Coed_Classic 22 from 23'!C14&amp;"-"&amp;TEXT('10U_Coed_Classic 22 from 23'!B14,"h:mm am/pm")</f>
        <v>10CX-005-Group-8:40 AM</v>
      </c>
      <c r="J6" s="325">
        <v>0.36111111111111099</v>
      </c>
      <c r="K6" s="319" t="str">
        <f>'12U_Coed_Champ-45'!L22&amp;"-"&amp;'12U_Coed_Champ-45'!C22&amp;"-"&amp;TEXT('12U_Coed_Champ-45'!B22,"h:mm am/pm")</f>
        <v>12C-009-Group-8:40 AM</v>
      </c>
      <c r="L6" s="319" t="str">
        <f>'12U_Coed_Champ-45'!L40&amp;"-"&amp;'12U_Coed_Champ-45'!C40&amp;"-"&amp;TEXT('12U_Coed_Champ-45'!B40,"h:mm am/pm")</f>
        <v>12C-012-Group-8:40 AM</v>
      </c>
      <c r="M6" s="319" t="str">
        <f>'12U_Coed_Champ-45'!L59&amp;"-"&amp;'12U_Coed_Champ-45'!C59&amp;"-"&amp;TEXT('12U_Coed_Champ-45'!B59,"h:mm am/pm")</f>
        <v>12C-015-Group-8:40 AM</v>
      </c>
      <c r="N6" s="319" t="str">
        <f>'12U_Coed_Champ-45'!L77&amp;"-"&amp;'12U_Coed_Champ-45'!C77&amp;"-"&amp;TEXT('12U_Coed_Champ-45'!B77,"h:mm am/pm")</f>
        <v>12C-014-Group-8:40 AM</v>
      </c>
      <c r="O6" s="325">
        <v>0.36111111111111099</v>
      </c>
      <c r="P6" s="449" t="str">
        <f>'12U_F_Champ-52'!L31&amp;"-"&amp;'12U_F_Champ-52'!C31&amp;"-"&amp;TEXT('12U_F_Champ-52'!B31,"h:mm am/pm")</f>
        <v>12G-010-Group-8:40 AM</v>
      </c>
      <c r="Q6" s="449" t="str">
        <f>'12U_F_Champ-52'!L70&amp;"-"&amp;'12U_F_Champ-52'!C70&amp;"-"&amp;TEXT('12U_F_Champ-52'!B70,"h:mm am/pm")</f>
        <v>12G-012-Group-8:40 AM</v>
      </c>
      <c r="R6" s="449" t="str">
        <f>'12U_F_Champ-52'!L109&amp;"-"&amp;'12U_F_Champ-52'!C109&amp;"-"&amp;TEXT('12U_F_Champ-52'!B109,"h:mm am/pm")</f>
        <v>12G-014-Group-8:40 AM</v>
      </c>
      <c r="S6" s="449" t="str">
        <f>'12U_F_Champ-52'!L50&amp;"-"&amp;'12U_F_Champ-52'!C50&amp;"-"&amp;TEXT('12U_F_Champ-52'!B50,"h:mm am/pm")</f>
        <v>12G-011-Group-8:40 AM</v>
      </c>
      <c r="T6" s="449" t="str">
        <f>'12U_F_Champ-52'!L90&amp;"-"&amp;'12U_F_Champ-52'!C90&amp;"-"&amp;TEXT('12U_F_Champ-52'!B90,"h:mm am/pm")</f>
        <v>12G-013-Group-8:40 AM</v>
      </c>
      <c r="U6" s="325">
        <v>0.36111111111111099</v>
      </c>
      <c r="V6" s="328" t="str">
        <f>'14U_F_Champ'!L20&amp;"-"&amp;'14U_F_Champ'!C20&amp;"-"&amp;TEXT('14U_F_Champ'!B20,"h:mm am/pm")</f>
        <v>14G-009-Group-8:40 AM</v>
      </c>
      <c r="W6" s="450" t="str">
        <f>'14U_F_Classic-39 from 40'!L42&amp;"-"&amp;'14U_F_Classic-39 from 40'!C42&amp;"-"&amp;TEXT('14U_F_Classic-39 from 40'!B42,"h:mm am/pm")</f>
        <v>14GX-012-Group-8:40 AM</v>
      </c>
      <c r="X6" s="450" t="str">
        <f>'14U_F_Classic-39 from 40'!L60&amp;"-"&amp;'14U_F_Classic-39 from 40'!C60&amp;"-"&amp;TEXT('14U_F_Classic-39 from 40'!B60,"h:mm am/pm")</f>
        <v>14GX-010-Group-8:40 AM</v>
      </c>
      <c r="Y6" s="450" t="str">
        <f>'14U_F_Classic-39 from 40'!L78&amp;"-"&amp;'14U_F_Classic-39 from 40'!C78&amp;"-"&amp;TEXT('14U_F_Classic-39 from 40'!B78,"h:mm am/pm")</f>
        <v>14GX-009-Group-8:40 AM</v>
      </c>
      <c r="Z6" s="325">
        <v>0.36111111111111099</v>
      </c>
      <c r="AA6" s="450" t="str">
        <f>'14U_F_Classic-39 from 40'!L24&amp;"-"&amp;'14U_F_Classic-39 from 40'!C24&amp;"-"&amp;TEXT('14U_F_Classic-39 from 40'!B24,"h:mm am/pm")</f>
        <v>14GX-011-Group-8:40 AM</v>
      </c>
      <c r="AB6" s="328" t="str">
        <f>'14U_F_Champ'!L39&amp;"-"&amp;'14U_F_Champ'!C39&amp;"-"&amp;TEXT('14U_F_Champ'!B39,"h:mm am/pm")</f>
        <v>14G-010-Group-8:40 AM</v>
      </c>
      <c r="AC6" s="328" t="str">
        <f>'14U_F_Champ'!L58&amp;"-"&amp;'14U_F_Champ'!C58&amp;"-"&amp;TEXT('14U_F_Champ'!B58,"h:mm am/pm")</f>
        <v>14G-011-Group-8:40 AM</v>
      </c>
      <c r="AD6" s="328" t="str">
        <f>'14U_F_Champ'!L77&amp;"-"&amp;'14U_F_Champ'!C77&amp;"-"&amp;TEXT('14U_F_Champ'!B77,"h:mm am/pm")</f>
        <v>14G-012-Group-8:40 AM</v>
      </c>
      <c r="AE6" s="322"/>
      <c r="AF6" s="339" t="str">
        <f>'16U_F_Classic-45'!L40&amp;"-"&amp;'16U_F_Classic-45'!C40&amp;"-"&amp;TEXT('16U_F_Classic-45'!B40,"h:mm am/pm")</f>
        <v>16GX-012-Group-8:40 AM</v>
      </c>
      <c r="AG6" s="339" t="str">
        <f>'16U_F_Classic-45'!L22&amp;"-"&amp;'16U_F_Classic-45'!C22&amp;"-"&amp;TEXT('16U_F_Classic-45'!B22,"h:mm am/pm")</f>
        <v>16GX-009-Group-8:40 AM</v>
      </c>
      <c r="AH6" s="339" t="str">
        <f>'16U_F_Classic-45'!L77&amp;"-"&amp;'16U_F_Classic-45'!C77&amp;"-"&amp;TEXT('16U_F_Classic-45'!B77,"h:mm am/pm")</f>
        <v>16GX-014-Group-8:40 AM</v>
      </c>
      <c r="AI6" s="339" t="str">
        <f>'16U_F_Classic-45'!L59&amp;"-"&amp;'16U_F_Classic-45'!C59&amp;"-"&amp;TEXT('16U_F_Classic-45'!B59,"h:mm am/pm")</f>
        <v>16GX-015-Group-8:40 AM</v>
      </c>
      <c r="AJ6" s="329" t="str">
        <f>'16U_F_Champ'!L77&amp;"-"&amp;'16U_F_Champ'!C77&amp;"-"&amp;TEXT('16U_F_Champ'!B77,"h:mm am/pm")</f>
        <v>16G-012-Group-8:40 AM</v>
      </c>
      <c r="AK6" s="331" t="str">
        <f>'18U_F_Classic-44'!L22&amp;"-"&amp;'18U_F_Classic-44'!C22&amp;"-"&amp;TEXT('18U_F_Classic-44'!B22,"h:mm am/pm")</f>
        <v>18GX-001-Group-8:40 AM</v>
      </c>
      <c r="AL6" s="325">
        <v>0.36111111111111099</v>
      </c>
      <c r="AM6" s="329" t="str">
        <f>'16U_F_Champ'!L20&amp;"-"&amp;'16U_F_Champ'!C20&amp;"-"&amp;TEXT('16U_F_Champ'!B20,"h:mm am/pm")</f>
        <v>16G-009-Group-8:40 AM</v>
      </c>
      <c r="AN6" s="329" t="str">
        <f>'16U_F_Champ'!L39&amp;"-"&amp;'16U_F_Champ'!C39&amp;"-"&amp;TEXT('16U_F_Champ'!B39,"h:mm am/pm")</f>
        <v>16G-010-Group-8:40 AM</v>
      </c>
      <c r="AO6" s="329" t="str">
        <f>'16U_F_Champ'!L58&amp;"-"&amp;'16U_F_Champ'!C58&amp;"-"&amp;TEXT('16U_F_Champ'!B58,"h:mm am/pm")</f>
        <v>16G-011-Group-8:40 AM</v>
      </c>
      <c r="AP6" s="331" t="str">
        <f>'18U_F_Classic-44'!L83&amp;"-"&amp;'18U_F_Classic-44'!C83&amp;"-"&amp;TEXT('18U_F_Classic-44'!B83,"h:mm am/pm")</f>
        <v>18GX-012-Group-8:40 AM</v>
      </c>
      <c r="AQ6" s="331" t="str">
        <f>'18U_F_Classic-44'!L42&amp;"-"&amp;'18U_F_Classic-44'!C42&amp;"-"&amp;TEXT('18U_F_Classic-44'!B42,"h:mm am/pm")</f>
        <v>18GX-010-Group-8:40 AM</v>
      </c>
      <c r="AR6" s="331" t="str">
        <f>'18U_F_Classic-44'!L63&amp;"-"&amp;'18U_F_Classic-44'!C63&amp;"-"&amp;TEXT('18U_F_Classic-44'!B63,"h:mm am/pm")</f>
        <v>18GX-003-Group-8:40 AM</v>
      </c>
      <c r="AS6" s="322"/>
      <c r="AU6" s="325">
        <v>0.375</v>
      </c>
      <c r="AV6" s="330" t="str">
        <f>'18U_F_Champ'!L52&amp;"-"&amp;'18U_F_Champ'!C52&amp;"-"&amp;TEXT('18U_F_Champ'!B52,"h:mm am/pm")</f>
        <v>18G-013-Group-9:00 AM</v>
      </c>
      <c r="AW6" s="322"/>
      <c r="AX6" s="330" t="str">
        <f>'18U_F_Champ'!L84&amp;"-"&amp;'18U_F_Champ'!C84&amp;"-"&amp;TEXT('18U_F_Champ'!B84,"h:mm am/pm")</f>
        <v>18G-015-Group-9:00 AM</v>
      </c>
      <c r="AY6" s="330" t="str">
        <f>'18U_F_Champ'!L20&amp;"-"&amp;'18U_F_Champ'!C20&amp;"-"&amp;TEXT('18U_F_Champ'!B20,"h:mm am/pm")</f>
        <v>18G-011-Group-9:00 AM</v>
      </c>
      <c r="AZ6" s="330" t="str">
        <f>'18U_F_Champ'!L68&amp;"-"&amp;'18U_F_Champ'!C68&amp;"-"&amp;TEXT('18U_F_Champ'!B68,"h:mm am/pm")</f>
        <v>18G-014-Group-9:00 AM</v>
      </c>
      <c r="BA6" s="322"/>
      <c r="BB6" s="330" t="str">
        <f>'18U_F_Champ'!L36&amp;"-"&amp;'18U_F_Champ'!C36&amp;"-"&amp;TEXT('18U_F_Champ'!B36,"h:mm am/pm")</f>
        <v>18G-012-Group-9:00 AM</v>
      </c>
    </row>
    <row r="7" spans="1:57">
      <c r="A7" s="325">
        <v>0.39583333333333398</v>
      </c>
      <c r="B7" s="103" t="str">
        <f>'10U_Coed_Classic 22 from 23'!L33&amp;"-"&amp;'10U_Coed_Classic 22 from 23'!C33&amp;"-"&amp;TEXT('10U_Coed_Classic 22 from 23'!B33,"h:mm am/pm")</f>
        <v>10CX-004-Group-9:30 AM</v>
      </c>
      <c r="C7" s="80" t="str">
        <f>'10U_Coed_Champ_36'!L39&amp;"-"&amp;'10U_Coed_Champ_36'!C39&amp;"-"&amp;TEXT('10U_Coed_Champ_36'!B19,"h:mm am/pm")</f>
        <v>10C-011-Group E-9:30 AM</v>
      </c>
      <c r="D7" s="46" t="str">
        <f>'10U_F_Champ-18 teams'!L13&amp;"-"&amp;'10U_F_Champ-18 teams'!C13&amp;"-"&amp;TEXT('10U_F_Champ-18 teams'!B13,"h:mm am/pm")</f>
        <v>10G-003-RR-9:30 AM</v>
      </c>
      <c r="E7" s="80" t="str">
        <f>'10U_Coed_Champ_36'!L19&amp;"-"&amp;'10U_Coed_Champ_36'!C19&amp;"-"&amp;TEXT('10U_Coed_Champ_36'!B19,"h:mm am/pm")</f>
        <v>10C-010-Group D-9:30 AM</v>
      </c>
      <c r="F7" s="80" t="str">
        <f>'10U_Coed_Champ_36'!L59&amp;"-"&amp;'10U_Coed_Champ_36'!C59&amp;"-"&amp;TEXT('10U_Coed_Champ_36'!B39,"h:mm am/pm")</f>
        <v>10C-012-Group L-9:30 AM</v>
      </c>
      <c r="G7" s="46" t="str">
        <f>'10U_F_Champ-18 teams'!L29&amp;"-"&amp;'10U_F_Champ-18 teams'!C29&amp;"-"&amp;TEXT('10U_F_Champ-18 teams'!B29,"h:mm am/pm")</f>
        <v>10G-004-RR-9:30 AM</v>
      </c>
      <c r="H7" s="322"/>
      <c r="I7" s="103" t="str">
        <f>'10U_Coed_Classic 22 from 23'!L15&amp;"-"&amp;'10U_Coed_Classic 22 from 23'!C15&amp;"-"&amp;TEXT('10U_Coed_Classic 22 from 23'!B15,"h:mm am/pm")</f>
        <v>10CX-007-Group-9:30 AM</v>
      </c>
      <c r="J7" s="325">
        <v>0.39583333333333398</v>
      </c>
      <c r="K7" s="319" t="str">
        <f>'12U_Coed_Champ-45'!L23&amp;"-"&amp;'12U_Coed_Champ-45'!C23&amp;"-"&amp;TEXT('12U_Coed_Champ-45'!B23,"h:mm am/pm")</f>
        <v>12C-017-Group-9:30 AM</v>
      </c>
      <c r="L7" s="319" t="str">
        <f>'12U_Coed_Champ-45'!L41&amp;"-"&amp;'12U_Coed_Champ-45'!C41&amp;"-"&amp;TEXT('12U_Coed_Champ-45'!B41,"h:mm am/pm")</f>
        <v>12C-016-Group-9:30 AM</v>
      </c>
      <c r="M7" s="319" t="str">
        <f>'12U_Coed_Champ-45'!L60&amp;"-"&amp;'12U_Coed_Champ-45'!C60&amp;"-"&amp;TEXT('12U_Coed_Champ-45'!B60,"h:mm am/pm")</f>
        <v>12C-019-Group-9:30 AM</v>
      </c>
      <c r="N7" s="319" t="str">
        <f>'12U_Coed_Champ-45'!L78&amp;"-"&amp;'12U_Coed_Champ-45'!C78&amp;"-"&amp;TEXT('12U_Coed_Champ-45'!B78,"h:mm am/pm")</f>
        <v>12C-018-Group-9:30 AM</v>
      </c>
      <c r="O7" s="325">
        <v>0.39583333333333398</v>
      </c>
      <c r="P7" s="449" t="str">
        <f>'12U_F_Champ-52'!L32&amp;"-"&amp;'12U_F_Champ-52'!C32&amp;"-"&amp;TEXT('12U_F_Champ-52'!B32,"h:mm am/pm")</f>
        <v>12G-015-Group-9:30 AM</v>
      </c>
      <c r="Q7" s="449" t="str">
        <f>'12U_F_Champ-52'!L71&amp;"-"&amp;'12U_F_Champ-52'!C71&amp;"-"&amp;TEXT('12U_F_Champ-52'!B71,"h:mm am/pm")</f>
        <v>12G-016-Group-9:30 AM</v>
      </c>
      <c r="R7" s="449" t="str">
        <f>'12U_F_Champ-52'!L110&amp;"-"&amp;'12U_F_Champ-52'!C110&amp;"-"&amp;TEXT('12U_F_Champ-52'!B110,"h:mm am/pm")</f>
        <v>12G-018-Group-9:30 AM</v>
      </c>
      <c r="S7" s="449" t="str">
        <f>'12U_F_Champ-52'!L51&amp;"-"&amp;'12U_F_Champ-52'!C51&amp;"-"&amp;TEXT('12U_F_Champ-52'!B51,"h:mm am/pm")</f>
        <v>12G-019-Group-9:30 AM</v>
      </c>
      <c r="T7" s="449" t="str">
        <f>'12U_F_Champ-52'!L91&amp;"-"&amp;'12U_F_Champ-52'!C91&amp;"-"&amp;TEXT('12U_F_Champ-52'!B91,"h:mm am/pm")</f>
        <v>12G-017-Group-9:30 AM</v>
      </c>
      <c r="U7" s="325">
        <v>0.39583333333333398</v>
      </c>
      <c r="V7" s="328" t="str">
        <f>'14U_F_Champ'!L21&amp;"-"&amp;'14U_F_Champ'!C21&amp;"-"&amp;TEXT('14U_F_Champ'!B21,"h:mm am/pm")</f>
        <v>14G-013-Group-9:30 AM</v>
      </c>
      <c r="W7" s="450" t="str">
        <f>'14U_F_Classic-39 from 40'!L43&amp;"-"&amp;'14U_F_Classic-39 from 40'!C43&amp;"-"&amp;TEXT('14U_F_Classic-39 from 40'!B43,"h:mm am/pm")</f>
        <v>14GX-016-Group-9:30 AM</v>
      </c>
      <c r="X7" s="450" t="str">
        <f>'14U_F_Classic-39 from 40'!L61&amp;"-"&amp;'14U_F_Classic-39 from 40'!C61&amp;"-"&amp;TEXT('14U_F_Classic-39 from 40'!B61,"h:mm am/pm")</f>
        <v>14GX-014-Group-9:30 AM</v>
      </c>
      <c r="Y7" s="450" t="str">
        <f>'14U_F_Classic-39 from 40'!L79&amp;"-"&amp;'14U_F_Classic-39 from 40'!C79&amp;"-"&amp;TEXT('14U_F_Classic-39 from 40'!B79,"h:mm am/pm")</f>
        <v>14GX-013-Group-9:30 AM</v>
      </c>
      <c r="Z7" s="325">
        <v>0.39583333333333398</v>
      </c>
      <c r="AA7" s="450" t="str">
        <f>'14U_F_Classic-39 from 40'!L25&amp;"-"&amp;'14U_F_Classic-39 from 40'!C25&amp;"-"&amp;TEXT('14U_F_Classic-39 from 40'!B25,"h:mm am/pm")</f>
        <v>14GX-015-Group-9:30 AM</v>
      </c>
      <c r="AB7" s="328" t="str">
        <f>'14U_F_Champ'!L40&amp;"-"&amp;'14U_F_Champ'!C40&amp;"-"&amp;TEXT('14U_F_Champ'!B40,"h:mm am/pm")</f>
        <v>14G-014-Group-9:30 AM</v>
      </c>
      <c r="AC7" s="328" t="str">
        <f>'14U_F_Champ'!L59&amp;"-"&amp;'14U_F_Champ'!C59&amp;"-"&amp;TEXT('14U_F_Champ'!B59,"h:mm am/pm")</f>
        <v>14G-015-Group-9:30 AM</v>
      </c>
      <c r="AD7" s="328" t="str">
        <f>'14U_F_Champ'!L78&amp;"-"&amp;'14U_F_Champ'!C78&amp;"-"&amp;TEXT('14U_F_Champ'!B78,"h:mm am/pm")</f>
        <v>14G-016-Group-9:30 AM</v>
      </c>
      <c r="AF7" s="339" t="str">
        <f>'16U_F_Classic-45'!L41&amp;"-"&amp;'16U_F_Classic-45'!C41&amp;"-"&amp;TEXT('16U_F_Classic-45'!B41,"h:mm am/pm")</f>
        <v>16GX-016-Group-9:30 AM</v>
      </c>
      <c r="AG7" s="339" t="str">
        <f>'16U_F_Classic-45'!L23&amp;"-"&amp;'16U_F_Classic-45'!C23&amp;"-"&amp;TEXT('16U_F_Classic-45'!B23,"h:mm am/pm")</f>
        <v>16GX-017-Group-9:30 AM</v>
      </c>
      <c r="AH7" s="339" t="str">
        <f>'16U_F_Classic-45'!L78&amp;"-"&amp;'16U_F_Classic-45'!C78&amp;"-"&amp;TEXT('16U_F_Classic-45'!B78,"h:mm am/pm")</f>
        <v>16GX-018-Group-9:30 AM</v>
      </c>
      <c r="AI7" s="339" t="str">
        <f>'16U_F_Classic-45'!L60&amp;"-"&amp;'16U_F_Classic-45'!C60&amp;"-"&amp;TEXT('16U_F_Classic-45'!B60,"h:mm am/pm")</f>
        <v>16GX-019-Group-9:30 AM</v>
      </c>
      <c r="AJ7" s="329" t="str">
        <f>'16U_F_Champ'!L78&amp;"-"&amp;'16U_F_Champ'!C78&amp;"-"&amp;TEXT('16U_F_Champ'!B78,"h:mm am/pm")</f>
        <v>16G-016-Group-9:30 AM</v>
      </c>
      <c r="AK7" s="331" t="str">
        <f>'18U_F_Classic-44'!L23&amp;"-"&amp;'18U_F_Classic-44'!C23&amp;"-"&amp;TEXT('18U_F_Classic-44'!B23,"h:mm am/pm")</f>
        <v>18GX-005-Group-9:30 AM</v>
      </c>
      <c r="AL7" s="325">
        <v>0.39583333333333398</v>
      </c>
      <c r="AM7" s="329" t="str">
        <f>'16U_F_Champ'!L21&amp;"-"&amp;'16U_F_Champ'!C21&amp;"-"&amp;TEXT('16U_F_Champ'!B21,"h:mm am/pm")</f>
        <v>16G-013-Group-9:30 AM</v>
      </c>
      <c r="AN7" s="329" t="str">
        <f>'16U_F_Champ'!L40&amp;"-"&amp;'16U_F_Champ'!C40&amp;"-"&amp;TEXT('16U_F_Champ'!B40,"h:mm am/pm")</f>
        <v>16G-014-Group-9:30 AM</v>
      </c>
      <c r="AO7" s="329" t="str">
        <f>'16U_F_Champ'!L59&amp;"-"&amp;'16U_F_Champ'!C59&amp;"-"&amp;TEXT('16U_F_Champ'!B59,"h:mm am/pm")</f>
        <v>16G-015-Group-9:30 AM</v>
      </c>
      <c r="AP7" s="331" t="str">
        <f>'18U_F_Classic-44'!L84&amp;"-"&amp;'18U_F_Classic-44'!C84&amp;"-"&amp;TEXT('18U_F_Classic-44'!B84,"h:mm am/pm")</f>
        <v>18GX-016-Group-9:30 AM</v>
      </c>
      <c r="AQ7" s="331" t="str">
        <f>'18U_F_Classic-44'!L43&amp;"-"&amp;'18U_F_Classic-44'!C43&amp;"-"&amp;TEXT('18U_F_Classic-44'!B43,"h:mm am/pm")</f>
        <v>18GX-014-Group-9:30 AM</v>
      </c>
      <c r="AR7" s="331" t="str">
        <f>'18U_F_Classic-44'!L64&amp;"-"&amp;'18U_F_Classic-44'!C64&amp;"-"&amp;TEXT('18U_F_Classic-44'!B64,"h:mm am/pm")</f>
        <v>18GX-007-Group-9:30 AM</v>
      </c>
      <c r="AS7" s="322"/>
      <c r="AU7" s="325">
        <v>0.41666666666666702</v>
      </c>
      <c r="AV7" s="330" t="str">
        <f>'18U_F_Champ'!L53&amp;"-"&amp;'18U_F_Champ'!C53&amp;"-"&amp;TEXT('18U_F_Champ'!B53,"h:mm am/pm")</f>
        <v>18G-018-Group-10:00 AM</v>
      </c>
      <c r="AW7" s="322"/>
      <c r="AX7" s="330" t="str">
        <f>'18U_F_Champ'!L85&amp;"-"&amp;'18U_F_Champ'!C85&amp;"-"&amp;TEXT('18U_F_Champ'!B85,"h:mm am/pm")</f>
        <v>18G-020-Group-10:00 AM</v>
      </c>
      <c r="AY7" s="330" t="str">
        <f>'18U_F_Champ'!L21&amp;"-"&amp;'18U_F_Champ'!C21&amp;"-"&amp;TEXT('18U_F_Champ'!B21,"h:mm am/pm")</f>
        <v>18G-016-Group-10:00 AM</v>
      </c>
      <c r="AZ7" s="330" t="str">
        <f>'18U_F_Champ'!L69&amp;"-"&amp;'18U_F_Champ'!C69&amp;"-"&amp;TEXT('18U_F_Champ'!B69,"h:mm am/pm")</f>
        <v>18G-019-Group-10:00 AM</v>
      </c>
      <c r="BA7" s="322"/>
      <c r="BB7" s="330" t="str">
        <f>'18U_F_Champ'!L37&amp;"-"&amp;'18U_F_Champ'!C37&amp;"-"&amp;TEXT('18U_F_Champ'!B37,"h:mm am/pm")</f>
        <v>18G-017-Group-10:00 AM</v>
      </c>
    </row>
    <row r="8" spans="1:57">
      <c r="A8" s="325">
        <v>0.43055555555555602</v>
      </c>
      <c r="B8" s="103" t="str">
        <f>'10U_Coed_Classic 22 from 23'!L34&amp;"-"&amp;'10U_Coed_Classic 22 from 23'!C34&amp;"-"&amp;TEXT('10U_Coed_Classic 22 from 23'!B34,"h:mm am/pm")</f>
        <v>10CX-006-Group-10:20 AM</v>
      </c>
      <c r="C8" s="80" t="str">
        <f>'10U_Coed_Champ_36'!L40&amp;"-"&amp;'10U_Coed_Champ_36'!C40&amp;"-"&amp;TEXT('10U_Coed_Champ_36'!B20,"h:mm am/pm")</f>
        <v>10C-014-Group H-10:20 AM</v>
      </c>
      <c r="D8" s="46" t="str">
        <f>'10U_F_Champ-18 teams'!L14&amp;"-"&amp;'10U_F_Champ-18 teams'!C14&amp;"-"&amp;TEXT('10U_F_Champ-18 teams'!B14,"h:mm am/pm")</f>
        <v>10G-005-RR-10:20 AM</v>
      </c>
      <c r="E8" s="80" t="str">
        <f>'10U_Coed_Champ_36'!L20&amp;"-"&amp;'10U_Coed_Champ_36'!C20&amp;"-"&amp;TEXT('10U_Coed_Champ_36'!B20,"h:mm am/pm")</f>
        <v>10C-013-Group A-10:20 AM</v>
      </c>
      <c r="F8" s="80" t="str">
        <f>'10U_Coed_Champ_36'!L60&amp;"-"&amp;'10U_Coed_Champ_36'!C60&amp;"-"&amp;TEXT('10U_Coed_Champ_36'!B40,"h:mm am/pm")</f>
        <v>10C-015-Group I-10:20 AM</v>
      </c>
      <c r="G8" s="46" t="str">
        <f>'10U_F_Champ-18 teams'!L30&amp;"-"&amp;'10U_F_Champ-18 teams'!C30&amp;"-"&amp;TEXT('10U_F_Champ-18 teams'!B30,"h:mm am/pm")</f>
        <v>10G-006-RR-10:20 AM</v>
      </c>
      <c r="H8" s="322"/>
      <c r="I8" s="103" t="str">
        <f>'10U_Coed_Classic 22 from 23'!L16&amp;"-"&amp;'10U_Coed_Classic 22 from 23'!C16&amp;"-"&amp;TEXT('10U_Coed_Classic 22 from 23'!B16,"h:mm am/pm")</f>
        <v>10CX-009-Group-10:20 AM</v>
      </c>
      <c r="J8" s="325">
        <v>0.43055555555555602</v>
      </c>
      <c r="K8" s="319" t="str">
        <f>'12U_Coed_Champ-45'!L24&amp;"-"&amp;'12U_Coed_Champ-45'!C24&amp;"-"&amp;TEXT('12U_Coed_Champ-45'!B24,"h:mm am/pm")</f>
        <v>12C-021-Group-10:20 AM</v>
      </c>
      <c r="L8" s="319" t="str">
        <f>'12U_Coed_Champ-45'!L42&amp;"-"&amp;'12U_Coed_Champ-45'!C42&amp;"-"&amp;TEXT('12U_Coed_Champ-45'!B42,"h:mm am/pm")</f>
        <v>12C-020-Group-10:20 AM</v>
      </c>
      <c r="M8" s="319" t="str">
        <f>'12U_Coed_Champ-45'!L61&amp;"-"&amp;'12U_Coed_Champ-45'!C61&amp;"-"&amp;TEXT('12U_Coed_Champ-45'!B61,"h:mm am/pm")</f>
        <v>12C-027-bracket-10:20 AM</v>
      </c>
      <c r="N8" s="319" t="str">
        <f>'12U_Coed_Champ-45'!L79&amp;"-"&amp;'12U_Coed_Champ-45'!C79&amp;"-"&amp;TEXT('12U_Coed_Champ-45'!B79,"h:mm am/pm")</f>
        <v>12C-006-bracket-10:20 AM</v>
      </c>
      <c r="O8" s="325">
        <v>0.43055555555555602</v>
      </c>
      <c r="P8" s="449" t="str">
        <f>'12U_F_Champ-52'!L33&amp;"-"&amp;'12U_F_Champ-52'!C33&amp;"-"&amp;TEXT('12U_F_Champ-52'!B33,"h:mm am/pm")</f>
        <v>12G-024-Group-10:20 AM</v>
      </c>
      <c r="Q8" s="449" t="str">
        <f>'12U_F_Champ-52'!L72&amp;"-"&amp;'12U_F_Champ-52'!C72&amp;"-"&amp;TEXT('12U_F_Champ-52'!B72,"h:mm am/pm")</f>
        <v>12G-021-Group-9:30 AM</v>
      </c>
      <c r="R8" s="449" t="str">
        <f>'12U_F_Champ-52'!L111&amp;"-"&amp;'12U_F_Champ-52'!C111&amp;"-"&amp;TEXT('12U_F_Champ-52'!B111,"h:mm am/pm")</f>
        <v>12G-023-Group-10:20 AM</v>
      </c>
      <c r="S8" s="449" t="str">
        <f>'12U_F_Champ-52'!L52&amp;"-"&amp;'12U_F_Champ-52'!C52&amp;"-"&amp;TEXT('12U_F_Champ-52'!B52,"h:mm am/pm")</f>
        <v>12G-020-Group-10:20 AM</v>
      </c>
      <c r="T8" s="449" t="str">
        <f>'12U_F_Champ-52'!L92&amp;"-"&amp;'12U_F_Champ-52'!C92&amp;"-"&amp;TEXT('12U_F_Champ-52'!B92,"h:mm am/pm")</f>
        <v>12G-022-Group-10:20 AM</v>
      </c>
      <c r="U8" s="325">
        <v>0.43055555555555602</v>
      </c>
      <c r="V8" s="328" t="str">
        <f>'14U_F_Champ'!L22&amp;"-"&amp;'14U_F_Champ'!C22&amp;"-"&amp;TEXT('14U_F_Champ'!B22,"h:mm am/pm")</f>
        <v>14G-017-Group-10:20 AM</v>
      </c>
      <c r="W8" s="450" t="str">
        <f>'14U_F_Classic-39 from 40'!L44&amp;"-"&amp;'14U_F_Classic-39 from 40'!C44&amp;"-"&amp;TEXT('14U_F_Classic-39 from 40'!B44,"h:mm am/pm")</f>
        <v>14GX-020-Group-10:20 AM</v>
      </c>
      <c r="X8" s="450" t="str">
        <f>'14U_F_Classic-39 from 40'!L62&amp;"-"&amp;'14U_F_Classic-39 from 40'!C62&amp;"-"&amp;TEXT('14U_F_Classic-39 from 40'!B62,"h:mm am/pm")</f>
        <v>14GX-018-Group-10:20 AM</v>
      </c>
      <c r="Y8" s="450" t="str">
        <f>'14U_F_Classic-39 from 40'!L80&amp;"-"&amp;'14U_F_Classic-39 from 40'!C80&amp;"-"&amp;TEXT('14U_F_Classic-39 from 40'!B80,"h:mm am/pm")</f>
        <v>14GX-017-Group-10:20 AM</v>
      </c>
      <c r="Z8" s="325">
        <v>0.43055555555555602</v>
      </c>
      <c r="AA8" s="450" t="str">
        <f>'14U_F_Classic-39 from 40'!L26&amp;"-"&amp;'14U_F_Classic-39 from 40'!C26&amp;"-"&amp;TEXT('14U_F_Classic-39 from 40'!B26,"h:mm am/pm")</f>
        <v>14GX-019-Group-10:20 AM</v>
      </c>
      <c r="AB8" s="328" t="str">
        <f>'14U_F_Champ'!L41&amp;"-"&amp;'14U_F_Champ'!C41&amp;"-"&amp;TEXT('14U_F_Champ'!B41,"h:mm am/pm")</f>
        <v>14G-018-Group-10:20 AM</v>
      </c>
      <c r="AC8" s="328" t="str">
        <f>'14U_F_Champ'!L60&amp;"-"&amp;'14U_F_Champ'!C60&amp;"-"&amp;TEXT('14U_F_Champ'!B60,"h:mm am/pm")</f>
        <v>14G-019-Group-10:20 AM</v>
      </c>
      <c r="AD8" s="328" t="str">
        <f>'14U_F_Champ'!L79&amp;"-"&amp;'14U_F_Champ'!C79&amp;"-"&amp;TEXT('14U_F_Champ'!B79,"h:mm am/pm")</f>
        <v>14G-020-Group-10:20 AM</v>
      </c>
      <c r="AF8" s="339" t="str">
        <f>'16U_F_Classic-45'!L42&amp;"-"&amp;'16U_F_Classic-45'!C42&amp;"-"&amp;TEXT('16U_F_Classic-45'!B42,"h:mm am/pm")</f>
        <v>16GX-020-Group-10:20 AM</v>
      </c>
      <c r="AG8" s="339" t="str">
        <f>'16U_F_Classic-45'!L24&amp;"-"&amp;'16U_F_Classic-45'!C24&amp;"-"&amp;TEXT('16U_F_Classic-45'!B24,"h:mm am/pm")</f>
        <v>16GX-021-Group-10:20 AM</v>
      </c>
      <c r="AH8" s="339" t="str">
        <f>'16U_F_Classic-45'!L79&amp;"-"&amp;'16U_F_Classic-45'!C79&amp;"-"&amp;TEXT('16U_F_Classic-45'!B79,"h:mm am/pm")</f>
        <v>16GX-006-bracket-10:20 AM</v>
      </c>
      <c r="AI8" s="339" t="str">
        <f>'16U_F_Classic-45'!L61&amp;"-"&amp;'16U_F_Classic-45'!C61&amp;"-"&amp;TEXT('16U_F_Classic-45'!B61,"h:mm am/pm")</f>
        <v>16GX-027-bracket-10:20 AM</v>
      </c>
      <c r="AJ8" s="329" t="str">
        <f>'16U_F_Champ'!L79&amp;"-"&amp;'16U_F_Champ'!C79&amp;"-"&amp;TEXT('16U_F_Champ'!B79,"h:mm am/pm")</f>
        <v>16G-020-Group-10:20 AM</v>
      </c>
      <c r="AL8" s="325">
        <v>0.43055555555555602</v>
      </c>
      <c r="AM8" s="329" t="str">
        <f>'16U_F_Champ'!L22&amp;"-"&amp;'16U_F_Champ'!C22&amp;"-"&amp;TEXT('16U_F_Champ'!B22,"h:mm am/pm")</f>
        <v>16G-017-Group-10:20 AM</v>
      </c>
      <c r="AN8" s="329" t="str">
        <f>'16U_F_Champ'!L41&amp;"-"&amp;'16U_F_Champ'!C41&amp;"-"&amp;TEXT('16U_F_Champ'!B41,"h:mm am/pm")</f>
        <v>16G-018-Group-10:20 AM</v>
      </c>
      <c r="AO8" s="329" t="str">
        <f>'16U_F_Champ'!L60&amp;"-"&amp;'16U_F_Champ'!C60&amp;"-"&amp;TEXT('16U_F_Champ'!B60,"h:mm am/pm")</f>
        <v>16G-019-Group-10:20 AM</v>
      </c>
      <c r="AP8" s="331" t="str">
        <f>'18U_F_Classic-44'!L85&amp;"-"&amp;'18U_F_Classic-44'!C85&amp;"-"&amp;TEXT('18U_F_Classic-44'!B85,"h:mm am/pm")</f>
        <v>18GX-020-Group-10:20 AM</v>
      </c>
      <c r="AQ8" s="331" t="str">
        <f>'18U_F_Classic-44'!L44&amp;"-"&amp;'18U_F_Classic-44'!C44&amp;"-"&amp;TEXT('18U_F_Classic-44'!B44,"h:mm am/pm")</f>
        <v>18GX-018-Group-10:20 AM</v>
      </c>
      <c r="AS8" s="322"/>
      <c r="AU8" s="325">
        <v>0.45833333333333298</v>
      </c>
      <c r="AV8" s="330" t="str">
        <f>'18U_F_Champ'!L54&amp;"-"&amp;'18U_F_Champ'!C54&amp;"-"&amp;TEXT('18U_F_Champ'!B54,"h:mm am/pm")</f>
        <v>18G-023-Group-11:00 AM</v>
      </c>
      <c r="AW8" s="322"/>
      <c r="AX8" s="330" t="str">
        <f>'18U_F_Champ'!L86&amp;"-"&amp;'18U_F_Champ'!C86&amp;"-"&amp;TEXT('18U_F_Champ'!B86,"h:mm am/pm")</f>
        <v>18G-025-Group-11:00 AM</v>
      </c>
      <c r="AY8" s="330" t="str">
        <f>'18U_F_Champ'!L22&amp;"-"&amp;'18U_F_Champ'!C22&amp;"-"&amp;TEXT('18U_F_Champ'!B22,"h:mm am/pm")</f>
        <v>18G-021-Group-11:00 AM</v>
      </c>
      <c r="AZ8" s="330" t="str">
        <f>'18U_F_Champ'!L70&amp;"-"&amp;'18U_F_Champ'!C70&amp;"-"&amp;TEXT('18U_F_Champ'!B70,"h:mm am/pm")</f>
        <v>18G-024-Group-11:00 AM</v>
      </c>
      <c r="BA8" s="322"/>
      <c r="BB8" s="330" t="str">
        <f>'18U_F_Champ'!L38&amp;"-"&amp;'18U_F_Champ'!C38&amp;"-"&amp;TEXT('18U_F_Champ'!B38,"h:mm am/pm")</f>
        <v>18G-022-Group-11:00 AM</v>
      </c>
    </row>
    <row r="9" spans="1:57">
      <c r="A9" s="325">
        <v>0.46527777777777801</v>
      </c>
      <c r="B9" s="103" t="str">
        <f>'10U_Coed_Classic 22 from 23'!L35&amp;"-"&amp;'10U_Coed_Classic 22 from 23'!C35&amp;"-"&amp;TEXT('10U_Coed_Classic 22 from 23'!B35,"h:mm am/pm")</f>
        <v>10CX-012-Group-11:10 AM</v>
      </c>
      <c r="C9" s="80" t="str">
        <f>'10U_Coed_Champ_36'!L41&amp;"-"&amp;'10U_Coed_Champ_36'!C41&amp;"-"&amp;TEXT('10U_Coed_Champ_36'!B21,"h:mm am/pm")</f>
        <v>10C-017-Group G-11:10 AM</v>
      </c>
      <c r="D9" s="46" t="str">
        <f>'10U_F_Champ-18 teams'!L15&amp;"-"&amp;'10U_F_Champ-18 teams'!C15&amp;"-"&amp;TEXT('10U_F_Champ-18 teams'!B15,"h:mm am/pm")</f>
        <v>10G-007-RR-11:10 AM</v>
      </c>
      <c r="E9" s="80" t="str">
        <f>'10U_Coed_Champ_36'!L21&amp;"-"&amp;'10U_Coed_Champ_36'!C21&amp;"-"&amp;TEXT('10U_Coed_Champ_36'!B21,"h:mm am/pm")</f>
        <v>10C-016-Group B-11:10 AM</v>
      </c>
      <c r="F9" s="80" t="str">
        <f>'10U_Coed_Champ_36'!L61&amp;"-"&amp;'10U_Coed_Champ_36'!C61&amp;"-"&amp;TEXT('10U_Coed_Champ_36'!B41,"h:mm am/pm")</f>
        <v>10C-018-Group J-11:10 AM</v>
      </c>
      <c r="G9" s="46" t="str">
        <f>'10U_F_Champ-18 teams'!L31&amp;"-"&amp;'10U_F_Champ-18 teams'!C31&amp;"-"&amp;TEXT('10U_F_Champ-18 teams'!B31,"h:mm am/pm")</f>
        <v>10G-008-RR-11:10 AM</v>
      </c>
      <c r="H9" s="322"/>
      <c r="I9" s="103" t="str">
        <f>'10U_Coed_Classic 22 from 23'!L17&amp;"-"&amp;'10U_Coed_Classic 22 from 23'!C17&amp;"-"&amp;TEXT('10U_Coed_Classic 22 from 23'!B17,"h:mm am/pm")</f>
        <v>10CX-011-Group-11:10 AM</v>
      </c>
      <c r="J9" s="325">
        <v>0.46527777777777801</v>
      </c>
      <c r="K9" s="319" t="str">
        <f>'12U_Coed_Champ-45'!L25&amp;"-"&amp;'12U_Coed_Champ-45'!C25&amp;"-"&amp;TEXT('12U_Coed_Champ-45'!B25,"h:mm am/pm")</f>
        <v>12C-025-Group-11:10 AM</v>
      </c>
      <c r="L9" s="319" t="str">
        <f>'12U_Coed_Champ-45'!L43&amp;"-"&amp;'12U_Coed_Champ-45'!C43&amp;"-"&amp;TEXT('12U_Coed_Champ-45'!B43,"h:mm am/pm")</f>
        <v>12C-024-Group-11:10 AM</v>
      </c>
      <c r="M9" s="319" t="str">
        <f>'12U_Coed_Champ-45'!L62&amp;"-"&amp;'12U_Coed_Champ-45'!C62&amp;"-"&amp;TEXT('12U_Coed_Champ-45'!B62,"h:mm am/pm")</f>
        <v>12C-023-Group-11:10 AM</v>
      </c>
      <c r="N9" s="319" t="str">
        <f>'12U_Coed_Champ-45'!L80&amp;"-"&amp;'12U_Coed_Champ-45'!C80&amp;"-"&amp;TEXT('12U_Coed_Champ-45'!B80,"h:mm am/pm")</f>
        <v>12C-022-Group-11:10 AM</v>
      </c>
      <c r="O9" s="325">
        <v>0.46527777777777801</v>
      </c>
      <c r="P9" s="449" t="str">
        <f>'12U_F_Champ-52'!L34&amp;"-"&amp;'12U_F_Champ-52'!C34&amp;"-"&amp;TEXT('12U_F_Champ-52'!B34,"h:mm am/pm")</f>
        <v>12G-043-Group-11:10 AM</v>
      </c>
      <c r="Q9" s="449" t="str">
        <f>'12U_F_Champ-52'!L73&amp;"-"&amp;'12U_F_Champ-52'!C73&amp;"-"&amp;TEXT('12U_F_Champ-52'!B73,"h:mm am/pm")</f>
        <v>12G-026-Group-10:20 AM</v>
      </c>
      <c r="R9" s="449" t="str">
        <f>'12U_F_Champ-52'!L112&amp;"-"&amp;'12U_F_Champ-52'!C112&amp;"-"&amp;TEXT('12U_F_Champ-52'!B112,"h:mm am/pm")</f>
        <v>12G-028-Group-11:10 AM</v>
      </c>
      <c r="S9" s="449" t="str">
        <f>'12U_F_Champ-52'!L53&amp;"-"&amp;'12U_F_Champ-52'!C53&amp;"-"&amp;TEXT('12U_F_Champ-52'!B53,"h:mm am/pm")</f>
        <v>12G-025-Group-11:10 AM</v>
      </c>
      <c r="T9" s="449" t="str">
        <f>'12U_F_Champ-52'!L93&amp;"-"&amp;'12U_F_Champ-52'!C93&amp;"-"&amp;TEXT('12U_F_Champ-52'!B93,"h:mm am/pm")</f>
        <v>12G-027-Group-11:10 AM</v>
      </c>
      <c r="U9" s="325">
        <v>0.46527777777777801</v>
      </c>
      <c r="V9" s="328" t="str">
        <f>'14U_F_Champ'!L23&amp;"-"&amp;'14U_F_Champ'!C23&amp;"-"&amp;TEXT('14U_F_Champ'!B23,"h:mm am/pm")</f>
        <v>14G-021-Group-11:10 AM</v>
      </c>
      <c r="W9" s="450" t="str">
        <f>'14U_F_Classic-39 from 40'!L45&amp;"-"&amp;'14U_F_Classic-39 from 40'!C45&amp;"-"&amp;TEXT('14U_F_Classic-39 from 40'!B45,"h:mm am/pm")</f>
        <v>14GX-024-Group-11:10 AM</v>
      </c>
      <c r="X9" s="450" t="str">
        <f>'14U_F_Classic-39 from 40'!L63&amp;"-"&amp;'14U_F_Classic-39 from 40'!C63&amp;"-"&amp;TEXT('14U_F_Classic-39 from 40'!B63,"h:mm am/pm")</f>
        <v>14GX-022-Group-11:10 AM</v>
      </c>
      <c r="Y9" s="450" t="str">
        <f>'14U_F_Classic-39 from 40'!L81&amp;"-"&amp;'14U_F_Classic-39 from 40'!C81&amp;"-"&amp;TEXT('14U_F_Classic-39 from 40'!B81,"h:mm am/pm")</f>
        <v>14GX-021-Group-11:10 AM</v>
      </c>
      <c r="Z9" s="325">
        <v>0.46527777777777801</v>
      </c>
      <c r="AA9" s="450" t="str">
        <f>'14U_F_Classic-39 from 40'!L27&amp;"-"&amp;'14U_F_Classic-39 from 40'!C27&amp;"-"&amp;TEXT('14U_F_Classic-39 from 40'!B27,"h:mm am/pm")</f>
        <v>14GX-023-Group-11:10 AM</v>
      </c>
      <c r="AB9" s="328" t="str">
        <f>'14U_F_Champ'!L42&amp;"-"&amp;'14U_F_Champ'!C42&amp;"-"&amp;TEXT('14U_F_Champ'!B42,"h:mm am/pm")</f>
        <v>14G-022-Group-11:10 AM</v>
      </c>
      <c r="AC9" s="328" t="str">
        <f>'14U_F_Champ'!L61&amp;"-"&amp;'14U_F_Champ'!C61&amp;"-"&amp;TEXT('14U_F_Champ'!B61,"h:mm am/pm")</f>
        <v>14G-023-Group-11:10 AM</v>
      </c>
      <c r="AD9" s="328" t="str">
        <f>'14U_F_Champ'!L80&amp;"-"&amp;'14U_F_Champ'!C80&amp;"-"&amp;TEXT('14U_F_Champ'!B80,"h:mm am/pm")</f>
        <v>14G-024-Group-11:10 AM</v>
      </c>
      <c r="AF9" s="339" t="str">
        <f>'16U_F_Classic-45'!L43&amp;"-"&amp;'16U_F_Classic-45'!C43&amp;"-"&amp;TEXT('16U_F_Classic-45'!B43,"h:mm am/pm")</f>
        <v>16GX-024-Group-11:10 AM</v>
      </c>
      <c r="AG9" s="339" t="str">
        <f>'16U_F_Classic-45'!L25&amp;"-"&amp;'16U_F_Classic-45'!C25&amp;"-"&amp;TEXT('16U_F_Classic-45'!B25,"h:mm am/pm")</f>
        <v>16GX-025-Group-11:10 AM</v>
      </c>
      <c r="AH9" s="339" t="str">
        <f>'16U_F_Classic-45'!L80&amp;"-"&amp;'16U_F_Classic-45'!C80&amp;"-"&amp;TEXT('16U_F_Classic-45'!B80,"h:mm am/pm")</f>
        <v>16GX-022-Group-11:10 AM</v>
      </c>
      <c r="AI9" s="339" t="str">
        <f>'16U_F_Classic-45'!L62&amp;"-"&amp;'16U_F_Classic-45'!C62&amp;"-"&amp;TEXT('16U_F_Classic-45'!B62,"h:mm am/pm")</f>
        <v>16GX-023-Group-11:10 AM</v>
      </c>
      <c r="AJ9" s="329" t="str">
        <f>'16U_F_Champ'!L80&amp;"-"&amp;'16U_F_Champ'!C80&amp;"-"&amp;TEXT('16U_F_Champ'!B80,"h:mm am/pm")</f>
        <v>16G-024-Group-11:10 AM</v>
      </c>
      <c r="AK9" s="331" t="str">
        <f>'18U_F_Classic-44'!L25&amp;"-"&amp;'18U_F_Classic-44'!C25&amp;"-"&amp;TEXT('18U_F_Classic-44'!B25,"h:mm am/pm")</f>
        <v>18GX-017-Group-11:10 AM</v>
      </c>
      <c r="AL9" s="325">
        <v>0.46527777777777801</v>
      </c>
      <c r="AM9" s="329" t="str">
        <f>'16U_F_Champ'!L23&amp;"-"&amp;'16U_F_Champ'!C23&amp;"-"&amp;TEXT('16U_F_Champ'!B23,"h:mm am/pm")</f>
        <v>16G-021-Group-11:10 AM</v>
      </c>
      <c r="AN9" s="329" t="str">
        <f>'16U_F_Champ'!L42&amp;"-"&amp;'16U_F_Champ'!C42&amp;"-"&amp;TEXT('16U_F_Champ'!B42,"h:mm am/pm")</f>
        <v>16G-022-Group-11:10 AM</v>
      </c>
      <c r="AO9" s="329" t="str">
        <f>'16U_F_Champ'!L61&amp;"-"&amp;'16U_F_Champ'!C61&amp;"-"&amp;TEXT('16U_F_Champ'!B61,"h:mm am/pm")</f>
        <v>16G-023-Group-11:10 AM</v>
      </c>
      <c r="AP9" s="331" t="str">
        <f>'18U_F_Classic-44'!L86&amp;"-"&amp;'18U_F_Classic-44'!C86&amp;"-"&amp;TEXT('18U_F_Classic-44'!B86,"h:mm am/pm")</f>
        <v>18GX-024-Group-11:10 AM</v>
      </c>
      <c r="AQ9" s="331" t="str">
        <f>'18U_F_Classic-44'!L45&amp;"-"&amp;'18U_F_Classic-44'!C45&amp;"-"&amp;TEXT('18U_F_Classic-44'!B45,"h:mm am/pm")</f>
        <v>18GX-022-Group-11:10 AM</v>
      </c>
      <c r="AR9" s="331" t="str">
        <f>'18U_F_Classic-44'!L66&amp;"-"&amp;'18U_F_Classic-44'!C66&amp;"-"&amp;TEXT('18U_F_Classic-44'!B66,"h:mm am/pm")</f>
        <v>18GX-019-Group-11:10 AM</v>
      </c>
      <c r="AS9" s="322"/>
      <c r="AU9" s="325">
        <v>0.5</v>
      </c>
      <c r="AV9" s="330" t="str">
        <f>'18U_F_Champ'!L55&amp;"-"&amp;'18U_F_Champ'!C55&amp;"-"&amp;TEXT('18U_F_Champ'!B55,"h:mm am/pm")</f>
        <v>18G-029-Group-12:00 PM</v>
      </c>
      <c r="AW9" s="322"/>
      <c r="AX9" s="330" t="str">
        <f>'18U_F_Champ'!L87&amp;"-"&amp;'18U_F_Champ'!C87&amp;"-"&amp;TEXT('18U_F_Champ'!B87,"h:mm am/pm")</f>
        <v>18G-030-Group-12:00 PM</v>
      </c>
      <c r="AY9" s="330" t="str">
        <f>'18U_F_Champ'!L23&amp;"-"&amp;'18U_F_Champ'!C23&amp;"-"&amp;TEXT('18U_F_Champ'!B23,"h:mm am/pm")</f>
        <v>18G-026-Group-12:00 PM</v>
      </c>
      <c r="AZ9" s="330" t="str">
        <f>'18U_F_Champ'!L71&amp;"-"&amp;'18U_F_Champ'!C71&amp;"-"&amp;TEXT('18U_F_Champ'!B71,"h:mm am/pm")</f>
        <v>18G-028-Group-12:00 PM</v>
      </c>
      <c r="BA9" s="322"/>
      <c r="BB9" s="330" t="str">
        <f>'18U_F_Champ'!L39&amp;"-"&amp;'18U_F_Champ'!C39&amp;"-"&amp;TEXT('18U_F_Champ'!B39,"h:mm am/pm")</f>
        <v>18G-027-Group-12:00 PM</v>
      </c>
    </row>
    <row r="10" spans="1:57">
      <c r="A10" s="325">
        <v>0.5</v>
      </c>
      <c r="B10" s="103" t="str">
        <f>'10U_Coed_Classic 22 from 23'!L36&amp;"-"&amp;'10U_Coed_Classic 22 from 23'!C36&amp;"-"&amp;TEXT('10U_Coed_Classic 22 from 23'!B36,"h:mm am/pm")</f>
        <v>10CX-010-Group-12:00 PM</v>
      </c>
      <c r="C10" s="80" t="str">
        <f>'10U_Coed_Champ_36'!L42&amp;"-"&amp;'10U_Coed_Champ_36'!C42&amp;"-"&amp;TEXT('10U_Coed_Champ_36'!B22,"h:mm am/pm")</f>
        <v>10C-020-Group F-12:00 PM</v>
      </c>
      <c r="D10" s="46" t="str">
        <f>'10U_F_Champ-18 teams'!L16&amp;"-"&amp;'10U_F_Champ-18 teams'!C16&amp;"-"&amp;TEXT('10U_F_Champ-18 teams'!B16,"h:mm am/pm")</f>
        <v>10G-009-RR-12:00 PM</v>
      </c>
      <c r="E10" s="80" t="str">
        <f>'10U_Coed_Champ_36'!L22&amp;"-"&amp;'10U_Coed_Champ_36'!C22&amp;"-"&amp;TEXT('10U_Coed_Champ_36'!B22,"h:mm am/pm")</f>
        <v>10C-019-Group C-12:00 PM</v>
      </c>
      <c r="F10" s="80" t="str">
        <f>'10U_Coed_Champ_36'!L62&amp;"-"&amp;'10U_Coed_Champ_36'!C62&amp;"-"&amp;TEXT('10U_Coed_Champ_36'!B42,"h:mm am/pm")</f>
        <v>10C-021-Group K-12:00 PM</v>
      </c>
      <c r="G10" s="46" t="str">
        <f>'10U_F_Champ-18 teams'!L32&amp;"-"&amp;'10U_F_Champ-18 teams'!C32&amp;"-"&amp;TEXT('10U_F_Champ-18 teams'!B32,"h:mm am/pm")</f>
        <v>10G-010-RR-12:00 PM</v>
      </c>
      <c r="H10" s="322"/>
      <c r="I10" s="103" t="str">
        <f>'10U_Coed_Classic 22 from 23'!L18&amp;"-"&amp;'10U_Coed_Classic 22 from 23'!C18&amp;"-"&amp;TEXT('10U_Coed_Classic 22 from 23'!B18,"h:mm am/pm")</f>
        <v>10CX-013-Group-12:00 PM</v>
      </c>
      <c r="J10" s="325">
        <v>0.5</v>
      </c>
      <c r="K10" s="319" t="str">
        <f>'12U_Coed_Champ-45'!L26&amp;"-"&amp;'12U_Coed_Champ-45'!C26&amp;"-"&amp;TEXT('12U_Coed_Champ-45'!B26,"h:mm am/pm")</f>
        <v>12C-033-Group-12:00 PM</v>
      </c>
      <c r="L10" s="319" t="str">
        <f>'12U_Coed_Champ-45'!L44&amp;"-"&amp;'12U_Coed_Champ-45'!C44&amp;"-"&amp;TEXT('12U_Coed_Champ-45'!B44,"h:mm am/pm")</f>
        <v>12C-028-Group-12:00 PM</v>
      </c>
      <c r="M10" s="319" t="str">
        <f>'12U_Coed_Champ-45'!L63&amp;"-"&amp;'12U_Coed_Champ-45'!C63&amp;"-"&amp;TEXT('12U_Coed_Champ-45'!B63,"h:mm am/pm")</f>
        <v>12C-035-Group-12:00 PM</v>
      </c>
      <c r="N10" s="319" t="str">
        <f>'12U_Coed_Champ-45'!L81&amp;"-"&amp;'12U_Coed_Champ-45'!C81&amp;"-"&amp;TEXT('12U_Coed_Champ-45'!B81,"h:mm am/pm")</f>
        <v>12C-034-Group-12:00 PM</v>
      </c>
      <c r="O10" s="325">
        <v>0.5</v>
      </c>
      <c r="P10" s="449" t="str">
        <f>'12U_F_Champ-52'!L35&amp;"-"&amp;'12U_F_Champ-52'!C35&amp;"-"&amp;TEXT('12U_F_Champ-52'!B35,"h:mm am/pm")</f>
        <v>12G-029-Group-12:00 PM</v>
      </c>
      <c r="Q10" s="449" t="str">
        <f>'12U_F_Champ-52'!L74&amp;"-"&amp;'12U_F_Champ-52'!C74&amp;"-"&amp;TEXT('12U_F_Champ-52'!B74,"h:mm am/pm")</f>
        <v>12G-031-Group-11:10 AM</v>
      </c>
      <c r="R10" s="449" t="str">
        <f>'12U_F_Champ-52'!L113&amp;"-"&amp;'12U_F_Champ-52'!C113&amp;"-"&amp;TEXT('12U_F_Champ-52'!B113,"h:mm am/pm")</f>
        <v>12G-033-Group-12:00 PM</v>
      </c>
      <c r="S10" s="449" t="str">
        <f>'12U_F_Champ-52'!L54&amp;"-"&amp;'12U_F_Champ-52'!C54&amp;"-"&amp;TEXT('12U_F_Champ-52'!B54,"h:mm am/pm")</f>
        <v>12G-030-Group-12:00 PM</v>
      </c>
      <c r="T10" s="449" t="str">
        <f>'12U_F_Champ-52'!L94&amp;"-"&amp;'12U_F_Champ-52'!C94&amp;"-"&amp;TEXT('12U_F_Champ-52'!B94,"h:mm am/pm")</f>
        <v>12G-032-Group-12:00 PM</v>
      </c>
      <c r="U10" s="325">
        <v>0.5</v>
      </c>
      <c r="V10" s="328" t="str">
        <f>'14U_F_Champ'!L24&amp;"-"&amp;'14U_F_Champ'!C24&amp;"-"&amp;TEXT('14U_F_Champ'!B24,"h:mm am/pm")</f>
        <v>14G-025-Group-12:00 PM</v>
      </c>
      <c r="W10" s="325"/>
      <c r="Z10" s="325">
        <v>0.5</v>
      </c>
      <c r="AA10" s="325"/>
      <c r="AB10" s="328" t="str">
        <f>'14U_F_Champ'!L43&amp;"-"&amp;'14U_F_Champ'!C43&amp;"-"&amp;TEXT('14U_F_Champ'!B43,"h:mm am/pm")</f>
        <v>14G-026-Group-12:00 PM</v>
      </c>
      <c r="AC10" s="328" t="str">
        <f>'14U_F_Champ'!L62&amp;"-"&amp;'14U_F_Champ'!C62&amp;"-"&amp;TEXT('14U_F_Champ'!B62,"h:mm am/pm")</f>
        <v>14G-027-Group-12:00 PM</v>
      </c>
      <c r="AD10" s="328" t="str">
        <f>'14U_F_Champ'!L81&amp;"-"&amp;'14U_F_Champ'!C81&amp;"-"&amp;TEXT('14U_F_Champ'!B81,"h:mm am/pm")</f>
        <v>14G-028-Group-12:00 PM</v>
      </c>
      <c r="AF10" s="339" t="str">
        <f>'16U_F_Classic-45'!L44&amp;"-"&amp;'16U_F_Classic-45'!C44&amp;"-"&amp;TEXT('16U_F_Classic-45'!B44,"h:mm am/pm")</f>
        <v>16GX-028-Group-12:00 PM</v>
      </c>
      <c r="AG10" s="339" t="str">
        <f>'16U_F_Classic-45'!L26&amp;"-"&amp;'16U_F_Classic-45'!C26&amp;"-"&amp;TEXT('16U_F_Classic-45'!B26,"h:mm am/pm")</f>
        <v>16GX-033-Group-12:00 PM</v>
      </c>
      <c r="AH10" s="339" t="str">
        <f>'16U_F_Classic-45'!L81&amp;"-"&amp;'16U_F_Classic-45'!C81&amp;"-"&amp;TEXT('16U_F_Classic-45'!B81,"h:mm am/pm")</f>
        <v>16GX-034-Group-12:00 PM</v>
      </c>
      <c r="AI10" s="339" t="str">
        <f>'16U_F_Classic-45'!L63&amp;"-"&amp;'16U_F_Classic-45'!C63&amp;"-"&amp;TEXT('16U_F_Classic-45'!B63,"h:mm am/pm")</f>
        <v>16GX-035-Group-12:00 PM</v>
      </c>
      <c r="AJ10" s="329" t="str">
        <f>'16U_F_Champ'!L81&amp;"-"&amp;'16U_F_Champ'!C81&amp;"-"&amp;TEXT('16U_F_Champ'!B81,"h:mm am/pm")</f>
        <v>16G-028-Group-12:00 PM</v>
      </c>
      <c r="AK10" s="331" t="str">
        <f>'18U_F_Classic-44'!L26&amp;"-"&amp;'18U_F_Classic-44'!C26&amp;"-"&amp;TEXT('18U_F_Classic-44'!B26,"h:mm am/pm")</f>
        <v>18GX-021-Group-12:00 PM</v>
      </c>
      <c r="AL10" s="325">
        <v>0.5</v>
      </c>
      <c r="AM10" s="329" t="str">
        <f>'16U_F_Champ'!L24&amp;"-"&amp;'16U_F_Champ'!C24&amp;"-"&amp;TEXT('16U_F_Champ'!B24,"h:mm am/pm")</f>
        <v>16G-025-Group-12:00 PM</v>
      </c>
      <c r="AN10" s="329" t="str">
        <f>'16U_F_Champ'!L43&amp;"-"&amp;'16U_F_Champ'!C43&amp;"-"&amp;TEXT('16U_F_Champ'!B43,"h:mm am/pm")</f>
        <v>16G-026-Group-12:00 PM</v>
      </c>
      <c r="AO10" s="329" t="str">
        <f>'16U_F_Champ'!L62&amp;"-"&amp;'16U_F_Champ'!C62&amp;"-"&amp;TEXT('16U_F_Champ'!B62,"h:mm am/pm")</f>
        <v>16G-027-Group-12:00 PM</v>
      </c>
      <c r="AP10" s="331" t="str">
        <f>'18U_F_Classic-44'!L87&amp;"-"&amp;'18U_F_Classic-44'!C87&amp;"-"&amp;TEXT('18U_F_Classic-44'!B87,"h:mm am/pm")</f>
        <v>18GX-028-Group-12:00 PM</v>
      </c>
      <c r="AQ10" s="331" t="str">
        <f>'18U_F_Classic-44'!L46&amp;"-"&amp;'18U_F_Classic-44'!C46&amp;"-"&amp;TEXT('18U_F_Classic-44'!B46,"h:mm am/pm")</f>
        <v>18GX-026-Group-12:00 PM</v>
      </c>
      <c r="AR10" s="331" t="str">
        <f>'18U_F_Classic-44'!L67&amp;"-"&amp;'18U_F_Classic-44'!C67&amp;"-"&amp;TEXT('18U_F_Classic-44'!B67,"h:mm am/pm")</f>
        <v>18GX-023-Group-12:00 PM</v>
      </c>
      <c r="AS10" s="322"/>
      <c r="AU10" s="325">
        <v>0.54166666666666696</v>
      </c>
      <c r="AV10" s="330" t="str">
        <f>'18U_F_Champ'!L56&amp;"-"&amp;'18U_F_Champ'!C56&amp;"-"&amp;TEXT('18U_F_Champ'!B56,"h:mm am/pm")</f>
        <v>18G-033-Group-1:00 PM</v>
      </c>
      <c r="AW10" s="322"/>
      <c r="AX10" s="330" t="str">
        <f>'18U_F_Champ'!L88&amp;"-"&amp;'18U_F_Champ'!C88&amp;"-"&amp;TEXT('18U_F_Champ'!B88,"h:mm am/pm")</f>
        <v>18G-035-Group-1:00 PM</v>
      </c>
      <c r="AY10" s="330" t="str">
        <f>'18U_F_Champ'!L24&amp;"-"&amp;'18U_F_Champ'!C24&amp;"-"&amp;TEXT('18U_F_Champ'!B24,"h:mm am/pm")</f>
        <v>18G-031-Group-1:00 PM</v>
      </c>
      <c r="AZ10" s="330" t="str">
        <f>'18U_F_Champ'!L72&amp;"-"&amp;'18U_F_Champ'!C72&amp;"-"&amp;TEXT('18U_F_Champ'!B72,"h:mm am/pm")</f>
        <v>18G-034-Group-1:00 PM</v>
      </c>
      <c r="BA10" s="322"/>
      <c r="BB10" s="330" t="str">
        <f>'18U_F_Champ'!L40&amp;"-"&amp;'18U_F_Champ'!C40&amp;"-"&amp;TEXT('18U_F_Champ'!B40,"h:mm am/pm")</f>
        <v>18G-032-Group-1:00 PM</v>
      </c>
    </row>
    <row r="11" spans="1:57">
      <c r="A11" s="325">
        <v>0.53472222222222199</v>
      </c>
      <c r="B11" s="103" t="str">
        <f>'10U_Coed_Classic 22 from 23'!L37&amp;"-"&amp;'10U_Coed_Classic 22 from 23'!C37&amp;"-"&amp;TEXT('10U_Coed_Classic 22 from 23'!B37,"h:mm am/pm")</f>
        <v>10CX-014-Group-12:50 PM</v>
      </c>
      <c r="C11" s="80" t="str">
        <f>'10U_Coed_Champ_36'!L43&amp;"-"&amp;'10U_Coed_Champ_36'!C43&amp;"-"&amp;TEXT('10U_Coed_Champ_36'!B23,"h:mm am/pm")</f>
        <v>10C-023-Group E-12:50 PM</v>
      </c>
      <c r="D11" s="46" t="str">
        <f>'10U_F_Champ-18 teams'!L17&amp;"-"&amp;'10U_F_Champ-18 teams'!C17&amp;"-"&amp;TEXT('10U_F_Champ-18 teams'!B17,"h:mm am/pm")</f>
        <v>10G-011-RR-12:50 PM</v>
      </c>
      <c r="E11" s="80" t="str">
        <f>'10U_Coed_Champ_36'!L23&amp;"-"&amp;'10U_Coed_Champ_36'!C23&amp;"-"&amp;TEXT('10U_Coed_Champ_36'!B23,"h:mm am/pm")</f>
        <v>10C-022-Group D-12:50 PM</v>
      </c>
      <c r="F11" s="80" t="str">
        <f>'10U_Coed_Champ_36'!L63&amp;"-"&amp;'10U_Coed_Champ_36'!C63&amp;"-"&amp;TEXT('10U_Coed_Champ_36'!B43,"h:mm am/pm")</f>
        <v>10C-024-Group L-12:50 PM</v>
      </c>
      <c r="G11" s="46" t="str">
        <f>'10U_F_Champ-18 teams'!L33&amp;"-"&amp;'10U_F_Champ-18 teams'!C33&amp;"-"&amp;TEXT('10U_F_Champ-18 teams'!B33,"h:mm am/pm")</f>
        <v>10G-012-RR-12:50 PM</v>
      </c>
      <c r="H11" s="322"/>
      <c r="I11" s="103" t="str">
        <f>'10U_Coed_Classic 22 from 23'!L19&amp;"-"&amp;'10U_Coed_Classic 22 from 23'!C19&amp;"-"&amp;TEXT('10U_Coed_Classic 22 from 23'!B19,"h:mm am/pm")</f>
        <v>10CX-015-Group-12:50 PM</v>
      </c>
      <c r="J11" s="325">
        <v>0.53472222222222199</v>
      </c>
      <c r="K11" s="319" t="str">
        <f>'12U_Coed_Champ-45'!L27&amp;"-"&amp;'12U_Coed_Champ-45'!C27&amp;"-"&amp;TEXT('12U_Coed_Champ-45'!B27,"h:mm am/pm")</f>
        <v>12C-029-Group-12:50 PM</v>
      </c>
      <c r="L11" s="319" t="str">
        <f>'12U_Coed_Champ-45'!L45&amp;"-"&amp;'12U_Coed_Champ-45'!C45&amp;"-"&amp;TEXT('12U_Coed_Champ-45'!B45,"h:mm am/pm")</f>
        <v>12C-032-Group-12:50 PM</v>
      </c>
      <c r="M11" s="319" t="str">
        <f>'12U_Coed_Champ-45'!L64&amp;"-"&amp;'12U_Coed_Champ-45'!C64&amp;"-"&amp;TEXT('12U_Coed_Champ-45'!B64,"h:mm am/pm")</f>
        <v>12C-039-Group-12:50 PM</v>
      </c>
      <c r="N11" s="319" t="str">
        <f>'12U_Coed_Champ-45'!L82&amp;"-"&amp;'12U_Coed_Champ-45'!C82&amp;"-"&amp;TEXT('12U_Coed_Champ-45'!B82,"h:mm am/pm")</f>
        <v>12C-038-Group-12:50 PM</v>
      </c>
      <c r="O11" s="325">
        <v>0.53472222222222199</v>
      </c>
      <c r="P11" s="449" t="str">
        <f>'12U_F_Champ-52'!L36&amp;"-"&amp;'12U_F_Champ-52'!C36&amp;"-"&amp;TEXT('12U_F_Champ-52'!B36,"h:mm am/pm")</f>
        <v>12G-034-Group-12:50 PM</v>
      </c>
      <c r="Q11" s="449" t="str">
        <f>'12U_F_Champ-52'!L75&amp;"-"&amp;'12U_F_Champ-52'!C75&amp;"-"&amp;TEXT('12U_F_Champ-52'!B75,"h:mm am/pm")</f>
        <v>12G-035-Group-12:00 PM</v>
      </c>
      <c r="R11" s="449" t="str">
        <f>'12U_F_Champ-52'!L114&amp;"-"&amp;'12U_F_Champ-52'!C114&amp;"-"&amp;TEXT('12U_F_Champ-52'!B114,"h:mm am/pm")</f>
        <v>12G-037-Group-12:50 PM</v>
      </c>
      <c r="S11" s="449" t="str">
        <f>'12U_F_Champ-52'!L55&amp;"-"&amp;'12U_F_Champ-52'!C55&amp;"-"&amp;TEXT('12U_F_Champ-52'!B55,"h:mm am/pm")</f>
        <v>12G-038-Group-12:50 PM</v>
      </c>
      <c r="T11" s="449" t="str">
        <f>'12U_F_Champ-52'!L95&amp;"-"&amp;'12U_F_Champ-52'!C95&amp;"-"&amp;TEXT('12U_F_Champ-52'!B95,"h:mm am/pm")</f>
        <v>12G-036-Group-12:50 PM</v>
      </c>
      <c r="U11" s="325">
        <v>0.53472222222222199</v>
      </c>
      <c r="V11" s="328" t="str">
        <f>'14U_F_Champ'!L25&amp;"-"&amp;'14U_F_Champ'!C25&amp;"-"&amp;TEXT('14U_F_Champ'!B25,"h:mm am/pm")</f>
        <v>14G-029-Group-12:50 PM</v>
      </c>
      <c r="W11" s="450" t="str">
        <f>'14U_F_Classic-39 from 40'!L47&amp;"-"&amp;'14U_F_Classic-39 from 40'!C47&amp;"-"&amp;TEXT('14U_F_Classic-39 from 40'!B47,"h:mm am/pm")</f>
        <v>14GX-032-Group-12:50 PM</v>
      </c>
      <c r="X11" s="450" t="str">
        <f>'14U_F_Classic-39 from 40'!L65&amp;"-"&amp;'14U_F_Classic-39 from 40'!C65&amp;"-"&amp;TEXT('14U_F_Classic-39 from 40'!B65,"h:mm am/pm")</f>
        <v>14GX-026-Group-12:50 PM</v>
      </c>
      <c r="Y11" s="450" t="str">
        <f>'14U_F_Classic-39 from 40'!L83&amp;"-"&amp;'14U_F_Classic-39 from 40'!C83&amp;"-"&amp;TEXT('14U_F_Classic-39 from 40'!B83,"h:mm am/pm")</f>
        <v>14GX-025-Group-12:50 PM</v>
      </c>
      <c r="Z11" s="325">
        <v>0.53472222222222199</v>
      </c>
      <c r="AA11" s="450" t="str">
        <f>'14U_F_Classic-39 from 40'!L29&amp;"-"&amp;'14U_F_Classic-39 from 40'!C29&amp;"-"&amp;TEXT('14U_F_Classic-39 from 40'!B29,"h:mm am/pm")</f>
        <v>14GX-031-Group-12:50 PM</v>
      </c>
      <c r="AB11" s="328" t="str">
        <f>'14U_F_Champ'!L44&amp;"-"&amp;'14U_F_Champ'!C44&amp;"-"&amp;TEXT('14U_F_Champ'!B44,"h:mm am/pm")</f>
        <v>14G-030-Group-12:50 PM</v>
      </c>
      <c r="AC11" s="328" t="str">
        <f>'14U_F_Champ'!L63&amp;"-"&amp;'14U_F_Champ'!C63&amp;"-"&amp;TEXT('14U_F_Champ'!B63,"h:mm am/pm")</f>
        <v>14G-031-Group-12:50 PM</v>
      </c>
      <c r="AD11" s="328" t="str">
        <f>'14U_F_Champ'!L82&amp;"-"&amp;'14U_F_Champ'!C82&amp;"-"&amp;TEXT('14U_F_Champ'!B82,"h:mm am/pm")</f>
        <v>14G-032-Group-12:50 PM</v>
      </c>
      <c r="AF11" s="339" t="str">
        <f>'16U_F_Classic-45'!L45&amp;"-"&amp;'16U_F_Classic-45'!C45&amp;"-"&amp;TEXT('16U_F_Classic-45'!B45,"h:mm am/pm")</f>
        <v>16GX-032-Group-12:50 PM</v>
      </c>
      <c r="AG11" s="339" t="str">
        <f>'16U_F_Classic-45'!L27&amp;"-"&amp;'16U_F_Classic-45'!C27&amp;"-"&amp;TEXT('16U_F_Classic-45'!B27,"h:mm am/pm")</f>
        <v>16GX-029-Group-12:50 PM</v>
      </c>
      <c r="AH11" s="339" t="str">
        <f>'16U_F_Classic-45'!L82&amp;"-"&amp;'16U_F_Classic-45'!C82&amp;"-"&amp;TEXT('16U_F_Classic-45'!B82,"h:mm am/pm")</f>
        <v>16GX-038-Group-12:50 PM</v>
      </c>
      <c r="AI11" s="339" t="str">
        <f>'16U_F_Classic-45'!L64&amp;"-"&amp;'16U_F_Classic-45'!C64&amp;"-"&amp;TEXT('16U_F_Classic-45'!B64,"h:mm am/pm")</f>
        <v>16GX-039-Group-12:50 PM</v>
      </c>
      <c r="AJ11" s="329" t="str">
        <f>'16U_F_Champ'!L82&amp;"-"&amp;'16U_F_Champ'!C82&amp;"-"&amp;TEXT('16U_F_Champ'!B82,"h:mm am/pm")</f>
        <v>16G-032-Group-12:50 PM</v>
      </c>
      <c r="AK11" s="331" t="str">
        <f>'18U_F_Classic-44'!L27&amp;"-"&amp;'18U_F_Classic-44'!C27&amp;"-"&amp;TEXT('18U_F_Classic-44'!B27,"h:mm am/pm")</f>
        <v>18GX-025-Group-12:50 PM</v>
      </c>
      <c r="AL11" s="325">
        <v>0.53472222222222199</v>
      </c>
      <c r="AM11" s="329" t="str">
        <f>'16U_F_Champ'!L25&amp;"-"&amp;'16U_F_Champ'!C25&amp;"-"&amp;TEXT('16U_F_Champ'!B25,"h:mm am/pm")</f>
        <v>16G-029-Group-12:50 PM</v>
      </c>
      <c r="AN11" s="329" t="str">
        <f>'16U_F_Champ'!L44&amp;"-"&amp;'16U_F_Champ'!C44&amp;"-"&amp;TEXT('16U_F_Champ'!B44,"h:mm am/pm")</f>
        <v>16G-030-Group-12:50 PM</v>
      </c>
      <c r="AO11" s="329" t="str">
        <f>'16U_F_Champ'!L63&amp;"-"&amp;'16U_F_Champ'!C63&amp;"-"&amp;TEXT('16U_F_Champ'!B63,"h:mm am/pm")</f>
        <v>16G-031-Group-12:50 PM</v>
      </c>
      <c r="AP11" s="331" t="str">
        <f>'18U_F_Classic-44'!L88&amp;"-"&amp;'18U_F_Classic-44'!C88&amp;"-"&amp;TEXT('18U_F_Classic-44'!B88,"h:mm am/pm")</f>
        <v>18GX-032-Group-12:50 PM</v>
      </c>
      <c r="AQ11" s="331" t="str">
        <f>'18U_F_Classic-44'!L47&amp;"-"&amp;'18U_F_Classic-44'!C47&amp;"-"&amp;TEXT('18U_F_Classic-44'!B47,"h:mm am/pm")</f>
        <v>18GX-030-Group-12:50 PM</v>
      </c>
      <c r="AR11" s="331" t="str">
        <f>'18U_F_Classic-44'!L68&amp;"-"&amp;'18U_F_Classic-44'!C68&amp;"-"&amp;TEXT('18U_F_Classic-44'!B68,"h:mm am/pm")</f>
        <v>18GX-027-Group-12:50 PM</v>
      </c>
      <c r="AS11" s="322"/>
      <c r="AU11" s="325">
        <v>0.58333333333333304</v>
      </c>
      <c r="AV11" s="330" t="str">
        <f>'18U_F_Champ'!L57&amp;"-"&amp;'18U_F_Champ'!C57&amp;"-"&amp;TEXT('18U_F_Champ'!B57,"h:mm am/pm")</f>
        <v>18G-038-Group-2:00 PM</v>
      </c>
      <c r="AW11" s="322"/>
      <c r="AX11" s="330" t="str">
        <f>'18U_F_Champ'!L89&amp;"-"&amp;'18U_F_Champ'!C89&amp;"-"&amp;TEXT('18U_F_Champ'!B89,"h:mm am/pm")</f>
        <v>18G-040-Group-2:00 PM</v>
      </c>
      <c r="AY11" s="330" t="str">
        <f>'18U_F_Champ'!L25&amp;"-"&amp;'18U_F_Champ'!C25&amp;"-"&amp;TEXT('18U_F_Champ'!B25,"h:mm am/pm")</f>
        <v>18G-036-Group-2:00 PM</v>
      </c>
      <c r="AZ11" s="330" t="str">
        <f>'18U_F_Champ'!L73&amp;"-"&amp;'18U_F_Champ'!C73&amp;"-"&amp;TEXT('18U_F_Champ'!B73,"h:mm am/pm")</f>
        <v>18G-039-Group-2:00 PM</v>
      </c>
      <c r="BA11" s="322"/>
      <c r="BB11" s="330" t="str">
        <f>'18U_F_Champ'!L41&amp;"-"&amp;'18U_F_Champ'!C41&amp;"-"&amp;TEXT('18U_F_Champ'!B41,"h:mm am/pm")</f>
        <v>18G-037-Group-2:00 PM</v>
      </c>
    </row>
    <row r="12" spans="1:57">
      <c r="A12" s="325">
        <v>0.56944444444444497</v>
      </c>
      <c r="B12" s="103" t="str">
        <f>'10U_Coed_Classic 22 from 23'!L38&amp;"-"&amp;'10U_Coed_Classic 22 from 23'!C38&amp;"-"&amp;TEXT('10U_Coed_Classic 22 from 23'!B38,"h:mm am/pm")</f>
        <v>10CX-016-Group-1:40 PM</v>
      </c>
      <c r="C12" s="80" t="str">
        <f>'10U_Coed_Champ_36'!L44&amp;"-"&amp;'10U_Coed_Champ_36'!C44&amp;"-"&amp;TEXT('10U_Coed_Champ_36'!B24,"h:mm am/pm")</f>
        <v>10C-026-Group H-1:40 PM</v>
      </c>
      <c r="D12" s="46" t="str">
        <f>'10U_F_Champ-18 teams'!L18&amp;"-"&amp;'10U_F_Champ-18 teams'!C18&amp;"-"&amp;TEXT('10U_F_Champ-18 teams'!B18,"h:mm am/pm")</f>
        <v>10G-013-RR-1:40 PM</v>
      </c>
      <c r="E12" s="80" t="str">
        <f>'10U_Coed_Champ_36'!L24&amp;"-"&amp;'10U_Coed_Champ_36'!C24&amp;"-"&amp;TEXT('10U_Coed_Champ_36'!B24,"h:mm am/pm")</f>
        <v>10C-025-Group A-1:40 PM</v>
      </c>
      <c r="F12" s="80" t="str">
        <f>'10U_Coed_Champ_36'!L64&amp;"-"&amp;'10U_Coed_Champ_36'!C64&amp;"-"&amp;TEXT('10U_Coed_Champ_36'!B44,"h:mm am/pm")</f>
        <v>10C-027-Group I-1:40 PM</v>
      </c>
      <c r="G12" s="46" t="str">
        <f>'10U_F_Champ-18 teams'!L34&amp;"-"&amp;'10U_F_Champ-18 teams'!C34&amp;"-"&amp;TEXT('10U_F_Champ-18 teams'!B34,"h:mm am/pm")</f>
        <v>10G-014-RR-1:40 PM</v>
      </c>
      <c r="H12" s="322"/>
      <c r="I12" s="103" t="str">
        <f>'10U_Coed_Classic 22 from 23'!L20&amp;"-"&amp;'10U_Coed_Classic 22 from 23'!C20&amp;"-"&amp;TEXT('10U_Coed_Classic 22 from 23'!B20,"h:mm am/pm")</f>
        <v>10CX-017-Group-1:40 PM</v>
      </c>
      <c r="J12" s="325">
        <v>0.56944444444444497</v>
      </c>
      <c r="K12" s="319" t="str">
        <f>'12U_Coed_Champ-45'!L28&amp;"-"&amp;'12U_Coed_Champ-45'!C28&amp;"-"&amp;TEXT('12U_Coed_Champ-45'!B28,"h:mm am/pm")</f>
        <v>12C-041-Group-1:40 PM</v>
      </c>
      <c r="L12" s="319" t="str">
        <f>'12U_Coed_Champ-45'!L46&amp;"-"&amp;'12U_Coed_Champ-45'!C46&amp;"-"&amp;TEXT('12U_Coed_Champ-45'!B46,"h:mm am/pm")</f>
        <v>12C-036-Group-1:40 PM</v>
      </c>
      <c r="M12" s="319" t="str">
        <f>'12U_Coed_Champ-45'!L65&amp;"-"&amp;'12U_Coed_Champ-45'!C65&amp;"-"&amp;TEXT('12U_Coed_Champ-45'!B65,"h:mm am/pm")</f>
        <v>12C-031-bracket-1:40 PM</v>
      </c>
      <c r="N12" s="319" t="str">
        <f>'12U_Coed_Champ-45'!L83&amp;"-"&amp;'12U_Coed_Champ-45'!C83&amp;"-"&amp;TEXT('12U_Coed_Champ-45'!B83,"h:mm am/pm")</f>
        <v>12C-026-bracket-1:40 PM</v>
      </c>
      <c r="O12" s="325">
        <v>0.56944444444444497</v>
      </c>
      <c r="P12" s="449" t="str">
        <f>'12U_F_Champ-52'!L37&amp;"-"&amp;'12U_F_Champ-52'!C37&amp;"-"&amp;TEXT('12U_F_Champ-52'!B37,"h:mm am/pm")</f>
        <v>12G-53A-Group-1:40 PM</v>
      </c>
      <c r="Q12" s="449" t="str">
        <f>'12U_F_Champ-52'!L76&amp;"-"&amp;'12U_F_Champ-52'!C76&amp;"-"&amp;TEXT('12U_F_Champ-52'!B76,"h:mm am/pm")</f>
        <v>12G-040-Group-12:50 PM</v>
      </c>
      <c r="R12" s="449" t="str">
        <f>'12U_F_Champ-52'!L115&amp;"-"&amp;'12U_F_Champ-52'!C115&amp;"-"&amp;TEXT('12U_F_Champ-52'!B115,"h:mm am/pm")</f>
        <v>12G-042-Group-1:40 PM</v>
      </c>
      <c r="S12" s="449" t="str">
        <f>'12U_F_Champ-52'!L56&amp;"-"&amp;'12U_F_Champ-52'!C56&amp;"-"&amp;TEXT('12U_F_Champ-52'!B56,"h:mm am/pm")</f>
        <v>12G-039-Group-1:40 PM</v>
      </c>
      <c r="T12" s="449" t="str">
        <f>'12U_F_Champ-52'!L96&amp;"-"&amp;'12U_F_Champ-52'!C96&amp;"-"&amp;TEXT('12U_F_Champ-52'!B96,"h:mm am/pm")</f>
        <v>12G-041-Group-1:40 PM</v>
      </c>
      <c r="U12" s="325">
        <v>0.56944444444444497</v>
      </c>
      <c r="V12" s="328" t="str">
        <f>'14U_F_Champ'!L26&amp;"-"&amp;'14U_F_Champ'!C26&amp;"-"&amp;TEXT('14U_F_Champ'!B26,"h:mm am/pm")</f>
        <v>14G-033-Group-1:40 PM</v>
      </c>
      <c r="W12" s="450" t="str">
        <f>'14U_F_Classic-39 from 40'!L48&amp;"-"&amp;'14U_F_Classic-39 from 40'!C48&amp;"-"&amp;TEXT('14U_F_Classic-39 from 40'!B48,"h:mm am/pm")</f>
        <v>14GX-036-Group-1:40 PM</v>
      </c>
      <c r="X12" s="450" t="str">
        <f>'14U_F_Classic-39 from 40'!L66&amp;"-"&amp;'14U_F_Classic-39 from 40'!C66&amp;"-"&amp;TEXT('14U_F_Classic-39 from 40'!B66,"h:mm am/pm")</f>
        <v>14GX-030-Group-1:40 PM</v>
      </c>
      <c r="Y12" s="450" t="str">
        <f>'14U_F_Classic-39 from 40'!L84&amp;"-"&amp;'14U_F_Classic-39 from 40'!C84&amp;"-"&amp;TEXT('14U_F_Classic-39 from 40'!B84,"h:mm am/pm")</f>
        <v>14GX-033-Group-1:40 PM</v>
      </c>
      <c r="Z12" s="325">
        <v>0.56944444444444497</v>
      </c>
      <c r="AA12" s="450" t="str">
        <f>'14U_F_Classic-39 from 40'!L30&amp;"-"&amp;'14U_F_Classic-39 from 40'!C30&amp;"-"&amp;TEXT('14U_F_Classic-39 from 40'!B30,"h:mm am/pm")</f>
        <v>14GX-035-Group-1:40 PM</v>
      </c>
      <c r="AB12" s="328" t="str">
        <f>'14U_F_Champ'!L45&amp;"-"&amp;'14U_F_Champ'!C45&amp;"-"&amp;TEXT('14U_F_Champ'!B45,"h:mm am/pm")</f>
        <v>14G-034-Group-1:40 PM</v>
      </c>
      <c r="AC12" s="328" t="str">
        <f>'14U_F_Champ'!L64&amp;"-"&amp;'14U_F_Champ'!C64&amp;"-"&amp;TEXT('14U_F_Champ'!B64,"h:mm am/pm")</f>
        <v>14G-035-Group-1:40 PM</v>
      </c>
      <c r="AD12" s="328" t="str">
        <f>'14U_F_Champ'!L83&amp;"-"&amp;'14U_F_Champ'!C83&amp;"-"&amp;TEXT('14U_F_Champ'!B83,"h:mm am/pm")</f>
        <v>14G-036-Group-1:40 PM</v>
      </c>
      <c r="AF12" s="339" t="str">
        <f>'16U_F_Classic-45'!L46&amp;"-"&amp;'16U_F_Classic-45'!C46&amp;"-"&amp;TEXT('16U_F_Classic-45'!B46,"h:mm am/pm")</f>
        <v>16GX-036-Group-1:40 PM</v>
      </c>
      <c r="AG12" s="339" t="str">
        <f>'16U_F_Classic-45'!L28&amp;"-"&amp;'16U_F_Classic-45'!C28&amp;"-"&amp;TEXT('16U_F_Classic-45'!B28,"h:mm am/pm")</f>
        <v>16GX-041-Group-1:40 PM</v>
      </c>
      <c r="AH12" s="339" t="str">
        <f>'16U_F_Classic-45'!L83&amp;"-"&amp;'16U_F_Classic-45'!C83&amp;"-"&amp;TEXT('16U_F_Classic-45'!B83,"h:mm am/pm")</f>
        <v>16GX-026-bracket-1:40 PM</v>
      </c>
      <c r="AI12" s="339" t="str">
        <f>'16U_F_Classic-45'!L65&amp;"-"&amp;'16U_F_Classic-45'!C65&amp;"-"&amp;TEXT('16U_F_Classic-45'!B65,"h:mm am/pm")</f>
        <v>16GX-031-bracket-1:40 PM</v>
      </c>
      <c r="AJ12" s="329" t="str">
        <f>'16U_F_Champ'!L83&amp;"-"&amp;'16U_F_Champ'!C83&amp;"-"&amp;TEXT('16U_F_Champ'!B83,"h:mm am/pm")</f>
        <v>16G-036-Group-1:40 PM</v>
      </c>
      <c r="AK12" s="331" t="str">
        <f>'18U_F_Classic-44'!L28&amp;"-"&amp;'18U_F_Classic-44'!C28&amp;"-"&amp;TEXT('18U_F_Classic-44'!B28,"h:mm am/pm")</f>
        <v>18GX-029-Group-1:40 PM</v>
      </c>
      <c r="AL12" s="325">
        <v>0.56944444444444497</v>
      </c>
      <c r="AM12" s="329" t="str">
        <f>'16U_F_Champ'!L26&amp;"-"&amp;'16U_F_Champ'!C26&amp;"-"&amp;TEXT('16U_F_Champ'!B26,"h:mm am/pm")</f>
        <v>16G-033-Group-1:40 PM</v>
      </c>
      <c r="AN12" s="329" t="str">
        <f>'16U_F_Champ'!L45&amp;"-"&amp;'16U_F_Champ'!C45&amp;"-"&amp;TEXT('16U_F_Champ'!B45,"h:mm am/pm")</f>
        <v>16G-034-Group-1:40 PM</v>
      </c>
      <c r="AO12" s="329" t="str">
        <f>'16U_F_Champ'!L64&amp;"-"&amp;'16U_F_Champ'!C64&amp;"-"&amp;TEXT('16U_F_Champ'!B64,"h:mm am/pm")</f>
        <v>16G-035-Group-1:40 PM</v>
      </c>
      <c r="AP12" s="331" t="str">
        <f>'18U_F_Classic-44'!L89&amp;"-"&amp;'18U_F_Classic-44'!C89&amp;"-"&amp;TEXT('18U_F_Classic-44'!B89,"h:mm am/pm")</f>
        <v>18GX-036-Group-1:40 PM</v>
      </c>
      <c r="AQ12" s="331" t="str">
        <f>'18U_F_Classic-44'!L48&amp;"-"&amp;'18U_F_Classic-44'!C48&amp;"-"&amp;TEXT('18U_F_Classic-44'!B48,"h:mm am/pm")</f>
        <v>18GX-034-Group-1:40 PM</v>
      </c>
      <c r="AR12" s="331" t="str">
        <f>'18U_F_Classic-44'!L69&amp;"-"&amp;'18U_F_Classic-44'!C69&amp;"-"&amp;TEXT('18U_F_Classic-44'!B69,"h:mm am/pm")</f>
        <v>18GX-031-Group-1:40 PM</v>
      </c>
      <c r="AS12" s="322"/>
      <c r="AU12" s="325">
        <v>0.625</v>
      </c>
      <c r="AV12" s="330" t="str">
        <f>'18U_F_Champ'!L58&amp;"-"&amp;'18U_F_Champ'!C58&amp;"-"&amp;TEXT('18U_F_Champ'!B58,"h:mm am/pm")</f>
        <v>18G-043-Group-3:00 PM</v>
      </c>
      <c r="AW12" s="322"/>
      <c r="AY12" s="330" t="str">
        <f>'18U_F_Champ'!L26&amp;"-"&amp;'18U_F_Champ'!C26&amp;"-"&amp;TEXT('18U_F_Champ'!B26,"h:mm am/pm")</f>
        <v>18G-041-Group-3:00 PM</v>
      </c>
      <c r="AZ12" s="330" t="str">
        <f>'18U_F_Champ'!L74&amp;"-"&amp;'18U_F_Champ'!C74&amp;"-"&amp;TEXT('18U_F_Champ'!B74,"h:mm am/pm")</f>
        <v>18G-044-Group-3:00 PM</v>
      </c>
      <c r="BA12" s="322"/>
      <c r="BB12" s="330" t="str">
        <f>'18U_F_Champ'!L42&amp;"-"&amp;'18U_F_Champ'!C42&amp;"-"&amp;TEXT('18U_F_Champ'!B42,"h:mm am/pm")</f>
        <v>18G-042-Group-3:00 PM</v>
      </c>
    </row>
    <row r="13" spans="1:57">
      <c r="A13" s="325">
        <v>0.60416666666666696</v>
      </c>
      <c r="B13" s="103" t="str">
        <f>'10U_Coed_Classic 22 from 23'!L39&amp;"-"&amp;'10U_Coed_Classic 22 from 23'!C39&amp;"-"&amp;TEXT('10U_Coed_Classic 22 from 23'!B39,"h:mm am/pm")</f>
        <v>10CX-020-Group-2:30 PM</v>
      </c>
      <c r="C13" s="80" t="str">
        <f>'10U_Coed_Champ_36'!L45&amp;"-"&amp;'10U_Coed_Champ_36'!C45&amp;"-"&amp;TEXT('10U_Coed_Champ_36'!B25,"h:mm am/pm")</f>
        <v>10C-029-Group G-2:30 PM</v>
      </c>
      <c r="D13" s="46" t="str">
        <f>'10U_F_Champ-18 teams'!L19&amp;"-"&amp;'10U_F_Champ-18 teams'!C19&amp;"-"&amp;TEXT('10U_F_Champ-18 teams'!B19,"h:mm am/pm")</f>
        <v>10G-015-RR-2:30 PM</v>
      </c>
      <c r="E13" s="80" t="str">
        <f>'10U_Coed_Champ_36'!L25&amp;"-"&amp;'10U_Coed_Champ_36'!C25&amp;"-"&amp;TEXT('10U_Coed_Champ_36'!B25,"h:mm am/pm")</f>
        <v>10C-028-Group B-2:30 PM</v>
      </c>
      <c r="F13" s="80" t="str">
        <f>'10U_Coed_Champ_36'!L65&amp;"-"&amp;'10U_Coed_Champ_36'!C65&amp;"-"&amp;TEXT('10U_Coed_Champ_36'!B45,"h:mm am/pm")</f>
        <v>10C-030-Group J-2:30 PM</v>
      </c>
      <c r="G13" s="46" t="str">
        <f>'10U_F_Champ-18 teams'!L35&amp;"-"&amp;'10U_F_Champ-18 teams'!C35&amp;"-"&amp;TEXT('10U_F_Champ-18 teams'!B35,"h:mm am/pm")</f>
        <v>10G-016-RR-2:30 PM</v>
      </c>
      <c r="H13" s="322"/>
      <c r="I13" s="103" t="str">
        <f>'10U_Coed_Classic 22 from 23'!L21&amp;"-"&amp;'10U_Coed_Classic 22 from 23'!C21&amp;"-"&amp;TEXT('10U_Coed_Classic 22 from 23'!B21,"h:mm am/pm")</f>
        <v>10CX-019-Group-2:30 PM</v>
      </c>
      <c r="J13" s="325">
        <v>0.60416666666666696</v>
      </c>
      <c r="K13" s="319" t="str">
        <f>'12U_Coed_Champ-45'!L29&amp;"-"&amp;'12U_Coed_Champ-45'!C29&amp;"-"&amp;TEXT('12U_Coed_Champ-45'!B29,"h:mm am/pm")</f>
        <v>12C-045-Group-2:30 PM</v>
      </c>
      <c r="L13" s="319" t="str">
        <f>'12U_Coed_Champ-45'!L47&amp;"-"&amp;'12U_Coed_Champ-45'!C47&amp;"-"&amp;TEXT('12U_Coed_Champ-45'!B47,"h:mm am/pm")</f>
        <v>12C-040-Group-2:30 PM</v>
      </c>
      <c r="M13" s="319" t="str">
        <f>'12U_Coed_Champ-45'!L66&amp;"-"&amp;'12U_Coed_Champ-45'!C66&amp;"-"&amp;TEXT('12U_Coed_Champ-45'!B66,"h:mm am/pm")</f>
        <v>12C-043-Group-2:30 PM</v>
      </c>
      <c r="N13" s="319" t="str">
        <f>'12U_Coed_Champ-45'!L84&amp;"-"&amp;'12U_Coed_Champ-45'!C84&amp;"-"&amp;TEXT('12U_Coed_Champ-45'!B84,"h:mm am/pm")</f>
        <v>12C-042-Group-2:30 PM</v>
      </c>
      <c r="O13" s="325">
        <v>0.60416666666666696</v>
      </c>
      <c r="P13" s="449" t="str">
        <f>'12U_F_Champ-52'!L38&amp;"-"&amp;'12U_F_Champ-52'!C38&amp;"-"&amp;TEXT('12U_F_Champ-52'!B38,"h:mm am/pm")</f>
        <v>12G-53B-Group-2:30 PM</v>
      </c>
      <c r="Q13" s="449" t="str">
        <f>'12U_F_Champ-52'!L77&amp;"-"&amp;'12U_F_Champ-52'!C77&amp;"-"&amp;TEXT('12U_F_Champ-52'!B77,"h:mm am/pm")</f>
        <v>12G-045-Group-1:40 PM</v>
      </c>
      <c r="R13" s="449" t="str">
        <f>'12U_F_Champ-52'!L116&amp;"-"&amp;'12U_F_Champ-52'!C116&amp;"-"&amp;TEXT('12U_F_Champ-52'!B116,"h:mm am/pm")</f>
        <v>12G-047-Group-2:30 PM</v>
      </c>
      <c r="S13" s="449" t="str">
        <f>'12U_F_Champ-52'!L57&amp;"-"&amp;'12U_F_Champ-52'!C57&amp;"-"&amp;TEXT('12U_F_Champ-52'!B57,"h:mm am/pm")</f>
        <v>12G-044-Group-2:30 PM</v>
      </c>
      <c r="T13" s="449" t="str">
        <f>'12U_F_Champ-52'!L97&amp;"-"&amp;'12U_F_Champ-52'!C97&amp;"-"&amp;TEXT('12U_F_Champ-52'!B97,"h:mm am/pm")</f>
        <v>12G-046-Group-2:30 PM</v>
      </c>
      <c r="U13" s="325">
        <v>0.60416666666666696</v>
      </c>
      <c r="V13" s="328" t="str">
        <f>'14U_F_Champ'!L27&amp;"-"&amp;'14U_F_Champ'!C27&amp;"-"&amp;TEXT('14U_F_Champ'!B27,"h:mm am/pm")</f>
        <v>14G-037-Group-2:30 PM</v>
      </c>
      <c r="W13" s="450" t="str">
        <f>'14U_F_Classic-39 from 40'!L49&amp;"-"&amp;'14U_F_Classic-39 from 40'!C49&amp;"-"&amp;TEXT('14U_F_Classic-39 from 40'!B49,"h:mm am/pm")</f>
        <v>14GX-040-Group-2:30 PM</v>
      </c>
      <c r="X13" s="450" t="str">
        <f>'14U_F_Classic-39 from 40'!L67&amp;"-"&amp;'14U_F_Classic-39 from 40'!C67&amp;"-"&amp;TEXT('14U_F_Classic-39 from 40'!B67,"h:mm am/pm")</f>
        <v>14GX-034-Group-2:30 PM</v>
      </c>
      <c r="Y13" s="450" t="str">
        <f>'14U_F_Classic-39 from 40'!L85&amp;"-"&amp;'14U_F_Classic-39 from 40'!C85&amp;"-"&amp;TEXT('14U_F_Classic-39 from 40'!B85,"h:mm am/pm")</f>
        <v>14GX-037-Group-2:30 PM</v>
      </c>
      <c r="Z13" s="325">
        <v>0.60416666666666696</v>
      </c>
      <c r="AA13" s="450" t="str">
        <f>'14U_F_Classic-39 from 40'!L31&amp;"-"&amp;'14U_F_Classic-39 from 40'!C31&amp;"-"&amp;TEXT('14U_F_Classic-39 from 40'!B31,"h:mm am/pm")</f>
        <v>14GX-039-Group-2:30 PM</v>
      </c>
      <c r="AB13" s="328" t="str">
        <f>'14U_F_Champ'!L46&amp;"-"&amp;'14U_F_Champ'!C46&amp;"-"&amp;TEXT('14U_F_Champ'!B46,"h:mm am/pm")</f>
        <v>14G-038-Group-2:30 PM</v>
      </c>
      <c r="AC13" s="328" t="str">
        <f>'14U_F_Champ'!L65&amp;"-"&amp;'14U_F_Champ'!C65&amp;"-"&amp;TEXT('14U_F_Champ'!B65,"h:mm am/pm")</f>
        <v>14G-039-Group-2:30 PM</v>
      </c>
      <c r="AD13" s="328" t="str">
        <f>'14U_F_Champ'!L84&amp;"-"&amp;'14U_F_Champ'!C84&amp;"-"&amp;TEXT('14U_F_Champ'!B84,"h:mm am/pm")</f>
        <v>14G-040-Group-2:30 PM</v>
      </c>
      <c r="AF13" s="339" t="str">
        <f>'16U_F_Classic-45'!L47&amp;"-"&amp;'16U_F_Classic-45'!C47&amp;"-"&amp;TEXT('16U_F_Classic-45'!B47,"h:mm am/pm")</f>
        <v>16GX-040-Group-2:30 PM</v>
      </c>
      <c r="AG13" s="339" t="str">
        <f>'16U_F_Classic-45'!L29&amp;"-"&amp;'16U_F_Classic-45'!C29&amp;"-"&amp;TEXT('16U_F_Classic-45'!B29,"h:mm am/pm")</f>
        <v>16GX-045-Group-2:30 PM</v>
      </c>
      <c r="AH13" s="339" t="str">
        <f>'16U_F_Classic-45'!L84&amp;"-"&amp;'16U_F_Classic-45'!C84&amp;"-"&amp;TEXT('16U_F_Classic-45'!B84,"h:mm am/pm")</f>
        <v>16GX-042-Group-2:30 PM</v>
      </c>
      <c r="AI13" s="339" t="str">
        <f>'16U_F_Classic-45'!L66&amp;"-"&amp;'16U_F_Classic-45'!C66&amp;"-"&amp;TEXT('16U_F_Classic-45'!B66,"h:mm am/pm")</f>
        <v>16GX-043-Group-2:30 PM</v>
      </c>
      <c r="AJ13" s="329" t="str">
        <f>'16U_F_Champ'!L84&amp;"-"&amp;'16U_F_Champ'!C84&amp;"-"&amp;TEXT('16U_F_Champ'!B84,"h:mm am/pm")</f>
        <v>16G-040-Group-2:30 PM</v>
      </c>
      <c r="AL13" s="325">
        <v>0.60416666666666696</v>
      </c>
      <c r="AM13" s="329" t="str">
        <f>'16U_F_Champ'!L27&amp;"-"&amp;'16U_F_Champ'!C27&amp;"-"&amp;TEXT('16U_F_Champ'!B27,"h:mm am/pm")</f>
        <v>16G-037-Group-2:30 PM</v>
      </c>
      <c r="AN13" s="329" t="str">
        <f>'16U_F_Champ'!L46&amp;"-"&amp;'16U_F_Champ'!C46&amp;"-"&amp;TEXT('16U_F_Champ'!B46,"h:mm am/pm")</f>
        <v>16G-038-Group-2:30 PM</v>
      </c>
      <c r="AO13" s="329" t="str">
        <f>'16U_F_Champ'!L65&amp;"-"&amp;'16U_F_Champ'!C65&amp;"-"&amp;TEXT('16U_F_Champ'!B65,"h:mm am/pm")</f>
        <v>16G-039-Group-2:30 PM</v>
      </c>
      <c r="AP13" s="331" t="str">
        <f>'18U_F_Classic-44'!L90&amp;"-"&amp;'18U_F_Classic-44'!C90&amp;"-"&amp;TEXT('18U_F_Classic-44'!B90,"h:mm am/pm")</f>
        <v>18GX-040-Group-2:30 PM</v>
      </c>
      <c r="AQ13" s="331" t="str">
        <f>'18U_F_Classic-44'!L49&amp;"-"&amp;'18U_F_Classic-44'!C49&amp;"-"&amp;TEXT('18U_F_Classic-44'!B49,"h:mm am/pm")</f>
        <v>18GX-038-Group-2:30 PM</v>
      </c>
      <c r="AS13" s="322"/>
      <c r="AU13" s="325">
        <v>0.66666666666666696</v>
      </c>
      <c r="AV13" s="330" t="str">
        <f>'18U_F_Champ'!L59&amp;"-"&amp;'18U_F_Champ'!C59&amp;"-"&amp;TEXT('18U_F_Champ'!B59,"h:mm am/pm")</f>
        <v>18G-047-Group-4:00 PM</v>
      </c>
      <c r="AW13" s="322"/>
      <c r="AX13" s="330" t="str">
        <f>'18U_F_Champ'!L91&amp;"-"&amp;'18U_F_Champ'!C91&amp;"-"&amp;TEXT('18U_F_Champ'!B91,"h:mm am/pm")</f>
        <v>18G-049-2-3 cross-4:00 PM</v>
      </c>
      <c r="AY13" s="330" t="str">
        <f>'18U_F_Champ'!L27&amp;"-"&amp;'18U_F_Champ'!C27&amp;"-"&amp;TEXT('18U_F_Champ'!B27,"h:mm am/pm")</f>
        <v>18G-045-Group-4:00 PM</v>
      </c>
      <c r="AZ13" s="330" t="str">
        <f>'18U_F_Champ'!L75&amp;"-"&amp;'18U_F_Champ'!C75&amp;"-"&amp;TEXT('18U_F_Champ'!B75,"h:mm am/pm")</f>
        <v>18G-048-Group-4:00 PM</v>
      </c>
      <c r="BA13" s="322"/>
      <c r="BB13" s="330" t="str">
        <f>'18U_F_Champ'!L43&amp;"-"&amp;'18U_F_Champ'!C43&amp;"-"&amp;TEXT('18U_F_Champ'!B43,"h:mm am/pm")</f>
        <v>18G-046-Group-4:00 PM</v>
      </c>
    </row>
    <row r="14" spans="1:57">
      <c r="A14" s="325">
        <v>0.63888888888888895</v>
      </c>
      <c r="B14" s="103" t="str">
        <f>'10U_Coed_Classic 22 from 23'!L40&amp;"-"&amp;'10U_Coed_Classic 22 from 23'!C40&amp;"-"&amp;TEXT('10U_Coed_Classic 22 from 23'!B40,"h:mm am/pm")</f>
        <v>10CX-018-Group-3:20 PM</v>
      </c>
      <c r="C14" s="80" t="str">
        <f>'10U_Coed_Champ_36'!L46&amp;"-"&amp;'10U_Coed_Champ_36'!C46&amp;"-"&amp;TEXT('10U_Coed_Champ_36'!B26,"h:mm am/pm")</f>
        <v>10C-032-Group F-3:20 PM</v>
      </c>
      <c r="D14" s="46" t="str">
        <f>'10U_F_Champ-18 teams'!L20&amp;"-"&amp;'10U_F_Champ-18 teams'!C20&amp;"-"&amp;TEXT('10U_F_Champ-18 teams'!B20,"h:mm am/pm")</f>
        <v>10G-017-RR-3:20 PM</v>
      </c>
      <c r="E14" s="80" t="str">
        <f>'10U_Coed_Champ_36'!L26&amp;"-"&amp;'10U_Coed_Champ_36'!C26&amp;"-"&amp;TEXT('10U_Coed_Champ_36'!B26,"h:mm am/pm")</f>
        <v>10C-031-Group C-3:20 PM</v>
      </c>
      <c r="F14" s="80" t="str">
        <f>'10U_Coed_Champ_36'!L66&amp;"-"&amp;'10U_Coed_Champ_36'!C66&amp;"-"&amp;TEXT('10U_Coed_Champ_36'!B46,"h:mm am/pm")</f>
        <v>10C-033-Group K-3:20 PM</v>
      </c>
      <c r="G14" s="46" t="str">
        <f>'10U_F_Champ-18 teams'!L36&amp;"-"&amp;'10U_F_Champ-18 teams'!C36&amp;"-"&amp;TEXT('10U_F_Champ-18 teams'!B36,"h:mm am/pm")</f>
        <v>10G-018-RR-3:20 PM</v>
      </c>
      <c r="H14" s="322"/>
      <c r="I14" s="103" t="str">
        <f>'10U_Coed_Classic 22 from 23'!L22&amp;"-"&amp;'10U_Coed_Classic 22 from 23'!C22&amp;"-"&amp;TEXT('10U_Coed_Classic 22 from 23'!B22,"h:mm am/pm")</f>
        <v>10CX-021-Group-3:20 PM</v>
      </c>
      <c r="J14" s="325">
        <v>0.63888888888888895</v>
      </c>
      <c r="K14" s="319" t="str">
        <f>'12U_Coed_Champ-45'!L30&amp;"-"&amp;'12U_Coed_Champ-45'!C30&amp;"-"&amp;TEXT('12U_Coed_Champ-45'!B30,"h:mm am/pm")</f>
        <v>12C-037-Group-3:20 PM</v>
      </c>
      <c r="L14" s="319" t="str">
        <f>'12U_Coed_Champ-45'!L48&amp;"-"&amp;'12U_Coed_Champ-45'!C48&amp;"-"&amp;TEXT('12U_Coed_Champ-45'!B48,"h:mm am/pm")</f>
        <v>12C-044-Group-3:20 PM</v>
      </c>
      <c r="M14" s="319" t="str">
        <f>'12U_Coed_Champ-45'!L67&amp;"-"&amp;'12U_Coed_Champ-45'!C67&amp;"-"&amp;TEXT('12U_Coed_Champ-45'!B67,"h:mm am/pm")</f>
        <v>12C-047-Group-3:20 PM</v>
      </c>
      <c r="N14" s="319" t="str">
        <f>'12U_Coed_Champ-45'!L85&amp;"-"&amp;'12U_Coed_Champ-45'!C85&amp;"-"&amp;TEXT('12U_Coed_Champ-45'!B85,"h:mm am/pm")</f>
        <v>12C-046-Group-3:20 PM</v>
      </c>
      <c r="O14" s="325">
        <v>0.63888888888888895</v>
      </c>
      <c r="P14" s="449" t="str">
        <f>'12U_F_Champ-52'!L39&amp;"-"&amp;'12U_F_Champ-52'!C39&amp;"-"&amp;TEXT('12U_F_Champ-52'!B39,"h:mm am/pm")</f>
        <v>12G-048-Group-3:20 PM</v>
      </c>
      <c r="Q14" s="449" t="str">
        <f>'12U_F_Champ-52'!L78&amp;"-"&amp;'12U_F_Champ-52'!C78&amp;"-"&amp;TEXT('12U_F_Champ-52'!B78,"h:mm am/pm")</f>
        <v>12G-050-Group-2:30 PM</v>
      </c>
      <c r="R14" s="449" t="str">
        <f>'12U_F_Champ-52'!L117&amp;"-"&amp;'12U_F_Champ-52'!C117&amp;"-"&amp;TEXT('12U_F_Champ-52'!B117,"h:mm am/pm")</f>
        <v>12G-052-Group-3:20 PM</v>
      </c>
      <c r="S14" s="449" t="str">
        <f>'12U_F_Champ-52'!L58&amp;"-"&amp;'12U_F_Champ-52'!C58&amp;"-"&amp;TEXT('12U_F_Champ-52'!B58,"h:mm am/pm")</f>
        <v>12G-049-Group-3:20 PM</v>
      </c>
      <c r="T14" s="449" t="str">
        <f>'12U_F_Champ-52'!L98&amp;"-"&amp;'12U_F_Champ-52'!C98&amp;"-"&amp;TEXT('12U_F_Champ-52'!B98,"h:mm am/pm")</f>
        <v>12G-051-Group-3:20 PM</v>
      </c>
      <c r="U14" s="325">
        <v>0.63888888888888895</v>
      </c>
      <c r="V14" s="328" t="str">
        <f>'14U_F_Champ'!L28&amp;"-"&amp;'14U_F_Champ'!C28&amp;"-"&amp;TEXT('14U_F_Champ'!B28,"h:mm am/pm")</f>
        <v>14G-041-Group-3:20 PM</v>
      </c>
      <c r="W14" s="450" t="str">
        <f>'14U_F_Classic-39 from 40'!L50&amp;"-"&amp;'14U_F_Classic-39 from 40'!C50&amp;"-"&amp;TEXT('14U_F_Classic-39 from 40'!B50,"h:mm am/pm")</f>
        <v>14GX-044-Group-3:20 PM</v>
      </c>
      <c r="X14" s="450" t="str">
        <f>'14U_F_Classic-39 from 40'!L68&amp;"-"&amp;'14U_F_Classic-39 from 40'!C68&amp;"-"&amp;TEXT('14U_F_Classic-39 from 40'!B68,"h:mm am/pm")</f>
        <v>14GX-038-Group-3:20 PM</v>
      </c>
      <c r="Y14" s="325"/>
      <c r="Z14" s="325">
        <v>0.63888888888888895</v>
      </c>
      <c r="AA14" s="450" t="str">
        <f>'14U_F_Classic-39 from 40'!L32&amp;"-"&amp;'14U_F_Classic-39 from 40'!C32&amp;"-"&amp;TEXT('14U_F_Classic-39 from 40'!B32,"h:mm am/pm")</f>
        <v>14GX-043-Group-3:20 PM</v>
      </c>
      <c r="AB14" s="328" t="str">
        <f>'14U_F_Champ'!L47&amp;"-"&amp;'14U_F_Champ'!C47&amp;"-"&amp;TEXT('14U_F_Champ'!B47,"h:mm am/pm")</f>
        <v>14G-042-Group-3:20 PM</v>
      </c>
      <c r="AC14" s="328" t="str">
        <f>'14U_F_Champ'!L66&amp;"-"&amp;'14U_F_Champ'!C66&amp;"-"&amp;TEXT('14U_F_Champ'!B66,"h:mm am/pm")</f>
        <v>14G-043-Group-3:20 PM</v>
      </c>
      <c r="AD14" s="328" t="str">
        <f>'14U_F_Champ'!L85&amp;"-"&amp;'14U_F_Champ'!C85&amp;"-"&amp;TEXT('14U_F_Champ'!B85,"h:mm am/pm")</f>
        <v>14G-044-Group-3:20 PM</v>
      </c>
      <c r="AF14" s="339" t="str">
        <f>'16U_F_Classic-45'!L48&amp;"-"&amp;'16U_F_Classic-45'!C48&amp;"-"&amp;TEXT('16U_F_Classic-45'!B48,"h:mm am/pm")</f>
        <v>16GX-044-Group-3:20 PM</v>
      </c>
      <c r="AG14" s="339" t="str">
        <f>'16U_F_Classic-45'!L30&amp;"-"&amp;'16U_F_Classic-45'!C30&amp;"-"&amp;TEXT('16U_F_Classic-45'!B30,"h:mm am/pm")</f>
        <v>16GX-037-Group-3:20 PM</v>
      </c>
      <c r="AH14" s="339" t="str">
        <f>'16U_F_Classic-45'!L85&amp;"-"&amp;'16U_F_Classic-45'!C85&amp;"-"&amp;TEXT('16U_F_Classic-45'!B85,"h:mm am/pm")</f>
        <v>16GX-046-Group-3:20 PM</v>
      </c>
      <c r="AI14" s="339" t="str">
        <f>'16U_F_Classic-45'!L67&amp;"-"&amp;'16U_F_Classic-45'!C67&amp;"-"&amp;TEXT('16U_F_Classic-45'!B67,"h:mm am/pm")</f>
        <v>16GX-047-Group-3:20 PM</v>
      </c>
      <c r="AJ14" s="329" t="str">
        <f>'16U_F_Champ'!L85&amp;"-"&amp;'16U_F_Champ'!C85&amp;"-"&amp;TEXT('16U_F_Champ'!B85,"h:mm am/pm")</f>
        <v>16G-044-Group-3:20 PM</v>
      </c>
      <c r="AK14" s="331" t="str">
        <f>'18U_F_Classic-44'!L30&amp;"-"&amp;'18U_F_Classic-44'!C30&amp;"-"&amp;TEXT('18U_F_Classic-44'!B30,"h:mm am/pm")</f>
        <v>18GX-033-Group-3:20 PM</v>
      </c>
      <c r="AL14" s="325">
        <v>0.63888888888888895</v>
      </c>
      <c r="AM14" s="329" t="str">
        <f>'16U_F_Champ'!L28&amp;"-"&amp;'16U_F_Champ'!C28&amp;"-"&amp;TEXT('16U_F_Champ'!B28,"h:mm am/pm")</f>
        <v>16G-041-Group-3:20 PM</v>
      </c>
      <c r="AN14" s="329" t="str">
        <f>'16U_F_Champ'!L47&amp;"-"&amp;'16U_F_Champ'!C47&amp;"-"&amp;TEXT('16U_F_Champ'!B47,"h:mm am/pm")</f>
        <v>16G-042-Group-3:20 PM</v>
      </c>
      <c r="AO14" s="329" t="str">
        <f>'16U_F_Champ'!L66&amp;"-"&amp;'16U_F_Champ'!C66&amp;"-"&amp;TEXT('16U_F_Champ'!B66,"h:mm am/pm")</f>
        <v>16G-043-Group-3:20 PM</v>
      </c>
      <c r="AP14" s="331" t="str">
        <f>'18U_F_Classic-44'!L91&amp;"-"&amp;'18U_F_Classic-44'!C91&amp;"-"&amp;TEXT('18U_F_Classic-44'!B91,"h:mm am/pm")</f>
        <v>18GX-044-Group-3:20 PM</v>
      </c>
      <c r="AQ14" s="331" t="str">
        <f>'18U_F_Classic-44'!L50&amp;"-"&amp;'18U_F_Classic-44'!C50&amp;"-"&amp;TEXT('18U_F_Classic-44'!B50,"h:mm am/pm")</f>
        <v>18GX-042-Group-3:20 PM</v>
      </c>
      <c r="AR14" s="331" t="str">
        <f>'18U_F_Classic-44'!L71&amp;"-"&amp;'18U_F_Classic-44'!C71&amp;"-"&amp;TEXT('18U_F_Classic-44'!B71,"h:mm am/pm")</f>
        <v>18GX-035-Group-3:20 PM</v>
      </c>
      <c r="AS14" s="322"/>
      <c r="AU14" s="325">
        <v>0.70833333333333304</v>
      </c>
      <c r="AV14" s="325"/>
      <c r="AW14" s="322"/>
      <c r="AX14" s="330" t="str">
        <f>'18U_F_Champ'!L92&amp;"-"&amp;'18U_F_Champ'!C92&amp;"-"&amp;TEXT('18U_F_Champ'!B92,"h:mm am/pm")</f>
        <v>18G-050-2-3 cross-5:00 PM</v>
      </c>
      <c r="BA14" s="322"/>
    </row>
    <row r="15" spans="1:57">
      <c r="A15" s="325">
        <v>0.67361111111111105</v>
      </c>
      <c r="B15" s="321"/>
      <c r="C15" s="80" t="str">
        <f>'10U_Coed_Champ_36'!L47&amp;"-"&amp;'10U_Coed_Champ_36'!C47&amp;"-"&amp;TEXT('10U_Coed_Champ_36'!B27,"h:mm am/pm")</f>
        <v>10C-035-Group E-4:10 PM</v>
      </c>
      <c r="E15" s="80" t="str">
        <f>'10U_Coed_Champ_36'!L27&amp;"-"&amp;'10U_Coed_Champ_36'!C27&amp;"-"&amp;TEXT('10U_Coed_Champ_36'!B27,"h:mm am/pm")</f>
        <v>10C-034-Group D-4:10 PM</v>
      </c>
      <c r="F15" s="80" t="str">
        <f>'10U_Coed_Champ_36'!L67&amp;"-"&amp;'10U_Coed_Champ_36'!C67&amp;"-"&amp;TEXT('10U_Coed_Champ_36'!B47,"h:mm am/pm")</f>
        <v>10C-036-Group L-4:10 PM</v>
      </c>
      <c r="H15" s="322"/>
      <c r="I15" s="103" t="str">
        <f>'10U_Coed_Classic 22 from 23'!L23&amp;"-"&amp;'10U_Coed_Classic 22 from 23'!C23&amp;"-"&amp;TEXT('10U_Coed_Classic 22 from 23'!B23,"h:mm am/pm")</f>
        <v>10CX-023-Group-4:10 PM</v>
      </c>
      <c r="J15" s="325">
        <v>0.67361111111111105</v>
      </c>
      <c r="K15" s="325"/>
      <c r="L15" s="319" t="str">
        <f>'12U_Coed_Champ-45'!L49&amp;"-"&amp;'12U_Coed_Champ-45'!C49&amp;"-"&amp;TEXT('12U_Coed_Champ-45'!B49,"h:mm am/pm")</f>
        <v>12C-048-Group-4:10 PM</v>
      </c>
      <c r="M15" s="325"/>
      <c r="N15" s="325"/>
      <c r="O15" s="325">
        <v>0.67361111111111105</v>
      </c>
      <c r="P15" s="449" t="str">
        <f>'12U_F_Champ-52'!L40&amp;"-"&amp;'12U_F_Champ-52'!C40&amp;"-"&amp;TEXT('12U_F_Champ-52'!B40,"h:mm am/pm")</f>
        <v>12G-053-Group-4:10 PM</v>
      </c>
      <c r="Q15" s="449" t="str">
        <f>'12U_F_Champ-52'!L79&amp;"-"&amp;'12U_F_Champ-52'!C79&amp;"-"&amp;TEXT('12U_F_Champ-52'!B79,"h:mm am/pm")</f>
        <v>12G-054-Group-3:20 PM</v>
      </c>
      <c r="R15" s="449" t="str">
        <f>'12U_F_Champ-52'!L118&amp;"-"&amp;'12U_F_Champ-52'!C118&amp;"-"&amp;TEXT('12U_F_Champ-52'!B118,"h:mm am/pm")</f>
        <v>12G-056-Group-4:10 PM</v>
      </c>
      <c r="S15" s="449" t="str">
        <f>'12U_F_Champ-52'!L59&amp;"-"&amp;'12U_F_Champ-52'!C59&amp;"-"&amp;TEXT('12U_F_Champ-52'!B59,"h:mm am/pm")</f>
        <v>12G-057-Group-4:10 PM</v>
      </c>
      <c r="T15" s="449" t="str">
        <f>'12U_F_Champ-52'!L99&amp;"-"&amp;'12U_F_Champ-52'!C99&amp;"-"&amp;TEXT('12U_F_Champ-52'!B99,"h:mm am/pm")</f>
        <v>12G-055-Group-4:10 PM</v>
      </c>
      <c r="U15" s="325">
        <v>0.67361111111111105</v>
      </c>
      <c r="V15" s="328" t="str">
        <f>'14U_F_Champ'!L29&amp;"-"&amp;'14U_F_Champ'!C29&amp;"-"&amp;TEXT('14U_F_Champ'!B29,"h:mm am/pm")</f>
        <v>14G-045-Group-4:10 PM</v>
      </c>
      <c r="W15" s="325"/>
      <c r="Y15" s="325"/>
      <c r="Z15" s="325">
        <v>0.67361111111111105</v>
      </c>
      <c r="AA15" s="325"/>
      <c r="AB15" s="328" t="str">
        <f>'14U_F_Champ'!L48&amp;"-"&amp;'14U_F_Champ'!C48&amp;"-"&amp;TEXT('14U_F_Champ'!B48,"h:mm am/pm")</f>
        <v>14G-046-Group-4:10 PM</v>
      </c>
      <c r="AC15" s="328" t="str">
        <f>'14U_F_Champ'!L67&amp;"-"&amp;'14U_F_Champ'!C67&amp;"-"&amp;TEXT('14U_F_Champ'!B67,"h:mm am/pm")</f>
        <v>14G-047-Group-4:10 PM</v>
      </c>
      <c r="AD15" s="328" t="str">
        <f>'14U_F_Champ'!L86&amp;"-"&amp;'14U_F_Champ'!C86&amp;"-"&amp;TEXT('14U_F_Champ'!B86,"h:mm am/pm")</f>
        <v>14G-048-Group-4:10 PM</v>
      </c>
      <c r="AF15" s="339" t="str">
        <f>'16U_F_Classic-45'!L49&amp;"-"&amp;'16U_F_Classic-45'!C49&amp;"-"&amp;TEXT('16U_F_Classic-45'!B49,"h:mm am/pm")</f>
        <v>16GX-048-Group-4:10 PM</v>
      </c>
      <c r="AJ15" s="329" t="str">
        <f>'16U_F_Champ'!L86&amp;"-"&amp;'16U_F_Champ'!C86&amp;"-"&amp;TEXT('16U_F_Champ'!B86,"h:mm am/pm")</f>
        <v>16G-048-Group-4:10 PM</v>
      </c>
      <c r="AK15" s="331" t="str">
        <f>'18U_F_Classic-44'!L31&amp;"-"&amp;'18U_F_Classic-44'!C31&amp;"-"&amp;TEXT('18U_F_Classic-44'!B31,"h:mm am/pm")</f>
        <v>18GX-037-Group-4:10 PM</v>
      </c>
      <c r="AL15" s="325">
        <v>0.67361111111111105</v>
      </c>
      <c r="AM15" s="329" t="str">
        <f>'16U_F_Champ'!L29&amp;"-"&amp;'16U_F_Champ'!C29&amp;"-"&amp;TEXT('16U_F_Champ'!B29,"h:mm am/pm")</f>
        <v>16G-045-Group-4:10 PM</v>
      </c>
      <c r="AN15" s="329" t="str">
        <f>'16U_F_Champ'!L48&amp;"-"&amp;'16U_F_Champ'!C48&amp;"-"&amp;TEXT('16U_F_Champ'!B48,"h:mm am/pm")</f>
        <v>16G-046-Group-4:10 PM</v>
      </c>
      <c r="AO15" s="329" t="str">
        <f>'16U_F_Champ'!L67&amp;"-"&amp;'16U_F_Champ'!C67&amp;"-"&amp;TEXT('16U_F_Champ'!B67,"h:mm am/pm")</f>
        <v>16G-047-Group-4:10 PM</v>
      </c>
      <c r="AP15" s="331" t="str">
        <f>'18U_F_Classic-44'!L92&amp;"-"&amp;'18U_F_Classic-44'!C92&amp;"-"&amp;TEXT('18U_F_Classic-44'!B92,"h:mm am/pm")</f>
        <v>18GX-048-Group-4:10 PM</v>
      </c>
      <c r="AQ15" s="331" t="str">
        <f>'18U_F_Classic-44'!L51&amp;"-"&amp;'18U_F_Classic-44'!C51&amp;"-"&amp;TEXT('18U_F_Classic-44'!B51,"h:mm am/pm")</f>
        <v>18GX-046-Group-4:10 PM</v>
      </c>
      <c r="AR15" s="331" t="str">
        <f>'18U_F_Classic-44'!L72&amp;"-"&amp;'18U_F_Classic-44'!C72&amp;"-"&amp;TEXT('18U_F_Classic-44'!B72,"h:mm am/pm")</f>
        <v>18GX-039-Group-4:10 PM</v>
      </c>
      <c r="AS15" s="322"/>
      <c r="AU15" s="325">
        <v>0.75</v>
      </c>
      <c r="AV15" s="330" t="str">
        <f>'18U_F_Champ'!L61&amp;"-"&amp;'18U_F_Champ'!C61&amp;"-"&amp;TEXT('18U_F_Champ'!B61,"h:mm am/pm")</f>
        <v>18G-053-2-3 cross-6:00 PM</v>
      </c>
      <c r="AW15" s="322"/>
      <c r="AX15" s="330" t="str">
        <f>'18U_F_Champ'!L93&amp;"-"&amp;'18U_F_Champ'!C93&amp;"-"&amp;TEXT('18U_F_Champ'!B93,"h:mm am/pm")</f>
        <v>18G-055-2-3 cross-6:00 PM</v>
      </c>
      <c r="AY15" s="330" t="str">
        <f>'18U_F_Champ'!L29&amp;"-"&amp;'18U_F_Champ'!C29&amp;"-"&amp;TEXT('18U_F_Champ'!B29,"h:mm am/pm")</f>
        <v>18G-051-2-3 cross-6:00 PM</v>
      </c>
      <c r="AZ15" s="330" t="str">
        <f>'18U_F_Champ'!L77&amp;"-"&amp;'18U_F_Champ'!C77&amp;"-"&amp;TEXT('18U_F_Champ'!B77,"h:mm am/pm")</f>
        <v>18G-054-2-3 cross-6:00 PM</v>
      </c>
      <c r="BA15" s="322"/>
      <c r="BB15" s="330" t="str">
        <f>'18U_F_Champ'!L45&amp;"-"&amp;'18U_F_Champ'!C45&amp;"-"&amp;TEXT('18U_F_Champ'!B45,"h:mm am/pm")</f>
        <v>18G-052-2-3 cross-6:00 PM</v>
      </c>
    </row>
    <row r="16" spans="1:57">
      <c r="A16" s="325">
        <v>0.70833333333333404</v>
      </c>
      <c r="B16" s="321"/>
      <c r="D16" s="46" t="str">
        <f>'10U_F_Champ-18 teams'!L22&amp;"-"&amp;'10U_F_Champ-18 teams'!C22&amp;"-"&amp;TEXT('10U_F_Champ-18 teams'!B22,"h:mm am/pm")</f>
        <v>10G-019-Cross-5:00 PM</v>
      </c>
      <c r="G16" s="46" t="str">
        <f>'10U_F_Champ-18 teams'!L38&amp;"-"&amp;'10U_F_Champ-18 teams'!C38&amp;"-"&amp;TEXT('10U_F_Champ-18 teams'!B38,"h:mm am/pm")</f>
        <v>10G-020-Cross-5:00 PM</v>
      </c>
      <c r="H16" s="322"/>
      <c r="I16" s="103" t="str">
        <f>'10U_Coed_Classic 22 from 23'!L24&amp;"-"&amp;'10U_Coed_Classic 22 from 23'!C24&amp;"-"&amp;TEXT('10U_Coed_Classic 22 from 23'!B24,"h:mm am/pm")</f>
        <v>10CX-099-Cross-5:00 PM</v>
      </c>
      <c r="J16" s="325">
        <v>0.70833333333333404</v>
      </c>
      <c r="K16" s="319" t="str">
        <f>'12U_Coed_Champ-45'!L32&amp;"-"&amp;'12U_Coed_Champ-45'!C32&amp;"-"&amp;TEXT('12U_Coed_Champ-45'!B32,"h:mm am/pm")</f>
        <v>12C-049-2-3 cross-5:00 PM</v>
      </c>
      <c r="L16" s="325"/>
      <c r="M16" s="319" t="str">
        <f>'12U_Coed_Champ-45'!L69&amp;"-"&amp;'12U_Coed_Champ-45'!C69&amp;"-"&amp;TEXT('12U_Coed_Champ-45'!B69,"h:mm am/pm")</f>
        <v>12C-051-2-3 cross-5:00 PM</v>
      </c>
      <c r="N16" s="319" t="str">
        <f>'12U_Coed_Champ-45'!L87&amp;"-"&amp;'12U_Coed_Champ-45'!C87&amp;"-"&amp;TEXT('12U_Coed_Champ-45'!B87,"h:mm am/pm")</f>
        <v>12C-050-2-3 cross-5:00 PM</v>
      </c>
      <c r="O16" s="325">
        <v>0.70833333333333404</v>
      </c>
      <c r="S16" s="325"/>
      <c r="U16" s="325">
        <v>0.70833333333333404</v>
      </c>
      <c r="V16" s="323"/>
      <c r="W16" s="450" t="str">
        <f>'14U_F_Classic-39 from 40'!L52&amp;"-"&amp;'14U_F_Classic-39 from 40'!C52&amp;"-"&amp;TEXT('14U_F_Classic-39 from 40'!B52,"h:mm am/pm")</f>
        <v>14GX-052-2-3 cross-5:00 PM</v>
      </c>
      <c r="X16" s="450" t="str">
        <f>'14U_F_Classic-39 from 40'!L70&amp;"-"&amp;'14U_F_Classic-39 from 40'!C70&amp;"-"&amp;TEXT('14U_F_Classic-39 from 40'!B70,"h:mm am/pm")</f>
        <v>14GX-050-2-3 cross-5:00 PM</v>
      </c>
      <c r="Y16" s="450" t="str">
        <f>'14U_F_Classic-39 from 40'!L88&amp;"-"&amp;'14U_F_Classic-39 from 40'!C88&amp;"-"&amp;TEXT('14U_F_Classic-39 from 40'!B88,"h:mm am/pm")</f>
        <v>14GX-049-2-3 cross-5:00 PM</v>
      </c>
      <c r="Z16" s="325">
        <v>0.70833333333333404</v>
      </c>
      <c r="AA16" s="450" t="str">
        <f>'14U_F_Classic-39 from 40'!L34&amp;"-"&amp;'14U_F_Classic-39 from 40'!C34&amp;"-"&amp;TEXT('14U_F_Classic-39 from 40'!B34,"h:mm am/pm")</f>
        <v>14GX-051-2-3 cross-5:00 PM</v>
      </c>
      <c r="AB16" s="323"/>
      <c r="AC16" s="323"/>
      <c r="AD16" s="323"/>
      <c r="AG16" s="339" t="str">
        <f>'16U_F_Classic-45'!L32&amp;"-"&amp;'16U_F_Classic-45'!C32&amp;"-"&amp;TEXT('16U_F_Classic-45'!B32,"h:mm am/pm")</f>
        <v>16GX-049-2-3 cross-5:00 PM</v>
      </c>
      <c r="AH16" s="339" t="str">
        <f>'16U_F_Classic-45'!L87&amp;"-"&amp;'16U_F_Classic-45'!C87&amp;"-"&amp;TEXT('16U_F_Classic-45'!B87,"h:mm am/pm")</f>
        <v>16GX-050-2-3 cross-5:00 PM</v>
      </c>
      <c r="AI16" s="339" t="str">
        <f>'16U_F_Classic-45'!L69&amp;"-"&amp;'16U_F_Classic-45'!C69&amp;"-"&amp;TEXT('16U_F_Classic-45'!B69,"h:mm am/pm")</f>
        <v>16GX-051-2-3 cross-5:00 PM</v>
      </c>
      <c r="AL16" s="325">
        <v>0.70833333333333404</v>
      </c>
      <c r="AM16" s="325"/>
      <c r="AN16" s="325"/>
      <c r="AO16" s="325"/>
      <c r="AS16" s="322"/>
      <c r="AU16" s="325">
        <v>0.79166666666666696</v>
      </c>
      <c r="AV16" s="330" t="str">
        <f>'18U_F_Champ'!L62&amp;"-"&amp;'18U_F_Champ'!C62&amp;"-"&amp;TEXT('18U_F_Champ'!B62,"h:mm am/pm")</f>
        <v>18G-058-2-3 cross-7:00 PM</v>
      </c>
      <c r="AW16" s="322"/>
      <c r="AX16" s="330" t="str">
        <f>'18U_F_Champ'!L94&amp;"-"&amp;'18U_F_Champ'!C94&amp;"-"&amp;TEXT('18U_F_Champ'!B94,"h:mm am/pm")</f>
        <v>18G-060-2-3 cross-7:00 PM</v>
      </c>
      <c r="AY16" s="330" t="str">
        <f>'18U_F_Champ'!L30&amp;"-"&amp;'18U_F_Champ'!C30&amp;"-"&amp;TEXT('18U_F_Champ'!B30,"h:mm am/pm")</f>
        <v>18G-056-2-3 cross-7:00 PM</v>
      </c>
      <c r="AZ16" s="330" t="str">
        <f>'18U_F_Champ'!L78&amp;"-"&amp;'18U_F_Champ'!C78&amp;"-"&amp;TEXT('18U_F_Champ'!B78,"h:mm am/pm")</f>
        <v>18G-059-2-3 cross-7:00 PM</v>
      </c>
      <c r="BA16" s="322"/>
      <c r="BB16" s="330" t="str">
        <f>'18U_F_Champ'!L46&amp;"-"&amp;'18U_F_Champ'!C46&amp;"-"&amp;TEXT('18U_F_Champ'!B46,"h:mm am/pm")</f>
        <v>18G-057-2-3 cross-7:00 PM</v>
      </c>
    </row>
    <row r="17" spans="1:57">
      <c r="A17" s="325">
        <v>0.74305555555555602</v>
      </c>
      <c r="B17" s="103" t="str">
        <f>'10U_Coed_Classic 22 from 23'!L43&amp;"-"&amp;'10U_Coed_Classic 22 from 23'!C43&amp;"-"&amp;TEXT('10U_Coed_Classic 22 from 23'!B43,"h:mm am/pm")</f>
        <v>10CX-026-Cross-5:50 PM</v>
      </c>
      <c r="C17" s="80" t="str">
        <f>'10U_Coed_Champ_36'!L49&amp;"-"&amp;'10U_Coed_Champ_36'!C49&amp;"-"&amp;TEXT('10U_Coed_Champ_36'!B29,"h:mm am/pm")</f>
        <v>10C-038-2-3 cross-5:50 PM</v>
      </c>
      <c r="D17" s="46" t="str">
        <f>'10U_F_Champ-18 teams'!L23&amp;"-"&amp;'10U_F_Champ-18 teams'!C23&amp;"-"&amp;TEXT('10U_F_Champ-18 teams'!B23,"h:mm am/pm")</f>
        <v>10G-021-Cross-5:50 PM</v>
      </c>
      <c r="E17" s="80" t="str">
        <f>'10U_Coed_Champ_36'!L29&amp;"-"&amp;'10U_Coed_Champ_36'!C29&amp;"-"&amp;TEXT('10U_Coed_Champ_36'!B29,"h:mm am/pm")</f>
        <v>10C-037-2-3 cross-5:50 PM</v>
      </c>
      <c r="F17" s="80" t="str">
        <f>'10U_Coed_Champ_36'!L69&amp;"-"&amp;'10U_Coed_Champ_36'!C69&amp;"-"&amp;TEXT('10U_Coed_Champ_36'!B49,"h:mm am/pm")</f>
        <v>10C-039-2-3 cross-5:50 PM</v>
      </c>
      <c r="G17" s="46" t="str">
        <f>'10U_F_Champ-18 teams'!L39&amp;"-"&amp;'10U_F_Champ-18 teams'!C39&amp;"-"&amp;TEXT('10U_F_Champ-18 teams'!B39,"h:mm am/pm")</f>
        <v>10G-022-Cross-5:50 PM</v>
      </c>
      <c r="H17" s="322"/>
      <c r="I17" s="103" t="str">
        <f>'10U_Coed_Classic 22 from 23'!L25&amp;"-"&amp;'10U_Coed_Classic 22 from 23'!C25&amp;"-"&amp;TEXT('10U_Coed_Classic 22 from 23'!B25,"h:mm am/pm")</f>
        <v>10CX-024-Cross-5:50 PM</v>
      </c>
      <c r="J17" s="325">
        <v>0.74305555555555602</v>
      </c>
      <c r="K17" s="319" t="str">
        <f>'12U_Coed_Champ-45'!L33&amp;"-"&amp;'12U_Coed_Champ-45'!C33&amp;"-"&amp;TEXT('12U_Coed_Champ-45'!B33,"h:mm am/pm")</f>
        <v>12C-053-2-3 cross-5:50 PM</v>
      </c>
      <c r="L17" s="319" t="str">
        <f>'12U_Coed_Champ-45'!L51&amp;"-"&amp;'12U_Coed_Champ-45'!C51&amp;"-"&amp;TEXT('12U_Coed_Champ-45'!B51,"h:mm am/pm")</f>
        <v>12C-052-2-3 cross-5:50 PM</v>
      </c>
      <c r="M17" s="319" t="str">
        <f>'12U_Coed_Champ-45'!L70&amp;"-"&amp;'12U_Coed_Champ-45'!C70&amp;"-"&amp;TEXT('12U_Coed_Champ-45'!B70,"h:mm am/pm")</f>
        <v>12C-055-2-3 cross-5:50 PM</v>
      </c>
      <c r="N17" s="319" t="str">
        <f>'12U_Coed_Champ-45'!L88&amp;"-"&amp;'12U_Coed_Champ-45'!C88&amp;"-"&amp;TEXT('12U_Coed_Champ-45'!B88,"h:mm am/pm")</f>
        <v>12C-054-2-3 cross-5:50 PM</v>
      </c>
      <c r="O17" s="325">
        <v>0.74305555555555602</v>
      </c>
      <c r="S17" s="325"/>
      <c r="U17" s="325">
        <v>0.74305555555555602</v>
      </c>
      <c r="V17" s="328" t="str">
        <f>'14U_F_Champ'!L31&amp;"-"&amp;'14U_F_Champ'!C31&amp;"-"&amp;TEXT('14U_F_Champ'!B31,"h:mm am/pm")</f>
        <v>14G-049-2-3 cross-5:50 PM</v>
      </c>
      <c r="W17" s="450" t="str">
        <f>'14U_F_Classic-39 from 40'!L53&amp;"-"&amp;'14U_F_Classic-39 from 40'!C53&amp;"-"&amp;TEXT('14U_F_Classic-39 from 40'!B53,"h:mm am/pm")</f>
        <v>14GX-056-2-3 cross-5:50 PM</v>
      </c>
      <c r="X17" s="450" t="str">
        <f>'14U_F_Classic-39 from 40'!L71&amp;"-"&amp;'14U_F_Classic-39 from 40'!C71&amp;"-"&amp;TEXT('14U_F_Classic-39 from 40'!B71,"h:mm am/pm")</f>
        <v>14GX-054-2-3 cross-5:50 PM</v>
      </c>
      <c r="Y17" s="450" t="str">
        <f>'14U_F_Classic-39 from 40'!L89&amp;"-"&amp;'14U_F_Classic-39 from 40'!C89&amp;"-"&amp;TEXT('14U_F_Classic-39 from 40'!B89,"h:mm am/pm")</f>
        <v>14GX-053-2-3 cross-5:50 PM</v>
      </c>
      <c r="Z17" s="325">
        <v>0.74305555555555602</v>
      </c>
      <c r="AA17" s="450" t="str">
        <f>'14U_F_Classic-39 from 40'!L35&amp;"-"&amp;'14U_F_Classic-39 from 40'!C35&amp;"-"&amp;TEXT('14U_F_Classic-39 from 40'!B35,"h:mm am/pm")</f>
        <v>14GX-055-2-3 cross-5:50 PM</v>
      </c>
      <c r="AB17" s="328" t="str">
        <f>'14U_F_Champ'!L50&amp;"-"&amp;'14U_F_Champ'!C50&amp;"-"&amp;TEXT('14U_F_Champ'!B50,"h:mm am/pm")</f>
        <v>14G-050-2-3 cross-5:50 PM</v>
      </c>
      <c r="AC17" s="328" t="str">
        <f>'14U_F_Champ'!L69&amp;"-"&amp;'14U_F_Champ'!C69&amp;"-"&amp;TEXT('14U_F_Champ'!B69,"h:mm am/pm")</f>
        <v>14G-051-2-3 cross-5:50 PM</v>
      </c>
      <c r="AD17" s="328" t="str">
        <f>'14U_F_Champ'!L88&amp;"-"&amp;'14U_F_Champ'!C88&amp;"-"&amp;TEXT('14U_F_Champ'!B88,"h:mm am/pm")</f>
        <v>14G-052-2-3 cross-5:50 PM</v>
      </c>
      <c r="AF17" s="339" t="str">
        <f>'16U_F_Classic-45'!L51&amp;"-"&amp;'16U_F_Classic-45'!C51&amp;"-"&amp;TEXT('16U_F_Classic-45'!B51,"h:mm am/pm")</f>
        <v>16GX-052-2-3 cross-5:50 PM</v>
      </c>
      <c r="AG17" s="339" t="str">
        <f>'16U_F_Classic-45'!L33&amp;"-"&amp;'16U_F_Classic-45'!C33&amp;"-"&amp;TEXT('16U_F_Classic-45'!B33,"h:mm am/pm")</f>
        <v>16GX-053-2-3 cross-5:50 PM</v>
      </c>
      <c r="AH17" s="339" t="str">
        <f>'16U_F_Classic-45'!L88&amp;"-"&amp;'16U_F_Classic-45'!C88&amp;"-"&amp;TEXT('16U_F_Classic-45'!B88,"h:mm am/pm")</f>
        <v>16GX-054-2-3 cross-5:50 PM</v>
      </c>
      <c r="AI17" s="339" t="str">
        <f>'16U_F_Classic-45'!L70&amp;"-"&amp;'16U_F_Classic-45'!C70&amp;"-"&amp;TEXT('16U_F_Classic-45'!B70,"h:mm am/pm")</f>
        <v>16GX-055-2-3 cross-5:50 PM</v>
      </c>
      <c r="AJ17" s="329" t="str">
        <f>'16U_F_Champ'!L88&amp;"-"&amp;'16U_F_Champ'!C88&amp;"-"&amp;TEXT('16U_F_Champ'!B88,"h:mm am/pm")</f>
        <v>16G-052-2-3 cross-5:50 PM</v>
      </c>
      <c r="AL17" s="325">
        <v>0.74305555555555602</v>
      </c>
      <c r="AM17" s="329" t="str">
        <f>'16U_F_Champ'!L31&amp;"-"&amp;'16U_F_Champ'!C31&amp;"-"&amp;TEXT('16U_F_Champ'!B31,"h:mm am/pm")</f>
        <v>16G-049-2-3 cross-5:50 PM</v>
      </c>
      <c r="AN17" s="329" t="str">
        <f>'16U_F_Champ'!L50&amp;"-"&amp;'16U_F_Champ'!C50&amp;"-"&amp;TEXT('16U_F_Champ'!B50,"h:mm am/pm")</f>
        <v>16G-050-2-3 cross-5:50 PM</v>
      </c>
      <c r="AO17" s="329" t="str">
        <f>'16U_F_Champ'!L69&amp;"-"&amp;'16U_F_Champ'!C69&amp;"-"&amp;TEXT('16U_F_Champ'!B69,"h:mm am/pm")</f>
        <v>16G-051-2-3 cross-5:50 PM</v>
      </c>
      <c r="AS17" s="322"/>
      <c r="AU17" s="325">
        <v>0.83333333333333304</v>
      </c>
      <c r="AV17" s="325"/>
      <c r="AW17" s="322"/>
      <c r="BA17" s="322"/>
    </row>
    <row r="18" spans="1:57">
      <c r="A18" s="325">
        <v>0.77777777777777801</v>
      </c>
      <c r="B18" s="103" t="str">
        <f>'10U_Coed_Classic 22 from 23'!L44&amp;"-"&amp;'10U_Coed_Classic 22 from 23'!C44&amp;"-"&amp;TEXT('10U_Coed_Classic 22 from 23'!B44,"h:mm am/pm")</f>
        <v>10CX-028-Cross-6:40 PM</v>
      </c>
      <c r="C18" s="80" t="str">
        <f>'10U_Coed_Champ_36'!L50&amp;"-"&amp;'10U_Coed_Champ_36'!C50&amp;"-"&amp;TEXT('10U_Coed_Champ_36'!B30,"h:mm am/pm")</f>
        <v>10C-041-2-3 cross-6:40 PM</v>
      </c>
      <c r="D18" s="46" t="str">
        <f>'10U_F_Champ-18 teams'!L24&amp;"-"&amp;'10U_F_Champ-18 teams'!C24&amp;"-"&amp;TEXT('10U_F_Champ-18 teams'!B24,"h:mm am/pm")</f>
        <v>10G-023-Cross-6:40 PM</v>
      </c>
      <c r="E18" s="80" t="str">
        <f>'10U_Coed_Champ_36'!L30&amp;"-"&amp;'10U_Coed_Champ_36'!C30&amp;"-"&amp;TEXT('10U_Coed_Champ_36'!B30,"h:mm am/pm")</f>
        <v>10C-040-2-3 cross-6:40 PM</v>
      </c>
      <c r="F18" s="80" t="str">
        <f>'10U_Coed_Champ_36'!L70&amp;"-"&amp;'10U_Coed_Champ_36'!C70&amp;"-"&amp;TEXT('10U_Coed_Champ_36'!B50,"h:mm am/pm")</f>
        <v>10C-042-2-3 cross-6:40 PM</v>
      </c>
      <c r="G18" s="46" t="str">
        <f>'10U_F_Champ-18 teams'!L40&amp;"-"&amp;'10U_F_Champ-18 teams'!C40&amp;"-"&amp;TEXT('10U_F_Champ-18 teams'!B40,"h:mm am/pm")</f>
        <v>10G-024-Cross-6:40 PM</v>
      </c>
      <c r="H18" s="322"/>
      <c r="I18" s="103" t="str">
        <f>'10U_Coed_Classic 22 from 23'!L26&amp;"-"&amp;'10U_Coed_Classic 22 from 23'!C26&amp;"-"&amp;TEXT('10U_Coed_Classic 22 from 23'!B26,"h:mm am/pm")</f>
        <v>10CX-025-Cross-6:40 PM</v>
      </c>
      <c r="J18" s="325">
        <v>0.77777777777777801</v>
      </c>
      <c r="K18" s="319" t="str">
        <f>'12U_Coed_Champ-45'!L34&amp;"-"&amp;'12U_Coed_Champ-45'!C34&amp;"-"&amp;TEXT('12U_Coed_Champ-45'!B34,"h:mm am/pm")</f>
        <v>12C-057-2-3 cross-6:40 PM</v>
      </c>
      <c r="L18" s="319" t="str">
        <f>'12U_Coed_Champ-45'!L52&amp;"-"&amp;'12U_Coed_Champ-45'!C52&amp;"-"&amp;TEXT('12U_Coed_Champ-45'!B52,"h:mm am/pm")</f>
        <v>12C-056-2-3 cross-6:40 PM</v>
      </c>
      <c r="M18" s="319" t="str">
        <f>'12U_Coed_Champ-45'!L71&amp;"-"&amp;'12U_Coed_Champ-45'!C71&amp;"-"&amp;TEXT('12U_Coed_Champ-45'!B71,"h:mm am/pm")</f>
        <v>12C-059-2-3 cross-6:40 PM</v>
      </c>
      <c r="N18" s="319" t="str">
        <f>'12U_Coed_Champ-45'!L89&amp;"-"&amp;'12U_Coed_Champ-45'!C89&amp;"-"&amp;TEXT('12U_Coed_Champ-45'!B89,"h:mm am/pm")</f>
        <v>12C-058-2-3 cross-6:40 PM</v>
      </c>
      <c r="O18" s="325">
        <v>0.77777777777777801</v>
      </c>
      <c r="P18" s="449" t="str">
        <f>'12U_F_Champ-52'!L43&amp;"-"&amp;'12U_F_Champ-52'!C43&amp;"-"&amp;TEXT('12U_F_Champ-52'!B43,"h:mm am/pm")</f>
        <v>12G-061-2's cross 21v28-6:40 PM</v>
      </c>
      <c r="Q18" s="449" t="str">
        <f>'12U_F_Champ-52'!L82&amp;"-"&amp;'12U_F_Champ-52'!C82&amp;"-"&amp;TEXT('12U_F_Champ-52'!B82,"h:mm am/pm")</f>
        <v>12G-059-2's cross 17v32-6:40 PM</v>
      </c>
      <c r="R18" s="449" t="str">
        <f>'12U_F_Champ-52'!L121&amp;"-"&amp;'12U_F_Champ-52'!C121&amp;"-"&amp;TEXT('12U_F_Champ-52'!B121,"h:mm am/pm")</f>
        <v>12G-064-2's cross 22v27-6:40 PM</v>
      </c>
      <c r="S18" s="449" t="str">
        <f>'12U_F_Champ-52'!L62&amp;"-"&amp;'12U_F_Champ-52'!C62&amp;"-"&amp;TEXT('12U_F_Champ-52'!B62,"h:mm am/pm")</f>
        <v>12G-058-2's cross 24v25-6:40 PM</v>
      </c>
      <c r="T18" s="449" t="str">
        <f>'12U_F_Champ-52'!L102&amp;"-"&amp;'12U_F_Champ-52'!C102&amp;"-"&amp;TEXT('12U_F_Champ-52'!B102,"h:mm am/pm")</f>
        <v>12G-060-2's cross 19v30-6:40 PM</v>
      </c>
      <c r="U18" s="325">
        <v>0.77777777777777801</v>
      </c>
      <c r="V18" s="328" t="str">
        <f>'14U_F_Champ'!L32&amp;"-"&amp;'14U_F_Champ'!C32&amp;"-"&amp;TEXT('14U_F_Champ'!B32,"h:mm am/pm")</f>
        <v>14G-053-2-3 cross-6:40 PM</v>
      </c>
      <c r="W18" s="450" t="str">
        <f>'14U_F_Classic-39 from 40'!L54&amp;"-"&amp;'14U_F_Classic-39 from 40'!C54&amp;"-"&amp;TEXT('14U_F_Classic-39 from 40'!B54,"h:mm am/pm")</f>
        <v>14GX-060-2-3 cross-6:40 PM</v>
      </c>
      <c r="X18" s="450" t="str">
        <f>'14U_F_Classic-39 from 40'!L72&amp;"-"&amp;'14U_F_Classic-39 from 40'!C72&amp;"-"&amp;TEXT('14U_F_Classic-39 from 40'!B72,"h:mm am/pm")</f>
        <v>14GX-058-2-3 cross-6:40 PM</v>
      </c>
      <c r="Y18" s="450" t="str">
        <f>'14U_F_Classic-39 from 40'!L90&amp;"-"&amp;'14U_F_Classic-39 from 40'!C90&amp;"-"&amp;TEXT('14U_F_Classic-39 from 40'!B90,"h:mm am/pm")</f>
        <v>14GX-057-2-3 cross-6:40 PM</v>
      </c>
      <c r="Z18" s="325">
        <v>0.77777777777777801</v>
      </c>
      <c r="AA18" s="450" t="str">
        <f>'14U_F_Classic-39 from 40'!L36&amp;"-"&amp;'14U_F_Classic-39 from 40'!C36&amp;"-"&amp;TEXT('14U_F_Classic-39 from 40'!B36,"h:mm am/pm")</f>
        <v>14GX-059-2-3 cross-6:40 PM</v>
      </c>
      <c r="AB18" s="328" t="str">
        <f>'14U_F_Champ'!L51&amp;"-"&amp;'14U_F_Champ'!C51&amp;"-"&amp;TEXT('14U_F_Champ'!B51,"h:mm am/pm")</f>
        <v>14G-054-2-3 cross-6:40 PM</v>
      </c>
      <c r="AC18" s="328" t="str">
        <f>'14U_F_Champ'!L70&amp;"-"&amp;'14U_F_Champ'!C70&amp;"-"&amp;TEXT('14U_F_Champ'!B70,"h:mm am/pm")</f>
        <v>14G-055-2-3 cross-6:40 PM</v>
      </c>
      <c r="AD18" s="328" t="str">
        <f>'14U_F_Champ'!L89&amp;"-"&amp;'14U_F_Champ'!C89&amp;"-"&amp;TEXT('14U_F_Champ'!B89,"h:mm am/pm")</f>
        <v>14G-056-2-3 cross-6:40 PM</v>
      </c>
      <c r="AF18" s="339" t="str">
        <f>'16U_F_Classic-45'!L52&amp;"-"&amp;'16U_F_Classic-45'!C52&amp;"-"&amp;TEXT('16U_F_Classic-45'!B52,"h:mm am/pm")</f>
        <v>16GX-056-2-3 cross-6:40 PM</v>
      </c>
      <c r="AG18" s="339" t="str">
        <f>'16U_F_Classic-45'!L34&amp;"-"&amp;'16U_F_Classic-45'!C34&amp;"-"&amp;TEXT('16U_F_Classic-45'!B34,"h:mm am/pm")</f>
        <v>16GX-057-2-3 cross-6:40 PM</v>
      </c>
      <c r="AH18" s="339" t="str">
        <f>'16U_F_Classic-45'!L89&amp;"-"&amp;'16U_F_Classic-45'!C89&amp;"-"&amp;TEXT('16U_F_Classic-45'!B89,"h:mm am/pm")</f>
        <v>16GX-058-2-3 cross-6:40 PM</v>
      </c>
      <c r="AI18" s="339" t="str">
        <f>'16U_F_Classic-45'!L71&amp;"-"&amp;'16U_F_Classic-45'!C71&amp;"-"&amp;TEXT('16U_F_Classic-45'!B71,"h:mm am/pm")</f>
        <v>16GX-059-2-3 cross-6:40 PM</v>
      </c>
      <c r="AJ18" s="329" t="str">
        <f>'16U_F_Champ'!L89&amp;"-"&amp;'16U_F_Champ'!C89&amp;"-"&amp;TEXT('16U_F_Champ'!B89,"h:mm am/pm")</f>
        <v>16G-056-2-3 cross-6:40 PM</v>
      </c>
      <c r="AK18" s="331" t="str">
        <f>'18U_F_Classic-44'!L34&amp;"-"&amp;'18U_F_Classic-44'!C34&amp;"-"&amp;TEXT('18U_F_Classic-44'!B34,"h:mm am/pm")</f>
        <v>18GX-049-2-3 cross-6:40 PM</v>
      </c>
      <c r="AL18" s="325">
        <v>0.77777777777777801</v>
      </c>
      <c r="AM18" s="329" t="str">
        <f>'16U_F_Champ'!L32&amp;"-"&amp;'16U_F_Champ'!C32&amp;"-"&amp;TEXT('16U_F_Champ'!B32,"h:mm am/pm")</f>
        <v>16G-053-2-3 cross-6:40 PM</v>
      </c>
      <c r="AN18" s="329" t="str">
        <f>'16U_F_Champ'!L51&amp;"-"&amp;'16U_F_Champ'!C51&amp;"-"&amp;TEXT('16U_F_Champ'!B51,"h:mm am/pm")</f>
        <v>16G-054-2-3 cross-6:40 PM</v>
      </c>
      <c r="AO18" s="329" t="str">
        <f>'16U_F_Champ'!L70&amp;"-"&amp;'16U_F_Champ'!C70&amp;"-"&amp;TEXT('16U_F_Champ'!B70,"h:mm am/pm")</f>
        <v>16G-055-2-3 cross-6:40 PM</v>
      </c>
      <c r="AP18" s="331" t="str">
        <f>'18U_F_Classic-44'!L95&amp;"-"&amp;'18U_F_Classic-44'!C95&amp;"-"&amp;TEXT('18U_F_Classic-44'!B95,"h:mm am/pm")</f>
        <v>18GX-052-2-3 cross-6:40 PM</v>
      </c>
      <c r="AQ18" s="331" t="str">
        <f>'18U_F_Classic-44'!L54&amp;"-"&amp;'18U_F_Classic-44'!C54&amp;"-"&amp;TEXT('18U_F_Classic-44'!B54,"h:mm am/pm")</f>
        <v>18GX-050-2-3 cross-6:40 PM</v>
      </c>
      <c r="AR18" s="331" t="str">
        <f>'18U_F_Classic-44'!L75&amp;"-"&amp;'18U_F_Classic-44'!C75&amp;"-"&amp;TEXT('18U_F_Classic-44'!B75,"h:mm am/pm")</f>
        <v>18GX-051-2-3 cross-6:40 PM</v>
      </c>
      <c r="AS18" s="322"/>
      <c r="AU18" s="325"/>
      <c r="AV18" s="325"/>
      <c r="AW18" s="322"/>
      <c r="BA18" s="322"/>
    </row>
    <row r="19" spans="1:57">
      <c r="A19" s="325">
        <v>0.8125</v>
      </c>
      <c r="C19" s="80" t="str">
        <f>'10U_Coed_Champ_36'!L51&amp;"-"&amp;'10U_Coed_Champ_36'!C51&amp;"-"&amp;TEXT('10U_Coed_Champ_36'!B31,"h:mm am/pm")</f>
        <v>10C-044-2-3 cross-7:30 PM</v>
      </c>
      <c r="E19" s="80" t="str">
        <f>'10U_Coed_Champ_36'!L31&amp;"-"&amp;'10U_Coed_Champ_36'!C31&amp;"-"&amp;TEXT('10U_Coed_Champ_36'!B31,"h:mm am/pm")</f>
        <v>10C-043-2-3 cross-7:30 PM</v>
      </c>
      <c r="F19" s="80" t="str">
        <f>'10U_Coed_Champ_36'!L71&amp;"-"&amp;'10U_Coed_Champ_36'!C71&amp;"-"&amp;TEXT('10U_Coed_Champ_36'!B51,"h:mm am/pm")</f>
        <v>10C-045-2-3 cross-7:30 PM</v>
      </c>
      <c r="H19" s="322"/>
      <c r="I19" s="103" t="str">
        <f>'10U_Coed_Classic 22 from 23'!L27&amp;"-"&amp;'10U_Coed_Classic 22 from 23'!C27&amp;"-"&amp;TEXT('10U_Coed_Classic 22 from 23'!B27,"h:mm am/pm")</f>
        <v>10CX-027-Cross-7:30 PM</v>
      </c>
      <c r="J19" s="325">
        <v>0.8125</v>
      </c>
      <c r="K19" s="325"/>
      <c r="L19" s="325"/>
      <c r="M19" s="325"/>
      <c r="N19" s="325"/>
      <c r="O19" s="325">
        <v>0.8125</v>
      </c>
      <c r="Q19" s="449" t="str">
        <f>'12U_F_Champ-52'!L83&amp;"-"&amp;'12U_F_Champ-52'!C83&amp;"-"&amp;TEXT('12U_F_Champ-52'!B83,"h:mm am/pm")</f>
        <v>12G-062-2's cross 18v31-7:30 PM</v>
      </c>
      <c r="S19" s="449" t="str">
        <f>'12U_F_Champ-52'!L63&amp;"-"&amp;'12U_F_Champ-52'!C63&amp;"-"&amp;TEXT('12U_F_Champ-52'!B63,"h:mm am/pm")</f>
        <v>12G-065-2's cross 23v26-7:30 PM</v>
      </c>
      <c r="T19" s="449" t="str">
        <f>'12U_F_Champ-52'!L103&amp;"-"&amp;'12U_F_Champ-52'!C103&amp;"-"&amp;TEXT('12U_F_Champ-52'!B103,"h:mm am/pm")</f>
        <v>12G-063-2's cross 20v29-7:30 PM</v>
      </c>
      <c r="U19" s="325">
        <v>0.8125</v>
      </c>
      <c r="V19" s="328" t="str">
        <f>'14U_F_Champ'!L33&amp;"-"&amp;'14U_F_Champ'!C33&amp;"-"&amp;TEXT('14U_F_Champ'!B33,"h:mm am/pm")</f>
        <v>14G-057-2-3 cross-7:30 PM</v>
      </c>
      <c r="W19" s="325"/>
      <c r="X19" s="325"/>
      <c r="Y19" s="325"/>
      <c r="Z19" s="325">
        <v>0.8125</v>
      </c>
      <c r="AA19" s="325"/>
      <c r="AB19" s="328" t="str">
        <f>'14U_F_Champ'!L52&amp;"-"&amp;'14U_F_Champ'!C52&amp;"-"&amp;TEXT('14U_F_Champ'!B52,"h:mm am/pm")</f>
        <v>14G-058-2-3 cross-7:30 PM</v>
      </c>
      <c r="AC19" s="328" t="str">
        <f>'14U_F_Champ'!L71&amp;"-"&amp;'14U_F_Champ'!C71&amp;"-"&amp;TEXT('14U_F_Champ'!B71,"h:mm am/pm")</f>
        <v>14G-059-2-3 cross-7:30 PM</v>
      </c>
      <c r="AD19" s="328" t="str">
        <f>'14U_F_Champ'!L90&amp;"-"&amp;'14U_F_Champ'!C90&amp;"-"&amp;TEXT('14U_F_Champ'!B90,"h:mm am/pm")</f>
        <v>14G-060-2-3 cross-7:30 PM</v>
      </c>
      <c r="AF19" s="339" t="str">
        <f>'16U_F_Classic-45'!L53&amp;"-"&amp;'16U_F_Classic-45'!C53&amp;"-"&amp;TEXT('16U_F_Classic-45'!B53,"h:mm am/pm")</f>
        <v>16GX-060-2-3 cross-7:30 PM</v>
      </c>
      <c r="AJ19" s="329" t="str">
        <f>'16U_F_Champ'!L90&amp;"-"&amp;'16U_F_Champ'!C90&amp;"-"&amp;TEXT('16U_F_Champ'!B90,"h:mm am/pm")</f>
        <v>16G-060-2-3 cross-7:30 PM</v>
      </c>
      <c r="AK19" s="331" t="str">
        <f>'18U_F_Classic-44'!L35&amp;"-"&amp;'18U_F_Classic-44'!C35&amp;"-"&amp;TEXT('18U_F_Classic-44'!B35,"h:mm am/pm")</f>
        <v>18GX-053-2-3 cross-7:30 PM</v>
      </c>
      <c r="AL19" s="325">
        <v>0.8125</v>
      </c>
      <c r="AM19" s="329" t="str">
        <f>'16U_F_Champ'!L33&amp;"-"&amp;'16U_F_Champ'!C33&amp;"-"&amp;TEXT('16U_F_Champ'!B33,"h:mm am/pm")</f>
        <v>16G-057-2-3 cross-7:30 PM</v>
      </c>
      <c r="AN19" s="329" t="str">
        <f>'16U_F_Champ'!L52&amp;"-"&amp;'16U_F_Champ'!C52&amp;"-"&amp;TEXT('16U_F_Champ'!B52,"h:mm am/pm")</f>
        <v>16G-058-2-3 cross-7:30 PM</v>
      </c>
      <c r="AO19" s="329" t="str">
        <f>'16U_F_Champ'!L71&amp;"-"&amp;'16U_F_Champ'!C71&amp;"-"&amp;TEXT('16U_F_Champ'!B71,"h:mm am/pm")</f>
        <v>16G-059-2-3 cross-7:30 PM</v>
      </c>
      <c r="AP19" s="331" t="str">
        <f>'18U_F_Classic-44'!L96&amp;"-"&amp;'18U_F_Classic-44'!C96&amp;"-"&amp;TEXT('18U_F_Classic-44'!B96,"h:mm am/pm")</f>
        <v>18GX-056-2-3 cross-7:30 PM</v>
      </c>
      <c r="AQ19" s="331" t="str">
        <f>'18U_F_Classic-44'!L55&amp;"-"&amp;'18U_F_Classic-44'!C55&amp;"-"&amp;TEXT('18U_F_Classic-44'!B55,"h:mm am/pm")</f>
        <v>18GX-054-2-3 cross-7:30 PM</v>
      </c>
      <c r="AR19" s="331" t="str">
        <f>'18U_F_Classic-44'!L76&amp;"-"&amp;'18U_F_Classic-44'!C76&amp;"-"&amp;TEXT('18U_F_Classic-44'!B76,"h:mm am/pm")</f>
        <v>18GX-055-2-3 cross-7:30 PM</v>
      </c>
      <c r="AS19" s="322"/>
      <c r="AU19" s="325"/>
      <c r="AV19" s="325"/>
      <c r="AW19" s="322"/>
      <c r="BA19" s="322"/>
    </row>
    <row r="20" spans="1:57">
      <c r="A20" s="325">
        <v>0.84722222222222199</v>
      </c>
      <c r="C20" s="80" t="str">
        <f>'10U_Coed_Champ_36'!L52&amp;"-"&amp;'10U_Coed_Champ_36'!C52&amp;"-"&amp;TEXT('10U_Coed_Champ_36'!B32,"h:mm am/pm")</f>
        <v>10C-047-2-3 cross-8:20 PM</v>
      </c>
      <c r="E20" s="80" t="str">
        <f>'10U_Coed_Champ_36'!L32&amp;"-"&amp;'10U_Coed_Champ_36'!C32&amp;"-"&amp;TEXT('10U_Coed_Champ_36'!B32,"h:mm am/pm")</f>
        <v>10C-046-2-3 cross-8:20 PM</v>
      </c>
      <c r="F20" s="80" t="str">
        <f>'10U_Coed_Champ_36'!L72&amp;"-"&amp;'10U_Coed_Champ_36'!C72&amp;"-"&amp;TEXT('10U_Coed_Champ_36'!B52,"h:mm am/pm")</f>
        <v>10C-048-2-3 cross-8:20 PM</v>
      </c>
      <c r="H20" s="322"/>
      <c r="J20" s="325">
        <v>0.84722222222222199</v>
      </c>
      <c r="K20" s="325"/>
      <c r="L20" s="325"/>
      <c r="M20" s="325"/>
      <c r="N20" s="325"/>
      <c r="O20" s="325">
        <v>0.84722222222222199</v>
      </c>
      <c r="S20" s="325"/>
      <c r="U20" s="325">
        <v>0.84722222222222199</v>
      </c>
      <c r="V20" s="325"/>
      <c r="W20" s="325"/>
      <c r="X20" s="325"/>
      <c r="Y20" s="325"/>
      <c r="Z20" s="325">
        <v>0.84722222222222199</v>
      </c>
      <c r="AA20" s="325"/>
      <c r="AB20" s="323"/>
      <c r="AC20" s="323"/>
      <c r="AD20" s="323"/>
      <c r="AK20" s="331" t="str">
        <f>'18U_F_Classic-44'!L36&amp;"-"&amp;'18U_F_Classic-44'!C36&amp;"-"&amp;TEXT('18U_F_Classic-44'!B36,"h:mm am/pm")</f>
        <v>18GX-057-2-3 cross-8:20 PM</v>
      </c>
      <c r="AL20" s="325">
        <v>0.84722222222222199</v>
      </c>
      <c r="AM20" s="325"/>
      <c r="AN20" s="325"/>
      <c r="AO20" s="325"/>
      <c r="AP20" s="331" t="str">
        <f>'18U_F_Classic-44'!L97&amp;"-"&amp;'18U_F_Classic-44'!C97&amp;"-"&amp;TEXT('18U_F_Classic-44'!B97,"h:mm am/pm")</f>
        <v>18GX-060-2-3 cross-8:20 PM</v>
      </c>
      <c r="AQ20" s="331" t="str">
        <f>'18U_F_Classic-44'!L56&amp;"-"&amp;'18U_F_Classic-44'!C56&amp;"-"&amp;TEXT('18U_F_Classic-44'!B56,"h:mm am/pm")</f>
        <v>18GX-058-2-3 cross-8:20 PM</v>
      </c>
      <c r="AR20" s="331" t="str">
        <f>'18U_F_Classic-44'!L77&amp;"-"&amp;'18U_F_Classic-44'!C77&amp;"-"&amp;TEXT('18U_F_Classic-44'!B77,"h:mm am/pm")</f>
        <v>18GX-059-2-3 cross-8:20 PM</v>
      </c>
      <c r="AS20" s="322"/>
      <c r="AU20" s="325"/>
      <c r="AW20" s="322"/>
      <c r="BA20" s="322"/>
    </row>
    <row r="21" spans="1:57">
      <c r="A21" s="325"/>
      <c r="J21" s="325"/>
      <c r="K21" s="325"/>
      <c r="L21" s="325"/>
      <c r="M21" s="325"/>
      <c r="N21" s="325"/>
      <c r="O21" s="325"/>
      <c r="S21" s="325"/>
      <c r="U21" s="325"/>
      <c r="V21" s="325"/>
      <c r="W21" s="325"/>
      <c r="X21" s="325"/>
      <c r="Y21" s="325"/>
      <c r="Z21" s="325"/>
      <c r="AA21" s="325"/>
      <c r="AB21" s="323"/>
      <c r="AC21" s="323"/>
      <c r="AD21" s="323"/>
      <c r="AL21" s="325"/>
      <c r="AM21" s="325"/>
      <c r="AN21" s="325"/>
      <c r="AO21" s="325"/>
      <c r="AU21" s="325"/>
    </row>
    <row r="22" spans="1:57">
      <c r="L22" s="325"/>
      <c r="N22" s="325"/>
      <c r="V22" s="325"/>
      <c r="Y22" s="325"/>
      <c r="AB22" s="323"/>
      <c r="AC22" s="323"/>
      <c r="AD22" s="323"/>
      <c r="AM22" s="325"/>
      <c r="AN22" s="325"/>
      <c r="AO22" s="325"/>
    </row>
    <row r="24" spans="1:57">
      <c r="A24" s="326"/>
      <c r="B24" s="322"/>
      <c r="C24" s="322"/>
      <c r="D24" s="322"/>
      <c r="E24" s="322"/>
      <c r="F24" s="322"/>
      <c r="G24" s="322"/>
      <c r="H24" s="322"/>
      <c r="I24" s="322"/>
      <c r="J24" s="326"/>
      <c r="K24" s="322"/>
      <c r="L24" s="322"/>
      <c r="M24" s="322"/>
      <c r="N24" s="322"/>
      <c r="O24" s="326"/>
      <c r="P24" s="326"/>
      <c r="Q24" s="326"/>
      <c r="R24" s="326"/>
      <c r="S24" s="326"/>
      <c r="T24" s="326"/>
      <c r="U24" s="326"/>
      <c r="V24" s="322"/>
      <c r="W24" s="326"/>
      <c r="X24" s="326"/>
      <c r="Y24" s="326"/>
      <c r="Z24" s="326"/>
      <c r="AA24" s="322"/>
      <c r="AB24" s="322"/>
      <c r="AC24" s="322"/>
      <c r="AD24" s="322"/>
      <c r="AE24" s="322"/>
      <c r="AF24" s="322"/>
      <c r="AG24" s="322"/>
      <c r="AH24" s="322"/>
      <c r="AI24" s="322"/>
      <c r="AJ24" s="322"/>
      <c r="AK24" s="322"/>
      <c r="AL24" s="326"/>
      <c r="AM24" s="322"/>
      <c r="AN24" s="322"/>
      <c r="AO24" s="322"/>
      <c r="AP24" s="322"/>
      <c r="AQ24" s="322"/>
      <c r="AR24" s="322"/>
      <c r="AS24" s="322"/>
      <c r="AT24" s="322"/>
      <c r="AU24" s="326"/>
      <c r="AV24" s="322"/>
      <c r="AW24" s="322"/>
      <c r="AX24" s="322"/>
      <c r="AY24" s="322"/>
      <c r="AZ24" s="322"/>
      <c r="BA24" s="322"/>
      <c r="BB24" s="322"/>
      <c r="BC24" s="322"/>
    </row>
    <row r="26" spans="1:57">
      <c r="A26" s="327" t="s">
        <v>48</v>
      </c>
      <c r="J26" s="327" t="s">
        <v>48</v>
      </c>
      <c r="O26" s="327" t="s">
        <v>48</v>
      </c>
      <c r="P26" s="327"/>
      <c r="Q26" s="327"/>
      <c r="R26" s="327"/>
      <c r="S26" s="327"/>
      <c r="T26" s="327"/>
      <c r="U26" s="327" t="s">
        <v>48</v>
      </c>
      <c r="W26" s="327"/>
      <c r="X26" s="327"/>
      <c r="Y26" s="327"/>
      <c r="Z26" s="327" t="s">
        <v>48</v>
      </c>
      <c r="AI26" s="323"/>
      <c r="AL26" s="327" t="s">
        <v>48</v>
      </c>
      <c r="AU26" s="327" t="s">
        <v>48</v>
      </c>
    </row>
    <row r="27" spans="1:57" s="323" customFormat="1">
      <c r="B27" s="323" t="s">
        <v>2</v>
      </c>
      <c r="C27" s="323" t="s">
        <v>3</v>
      </c>
      <c r="D27" s="323" t="s">
        <v>4</v>
      </c>
      <c r="E27" s="323" t="s">
        <v>5</v>
      </c>
      <c r="F27" s="323" t="s">
        <v>6</v>
      </c>
      <c r="G27" s="323" t="s">
        <v>7</v>
      </c>
      <c r="H27" s="323" t="s">
        <v>8</v>
      </c>
      <c r="I27" s="323" t="s">
        <v>9</v>
      </c>
      <c r="K27" s="323" t="s">
        <v>10</v>
      </c>
      <c r="L27" s="323" t="s">
        <v>11</v>
      </c>
      <c r="M27" s="323" t="s">
        <v>12</v>
      </c>
      <c r="N27" s="323" t="s">
        <v>13</v>
      </c>
      <c r="P27" s="323" t="s">
        <v>14</v>
      </c>
      <c r="Q27" s="323" t="s">
        <v>15</v>
      </c>
      <c r="R27" s="323" t="s">
        <v>16</v>
      </c>
      <c r="S27" s="323" t="s">
        <v>17</v>
      </c>
      <c r="T27" s="323" t="s">
        <v>18</v>
      </c>
      <c r="V27" s="323" t="s">
        <v>19</v>
      </c>
      <c r="W27" s="323" t="s">
        <v>20</v>
      </c>
      <c r="X27" s="323" t="s">
        <v>21</v>
      </c>
      <c r="Y27" s="323" t="s">
        <v>22</v>
      </c>
      <c r="AA27" s="323" t="s">
        <v>23</v>
      </c>
      <c r="AB27" s="323" t="s">
        <v>24</v>
      </c>
      <c r="AC27" s="323" t="s">
        <v>25</v>
      </c>
      <c r="AD27" s="323" t="s">
        <v>26</v>
      </c>
      <c r="AE27" s="323" t="s">
        <v>27</v>
      </c>
      <c r="AF27" s="323" t="s">
        <v>28</v>
      </c>
      <c r="AG27" s="323" t="s">
        <v>29</v>
      </c>
      <c r="AH27" s="323" t="s">
        <v>30</v>
      </c>
      <c r="AI27" s="323" t="s">
        <v>31</v>
      </c>
      <c r="AJ27" s="323" t="s">
        <v>32</v>
      </c>
      <c r="AK27" s="323" t="s">
        <v>33</v>
      </c>
      <c r="AM27" s="323" t="s">
        <v>34</v>
      </c>
      <c r="AN27" s="323" t="s">
        <v>35</v>
      </c>
      <c r="AO27" s="323" t="s">
        <v>36</v>
      </c>
      <c r="AP27" s="323" t="s">
        <v>37</v>
      </c>
      <c r="AQ27" s="323" t="s">
        <v>38</v>
      </c>
      <c r="AR27" s="323" t="s">
        <v>39</v>
      </c>
      <c r="AS27" s="323" t="s">
        <v>40</v>
      </c>
      <c r="AV27" s="323" t="s">
        <v>41</v>
      </c>
      <c r="AW27" s="323" t="s">
        <v>42</v>
      </c>
      <c r="AX27" s="323" t="s">
        <v>43</v>
      </c>
      <c r="AY27" s="323" t="s">
        <v>44</v>
      </c>
      <c r="AZ27" s="323" t="s">
        <v>45</v>
      </c>
      <c r="BA27" s="323" t="s">
        <v>46</v>
      </c>
      <c r="BB27" s="323" t="s">
        <v>47</v>
      </c>
      <c r="BE27" s="323">
        <f>COUNTA(B27:BC27)</f>
        <v>46</v>
      </c>
    </row>
    <row r="28" spans="1:57">
      <c r="A28" s="325">
        <v>0.29166666666666669</v>
      </c>
      <c r="C28" s="46" t="str">
        <f>'10U_F_Champ-18 teams'!L56&amp;"-"&amp;'10U_F_Champ-18 teams'!N56&amp;"-"&amp;TEXT('10U_F_Champ-18 teams'!B56,"h:mm am/pm")</f>
        <v>10G-065-pt_Group-7:00 AM</v>
      </c>
      <c r="E28" s="80" t="str">
        <f>'10U_Coed_Champ_36'!L90&amp;"-"&amp;'10U_Coed_Champ_36'!O90&amp;"-"&amp;TEXT('10U_Coed_Champ_36'!B90,"h:mm am/pm")</f>
        <v>10C-049-pt_Group-7:00 AM</v>
      </c>
      <c r="F28" s="80" t="str">
        <f>'10U_Coed_Champ_36'!L134&amp;"-"&amp;'10U_Coed_Champ_36'!O134&amp;"-"&amp;TEXT('10U_Coed_Champ_36'!B134,"h:mm am/pm")</f>
        <v>10C-053-au_Group-7:00 AM</v>
      </c>
      <c r="G28" s="80" t="str">
        <f>'10U_Coed_Champ_36'!L109&amp;"-"&amp;'10U_Coed_Champ_36'!O109&amp;"-"&amp;TEXT('10U_Coed_Champ_36'!B109,"h:mm am/pm")</f>
        <v>10C-050-pt_Group-7:00 AM</v>
      </c>
      <c r="H28" s="322"/>
      <c r="J28" s="325">
        <v>0.29166666666666669</v>
      </c>
      <c r="K28" s="319" t="str">
        <f>'12U_Coed_Champ-45'!L134&amp;"-"&amp;'12U_Coed_Champ-45'!N134&amp;"-"&amp;TEXT('12U_Coed_Champ-45'!B134,"h:mm am/pm")</f>
        <v>12C-063-pt_Group-7:00 AM</v>
      </c>
      <c r="L28" s="319" t="str">
        <f>'12U_Coed_Champ-45'!L116&amp;"-"&amp;'12U_Coed_Champ-45'!N116&amp;"-"&amp;TEXT('12U_Coed_Champ-45'!B116,"h:mm am/pm")</f>
        <v>12C-064-pt_Group-7:00 AM</v>
      </c>
      <c r="M28" s="319" t="str">
        <f>'12U_Coed_Champ-45'!L153&amp;"-"&amp;'12U_Coed_Champ-45'!N153&amp;"-"&amp;TEXT('12U_Coed_Champ-45'!B153,"h:mm am/pm")</f>
        <v>12C-062-pt_Group-7:00 AM</v>
      </c>
      <c r="N28" s="319" t="str">
        <f>'12U_Coed_Champ-45'!L172&amp;"-"&amp;'12U_Coed_Champ-45'!N172&amp;"-"&amp;TEXT('12U_Coed_Champ-45'!B172,"h:mm am/pm")</f>
        <v>12C-061-pt_Group-7:00 AM</v>
      </c>
      <c r="O28" s="325">
        <v>0.29166666666666669</v>
      </c>
      <c r="P28" s="449" t="str">
        <f>'12U_F_Champ-52'!L188&amp;"-"&amp;'12U_F_Champ-52'!N188&amp;"-"&amp;TEXT('12U_F_Champ-52'!B188,"h:mm am/pm")</f>
        <v>12G-65C-au_Group-7:00 AM</v>
      </c>
      <c r="Q28" s="450" t="str">
        <f>'14U_F_Classic-39 from 40'!L114&amp;"-"&amp;'14U_F_Classic-39 from 40'!N114&amp;"-"&amp;TEXT('14U_F_Classic-39 from 40'!B114,"h:mm am/pm")</f>
        <v>14GX-061-ag_Group-7:00 AM</v>
      </c>
      <c r="S28" s="325"/>
      <c r="T28" s="449" t="str">
        <f>'12U_F_Champ-52'!L206&amp;"-"&amp;'12U_F_Champ-52'!N206&amp;"-"&amp;TEXT('12U_F_Champ-52'!B206,"h:mm am/pm")</f>
        <v>12G-066-au_Group-7:00 AM</v>
      </c>
      <c r="U28" s="325">
        <v>0.29166666666666669</v>
      </c>
      <c r="V28" s="329" t="str">
        <f>'16U_F_Champ'!L118&amp;"-"&amp;'16U_F_Champ'!O118&amp;"-"&amp;TEXT('16U_F_Champ'!B118,"h:mm am/pm")</f>
        <v>16G-061-pt_Group-7:00 AM</v>
      </c>
      <c r="W28" s="450" t="str">
        <f>'14U_F_Classic-39 from 40'!L164&amp;"-"&amp;'14U_F_Classic-39 from 40'!N164&amp;"-"&amp;TEXT('14U_F_Classic-39 from 40'!B164,"h:mm am/pm")</f>
        <v>14GX-064-ag_Group-7:00 AM</v>
      </c>
      <c r="X28" s="450" t="str">
        <f>'14U_F_Classic-39 from 40'!L131&amp;"-"&amp;'14U_F_Classic-39 from 40'!N131&amp;"-"&amp;TEXT('14U_F_Classic-39 from 40'!B131,"h:mm am/pm")</f>
        <v>14GX-062-ag_Group-7:00 AM</v>
      </c>
      <c r="Y28" s="450" t="str">
        <f>'14U_F_Classic-39 from 40'!L148&amp;"-"&amp;'14U_F_Classic-39 from 40'!N148&amp;"-"&amp;TEXT('14U_F_Classic-39 from 40'!B148,"h:mm am/pm")</f>
        <v>14GX-063-ag_Group-7:00 AM</v>
      </c>
      <c r="Z28" s="325">
        <v>0.29166666666666669</v>
      </c>
      <c r="AA28" s="328" t="str">
        <f>'14U_F_Champ'!L157&amp;"-"&amp;'14U_F_Champ'!N157&amp;"-"&amp;TEXT('14U_F_Champ'!B157,"h:mm am/pm")</f>
        <v>14G-063-au_Group-7:00 AM</v>
      </c>
      <c r="AB28" s="328" t="str">
        <f>'14U_F_Champ'!L138&amp;"-"&amp;'14U_F_Champ'!N138&amp;"-"&amp;TEXT('14U_F_Champ'!B138,"h:mm am/pm")</f>
        <v>14G-062-pt_Group-7:00 AM</v>
      </c>
      <c r="AC28" s="328" t="str">
        <f>'14U_F_Champ'!L119&amp;"-"&amp;'14U_F_Champ'!N119&amp;"-"&amp;TEXT('14U_F_Champ'!B119,"h:mm am/pm")</f>
        <v>14G-061-pt_Group-7:00 AM</v>
      </c>
      <c r="AD28" s="331" t="str">
        <f>'18U_F_Classic-44'!L126&amp;"-"&amp;'18U_F_Classic-44'!O126&amp;"-"&amp;TEXT('18U_F_Classic-44'!B126,"h:mm am/pm")</f>
        <v>18GX-061-ag Group-7:00 AM</v>
      </c>
      <c r="AE28" s="328" t="str">
        <f>'14U_F_Champ'!L176&amp;"-"&amp;'14U_F_Champ'!N176&amp;"-"&amp;TEXT('14U_F_Champ'!B176,"h:mm am/pm")</f>
        <v>14G-064-au_Group-7:00 AM</v>
      </c>
      <c r="AF28" s="339" t="str">
        <f>'16U_F_Classic-45'!L116&amp;"-"&amp;'16U_F_Classic-45'!N116&amp;"-"&amp;TEXT('16U_F_Classic-45'!B116,"h:mm am/pm")</f>
        <v>16GX-064-ag_Group-7:00 AM</v>
      </c>
      <c r="AG28" s="339" t="str">
        <f>'16U_F_Classic-45'!L169&amp;"-"&amp;'16U_F_Classic-45'!N169&amp;"-"&amp;TEXT('16U_F_Classic-45'!B169,"h:mm am/pm")</f>
        <v>16GX-061-ag_Group-7:00 AM</v>
      </c>
      <c r="AH28" s="339" t="str">
        <f>'16U_F_Classic-45'!L134&amp;"-"&amp;'16U_F_Classic-45'!N134&amp;"-"&amp;TEXT('16U_F_Classic-45'!B134,"h:mm am/pm")</f>
        <v>16GX-063-ag_Group-7:00 AM</v>
      </c>
      <c r="AI28" s="339" t="str">
        <f>'16U_F_Classic-45'!L150&amp;"-"&amp;'16U_F_Classic-45'!N150&amp;"-"&amp;TEXT('16U_F_Classic-45'!B150,"h:mm am/pm")</f>
        <v>16GX-062-ag_Group-7:00 AM</v>
      </c>
      <c r="AJ28" s="331" t="str">
        <f>'18U_F_Classic-44'!L183&amp;"-"&amp;'18U_F_Classic-44'!O183&amp;"-"&amp;TEXT('18U_F_Classic-44'!B183,"h:mm am/pm")</f>
        <v>18GX-064-bz Group-7:00 AM</v>
      </c>
      <c r="AK28" s="322"/>
      <c r="AL28" s="325">
        <v>0.29166666666666669</v>
      </c>
      <c r="AM28" s="329" t="str">
        <f>'16U_F_Champ'!L137&amp;"-"&amp;'16U_F_Champ'!O137&amp;"-"&amp;TEXT('16U_F_Champ'!B137,"h:mm am/pm")</f>
        <v>16G-062-pt_Group-7:00 AM</v>
      </c>
      <c r="AN28" s="322"/>
      <c r="AO28" s="329" t="str">
        <f>'16U_F_Champ'!L156&amp;"-"&amp;'16U_F_Champ'!O156&amp;"-"&amp;TEXT('16U_F_Champ'!B156,"h:mm am/pm")</f>
        <v>16G-063-au_Group-7:00 AM</v>
      </c>
      <c r="AP28" s="329" t="str">
        <f>'16U_F_Champ'!L175&amp;"-"&amp;'16U_F_Champ'!O175&amp;"-"&amp;TEXT('16U_F_Champ'!B175,"h:mm am/pm")</f>
        <v>16G-064-au_Group-7:00 AM</v>
      </c>
      <c r="AQ28" s="331" t="str">
        <f>'18U_F_Classic-44'!L145&amp;"-"&amp;'18U_F_Classic-44'!O145&amp;"-"&amp;TEXT('18U_F_Classic-44'!B145,"h:mm am/pm")</f>
        <v>18GX-062-ag Group-7:00 AM</v>
      </c>
      <c r="AR28" s="331" t="str">
        <f>'18U_F_Classic-44'!L164&amp;"-"&amp;'18U_F_Classic-44'!O164&amp;"-"&amp;TEXT('18U_F_Classic-44'!B164,"h:mm am/pm")</f>
        <v>18GX-063-bz Group-7:00 AM</v>
      </c>
      <c r="AS28" s="322"/>
      <c r="AU28" s="325">
        <v>0.29166666666666669</v>
      </c>
      <c r="AV28" s="330" t="str">
        <f>'18U_F_Champ'!L122&amp;"-"&amp;'18U_F_Champ'!N122&amp;"-"&amp;TEXT('18U_F_Champ'!B122,"h:mm am/pm")</f>
        <v>18G-064-pt_Group-7:00 AM</v>
      </c>
      <c r="AW28" s="322"/>
      <c r="AX28" s="330" t="str">
        <f>'18U_F_Champ'!L136&amp;"-"&amp;'18U_F_Champ'!N136&amp;"-"&amp;TEXT('18U_F_Champ'!B136,"h:mm am/pm")</f>
        <v>18G-065-pt_Group-7:00 AM</v>
      </c>
      <c r="AY28" s="330" t="str">
        <f>'18U_F_Champ'!L152&amp;"-"&amp;'18U_F_Champ'!N152&amp;"-"&amp;TEXT('18U_F_Champ'!B152,"h:mm am/pm")</f>
        <v>18G-061-au_Group-7:00 AM</v>
      </c>
      <c r="AZ28" s="330" t="str">
        <f>'18U_F_Champ'!L184&amp;"-"&amp;'18U_F_Champ'!N184&amp;"-"&amp;TEXT('18U_F_Champ'!B184,"h:mm am/pm")</f>
        <v>18G-063-au_Group-7:00 AM</v>
      </c>
      <c r="BA28" s="322"/>
      <c r="BB28" s="330" t="str">
        <f>'18U_F_Champ'!L168&amp;"-"&amp;'18U_F_Champ'!N168&amp;"-"&amp;TEXT('18U_F_Champ'!B168,"h:mm am/pm")</f>
        <v>18G-062-au_Group-7:00 AM</v>
      </c>
    </row>
    <row r="29" spans="1:57">
      <c r="A29" s="325">
        <v>0.3263888888888889</v>
      </c>
      <c r="B29" s="103" t="str">
        <f>'10U_Coed_Classic 22 from 23'!L64&amp;"-"&amp;'10U_Coed_Classic 22 from 23'!O64&amp;"-"&amp;TEXT('10U_Coed_Classic 22 from 23'!B64,"h:mm am/pm")</f>
        <v>10CX-029-ag_Group-7:50 AM</v>
      </c>
      <c r="C29" s="46" t="str">
        <f>'10U_F_Champ-18 teams'!L57&amp;"-"&amp;'10U_F_Champ-18 teams'!N57&amp;"-"&amp;TEXT('10U_F_Champ-18 teams'!B57,"h:mm am/pm")</f>
        <v>10G-069-pt_Group-7:50 AM</v>
      </c>
      <c r="D29" s="46" t="str">
        <f>'10U_F_Champ-18 teams'!L72&amp;"-"&amp;'10U_F_Champ-18 teams'!N72&amp;"-"&amp;TEXT('10U_F_Champ-18 teams'!B72,"h:mm am/pm")</f>
        <v>10G-066-pt_Group-7:50 AM</v>
      </c>
      <c r="E29" s="80" t="str">
        <f>'10U_Coed_Champ_36'!L91&amp;"-"&amp;'10U_Coed_Champ_36'!O91&amp;"-"&amp;TEXT('10U_Coed_Champ_36'!B91,"h:mm am/pm")</f>
        <v>10C-051-pt_Group-7:50 AM</v>
      </c>
      <c r="F29" s="80" t="str">
        <f>'10U_Coed_Champ_36'!L135&amp;"-"&amp;'10U_Coed_Champ_36'!O135&amp;"-"&amp;TEXT('10U_Coed_Champ_36'!B135,"h:mm am/pm")</f>
        <v>10C-056-au_Group-7:50 AM</v>
      </c>
      <c r="G29" s="80" t="str">
        <f>'10U_Coed_Champ_36'!L110&amp;"-"&amp;'10U_Coed_Champ_36'!O110&amp;"-"&amp;TEXT('10U_Coed_Champ_36'!B110,"h:mm am/pm")</f>
        <v>10C-052-pt_Group-7:50 AM</v>
      </c>
      <c r="H29" s="322"/>
      <c r="I29" s="103" t="str">
        <f>'10U_Coed_Classic 22 from 23'!L79&amp;"-"&amp;'10U_Coed_Classic 22 from 23'!O79&amp;"-"&amp;TEXT('10U_Coed_Classic 22 from 23'!B79,"h:mm am/pm")</f>
        <v>10CX-030-bz_Group-7:50 AM</v>
      </c>
      <c r="J29" s="325">
        <v>0.3263888888888889</v>
      </c>
      <c r="K29" s="319" t="str">
        <f>'12U_Coed_Champ-45'!L135&amp;"-"&amp;'12U_Coed_Champ-45'!N135&amp;"-"&amp;TEXT('12U_Coed_Champ-45'!B135,"h:mm am/pm")</f>
        <v>12C-071-pt_Group-7:50 AM</v>
      </c>
      <c r="L29" s="319" t="str">
        <f>'12U_Coed_Champ-45'!L117&amp;"-"&amp;'12U_Coed_Champ-45'!N117&amp;"-"&amp;TEXT('12U_Coed_Champ-45'!B117,"h:mm am/pm")</f>
        <v>12C-068-au_Group-7:50 AM</v>
      </c>
      <c r="M29" s="319" t="str">
        <f>'12U_Coed_Champ-45'!L154&amp;"-"&amp;'12U_Coed_Champ-45'!N154&amp;"-"&amp;TEXT('12U_Coed_Champ-45'!B154,"h:mm am/pm")</f>
        <v>12C-066-au_Group-7:50 AM</v>
      </c>
      <c r="N29" s="319" t="str">
        <f>'12U_Coed_Champ-45'!L173&amp;"-"&amp;'12U_Coed_Champ-45'!N173&amp;"-"&amp;TEXT('12U_Coed_Champ-45'!B173,"h:mm am/pm")</f>
        <v>12C-065-au_Group-7:50 AM</v>
      </c>
      <c r="O29" s="325">
        <v>0.3263888888888889</v>
      </c>
      <c r="P29" s="449" t="str">
        <f>'12U_F_Champ-52'!L189&amp;"-"&amp;'12U_F_Champ-52'!N189&amp;"-"&amp;TEXT('12U_F_Champ-52'!B189,"h:mm am/pm")</f>
        <v>12G-069-au_Group-7:50 AM</v>
      </c>
      <c r="Q29" s="450" t="str">
        <f>'14U_F_Classic-39 from 40'!L115&amp;"-"&amp;'14U_F_Classic-39 from 40'!N115&amp;"-"&amp;TEXT('14U_F_Classic-39 from 40'!B115,"h:mm am/pm")</f>
        <v>14GX-065-bz_Group-7:50 AM</v>
      </c>
      <c r="S29" s="325"/>
      <c r="T29" s="449" t="str">
        <f>'12U_F_Champ-52'!L207&amp;"-"&amp;'12U_F_Champ-52'!N207&amp;"-"&amp;TEXT('12U_F_Champ-52'!B207,"h:mm am/pm")</f>
        <v>12G-070-au_U Group of 4-7:50 AM</v>
      </c>
      <c r="U29" s="325">
        <v>0.3263888888888889</v>
      </c>
      <c r="V29" s="329" t="str">
        <f>'16U_F_Champ'!L119&amp;"-"&amp;'16U_F_Champ'!O119&amp;"-"&amp;TEXT('16U_F_Champ'!B119,"h:mm am/pm")</f>
        <v>16G-065-pt_Group-7:50 AM</v>
      </c>
      <c r="W29" s="450" t="str">
        <f>'14U_F_Classic-39 from 40'!L165&amp;"-"&amp;'14U_F_Classic-39 from 40'!N165&amp;"-"&amp;TEXT('14U_F_Classic-39 from 40'!B165,"h:mm am/pm")</f>
        <v>14GX-068-bz_Group-7:50 AM</v>
      </c>
      <c r="X29" s="450" t="str">
        <f>'14U_F_Classic-39 from 40'!L132&amp;"-"&amp;'14U_F_Classic-39 from 40'!N132&amp;"-"&amp;TEXT('14U_F_Classic-39 from 40'!B132,"h:mm am/pm")</f>
        <v>14GX-066-bz_Group-7:50 AM</v>
      </c>
      <c r="Y29" s="450" t="str">
        <f>'14U_F_Classic-39 from 40'!L149&amp;"-"&amp;'14U_F_Classic-39 from 40'!N149&amp;"-"&amp;TEXT('14U_F_Classic-39 from 40'!B149,"h:mm am/pm")</f>
        <v>14GX-067-bz_Group-7:50 AM</v>
      </c>
      <c r="Z29" s="325">
        <v>0.3263888888888889</v>
      </c>
      <c r="AA29" s="328" t="str">
        <f>'14U_F_Champ'!L158&amp;"-"&amp;'14U_F_Champ'!N158&amp;"-"&amp;TEXT('14U_F_Champ'!B158,"h:mm am/pm")</f>
        <v>14G-067-au_Group-7:50 AM</v>
      </c>
      <c r="AB29" s="328" t="str">
        <f>'14U_F_Champ'!L139&amp;"-"&amp;'14U_F_Champ'!N139&amp;"-"&amp;TEXT('14U_F_Champ'!B139,"h:mm am/pm")</f>
        <v>14G-066-pt_Group-7:50 AM</v>
      </c>
      <c r="AC29" s="328" t="str">
        <f>'14U_F_Champ'!L120&amp;"-"&amp;'14U_F_Champ'!N120&amp;"-"&amp;TEXT('14U_F_Champ'!B120,"h:mm am/pm")</f>
        <v>14G-065-pt_Group-7:50 AM</v>
      </c>
      <c r="AD29" s="331" t="str">
        <f>'18U_F_Classic-44'!L127&amp;"-"&amp;'18U_F_Classic-44'!O127&amp;"-"&amp;TEXT('18U_F_Classic-44'!B127,"h:mm am/pm")</f>
        <v>18GX-065-ag Group-7:50 AM</v>
      </c>
      <c r="AE29" s="328" t="str">
        <f>'14U_F_Champ'!L177&amp;"-"&amp;'14U_F_Champ'!N177&amp;"-"&amp;TEXT('14U_F_Champ'!B177,"h:mm am/pm")</f>
        <v>14G-068-au_Group-7:50 AM</v>
      </c>
      <c r="AF29" s="339" t="str">
        <f>'16U_F_Classic-45'!L117&amp;"-"&amp;'16U_F_Classic-45'!N117&amp;"-"&amp;TEXT('16U_F_Classic-45'!B117,"h:mm am/pm")</f>
        <v>16GX-068-bz_Group-7:50 AM</v>
      </c>
      <c r="AG29" s="339" t="str">
        <f>'16U_F_Classic-45'!L170&amp;"-"&amp;'16U_F_Classic-45'!N170&amp;"-"&amp;TEXT('16U_F_Classic-45'!B170,"h:mm am/pm")</f>
        <v>16GX-065-bz_Group-7:50 AM</v>
      </c>
      <c r="AH29" s="339" t="str">
        <f>'16U_F_Classic-45'!L135&amp;"-"&amp;'16U_F_Classic-45'!N135&amp;"-"&amp;TEXT('16U_F_Classic-45'!B135,"h:mm am/pm")</f>
        <v>16GX-071-ag_Group-7:50 AM</v>
      </c>
      <c r="AI29" s="339" t="str">
        <f>'16U_F_Classic-45'!L151&amp;"-"&amp;'16U_F_Classic-45'!N151&amp;"-"&amp;TEXT('16U_F_Classic-45'!B151,"h:mm am/pm")</f>
        <v>16GX-066-bz_Group-7:50 AM</v>
      </c>
      <c r="AJ29" s="331" t="str">
        <f>'18U_F_Classic-44'!L184&amp;"-"&amp;'18U_F_Classic-44'!O184&amp;"-"&amp;TEXT('18U_F_Classic-44'!B184,"h:mm am/pm")</f>
        <v>18GX-068-bz Group-7:50 AM</v>
      </c>
      <c r="AK29" s="322"/>
      <c r="AL29" s="325">
        <v>0.3263888888888889</v>
      </c>
      <c r="AM29" s="329" t="str">
        <f>'16U_F_Champ'!L138&amp;"-"&amp;'16U_F_Champ'!O138&amp;"-"&amp;TEXT('16U_F_Champ'!B138,"h:mm am/pm")</f>
        <v>16G-066-pt_Group-7:50 AM</v>
      </c>
      <c r="AN29" s="322"/>
      <c r="AO29" s="329" t="str">
        <f>'16U_F_Champ'!L157&amp;"-"&amp;'16U_F_Champ'!O157&amp;"-"&amp;TEXT('16U_F_Champ'!B157,"h:mm am/pm")</f>
        <v>16G-067-au_Group-7:50 AM</v>
      </c>
      <c r="AP29" s="329" t="str">
        <f>'16U_F_Champ'!L176&amp;"-"&amp;'16U_F_Champ'!O176&amp;"-"&amp;TEXT('16U_F_Champ'!B176,"h:mm am/pm")</f>
        <v>16G-068-au_Group-7:50 AM</v>
      </c>
      <c r="AQ29" s="331" t="str">
        <f>'18U_F_Classic-44'!L146&amp;"-"&amp;'18U_F_Classic-44'!O146&amp;"-"&amp;TEXT('18U_F_Classic-44'!B146,"h:mm am/pm")</f>
        <v>18GX-066-ag Group-7:50 AM</v>
      </c>
      <c r="AR29" s="331" t="str">
        <f>'18U_F_Classic-44'!L165&amp;"-"&amp;'18U_F_Classic-44'!O165&amp;"-"&amp;TEXT('18U_F_Classic-44'!B165,"h:mm am/pm")</f>
        <v>18GX-067-bz Group-7:50 AM</v>
      </c>
      <c r="AS29" s="322"/>
      <c r="AU29" s="325">
        <v>0.33333333333333298</v>
      </c>
      <c r="AV29" s="330" t="str">
        <f>'18U_F_Champ'!L123&amp;"-"&amp;'18U_F_Champ'!N123&amp;"-"&amp;TEXT('18U_F_Champ'!B123,"h:mm am/pm")</f>
        <v>18G-068-pt_Group-8:00 AM</v>
      </c>
      <c r="AW29" s="322"/>
      <c r="AX29" s="330" t="str">
        <f>'18U_F_Champ'!L137&amp;"-"&amp;'18U_F_Champ'!N137&amp;"-"&amp;TEXT('18U_F_Champ'!B137,"h:mm am/pm")</f>
        <v>18G-070-pt_Group-8:00 AM</v>
      </c>
      <c r="AY29" s="330" t="str">
        <f>'18U_F_Champ'!L153&amp;"-"&amp;'18U_F_Champ'!N153&amp;"-"&amp;TEXT('18U_F_Champ'!B153,"h:mm am/pm")</f>
        <v>18G-066-au_Group-8:00 AM</v>
      </c>
      <c r="AZ29" s="330" t="str">
        <f>'18U_F_Champ'!L185&amp;"-"&amp;'18U_F_Champ'!N185&amp;"-"&amp;TEXT('18U_F_Champ'!B185,"h:mm am/pm")</f>
        <v>18G-069-pt_Group-8:00 AM</v>
      </c>
      <c r="BA29" s="322"/>
      <c r="BB29" s="330" t="str">
        <f>'18U_F_Champ'!L169&amp;"-"&amp;'18U_F_Champ'!N169&amp;"-"&amp;TEXT('18U_F_Champ'!B169,"h:mm am/pm")</f>
        <v>18G-067-au_Group-8:00 AM</v>
      </c>
    </row>
    <row r="30" spans="1:57">
      <c r="A30" s="325">
        <v>0.36111111111111099</v>
      </c>
      <c r="B30" s="103" t="str">
        <f>'10U_Coed_Classic 22 from 23'!L65&amp;"-"&amp;'10U_Coed_Classic 22 from 23'!O65&amp;"-"&amp;TEXT('10U_Coed_Classic 22 from 23'!B65,"h:mm am/pm")</f>
        <v>10CX-031-ag_Group-8:40 AM</v>
      </c>
      <c r="C30" s="46" t="str">
        <f>'10U_F_Champ-18 teams'!L58&amp;"-"&amp;'10U_F_Champ-18 teams'!N58&amp;"-"&amp;TEXT('10U_F_Champ-18 teams'!B58,"h:mm am/pm")</f>
        <v>10G-073-pt_Group-8:40 AM</v>
      </c>
      <c r="D30" s="46" t="str">
        <f>'10U_F_Champ-18 teams'!L73&amp;"-"&amp;'10U_F_Champ-18 teams'!N73&amp;"-"&amp;TEXT('10U_F_Champ-18 teams'!B73,"h:mm am/pm")</f>
        <v>10G-070-pt_Group-8:40 AM</v>
      </c>
      <c r="E30" s="80" t="str">
        <f>'10U_Coed_Champ_36'!L92&amp;"-"&amp;'10U_Coed_Champ_36'!O92&amp;"-"&amp;TEXT('10U_Coed_Champ_36'!B92,"h:mm am/pm")</f>
        <v>10C-054-pt_Group-8:40 AM</v>
      </c>
      <c r="F30" s="80" t="str">
        <f>'10U_Coed_Champ_36'!L136&amp;"-"&amp;'10U_Coed_Champ_36'!O136&amp;"-"&amp;TEXT('10U_Coed_Champ_36'!B136,"h:mm am/pm")</f>
        <v>10C-059-au_Group-8:40 AM</v>
      </c>
      <c r="G30" s="80" t="str">
        <f>'10U_Coed_Champ_36'!L111&amp;"-"&amp;'10U_Coed_Champ_36'!O111&amp;"-"&amp;TEXT('10U_Coed_Champ_36'!B111,"h:mm am/pm")</f>
        <v>10C-055-pt_Group-8:40 AM</v>
      </c>
      <c r="H30" s="322"/>
      <c r="I30" s="103" t="str">
        <f>'10U_Coed_Classic 22 from 23'!L80&amp;"-"&amp;'10U_Coed_Classic 22 from 23'!O80&amp;"-"&amp;TEXT('10U_Coed_Classic 22 from 23'!B80,"h:mm am/pm")</f>
        <v>10CX-032-bz_Group-8:40 AM</v>
      </c>
      <c r="J30" s="325">
        <v>0.36111111111111099</v>
      </c>
      <c r="K30" s="319" t="str">
        <f>'12U_Coed_Champ-45'!L136&amp;"-"&amp;'12U_Coed_Champ-45'!N136&amp;"-"&amp;TEXT('12U_Coed_Champ-45'!B136,"h:mm am/pm")</f>
        <v>12C-075-au_Group-8:40 AM</v>
      </c>
      <c r="L30" s="319" t="str">
        <f>'12U_Coed_Champ-45'!L118&amp;"-"&amp;'12U_Coed_Champ-45'!N118&amp;"-"&amp;TEXT('12U_Coed_Champ-45'!B118,"h:mm am/pm")</f>
        <v>12C-072-pt_Group-8:40 AM</v>
      </c>
      <c r="M30" s="319" t="str">
        <f>'12U_Coed_Champ-45'!L155&amp;"-"&amp;'12U_Coed_Champ-45'!N155&amp;"-"&amp;TEXT('12U_Coed_Champ-45'!B155,"h:mm am/pm")</f>
        <v>12C-070-pt_Group-8:40 AM</v>
      </c>
      <c r="N30" s="319" t="str">
        <f>'12U_Coed_Champ-45'!L174&amp;"-"&amp;'12U_Coed_Champ-45'!N174&amp;"-"&amp;TEXT('12U_Coed_Champ-45'!B174,"h:mm am/pm")</f>
        <v>12C-069-pt_Group-8:40 AM</v>
      </c>
      <c r="O30" s="325">
        <v>0.36111111111111099</v>
      </c>
      <c r="P30" s="449" t="str">
        <f>'12U_F_Champ-52'!L190&amp;"-"&amp;'12U_F_Champ-52'!N190&amp;"-"&amp;TEXT('12U_F_Champ-52'!B190,"h:mm am/pm")</f>
        <v>12G-073-au_R Group of 4-8:40 AM</v>
      </c>
      <c r="Q30" s="450" t="str">
        <f>'14U_F_Classic-39 from 40'!L116&amp;"-"&amp;'14U_F_Classic-39 from 40'!N116&amp;"-"&amp;TEXT('14U_F_Classic-39 from 40'!B116,"h:mm am/pm")</f>
        <v>14GX-069-ag_Group-8:40 AM</v>
      </c>
      <c r="R30" s="449" t="str">
        <f>'12U_F_Champ-52'!L158&amp;"-"&amp;'12U_F_Champ-52'!N158&amp;"-"&amp;TEXT('12U_F_Champ-52'!B158,"h:mm am/pm")</f>
        <v>12G-65A-pt_Group-8:40 AM</v>
      </c>
      <c r="S30" s="449" t="str">
        <f>'12U_F_Champ-52'!L173&amp;"-"&amp;'12U_F_Champ-52'!N173&amp;"-"&amp;TEXT('12U_F_Champ-52'!B173,"h:mm am/pm")</f>
        <v>12G-65B-pt_Group-8:40 AM</v>
      </c>
      <c r="T30" s="449" t="str">
        <f>'12U_F_Champ-52'!L208&amp;"-"&amp;'12U_F_Champ-52'!N208&amp;"-"&amp;TEXT('12U_F_Champ-52'!B208,"h:mm am/pm")</f>
        <v>12G-106-au_U Group of 4-8:40 AM</v>
      </c>
      <c r="U30" s="325">
        <v>0.36111111111111099</v>
      </c>
      <c r="V30" s="329" t="str">
        <f>'16U_F_Champ'!L120&amp;"-"&amp;'16U_F_Champ'!O120&amp;"-"&amp;TEXT('16U_F_Champ'!B120,"h:mm am/pm")</f>
        <v>16G-069-pt_Group-8:40 AM</v>
      </c>
      <c r="W30" s="450" t="str">
        <f>'14U_F_Classic-39 from 40'!L166&amp;"-"&amp;'14U_F_Classic-39 from 40'!N166&amp;"-"&amp;TEXT('14U_F_Classic-39 from 40'!B166,"h:mm am/pm")</f>
        <v>14GX-072-ag_Group-8:40 AM</v>
      </c>
      <c r="X30" s="450" t="str">
        <f>'14U_F_Classic-39 from 40'!L133&amp;"-"&amp;'14U_F_Classic-39 from 40'!N133&amp;"-"&amp;TEXT('14U_F_Classic-39 from 40'!B133,"h:mm am/pm")</f>
        <v>14GX-070-ag_Group-8:40 AM</v>
      </c>
      <c r="Y30" s="450" t="str">
        <f>'14U_F_Classic-39 from 40'!L150&amp;"-"&amp;'14U_F_Classic-39 from 40'!N150&amp;"-"&amp;TEXT('14U_F_Classic-39 from 40'!B150,"h:mm am/pm")</f>
        <v>14GX-071-ag_Group-8:40 AM</v>
      </c>
      <c r="Z30" s="325">
        <v>0.36111111111111099</v>
      </c>
      <c r="AA30" s="328" t="str">
        <f>'14U_F_Champ'!L159&amp;"-"&amp;'14U_F_Champ'!N159&amp;"-"&amp;TEXT('14U_F_Champ'!B159,"h:mm am/pm")</f>
        <v>14G-071-au_Group-8:40 AM</v>
      </c>
      <c r="AB30" s="328" t="str">
        <f>'14U_F_Champ'!L140&amp;"-"&amp;'14U_F_Champ'!N140&amp;"-"&amp;TEXT('14U_F_Champ'!B140,"h:mm am/pm")</f>
        <v>14G-070-pt_Group-8:40 AM</v>
      </c>
      <c r="AC30" s="328" t="str">
        <f>'14U_F_Champ'!L121&amp;"-"&amp;'14U_F_Champ'!N121&amp;"-"&amp;TEXT('14U_F_Champ'!B121,"h:mm am/pm")</f>
        <v>14G-069-pt_Group-8:40 AM</v>
      </c>
      <c r="AD30" s="331" t="str">
        <f>'18U_F_Classic-44'!L128&amp;"-"&amp;'18U_F_Classic-44'!O128&amp;"-"&amp;TEXT('18U_F_Classic-44'!B128,"h:mm am/pm")</f>
        <v>18GX-069-ag Group-8:40 AM</v>
      </c>
      <c r="AE30" s="328" t="str">
        <f>'14U_F_Champ'!L178&amp;"-"&amp;'14U_F_Champ'!N178&amp;"-"&amp;TEXT('14U_F_Champ'!B178,"h:mm am/pm")</f>
        <v>14G-072-au_Group-8:40 AM</v>
      </c>
      <c r="AF30" s="339" t="str">
        <f>'16U_F_Classic-45'!L118&amp;"-"&amp;'16U_F_Classic-45'!N118&amp;"-"&amp;TEXT('16U_F_Classic-45'!B118,"h:mm am/pm")</f>
        <v>16GX-072-ag_Group-8:40 AM</v>
      </c>
      <c r="AG30" s="339" t="str">
        <f>'16U_F_Classic-45'!L171&amp;"-"&amp;'16U_F_Classic-45'!N171&amp;"-"&amp;TEXT('16U_F_Classic-45'!B171,"h:mm am/pm")</f>
        <v>16GX-069-ag_Group-8:40 AM</v>
      </c>
      <c r="AH30" s="339" t="str">
        <f>'16U_F_Classic-45'!L136&amp;"-"&amp;'16U_F_Classic-45'!N136&amp;"-"&amp;TEXT('16U_F_Classic-45'!B136,"h:mm am/pm")</f>
        <v>16GX-075-bz_Group-8:40 AM</v>
      </c>
      <c r="AI30" s="339" t="str">
        <f>'16U_F_Classic-45'!L152&amp;"-"&amp;'16U_F_Classic-45'!N152&amp;"-"&amp;TEXT('16U_F_Classic-45'!B152,"h:mm am/pm")</f>
        <v>16GX-070-ag_Group-8:40 AM</v>
      </c>
      <c r="AJ30" s="331" t="str">
        <f>'18U_F_Classic-44'!L185&amp;"-"&amp;'18U_F_Classic-44'!O185&amp;"-"&amp;TEXT('18U_F_Classic-44'!B185,"h:mm am/pm")</f>
        <v>18GX-072-bz Group-8:40 AM</v>
      </c>
      <c r="AK30" s="322"/>
      <c r="AL30" s="325">
        <v>0.36111111111111099</v>
      </c>
      <c r="AM30" s="329" t="str">
        <f>'16U_F_Champ'!L139&amp;"-"&amp;'16U_F_Champ'!O139&amp;"-"&amp;TEXT('16U_F_Champ'!B139,"h:mm am/pm")</f>
        <v>16G-070-pt_Group-8:40 AM</v>
      </c>
      <c r="AN30" s="322"/>
      <c r="AO30" s="329" t="str">
        <f>'16U_F_Champ'!L158&amp;"-"&amp;'16U_F_Champ'!O158&amp;"-"&amp;TEXT('16U_F_Champ'!B158,"h:mm am/pm")</f>
        <v>16G-071-au_Group-8:40 AM</v>
      </c>
      <c r="AP30" s="329" t="str">
        <f>'16U_F_Champ'!L177&amp;"-"&amp;'16U_F_Champ'!O177&amp;"-"&amp;TEXT('16U_F_Champ'!B177,"h:mm am/pm")</f>
        <v>16G-072-au_Group-8:40 AM</v>
      </c>
      <c r="AQ30" s="331" t="str">
        <f>'18U_F_Classic-44'!L147&amp;"-"&amp;'18U_F_Classic-44'!O147&amp;"-"&amp;TEXT('18U_F_Classic-44'!B147,"h:mm am/pm")</f>
        <v>18GX-070-ag Group-8:40 AM</v>
      </c>
      <c r="AR30" s="331" t="str">
        <f>'18U_F_Classic-44'!L166&amp;"-"&amp;'18U_F_Classic-44'!O166&amp;"-"&amp;TEXT('18U_F_Classic-44'!B166,"h:mm am/pm")</f>
        <v>18GX-071-bz Group-8:40 AM</v>
      </c>
      <c r="AS30" s="322"/>
      <c r="AU30" s="325">
        <v>0.375</v>
      </c>
      <c r="AV30" s="330" t="str">
        <f>'18U_F_Champ'!L124&amp;"-"&amp;'18U_F_Champ'!N124&amp;"-"&amp;TEXT('18U_F_Champ'!B124,"h:mm am/pm")</f>
        <v>18G-074-pt_Group-9:00 AM</v>
      </c>
      <c r="AW30" s="322"/>
      <c r="AX30" s="330" t="str">
        <f>'18U_F_Champ'!L138&amp;"-"&amp;'18U_F_Champ'!N138&amp;"-"&amp;TEXT('18U_F_Champ'!B138,"h:mm am/pm")</f>
        <v>18G-075-pt_Group-9:00 AM</v>
      </c>
      <c r="AY30" s="330" t="str">
        <f>'18U_F_Champ'!L154&amp;"-"&amp;'18U_F_Champ'!N154&amp;"-"&amp;TEXT('18U_F_Champ'!B154,"h:mm am/pm")</f>
        <v>18G-071-au_Group-9:00 AM</v>
      </c>
      <c r="AZ30" s="330" t="str">
        <f>'18U_F_Champ'!L186&amp;"-"&amp;'18U_F_Champ'!N186&amp;"-"&amp;TEXT('18U_F_Champ'!B186,"h:mm am/pm")</f>
        <v>18G-073-pt_Group-9:00 AM</v>
      </c>
      <c r="BA30" s="322"/>
      <c r="BB30" s="330" t="str">
        <f>'18U_F_Champ'!L170&amp;"-"&amp;'18U_F_Champ'!N170&amp;"-"&amp;TEXT('18U_F_Champ'!B170,"h:mm am/pm")</f>
        <v>18G-072-au_Group-9:00 AM</v>
      </c>
    </row>
    <row r="31" spans="1:57">
      <c r="A31" s="325">
        <v>0.39583333333333398</v>
      </c>
      <c r="B31" s="103" t="str">
        <f>'10U_Coed_Classic 22 from 23'!L66&amp;"-"&amp;'10U_Coed_Classic 22 from 23'!O66&amp;"-"&amp;TEXT('10U_Coed_Classic 22 from 23'!B66,"h:mm am/pm")</f>
        <v>10CX-033-ag_Group-9:30 AM</v>
      </c>
      <c r="C31" s="46" t="str">
        <f>'10U_F_Champ-18 teams'!L59&amp;"-"&amp;'10U_F_Champ-18 teams'!N59&amp;"-"&amp;TEXT('10U_F_Champ-18 teams'!B59,"h:mm am/pm")</f>
        <v>10G-077-pt_Group-9:30 AM</v>
      </c>
      <c r="D31" s="46" t="str">
        <f>'10U_F_Champ-18 teams'!L74&amp;"-"&amp;'10U_F_Champ-18 teams'!N74&amp;"-"&amp;TEXT('10U_F_Champ-18 teams'!B74,"h:mm am/pm")</f>
        <v>10G-074-pt_Group-9:30 AM</v>
      </c>
      <c r="E31" s="80" t="str">
        <f>'10U_Coed_Champ_36'!L93&amp;"-"&amp;'10U_Coed_Champ_36'!O93&amp;"-"&amp;TEXT('10U_Coed_Champ_36'!B93,"h:mm am/pm")</f>
        <v>10C-057-pt_Group-9:30 AM</v>
      </c>
      <c r="F31" s="80" t="str">
        <f>'10U_Coed_Champ_36'!L137&amp;"-"&amp;'10U_Coed_Champ_36'!O137&amp;"-"&amp;TEXT('10U_Coed_Champ_36'!B137,"h:mm am/pm")</f>
        <v>10C-062-au_Group-9:30 AM</v>
      </c>
      <c r="G31" s="80" t="str">
        <f>'10U_Coed_Champ_36'!L112&amp;"-"&amp;'10U_Coed_Champ_36'!O112&amp;"-"&amp;TEXT('10U_Coed_Champ_36'!B112,"h:mm am/pm")</f>
        <v>10C-058-pt_Group-9:30 AM</v>
      </c>
      <c r="H31" s="322"/>
      <c r="I31" s="103" t="str">
        <f>'10U_Coed_Classic 22 from 23'!L81&amp;"-"&amp;'10U_Coed_Classic 22 from 23'!O81&amp;"-"&amp;TEXT('10U_Coed_Classic 22 from 23'!B81,"h:mm am/pm")</f>
        <v>10CX-034-bz_Group-9:30 AM</v>
      </c>
      <c r="J31" s="325">
        <v>0.39583333333333398</v>
      </c>
      <c r="K31" s="319" t="str">
        <f>'12U_Coed_Champ-45'!L137&amp;"-"&amp;'12U_Coed_Champ-45'!N137&amp;"-"&amp;TEXT('12U_Coed_Champ-45'!B137,"h:mm am/pm")</f>
        <v>12C-079-pt_Group-9:30 AM</v>
      </c>
      <c r="L31" s="319" t="str">
        <f>'12U_Coed_Champ-45'!L119&amp;"-"&amp;'12U_Coed_Champ-45'!N119&amp;"-"&amp;TEXT('12U_Coed_Champ-45'!B119,"h:mm am/pm")</f>
        <v>12C-076-au_Group-9:30 AM</v>
      </c>
      <c r="M31" s="319" t="str">
        <f>'12U_Coed_Champ-45'!L156&amp;"-"&amp;'12U_Coed_Champ-45'!N156&amp;"-"&amp;TEXT('12U_Coed_Champ-45'!B156,"h:mm am/pm")</f>
        <v>12C-074-au_Group-9:30 AM</v>
      </c>
      <c r="N31" s="319" t="str">
        <f>'12U_Coed_Champ-45'!L175&amp;"-"&amp;'12U_Coed_Champ-45'!N175&amp;"-"&amp;TEXT('12U_Coed_Champ-45'!B175,"h:mm am/pm")</f>
        <v>12C-073-au_Group-9:30 AM</v>
      </c>
      <c r="O31" s="325">
        <v>0.39583333333333398</v>
      </c>
      <c r="P31" s="449" t="str">
        <f>'12U_F_Champ-52'!L191&amp;"-"&amp;'12U_F_Champ-52'!N191&amp;"-"&amp;TEXT('12U_F_Champ-52'!B191,"h:mm am/pm")</f>
        <v>12G-73A-au_R Group of 4-9:30 AM</v>
      </c>
      <c r="Q31" s="450" t="str">
        <f>'14U_F_Classic-39 from 40'!L117&amp;"-"&amp;'14U_F_Classic-39 from 40'!N117&amp;"-"&amp;TEXT('14U_F_Classic-39 from 40'!B117,"h:mm am/pm")</f>
        <v>14GX-073-bz_Group-9:30 AM</v>
      </c>
      <c r="R31" s="449" t="str">
        <f>'12U_F_Champ-52'!L159&amp;"-"&amp;'12U_F_Champ-52'!N159&amp;"-"&amp;TEXT('12U_F_Champ-52'!B159,"h:mm am/pm")</f>
        <v>12G-067-pt_Group-9:30 AM</v>
      </c>
      <c r="S31" s="449" t="str">
        <f>'12U_F_Champ-52'!L174&amp;"-"&amp;'12U_F_Champ-52'!N174&amp;"-"&amp;TEXT('12U_F_Champ-52'!B174,"h:mm am/pm")</f>
        <v>12G-068-pt_Group-9:30 AM</v>
      </c>
      <c r="T31" s="449" t="str">
        <f>'12U_F_Champ-52'!L209&amp;"-"&amp;'12U_F_Champ-52'!N209&amp;"-"&amp;TEXT('12U_F_Champ-52'!B209,"h:mm am/pm")</f>
        <v>12G-074-au_Group-9:30 AM</v>
      </c>
      <c r="U31" s="325">
        <v>0.39583333333333398</v>
      </c>
      <c r="V31" s="329" t="str">
        <f>'16U_F_Champ'!L121&amp;"-"&amp;'16U_F_Champ'!O121&amp;"-"&amp;TEXT('16U_F_Champ'!B121,"h:mm am/pm")</f>
        <v>16G-073-pt_Group-9:30 AM</v>
      </c>
      <c r="W31" s="450" t="str">
        <f>'14U_F_Classic-39 from 40'!L167&amp;"-"&amp;'14U_F_Classic-39 from 40'!N167&amp;"-"&amp;TEXT('14U_F_Classic-39 from 40'!B167,"h:mm am/pm")</f>
        <v>14GX-076-bz_Group-9:30 AM</v>
      </c>
      <c r="X31" s="450" t="str">
        <f>'14U_F_Classic-39 from 40'!L134&amp;"-"&amp;'14U_F_Classic-39 from 40'!N134&amp;"-"&amp;TEXT('14U_F_Classic-39 from 40'!B134,"h:mm am/pm")</f>
        <v>14GX-074-bz_Group-9:30 AM</v>
      </c>
      <c r="Y31" s="450" t="str">
        <f>'14U_F_Classic-39 from 40'!L151&amp;"-"&amp;'14U_F_Classic-39 from 40'!N151&amp;"-"&amp;TEXT('14U_F_Classic-39 from 40'!B151,"h:mm am/pm")</f>
        <v>14GX-079-ag_Group-9:30 AM</v>
      </c>
      <c r="Z31" s="325">
        <v>0.39583333333333398</v>
      </c>
      <c r="AA31" s="328" t="str">
        <f>'14U_F_Champ'!L160&amp;"-"&amp;'14U_F_Champ'!N160&amp;"-"&amp;TEXT('14U_F_Champ'!B160,"h:mm am/pm")</f>
        <v>14G-075-au_Group-9:30 AM</v>
      </c>
      <c r="AB31" s="328" t="str">
        <f>'14U_F_Champ'!L141&amp;"-"&amp;'14U_F_Champ'!N141&amp;"-"&amp;TEXT('14U_F_Champ'!B141,"h:mm am/pm")</f>
        <v>14G-074-pt_Group-9:30 AM</v>
      </c>
      <c r="AC31" s="328" t="str">
        <f>'14U_F_Champ'!L122&amp;"-"&amp;'14U_F_Champ'!N122&amp;"-"&amp;TEXT('14U_F_Champ'!B122,"h:mm am/pm")</f>
        <v>14G-073-pt_Group-9:30 AM</v>
      </c>
      <c r="AD31" s="331" t="str">
        <f>'18U_F_Classic-44'!L129&amp;"-"&amp;'18U_F_Classic-44'!O129&amp;"-"&amp;TEXT('18U_F_Classic-44'!B129,"h:mm am/pm")</f>
        <v>18GX-073-ag Group-9:30 AM</v>
      </c>
      <c r="AE31" s="328" t="str">
        <f>'14U_F_Champ'!L179&amp;"-"&amp;'14U_F_Champ'!N179&amp;"-"&amp;TEXT('14U_F_Champ'!B179,"h:mm am/pm")</f>
        <v>14G-076-au_Group-9:30 AM</v>
      </c>
      <c r="AF31" s="339" t="str">
        <f>'16U_F_Classic-45'!L119&amp;"-"&amp;'16U_F_Classic-45'!N119&amp;"-"&amp;TEXT('16U_F_Classic-45'!B119,"h:mm am/pm")</f>
        <v>16GX-076-bz_Group-9:30 AM</v>
      </c>
      <c r="AG31" s="339" t="str">
        <f>'16U_F_Classic-45'!L172&amp;"-"&amp;'16U_F_Classic-45'!N172&amp;"-"&amp;TEXT('16U_F_Classic-45'!B172,"h:mm am/pm")</f>
        <v>16GX-073-bz_Group-9:30 AM</v>
      </c>
      <c r="AH31" s="339" t="str">
        <f>'16U_F_Classic-45'!L137&amp;"-"&amp;'16U_F_Classic-45'!N137&amp;"-"&amp;TEXT('16U_F_Classic-45'!B137,"h:mm am/pm")</f>
        <v>16GX-079-ag_Group-9:30 AM</v>
      </c>
      <c r="AI31" s="339" t="str">
        <f>'16U_F_Classic-45'!L153&amp;"-"&amp;'16U_F_Classic-45'!N153&amp;"-"&amp;TEXT('16U_F_Classic-45'!B153,"h:mm am/pm")</f>
        <v>16GX-074-bz_Group-9:30 AM</v>
      </c>
      <c r="AJ31" s="331" t="str">
        <f>'18U_F_Classic-44'!L186&amp;"-"&amp;'18U_F_Classic-44'!O186&amp;"-"&amp;TEXT('18U_F_Classic-44'!B186,"h:mm am/pm")</f>
        <v>18GX-076-bz Group-9:30 AM</v>
      </c>
      <c r="AK31" s="322"/>
      <c r="AL31" s="325">
        <v>0.39583333333333398</v>
      </c>
      <c r="AM31" s="329" t="str">
        <f>'16U_F_Champ'!L140&amp;"-"&amp;'16U_F_Champ'!O140&amp;"-"&amp;TEXT('16U_F_Champ'!B140,"h:mm am/pm")</f>
        <v>16G-074-pt_Group-9:30 AM</v>
      </c>
      <c r="AN31" s="322"/>
      <c r="AO31" s="329" t="str">
        <f>'16U_F_Champ'!L159&amp;"-"&amp;'16U_F_Champ'!O159&amp;"-"&amp;TEXT('16U_F_Champ'!B159,"h:mm am/pm")</f>
        <v>16G-075-au_Group-9:30 AM</v>
      </c>
      <c r="AP31" s="329" t="str">
        <f>'16U_F_Champ'!L178&amp;"-"&amp;'16U_F_Champ'!O178&amp;"-"&amp;TEXT('16U_F_Champ'!B178,"h:mm am/pm")</f>
        <v>16G-076-au_Group-9:30 AM</v>
      </c>
      <c r="AQ31" s="331" t="str">
        <f>'18U_F_Classic-44'!L148&amp;"-"&amp;'18U_F_Classic-44'!O148&amp;"-"&amp;TEXT('18U_F_Classic-44'!B148,"h:mm am/pm")</f>
        <v>18GX-074-ag Group-9:30 AM</v>
      </c>
      <c r="AR31" s="331" t="str">
        <f>'18U_F_Classic-44'!L167&amp;"-"&amp;'18U_F_Classic-44'!O167&amp;"-"&amp;TEXT('18U_F_Classic-44'!B167,"h:mm am/pm")</f>
        <v>18GX-075-bz Group-9:30 AM</v>
      </c>
      <c r="AS31" s="322"/>
      <c r="AU31" s="325">
        <v>0.41666666666666702</v>
      </c>
      <c r="AV31" s="330" t="str">
        <f>'18U_F_Champ'!L125&amp;"-"&amp;'18U_F_Champ'!N125&amp;"-"&amp;TEXT('18U_F_Champ'!B125,"h:mm am/pm")</f>
        <v>18G-079-pt_Group-10:00 AM</v>
      </c>
      <c r="AW31" s="322"/>
      <c r="AX31" s="330" t="str">
        <f>'18U_F_Champ'!L139&amp;"-"&amp;'18U_F_Champ'!N139&amp;"-"&amp;TEXT('18U_F_Champ'!B139,"h:mm am/pm")</f>
        <v>18G-080-pt_Group-10:00 AM</v>
      </c>
      <c r="AY31" s="330" t="str">
        <f>'18U_F_Champ'!L155&amp;"-"&amp;'18U_F_Champ'!N155&amp;"-"&amp;TEXT('18U_F_Champ'!B155,"h:mm am/pm")</f>
        <v>18G-076-au_Group-10:00 AM</v>
      </c>
      <c r="AZ31" s="330" t="str">
        <f>'18U_F_Champ'!L187&amp;"-"&amp;'18U_F_Champ'!N187&amp;"-"&amp;TEXT('18U_F_Champ'!B187,"h:mm am/pm")</f>
        <v>18G-078-au_Group-10:00 AM</v>
      </c>
      <c r="BA31" s="322"/>
      <c r="BB31" s="330" t="str">
        <f>'18U_F_Champ'!L171&amp;"-"&amp;'18U_F_Champ'!N171&amp;"-"&amp;TEXT('18U_F_Champ'!B171,"h:mm am/pm")</f>
        <v>18G-102-au_Group-10:00 AM</v>
      </c>
    </row>
    <row r="32" spans="1:57">
      <c r="A32" s="325">
        <v>0.43055555555555602</v>
      </c>
      <c r="B32" s="103" t="str">
        <f>'10U_Coed_Classic 22 from 23'!L67&amp;"-"&amp;'10U_Coed_Classic 22 from 23'!O67&amp;"-"&amp;TEXT('10U_Coed_Classic 22 from 23'!B67,"h:mm am/pm")</f>
        <v>10CX-035-ag_Group-10:20 AM</v>
      </c>
      <c r="C32" s="46" t="str">
        <f>'10U_F_Champ-18 teams'!L60&amp;"-"&amp;'10U_F_Champ-18 teams'!N60&amp;"-"&amp;TEXT('10U_F_Champ-18 teams'!B60,"h:mm am/pm")</f>
        <v>10G-079-pt_Group-10:20 AM</v>
      </c>
      <c r="D32" s="46" t="str">
        <f>'10U_F_Champ-18 teams'!L75&amp;"-"&amp;'10U_F_Champ-18 teams'!N75&amp;"-"&amp;TEXT('10U_F_Champ-18 teams'!B75,"h:mm am/pm")</f>
        <v>10G-078-pt_Group-10:20 AM</v>
      </c>
      <c r="E32" s="80" t="str">
        <f>'10U_Coed_Champ_36'!L94&amp;"-"&amp;'10U_Coed_Champ_36'!O94&amp;"-"&amp;TEXT('10U_Coed_Champ_36'!B94,"h:mm am/pm")</f>
        <v>10C-060-pt_Group-10:20 AM</v>
      </c>
      <c r="F32" s="80" t="str">
        <f>'10U_Coed_Champ_36'!L138&amp;"-"&amp;'10U_Coed_Champ_36'!O138&amp;"-"&amp;TEXT('10U_Coed_Champ_36'!B138,"h:mm am/pm")</f>
        <v>10C-065-au_Group-10:20 AM</v>
      </c>
      <c r="G32" s="80" t="str">
        <f>'10U_Coed_Champ_36'!L113&amp;"-"&amp;'10U_Coed_Champ_36'!O113&amp;"-"&amp;TEXT('10U_Coed_Champ_36'!B113,"h:mm am/pm")</f>
        <v>10C-061-pt_Group-10:20 AM</v>
      </c>
      <c r="H32" s="322"/>
      <c r="I32" s="103" t="str">
        <f>'10U_Coed_Classic 22 from 23'!L82&amp;"-"&amp;'10U_Coed_Classic 22 from 23'!O82&amp;"-"&amp;TEXT('10U_Coed_Classic 22 from 23'!B82,"h:mm am/pm")</f>
        <v>10CX-036-bz_Group-10:20 AM</v>
      </c>
      <c r="J32" s="325">
        <v>0.43055555555555602</v>
      </c>
      <c r="K32" s="323"/>
      <c r="L32" s="319" t="str">
        <f>'12U_Coed_Champ-45'!L120&amp;"-"&amp;'12U_Coed_Champ-45'!N120&amp;"-"&amp;TEXT('12U_Coed_Champ-45'!B120,"h:mm am/pm")</f>
        <v>12C-080-pt_Group-10:20 AM</v>
      </c>
      <c r="M32" s="319" t="str">
        <f>'12U_Coed_Champ-45'!L157&amp;"-"&amp;'12U_Coed_Champ-45'!N157&amp;"-"&amp;TEXT('12U_Coed_Champ-45'!B157,"h:mm am/pm")</f>
        <v>12C-078-pt_Group-10:20 AM</v>
      </c>
      <c r="N32" s="319" t="str">
        <f>'12U_Coed_Champ-45'!L176&amp;"-"&amp;'12U_Coed_Champ-45'!N176&amp;"-"&amp;TEXT('12U_Coed_Champ-45'!B176,"h:mm am/pm")</f>
        <v>12C-077-pt_Group-10:20 AM</v>
      </c>
      <c r="O32" s="325">
        <v>0.43055555555555602</v>
      </c>
      <c r="P32" s="449" t="str">
        <f>'12U_F_Champ-52'!L192&amp;"-"&amp;'12U_F_Champ-52'!N192&amp;"-"&amp;TEXT('12U_F_Champ-52'!B192,"h:mm am/pm")</f>
        <v>12G-077-au_S Group of 4-10:20 AM</v>
      </c>
      <c r="Q32" s="450" t="str">
        <f>'14U_F_Classic-39 from 40'!L118&amp;"-"&amp;'14U_F_Classic-39 from 40'!N118&amp;"-"&amp;TEXT('14U_F_Classic-39 from 40'!B118,"h:mm am/pm")</f>
        <v>14GX-077-ag_Group-10:20 AM</v>
      </c>
      <c r="R32" s="449" t="str">
        <f>'12U_F_Champ-52'!L160&amp;"-"&amp;'12U_F_Champ-52'!N160&amp;"-"&amp;TEXT('12U_F_Champ-52'!B160,"h:mm am/pm")</f>
        <v>12G-071-pt_Group-10:20 AM</v>
      </c>
      <c r="S32" s="449" t="str">
        <f>'12U_F_Champ-52'!L175&amp;"-"&amp;'12U_F_Champ-52'!N175&amp;"-"&amp;TEXT('12U_F_Champ-52'!B175,"h:mm am/pm")</f>
        <v>12G-072-pt_Group-10:20 AM</v>
      </c>
      <c r="T32" s="449" t="str">
        <f>'12U_F_Champ-52'!L210&amp;"-"&amp;'12U_F_Champ-52'!N210&amp;"-"&amp;TEXT('12U_F_Champ-52'!B210,"h:mm am/pm")</f>
        <v>12G-078-au_T group of 4-10:20 AM</v>
      </c>
      <c r="U32" s="325">
        <v>0.43055555555555602</v>
      </c>
      <c r="V32" s="329" t="str">
        <f>'16U_F_Champ'!L122&amp;"-"&amp;'16U_F_Champ'!O122&amp;"-"&amp;TEXT('16U_F_Champ'!B122,"h:mm am/pm")</f>
        <v>16G-077-pt_Group-10:20 AM</v>
      </c>
      <c r="W32" s="450" t="str">
        <f>'14U_F_Classic-39 from 40'!L168&amp;"-"&amp;'14U_F_Classic-39 from 40'!N168&amp;"-"&amp;TEXT('14U_F_Classic-39 from 40'!B168,"h:mm am/pm")</f>
        <v>14GX-080-ag_Group-10:20 AM</v>
      </c>
      <c r="X32" s="450" t="str">
        <f>'14U_F_Classic-39 from 40'!L135&amp;"-"&amp;'14U_F_Classic-39 from 40'!N135&amp;"-"&amp;TEXT('14U_F_Classic-39 from 40'!B135,"h:mm am/pm")</f>
        <v>14GX-078-ag_Group-10:20 AM</v>
      </c>
      <c r="Y32" s="450" t="str">
        <f>'14U_F_Classic-39 from 40'!L152&amp;"-"&amp;'14U_F_Classic-39 from 40'!N152&amp;"-"&amp;TEXT('14U_F_Classic-39 from 40'!B152,"h:mm am/pm")</f>
        <v>14GX-075-bz_Group-10:20 AM</v>
      </c>
      <c r="Z32" s="325">
        <v>0.43055555555555602</v>
      </c>
      <c r="AA32" s="328" t="str">
        <f>'14U_F_Champ'!L161&amp;"-"&amp;'14U_F_Champ'!N161&amp;"-"&amp;TEXT('14U_F_Champ'!B161,"h:mm am/pm")</f>
        <v>14G-079-au_Group-10:20 AM</v>
      </c>
      <c r="AB32" s="328" t="str">
        <f>'14U_F_Champ'!L142&amp;"-"&amp;'14U_F_Champ'!N142&amp;"-"&amp;TEXT('14U_F_Champ'!B142,"h:mm am/pm")</f>
        <v>14G-078-pt_Group-10:20 AM</v>
      </c>
      <c r="AC32" s="328" t="str">
        <f>'14U_F_Champ'!L123&amp;"-"&amp;'14U_F_Champ'!N123&amp;"-"&amp;TEXT('14U_F_Champ'!B123,"h:mm am/pm")</f>
        <v>14G-077-pt_Group-10:20 AM</v>
      </c>
      <c r="AD32" s="331" t="str">
        <f>'18U_F_Classic-44'!L130&amp;"-"&amp;'18U_F_Classic-44'!O130&amp;"-"&amp;TEXT('18U_F_Classic-44'!B130,"h:mm am/pm")</f>
        <v>18GX-077-ag Group-10:20 AM</v>
      </c>
      <c r="AE32" s="328" t="str">
        <f>'14U_F_Champ'!L180&amp;"-"&amp;'14U_F_Champ'!N180&amp;"-"&amp;TEXT('14U_F_Champ'!B180,"h:mm am/pm")</f>
        <v>14G-080-au_Group-10:20 AM</v>
      </c>
      <c r="AF32" s="339" t="str">
        <f>'16U_F_Classic-45'!L120&amp;"-"&amp;'16U_F_Classic-45'!N120&amp;"-"&amp;TEXT('16U_F_Classic-45'!B120,"h:mm am/pm")</f>
        <v>16GX-080-ag_Group-10:20 AM</v>
      </c>
      <c r="AG32" s="339" t="str">
        <f>'16U_F_Classic-45'!L173&amp;"-"&amp;'16U_F_Classic-45'!N173&amp;"-"&amp;TEXT('16U_F_Classic-45'!B173,"h:mm am/pm")</f>
        <v>16GX-077-ag_Group-10:20 AM</v>
      </c>
      <c r="AI32" s="339" t="str">
        <f>'16U_F_Classic-45'!L154&amp;"-"&amp;'16U_F_Classic-45'!N154&amp;"-"&amp;TEXT('16U_F_Classic-45'!B154,"h:mm am/pm")</f>
        <v>16GX-078-ag_Group-10:20 AM</v>
      </c>
      <c r="AJ32" s="323"/>
      <c r="AK32" s="322"/>
      <c r="AL32" s="325">
        <v>0.43055555555555602</v>
      </c>
      <c r="AM32" s="329" t="str">
        <f>'16U_F_Champ'!L141&amp;"-"&amp;'16U_F_Champ'!O141&amp;"-"&amp;TEXT('16U_F_Champ'!B141,"h:mm am/pm")</f>
        <v>16G-078-pt_Group-10:20 AM</v>
      </c>
      <c r="AN32" s="322"/>
      <c r="AO32" s="329" t="str">
        <f>'16U_F_Champ'!L160&amp;"-"&amp;'16U_F_Champ'!O160&amp;"-"&amp;TEXT('16U_F_Champ'!B160,"h:mm am/pm")</f>
        <v>16G-079-au_Group-10:20 AM</v>
      </c>
      <c r="AP32" s="329" t="str">
        <f>'16U_F_Champ'!L179&amp;"-"&amp;'16U_F_Champ'!O179&amp;"-"&amp;TEXT('16U_F_Champ'!B179,"h:mm am/pm")</f>
        <v>16G-080-au_Group-10:20 AM</v>
      </c>
      <c r="AQ32" s="331" t="str">
        <f>'18U_F_Classic-44'!L149&amp;"-"&amp;'18U_F_Classic-44'!O149&amp;"-"&amp;TEXT('18U_F_Classic-44'!B149,"h:mm am/pm")</f>
        <v>18GX-078-ag Group-10:20 AM</v>
      </c>
      <c r="AS32" s="322"/>
      <c r="AU32" s="325">
        <v>0.45833333333333298</v>
      </c>
      <c r="AV32" s="330" t="str">
        <f>'18U_F_Champ'!L126&amp;"-"&amp;'18U_F_Champ'!N126&amp;"-"&amp;TEXT('18U_F_Champ'!B126,"h:mm am/pm")</f>
        <v>18G-088-pt_Group-11:00 AM</v>
      </c>
      <c r="AW32" s="322"/>
      <c r="AX32" s="330" t="str">
        <f>'18U_F_Champ'!L140&amp;"-"&amp;'18U_F_Champ'!N140&amp;"-"&amp;TEXT('18U_F_Champ'!B140,"h:mm am/pm")</f>
        <v>18G-085-pt_Group-11:00 AM</v>
      </c>
      <c r="AY32" s="330" t="str">
        <f>'18U_F_Champ'!L156&amp;"-"&amp;'18U_F_Champ'!N156&amp;"-"&amp;TEXT('18U_F_Champ'!B156,"h:mm am/pm")</f>
        <v>18G-081-au_Group-11:00 AM</v>
      </c>
      <c r="AZ32" s="330" t="str">
        <f>'18U_F_Champ'!L188&amp;"-"&amp;'18U_F_Champ'!N188&amp;"-"&amp;TEXT('18U_F_Champ'!B188,"h:mm am/pm")</f>
        <v>18G-084-pt_Group-11:00 AM</v>
      </c>
      <c r="BA32" s="322"/>
      <c r="BB32" s="330" t="str">
        <f>'18U_F_Champ'!L172&amp;"-"&amp;'18U_F_Champ'!N172&amp;"-"&amp;TEXT('18U_F_Champ'!B172,"h:mm am/pm")</f>
        <v>18G-077-au_Group-11:00 AM</v>
      </c>
    </row>
    <row r="33" spans="1:55">
      <c r="A33" s="325">
        <v>0.46527777777777801</v>
      </c>
      <c r="B33" s="103" t="str">
        <f>'10U_Coed_Classic 22 from 23'!L68&amp;"-"&amp;'10U_Coed_Classic 22 from 23'!O68&amp;"-"&amp;TEXT('10U_Coed_Classic 22 from 23'!B68,"h:mm am/pm")</f>
        <v>10CX-037-ag_Group-11:10 AM</v>
      </c>
      <c r="C33" s="46" t="str">
        <f>'10U_F_Champ-18 teams'!L61&amp;"-"&amp;'10U_F_Champ-18 teams'!N61&amp;"-"&amp;TEXT('10U_F_Champ-18 teams'!B61,"h:mm am/pm")</f>
        <v>10G-081-pt_Group-11:10 AM</v>
      </c>
      <c r="D33" s="46" t="str">
        <f>'10U_F_Champ-18 teams'!L76&amp;"-"&amp;'10U_F_Champ-18 teams'!N76&amp;"-"&amp;TEXT('10U_F_Champ-18 teams'!B76,"h:mm am/pm")</f>
        <v>10G-080-pt_Group-11:10 AM</v>
      </c>
      <c r="E33" s="80" t="str">
        <f>'10U_Coed_Champ_36'!L95&amp;"-"&amp;'10U_Coed_Champ_36'!O95&amp;"-"&amp;TEXT('10U_Coed_Champ_36'!B95,"h:mm am/pm")</f>
        <v>10C-063-pt_Group-11:10 AM</v>
      </c>
      <c r="F33" s="80" t="str">
        <f>'10U_Coed_Champ_36'!L139&amp;"-"&amp;'10U_Coed_Champ_36'!O139&amp;"-"&amp;TEXT('10U_Coed_Champ_36'!B139,"h:mm am/pm")</f>
        <v>10C-068-au_Group-11:10 AM</v>
      </c>
      <c r="G33" s="80" t="str">
        <f>'10U_Coed_Champ_36'!L114&amp;"-"&amp;'10U_Coed_Champ_36'!O114&amp;"-"&amp;TEXT('10U_Coed_Champ_36'!B114,"h:mm am/pm")</f>
        <v>10C-064-pt_Group-11:10 AM</v>
      </c>
      <c r="H33" s="322"/>
      <c r="J33" s="325">
        <v>0.46527777777777801</v>
      </c>
      <c r="K33" s="319" t="str">
        <f>'12U_Coed_Champ-45'!L139&amp;"-"&amp;'12U_Coed_Champ-45'!N139&amp;"-"&amp;TEXT('12U_Coed_Champ-45'!B139,"h:mm am/pm")</f>
        <v>12C-087-pt_Group-11:10 AM</v>
      </c>
      <c r="L33" s="319" t="str">
        <f>'12U_Coed_Champ-45'!L121&amp;"-"&amp;'12U_Coed_Champ-45'!N121&amp;"-"&amp;TEXT('12U_Coed_Champ-45'!B121,"h:mm am/pm")</f>
        <v>12C-084-au_Group-11:10 AM</v>
      </c>
      <c r="M33" s="319" t="str">
        <f>'12U_Coed_Champ-45'!L158&amp;"-"&amp;'12U_Coed_Champ-45'!N158&amp;"-"&amp;TEXT('12U_Coed_Champ-45'!B158,"h:mm am/pm")</f>
        <v>12C-082-au_Group-11:10 AM</v>
      </c>
      <c r="N33" s="319" t="str">
        <f>'12U_Coed_Champ-45'!L177&amp;"-"&amp;'12U_Coed_Champ-45'!N177&amp;"-"&amp;TEXT('12U_Coed_Champ-45'!B177,"h:mm am/pm")</f>
        <v>12C-081-au_Group-11:10 AM</v>
      </c>
      <c r="O33" s="325">
        <v>0.46527777777777801</v>
      </c>
      <c r="P33" s="449" t="str">
        <f>'12U_F_Champ-52'!L193&amp;"-"&amp;'12U_F_Champ-52'!N193&amp;"-"&amp;TEXT('12U_F_Champ-52'!B193,"h:mm am/pm")</f>
        <v>12G-081-au_S Group of 4-11:10 AM</v>
      </c>
      <c r="R33" s="449" t="str">
        <f>'12U_F_Champ-52'!L161&amp;"-"&amp;'12U_F_Champ-52'!N161&amp;"-"&amp;TEXT('12U_F_Champ-52'!B161,"h:mm am/pm")</f>
        <v>12G-075-pt_Group-11:10 AM</v>
      </c>
      <c r="S33" s="449" t="str">
        <f>'12U_F_Champ-52'!L176&amp;"-"&amp;'12U_F_Champ-52'!N176&amp;"-"&amp;TEXT('12U_F_Champ-52'!B176,"h:mm am/pm")</f>
        <v>12G-076-pt_Group-11:10 AM</v>
      </c>
      <c r="T33" s="449" t="str">
        <f>'12U_F_Champ-52'!L211&amp;"-"&amp;'12U_F_Champ-52'!N211&amp;"-"&amp;TEXT('12U_F_Champ-52'!B211,"h:mm am/pm")</f>
        <v>12G-082-au_T group of 4-11:10 AM</v>
      </c>
      <c r="U33" s="325">
        <v>0.46527777777777801</v>
      </c>
      <c r="V33" s="329" t="str">
        <f>'16U_F_Champ'!L123&amp;"-"&amp;'16U_F_Champ'!O123&amp;"-"&amp;TEXT('16U_F_Champ'!B123,"h:mm am/pm")</f>
        <v>16G-081-pt_Group-11:10 AM</v>
      </c>
      <c r="X33" s="325"/>
      <c r="Y33" s="325"/>
      <c r="Z33" s="325">
        <v>0.46527777777777801</v>
      </c>
      <c r="AA33" s="328" t="str">
        <f>'14U_F_Champ'!L162&amp;"-"&amp;'14U_F_Champ'!N162&amp;"-"&amp;TEXT('14U_F_Champ'!B162,"h:mm am/pm")</f>
        <v>14G-083-au_Group-11:10 AM</v>
      </c>
      <c r="AB33" s="328" t="str">
        <f>'14U_F_Champ'!L143&amp;"-"&amp;'14U_F_Champ'!N143&amp;"-"&amp;TEXT('14U_F_Champ'!B143,"h:mm am/pm")</f>
        <v>14G-082-pt_Group-11:10 AM</v>
      </c>
      <c r="AC33" s="328" t="str">
        <f>'14U_F_Champ'!L124&amp;"-"&amp;'14U_F_Champ'!N124&amp;"-"&amp;TEXT('14U_F_Champ'!B124,"h:mm am/pm")</f>
        <v>14G-081-pt_Group-11:10 AM</v>
      </c>
      <c r="AD33" s="331" t="str">
        <f>'18U_F_Classic-44'!L131&amp;"-"&amp;'18U_F_Classic-44'!O131&amp;"-"&amp;TEXT('18U_F_Classic-44'!B131,"h:mm am/pm")</f>
        <v>18GX-081-ag Group-11:10 AM</v>
      </c>
      <c r="AE33" s="328" t="str">
        <f>'14U_F_Champ'!L181&amp;"-"&amp;'14U_F_Champ'!N181&amp;"-"&amp;TEXT('14U_F_Champ'!B181,"h:mm am/pm")</f>
        <v>14G-084-au_Group-11:10 AM</v>
      </c>
      <c r="AF33" s="339" t="str">
        <f>'16U_F_Classic-45'!L121&amp;"-"&amp;'16U_F_Classic-45'!N121&amp;"-"&amp;TEXT('16U_F_Classic-45'!B121,"h:mm am/pm")</f>
        <v>16GX-084-bz_Group-11:10 AM</v>
      </c>
      <c r="AG33" s="339" t="str">
        <f>'16U_F_Classic-45'!L174&amp;"-"&amp;'16U_F_Classic-45'!N174&amp;"-"&amp;TEXT('16U_F_Classic-45'!B174,"h:mm am/pm")</f>
        <v>16GX-081-bz_Group-11:10 AM</v>
      </c>
      <c r="AH33" s="339" t="str">
        <f>'16U_F_Classic-45'!L139&amp;"-"&amp;'16U_F_Classic-45'!N139&amp;"-"&amp;TEXT('16U_F_Classic-45'!B139,"h:mm am/pm")</f>
        <v>16GX-087-ag_Group-11:10 AM</v>
      </c>
      <c r="AI33" s="339" t="str">
        <f>'16U_F_Classic-45'!L155&amp;"-"&amp;'16U_F_Classic-45'!N155&amp;"-"&amp;TEXT('16U_F_Classic-45'!B155,"h:mm am/pm")</f>
        <v>16GX-082-bz_Group-11:10 AM</v>
      </c>
      <c r="AJ33" s="323"/>
      <c r="AK33" s="322"/>
      <c r="AL33" s="325">
        <v>0.46527777777777801</v>
      </c>
      <c r="AM33" s="329" t="str">
        <f>'16U_F_Champ'!L142&amp;"-"&amp;'16U_F_Champ'!O142&amp;"-"&amp;TEXT('16U_F_Champ'!B142,"h:mm am/pm")</f>
        <v>16G-082-pt_Group-11:10 AM</v>
      </c>
      <c r="AN33" s="322"/>
      <c r="AO33" s="329" t="str">
        <f>'16U_F_Champ'!L161&amp;"-"&amp;'16U_F_Champ'!O161&amp;"-"&amp;TEXT('16U_F_Champ'!B161,"h:mm am/pm")</f>
        <v>16G-083-au_Group-11:10 AM</v>
      </c>
      <c r="AP33" s="329" t="str">
        <f>'16U_F_Champ'!L180&amp;"-"&amp;'16U_F_Champ'!O180&amp;"-"&amp;TEXT('16U_F_Champ'!B180,"h:mm am/pm")</f>
        <v>16G-084-au_Group-11:10 AM</v>
      </c>
      <c r="AQ33" s="331" t="str">
        <f>'18U_F_Classic-44'!L150&amp;"-"&amp;'18U_F_Classic-44'!O150&amp;"-"&amp;TEXT('18U_F_Classic-44'!B150,"h:mm am/pm")</f>
        <v>18GX-082-ag Group-11:10 AM</v>
      </c>
      <c r="AS33" s="322"/>
      <c r="AU33" s="325">
        <v>0.5</v>
      </c>
      <c r="AV33" s="330" t="str">
        <f>'18U_F_Champ'!L127&amp;"-"&amp;'18U_F_Champ'!N127&amp;"-"&amp;TEXT('18U_F_Champ'!B127,"h:mm am/pm")</f>
        <v>18G-089-pt_Group-12:00 PM</v>
      </c>
      <c r="AW33" s="322"/>
      <c r="AX33" s="330" t="str">
        <f>'18U_F_Champ'!L141&amp;"-"&amp;'18U_F_Champ'!N141&amp;"-"&amp;TEXT('18U_F_Champ'!B141,"h:mm am/pm")</f>
        <v>18G-090-pt_Group-12:00 PM</v>
      </c>
      <c r="AY33" s="330" t="str">
        <f>'18U_F_Champ'!L157&amp;"-"&amp;'18U_F_Champ'!N157&amp;"-"&amp;TEXT('18U_F_Champ'!B157,"h:mm am/pm")</f>
        <v>18G-086-au_Group-12:00 PM</v>
      </c>
      <c r="AZ33" s="330" t="str">
        <f>'18U_F_Champ'!L189&amp;"-"&amp;'18U_F_Champ'!N189&amp;"-"&amp;TEXT('18U_F_Champ'!B189,"h:mm am/pm")</f>
        <v>18G-093-pt_Group-12:00 PM</v>
      </c>
      <c r="BA33" s="322"/>
      <c r="BB33" s="330" t="str">
        <f>'18U_F_Champ'!L173&amp;"-"&amp;'18U_F_Champ'!N173&amp;"-"&amp;TEXT('18U_F_Champ'!B173,"h:mm am/pm")</f>
        <v>18G-082-au_Group-12:00 PM</v>
      </c>
    </row>
    <row r="34" spans="1:55">
      <c r="A34" s="325">
        <v>0.5</v>
      </c>
      <c r="B34" s="103" t="str">
        <f>'10U_Coed_Classic 22 from 23'!L69&amp;"-"&amp;'10U_Coed_Classic 22 from 23'!O69&amp;"-"&amp;TEXT('10U_Coed_Classic 22 from 23'!B69,"h:mm am/pm")</f>
        <v>10CX-039-ag_Group-12:00 PM</v>
      </c>
      <c r="C34" s="46" t="str">
        <f>'10U_F_Champ-18 teams'!L62&amp;"-"&amp;'10U_F_Champ-18 teams'!N62&amp;"-"&amp;TEXT('10U_F_Champ-18 teams'!B62,"h:mm am/pm")</f>
        <v>10G-083-pt_Group-12:00 PM</v>
      </c>
      <c r="D34" s="46" t="str">
        <f>'10U_F_Champ-18 teams'!L77&amp;"-"&amp;'10U_F_Champ-18 teams'!N77&amp;"-"&amp;TEXT('10U_F_Champ-18 teams'!B77,"h:mm am/pm")</f>
        <v>10G-082-pt_Group-12:00 PM</v>
      </c>
      <c r="E34" s="80" t="str">
        <f>'10U_Coed_Champ_36'!L96&amp;"-"&amp;'10U_Coed_Champ_36'!O96&amp;"-"&amp;TEXT('10U_Coed_Champ_36'!B96,"h:mm am/pm")</f>
        <v>10C-066-pt_Group-12:00 PM</v>
      </c>
      <c r="F34" s="80" t="str">
        <f>'10U_Coed_Champ_36'!L140&amp;"-"&amp;'10U_Coed_Champ_36'!O140&amp;"-"&amp;TEXT('10U_Coed_Champ_36'!B140,"h:mm am/pm")</f>
        <v>10C-071-au_Group-12:00 PM</v>
      </c>
      <c r="G34" s="80" t="str">
        <f>'10U_Coed_Champ_36'!L115&amp;"-"&amp;'10U_Coed_Champ_36'!O115&amp;"-"&amp;TEXT('10U_Coed_Champ_36'!B115,"h:mm am/pm")</f>
        <v>10C-067-pt_Group-12:00 PM</v>
      </c>
      <c r="H34" s="322"/>
      <c r="I34" s="103" t="str">
        <f>'10U_Coed_Classic 22 from 23'!L84&amp;"-"&amp;'10U_Coed_Classic 22 from 23'!O84&amp;"-"&amp;TEXT('10U_Coed_Classic 22 from 23'!B84,"h:mm am/pm")</f>
        <v>10CX-040-bz_Group-12:00 PM</v>
      </c>
      <c r="J34" s="325">
        <v>0.5</v>
      </c>
      <c r="K34" s="319" t="str">
        <f>'12U_Coed_Champ-45'!L140&amp;"-"&amp;'12U_Coed_Champ-45'!N140&amp;"-"&amp;TEXT('12U_Coed_Champ-45'!B140,"h:mm am/pm")</f>
        <v>12C-091-au_Group-12:00 PM</v>
      </c>
      <c r="L34" s="319" t="str">
        <f>'12U_Coed_Champ-45'!L122&amp;"-"&amp;'12U_Coed_Champ-45'!N122&amp;"-"&amp;TEXT('12U_Coed_Champ-45'!B122,"h:mm am/pm")</f>
        <v>12C-088-pt_Group-12:00 PM</v>
      </c>
      <c r="M34" s="319" t="str">
        <f>'12U_Coed_Champ-45'!L159&amp;"-"&amp;'12U_Coed_Champ-45'!N159&amp;"-"&amp;TEXT('12U_Coed_Champ-45'!B159,"h:mm am/pm")</f>
        <v>12C-086-pt_Group-12:00 PM</v>
      </c>
      <c r="N34" s="319" t="str">
        <f>'12U_Coed_Champ-45'!L178&amp;"-"&amp;'12U_Coed_Champ-45'!N178&amp;"-"&amp;TEXT('12U_Coed_Champ-45'!B178,"h:mm am/pm")</f>
        <v>12C-085-pt_Group-12:00 PM</v>
      </c>
      <c r="O34" s="325">
        <v>0.5</v>
      </c>
      <c r="P34" s="449" t="str">
        <f>'12U_F_Champ-52'!L194&amp;"-"&amp;'12U_F_Champ-52'!N194&amp;"-"&amp;TEXT('12U_F_Champ-52'!B194,"h:mm am/pm")</f>
        <v>12G-085-au_Group-12:00 PM</v>
      </c>
      <c r="Q34" s="450" t="str">
        <f>'14U_F_Classic-39 from 40'!L120&amp;"-"&amp;'14U_F_Classic-39 from 40'!N120&amp;"-"&amp;TEXT('14U_F_Classic-39 from 40'!B120,"h:mm am/pm")</f>
        <v>14GX-085-ag_Group-12:00 PM</v>
      </c>
      <c r="R34" s="449" t="str">
        <f>'12U_F_Champ-52'!L162&amp;"-"&amp;'12U_F_Champ-52'!N162&amp;"-"&amp;TEXT('12U_F_Champ-52'!B162,"h:mm am/pm")</f>
        <v>12G-079-pt_Group-12:00 PM</v>
      </c>
      <c r="S34" s="449" t="str">
        <f>'12U_F_Champ-52'!L177&amp;"-"&amp;'12U_F_Champ-52'!N177&amp;"-"&amp;TEXT('12U_F_Champ-52'!B177,"h:mm am/pm")</f>
        <v>12G-080-pt_Group-12:00 PM</v>
      </c>
      <c r="T34" s="449" t="str">
        <f>'12U_F_Champ-52'!L212&amp;"-"&amp;'12U_F_Champ-52'!N212&amp;"-"&amp;TEXT('12U_F_Champ-52'!B212,"h:mm am/pm")</f>
        <v>12G-086-au_Group-12:00 PM</v>
      </c>
      <c r="U34" s="325">
        <v>0.5</v>
      </c>
      <c r="V34" s="329" t="str">
        <f>'16U_F_Champ'!L124&amp;"-"&amp;'16U_F_Champ'!O124&amp;"-"&amp;TEXT('16U_F_Champ'!B124,"h:mm am/pm")</f>
        <v>16G-085-pt_Group-12:00 PM</v>
      </c>
      <c r="X34" s="450" t="str">
        <f>'14U_F_Classic-39 from 40'!L137&amp;"-"&amp;'14U_F_Classic-39 from 40'!N137&amp;"-"&amp;TEXT('14U_F_Classic-39 from 40'!B137,"h:mm am/pm")</f>
        <v>14GX-086-ag_Group-12:00 PM</v>
      </c>
      <c r="Y34" s="450" t="str">
        <f>'14U_F_Classic-39 from 40'!L154&amp;"-"&amp;'14U_F_Classic-39 from 40'!N154&amp;"-"&amp;TEXT('14U_F_Classic-39 from 40'!B154,"h:mm am/pm")</f>
        <v>14GX-087-ag_Group-12:00 PM</v>
      </c>
      <c r="Z34" s="325">
        <v>0.5</v>
      </c>
      <c r="AA34" s="328" t="str">
        <f>'14U_F_Champ'!L163&amp;"-"&amp;'14U_F_Champ'!N163&amp;"-"&amp;TEXT('14U_F_Champ'!B163,"h:mm am/pm")</f>
        <v>14G-087-au_Group-12:00 PM</v>
      </c>
      <c r="AB34" s="328" t="str">
        <f>'14U_F_Champ'!L144&amp;"-"&amp;'14U_F_Champ'!N144&amp;"-"&amp;TEXT('14U_F_Champ'!B144,"h:mm am/pm")</f>
        <v>14G-086-pt_Group-12:00 PM</v>
      </c>
      <c r="AC34" s="328" t="str">
        <f>'14U_F_Champ'!L125&amp;"-"&amp;'14U_F_Champ'!N125&amp;"-"&amp;TEXT('14U_F_Champ'!B125,"h:mm am/pm")</f>
        <v>14G-085-pt_Group-12:00 PM</v>
      </c>
      <c r="AD34" s="331" t="str">
        <f>'18U_F_Classic-44'!L132&amp;"-"&amp;'18U_F_Classic-44'!O132&amp;"-"&amp;TEXT('18U_F_Classic-44'!B132,"h:mm am/pm")</f>
        <v>18GX-085-ag Group-12:00 PM</v>
      </c>
      <c r="AE34" s="328" t="str">
        <f>'14U_F_Champ'!L182&amp;"-"&amp;'14U_F_Champ'!N182&amp;"-"&amp;TEXT('14U_F_Champ'!B182,"h:mm am/pm")</f>
        <v>14G-088-au_Group-12:00 PM</v>
      </c>
      <c r="AF34" s="339" t="str">
        <f>'16U_F_Classic-45'!L122&amp;"-"&amp;'16U_F_Classic-45'!N122&amp;"-"&amp;TEXT('16U_F_Classic-45'!B122,"h:mm am/pm")</f>
        <v>16GX-088-ag_Group-12:00 PM</v>
      </c>
      <c r="AG34" s="339" t="str">
        <f>'16U_F_Classic-45'!L175&amp;"-"&amp;'16U_F_Classic-45'!N175&amp;"-"&amp;TEXT('16U_F_Classic-45'!B175,"h:mm am/pm")</f>
        <v>16GX-085-ag_Group-12:00 PM</v>
      </c>
      <c r="AH34" s="339" t="str">
        <f>'16U_F_Classic-45'!L140&amp;"-"&amp;'16U_F_Classic-45'!N140&amp;"-"&amp;TEXT('16U_F_Classic-45'!B140,"h:mm am/pm")</f>
        <v>16GX-091-bz_Group-12:00 PM</v>
      </c>
      <c r="AI34" s="339" t="str">
        <f>'16U_F_Classic-45'!L156&amp;"-"&amp;'16U_F_Classic-45'!N156&amp;"-"&amp;TEXT('16U_F_Classic-45'!B156,"h:mm am/pm")</f>
        <v>16GX-086-ag_Group-12:00 PM</v>
      </c>
      <c r="AJ34" s="331" t="str">
        <f>'18U_F_Classic-44'!L189&amp;"-"&amp;'18U_F_Classic-44'!O189&amp;"-"&amp;TEXT('18U_F_Classic-44'!B189,"h:mm am/pm")</f>
        <v>18GX-088-bz Group-12:00 PM</v>
      </c>
      <c r="AK34" s="322"/>
      <c r="AL34" s="325">
        <v>0.5</v>
      </c>
      <c r="AM34" s="329" t="str">
        <f>'16U_F_Champ'!L143&amp;"-"&amp;'16U_F_Champ'!O143&amp;"-"&amp;TEXT('16U_F_Champ'!B143,"h:mm am/pm")</f>
        <v>16G-086-pt_Group-12:00 PM</v>
      </c>
      <c r="AN34" s="322"/>
      <c r="AO34" s="329" t="str">
        <f>'16U_F_Champ'!L162&amp;"-"&amp;'16U_F_Champ'!O162&amp;"-"&amp;TEXT('16U_F_Champ'!B162,"h:mm am/pm")</f>
        <v>16G-087-au_Group-12:00 PM</v>
      </c>
      <c r="AP34" s="329" t="str">
        <f>'16U_F_Champ'!L181&amp;"-"&amp;'16U_F_Champ'!O181&amp;"-"&amp;TEXT('16U_F_Champ'!B181,"h:mm am/pm")</f>
        <v>16G-088-au_Group-12:00 PM</v>
      </c>
      <c r="AQ34" s="331" t="str">
        <f>'18U_F_Classic-44'!L151&amp;"-"&amp;'18U_F_Classic-44'!O151&amp;"-"&amp;TEXT('18U_F_Classic-44'!B151,"h:mm am/pm")</f>
        <v>18GX-086-ag Group-12:00 PM</v>
      </c>
      <c r="AR34" s="331" t="str">
        <f>'18U_F_Classic-44'!L170&amp;"-"&amp;'18U_F_Classic-44'!O170&amp;"-"&amp;TEXT('18U_F_Classic-44'!B170,"h:mm am/pm")</f>
        <v>18GX-087-bz Group-12:00 PM</v>
      </c>
      <c r="AS34" s="322"/>
      <c r="AU34" s="325">
        <v>0.54166666666666696</v>
      </c>
      <c r="AV34" s="330" t="str">
        <f>'18U_F_Champ'!L128&amp;"-"&amp;'18U_F_Champ'!N128&amp;"-"&amp;TEXT('18U_F_Champ'!B128,"h:mm am/pm")</f>
        <v>18G-094-pt_Group-1:00 PM</v>
      </c>
      <c r="AW34" s="322"/>
      <c r="AX34" s="330" t="str">
        <f>'18U_F_Champ'!L142&amp;"-"&amp;'18U_F_Champ'!N142&amp;"-"&amp;TEXT('18U_F_Champ'!B142,"h:mm am/pm")</f>
        <v>18G-095-pt_Group-1:00 PM</v>
      </c>
      <c r="AY34" s="330" t="str">
        <f>'18U_F_Champ'!L158&amp;"-"&amp;'18U_F_Champ'!N158&amp;"-"&amp;TEXT('18U_F_Champ'!B158,"h:mm am/pm")</f>
        <v>18G-091-au_Group-1:00 PM</v>
      </c>
      <c r="AZ34" s="330" t="str">
        <f>'18U_F_Champ'!L190&amp;"-"&amp;'18U_F_Champ'!N190&amp;"-"&amp;TEXT('18U_F_Champ'!B190,"h:mm am/pm")</f>
        <v>18G-083-au_Group-1:00 PM</v>
      </c>
      <c r="BA34" s="322"/>
      <c r="BB34" s="330" t="str">
        <f>'18U_F_Champ'!L174&amp;"-"&amp;'18U_F_Champ'!N174&amp;"-"&amp;TEXT('18U_F_Champ'!B174,"h:mm am/pm")</f>
        <v>18G-087-au_Group-1:00 PM</v>
      </c>
    </row>
    <row r="35" spans="1:55">
      <c r="A35" s="325">
        <v>0.53472222222222199</v>
      </c>
      <c r="B35" s="103" t="str">
        <f>'10U_Coed_Classic 22 from 23'!L70&amp;"-"&amp;'10U_Coed_Classic 22 from 23'!O70&amp;"-"&amp;TEXT('10U_Coed_Classic 22 from 23'!B70,"h:mm am/pm")</f>
        <v>10CX-041-ag_Group-12:50 PM</v>
      </c>
      <c r="C35" s="46" t="str">
        <f>'10U_F_Champ-18 teams'!L63&amp;"-"&amp;'10U_F_Champ-18 teams'!N63&amp;"-"&amp;TEXT('10U_F_Champ-18 teams'!B63,"h:mm am/pm")</f>
        <v>10G-085-pt_Group-12:50 PM</v>
      </c>
      <c r="D35" s="46" t="str">
        <f>'10U_F_Champ-18 teams'!L78&amp;"-"&amp;'10U_F_Champ-18 teams'!N78&amp;"-"&amp;TEXT('10U_F_Champ-18 teams'!B78,"h:mm am/pm")</f>
        <v>10G-084-pt_Group-12:50 PM</v>
      </c>
      <c r="E35" s="80" t="str">
        <f>'10U_Coed_Champ_36'!L97&amp;"-"&amp;'10U_Coed_Champ_36'!O97&amp;"-"&amp;TEXT('10U_Coed_Champ_36'!B97,"h:mm am/pm")</f>
        <v>10C-069-pt_Group-12:50 PM</v>
      </c>
      <c r="F35" s="80" t="str">
        <f>'10U_Coed_Champ_36'!L141&amp;"-"&amp;'10U_Coed_Champ_36'!O141&amp;"-"&amp;TEXT('10U_Coed_Champ_36'!B141,"h:mm am/pm")</f>
        <v>10C-074-au_Group-12:50 PM</v>
      </c>
      <c r="G35" s="80" t="str">
        <f>'10U_Coed_Champ_36'!L116&amp;"-"&amp;'10U_Coed_Champ_36'!O116&amp;"-"&amp;TEXT('10U_Coed_Champ_36'!B116,"h:mm am/pm")</f>
        <v>10C-070-pt_Group-12:50 PM</v>
      </c>
      <c r="H35" s="322"/>
      <c r="I35" s="103" t="str">
        <f>'10U_Coed_Classic 22 from 23'!L85&amp;"-"&amp;'10U_Coed_Classic 22 from 23'!O85&amp;"-"&amp;TEXT('10U_Coed_Classic 22 from 23'!B85,"h:mm am/pm")</f>
        <v>10CX-042-bz_Group-12:50 PM</v>
      </c>
      <c r="J35" s="325">
        <v>0.53472222222222199</v>
      </c>
      <c r="K35" s="319" t="str">
        <f>'12U_Coed_Champ-45'!L141&amp;"-"&amp;'12U_Coed_Champ-45'!N141&amp;"-"&amp;TEXT('12U_Coed_Champ-45'!B141,"h:mm am/pm")</f>
        <v>12C-095-pt_Group-12:50 PM</v>
      </c>
      <c r="L35" s="319" t="str">
        <f>'12U_Coed_Champ-45'!L123&amp;"-"&amp;'12U_Coed_Champ-45'!N123&amp;"-"&amp;TEXT('12U_Coed_Champ-45'!B123,"h:mm am/pm")</f>
        <v>12C-092-au_Group-12:50 PM</v>
      </c>
      <c r="M35" s="319" t="str">
        <f>'12U_Coed_Champ-45'!L160&amp;"-"&amp;'12U_Coed_Champ-45'!N160&amp;"-"&amp;TEXT('12U_Coed_Champ-45'!B160,"h:mm am/pm")</f>
        <v>12C-090-au_Group-12:50 PM</v>
      </c>
      <c r="N35" s="319" t="str">
        <f>'12U_Coed_Champ-45'!L179&amp;"-"&amp;'12U_Coed_Champ-45'!N179&amp;"-"&amp;TEXT('12U_Coed_Champ-45'!B179,"h:mm am/pm")</f>
        <v>12C-089-au_Group-12:50 PM</v>
      </c>
      <c r="O35" s="325">
        <v>0.53472222222222199</v>
      </c>
      <c r="P35" s="449" t="str">
        <f>'12U_F_Champ-52'!L195&amp;"-"&amp;'12U_F_Champ-52'!N195&amp;"-"&amp;TEXT('12U_F_Champ-52'!B195,"h:mm am/pm")</f>
        <v>12G-089-au_Group-12:50 PM</v>
      </c>
      <c r="Q35" s="450" t="str">
        <f>'14U_F_Classic-39 from 40'!L121&amp;"-"&amp;'14U_F_Classic-39 from 40'!N121&amp;"-"&amp;TEXT('14U_F_Classic-39 from 40'!B121,"h:mm am/pm")</f>
        <v>14GX-089-bz_Group-12:50 PM</v>
      </c>
      <c r="R35" s="449" t="str">
        <f>'12U_F_Champ-52'!L163&amp;"-"&amp;'12U_F_Champ-52'!N163&amp;"-"&amp;TEXT('12U_F_Champ-52'!B163,"h:mm am/pm")</f>
        <v>12G-083-pt_Group-12:50 PM</v>
      </c>
      <c r="S35" s="449" t="str">
        <f>'12U_F_Champ-52'!L178&amp;"-"&amp;'12U_F_Champ-52'!N178&amp;"-"&amp;TEXT('12U_F_Champ-52'!B178,"h:mm am/pm")</f>
        <v>12G-084-pt_Group-12:50 PM</v>
      </c>
      <c r="T35" s="449" t="str">
        <f>'12U_F_Champ-52'!L213&amp;"-"&amp;'12U_F_Champ-52'!N213&amp;"-"&amp;TEXT('12U_F_Champ-52'!B213,"h:mm am/pm")</f>
        <v>12G-090-au_1st/2ndU-12:50 PM</v>
      </c>
      <c r="U35" s="325">
        <v>0.53472222222222199</v>
      </c>
      <c r="V35" s="329" t="str">
        <f>'16U_F_Champ'!L125&amp;"-"&amp;'16U_F_Champ'!O125&amp;"-"&amp;TEXT('16U_F_Champ'!B125,"h:mm am/pm")</f>
        <v>16G-089-pt_Group-12:50 PM</v>
      </c>
      <c r="W35" s="450" t="str">
        <f>'14U_F_Classic-39 from 40'!L171&amp;"-"&amp;'14U_F_Classic-39 from 40'!N171&amp;"-"&amp;TEXT('14U_F_Classic-39 from 40'!B171,"h:mm am/pm")</f>
        <v>14GX-092-bz_Group-12:50 PM</v>
      </c>
      <c r="X35" s="450" t="str">
        <f>'14U_F_Classic-39 from 40'!L138&amp;"-"&amp;'14U_F_Classic-39 from 40'!N138&amp;"-"&amp;TEXT('14U_F_Classic-39 from 40'!B138,"h:mm am/pm")</f>
        <v>14GX-090-bz_Group-12:50 PM</v>
      </c>
      <c r="Y35" s="450" t="str">
        <f>'14U_F_Classic-39 from 40'!L155&amp;"-"&amp;'14U_F_Classic-39 from 40'!N155&amp;"-"&amp;TEXT('14U_F_Classic-39 from 40'!B155,"h:mm am/pm")</f>
        <v>14GX-095-ag_Group-12:50 PM</v>
      </c>
      <c r="Z35" s="325">
        <v>0.53472222222222199</v>
      </c>
      <c r="AA35" s="328" t="str">
        <f>'14U_F_Champ'!L164&amp;"-"&amp;'14U_F_Champ'!N164&amp;"-"&amp;TEXT('14U_F_Champ'!B164,"h:mm am/pm")</f>
        <v>14G-091-au_Group-12:50 PM</v>
      </c>
      <c r="AB35" s="328" t="str">
        <f>'14U_F_Champ'!L145&amp;"-"&amp;'14U_F_Champ'!N145&amp;"-"&amp;TEXT('14U_F_Champ'!B145,"h:mm am/pm")</f>
        <v>14G-090-pt_Group-12:50 PM</v>
      </c>
      <c r="AC35" s="328" t="str">
        <f>'14U_F_Champ'!L126&amp;"-"&amp;'14U_F_Champ'!N126&amp;"-"&amp;TEXT('14U_F_Champ'!B126,"h:mm am/pm")</f>
        <v>14G-089-pt_Group-12:50 PM</v>
      </c>
      <c r="AD35" s="331" t="str">
        <f>'18U_F_Classic-44'!L133&amp;"-"&amp;'18U_F_Classic-44'!O133&amp;"-"&amp;TEXT('18U_F_Classic-44'!B133,"h:mm am/pm")</f>
        <v>18GX-089-ag Group-12:50 PM</v>
      </c>
      <c r="AE35" s="328" t="str">
        <f>'14U_F_Champ'!L183&amp;"-"&amp;'14U_F_Champ'!N183&amp;"-"&amp;TEXT('14U_F_Champ'!B183,"h:mm am/pm")</f>
        <v>14G-092-au_Group-12:50 PM</v>
      </c>
      <c r="AF35" s="339" t="str">
        <f>'16U_F_Classic-45'!L123&amp;"-"&amp;'16U_F_Classic-45'!N123&amp;"-"&amp;TEXT('16U_F_Classic-45'!B123,"h:mm am/pm")</f>
        <v>16GX-092-bz_Group-12:50 PM</v>
      </c>
      <c r="AG35" s="339" t="str">
        <f>'16U_F_Classic-45'!L176&amp;"-"&amp;'16U_F_Classic-45'!N176&amp;"-"&amp;TEXT('16U_F_Classic-45'!B176,"h:mm am/pm")</f>
        <v>16GX-089-bz_Group-12:50 PM</v>
      </c>
      <c r="AH35" s="339" t="str">
        <f>'16U_F_Classic-45'!L141&amp;"-"&amp;'16U_F_Classic-45'!N141&amp;"-"&amp;TEXT('16U_F_Classic-45'!B141,"h:mm am/pm")</f>
        <v>16GX-095-ag_Group-12:50 PM</v>
      </c>
      <c r="AI35" s="339" t="str">
        <f>'16U_F_Classic-45'!L157&amp;"-"&amp;'16U_F_Classic-45'!N157&amp;"-"&amp;TEXT('16U_F_Classic-45'!B157,"h:mm am/pm")</f>
        <v>16GX-090-bz_Group-12:50 PM</v>
      </c>
      <c r="AJ35" s="331" t="str">
        <f>'18U_F_Classic-44'!L190&amp;"-"&amp;'18U_F_Classic-44'!O190&amp;"-"&amp;TEXT('18U_F_Classic-44'!B190,"h:mm am/pm")</f>
        <v>18GX-092-bz Group-12:50 PM</v>
      </c>
      <c r="AK35" s="322"/>
      <c r="AL35" s="325">
        <v>0.53472222222222199</v>
      </c>
      <c r="AM35" s="329" t="str">
        <f>'16U_F_Champ'!L144&amp;"-"&amp;'16U_F_Champ'!O144&amp;"-"&amp;TEXT('16U_F_Champ'!B144,"h:mm am/pm")</f>
        <v>16G-090-pt_Group-12:50 PM</v>
      </c>
      <c r="AN35" s="322"/>
      <c r="AO35" s="329" t="str">
        <f>'16U_F_Champ'!L163&amp;"-"&amp;'16U_F_Champ'!O163&amp;"-"&amp;TEXT('16U_F_Champ'!B163,"h:mm am/pm")</f>
        <v>16G-091-au_Group-12:50 PM</v>
      </c>
      <c r="AP35" s="329" t="str">
        <f>'16U_F_Champ'!L182&amp;"-"&amp;'16U_F_Champ'!O182&amp;"-"&amp;TEXT('16U_F_Champ'!B182,"h:mm am/pm")</f>
        <v>16G-092-au_Group-12:50 PM</v>
      </c>
      <c r="AQ35" s="331" t="str">
        <f>'18U_F_Classic-44'!L152&amp;"-"&amp;'18U_F_Classic-44'!O152&amp;"-"&amp;TEXT('18U_F_Classic-44'!B152,"h:mm am/pm")</f>
        <v>18GX-090-ag Group-12:50 PM</v>
      </c>
      <c r="AR35" s="331" t="str">
        <f>'18U_F_Classic-44'!L171&amp;"-"&amp;'18U_F_Classic-44'!O171&amp;"-"&amp;TEXT('18U_F_Classic-44'!B171,"h:mm am/pm")</f>
        <v>18GX-091-bz Group-12:50 PM</v>
      </c>
      <c r="AS35" s="322"/>
      <c r="AU35" s="325">
        <v>0.58333333333333304</v>
      </c>
      <c r="AV35" s="330" t="str">
        <f>'18U_F_Champ'!L129&amp;"-"&amp;'18U_F_Champ'!N129&amp;"-"&amp;TEXT('18U_F_Champ'!B129,"h:mm am/pm")</f>
        <v>18G-103-pt_Group-2:00 PM</v>
      </c>
      <c r="AW35" s="322"/>
      <c r="AX35" s="330" t="str">
        <f>'18U_F_Champ'!L143&amp;"-"&amp;'18U_F_Champ'!N143&amp;"-"&amp;TEXT('18U_F_Champ'!B143,"h:mm am/pm")</f>
        <v>18G-100-pt_Group-2:00 PM</v>
      </c>
      <c r="AY35" s="330" t="str">
        <f>'18U_F_Champ'!L159&amp;"-"&amp;'18U_F_Champ'!N159&amp;"-"&amp;TEXT('18U_F_Champ'!B159,"h:mm am/pm")</f>
        <v>18G-096-au_Group-2:00 PM</v>
      </c>
      <c r="AZ35" s="330" t="str">
        <f>'18U_F_Champ'!L191&amp;"-"&amp;'18U_F_Champ'!N191&amp;"-"&amp;TEXT('18U_F_Champ'!B191,"h:mm am/pm")</f>
        <v>18G-099-pt_Group-2:00 PM</v>
      </c>
      <c r="BA35" s="322"/>
      <c r="BB35" s="330" t="str">
        <f>'18U_F_Champ'!L175&amp;"-"&amp;'18U_F_Champ'!N175&amp;"-"&amp;TEXT('18U_F_Champ'!B175,"h:mm am/pm")</f>
        <v>18G-092-au_Group-2:00 PM</v>
      </c>
    </row>
    <row r="36" spans="1:55">
      <c r="A36" s="325">
        <v>0.56944444444444497</v>
      </c>
      <c r="B36" s="103" t="str">
        <f>'10U_Coed_Classic 22 from 23'!L71&amp;"-"&amp;'10U_Coed_Classic 22 from 23'!O71&amp;"-"&amp;TEXT('10U_Coed_Classic 22 from 23'!B71,"h:mm am/pm")</f>
        <v>10CX-043-ag_Group-1:40 PM</v>
      </c>
      <c r="C36" s="46" t="str">
        <f>'10U_F_Champ-18 teams'!L64&amp;"-"&amp;'10U_F_Champ-18 teams'!N64&amp;"-"&amp;TEXT('10U_F_Champ-18 teams'!B64,"h:mm am/pm")</f>
        <v>10G-089-pt_Group-1:40 PM</v>
      </c>
      <c r="D36" s="46" t="str">
        <f>'10U_F_Champ-18 teams'!L79&amp;"-"&amp;'10U_F_Champ-18 teams'!N79&amp;"-"&amp;TEXT('10U_F_Champ-18 teams'!B79,"h:mm am/pm")</f>
        <v>10G-086-pt_Group-1:40 PM</v>
      </c>
      <c r="E36" s="80" t="str">
        <f>'10U_Coed_Champ_36'!L98&amp;"-"&amp;'10U_Coed_Champ_36'!O98&amp;"-"&amp;TEXT('10U_Coed_Champ_36'!B98,"h:mm am/pm")</f>
        <v>10C-072-pt_Group-1:40 PM</v>
      </c>
      <c r="F36" s="80" t="str">
        <f>'10U_Coed_Champ_36'!L142&amp;"-"&amp;'10U_Coed_Champ_36'!O142&amp;"-"&amp;TEXT('10U_Coed_Champ_36'!B142,"h:mm am/pm")</f>
        <v>10C-077-au_Group-1:40 PM</v>
      </c>
      <c r="G36" s="80" t="str">
        <f>'10U_Coed_Champ_36'!L117&amp;"-"&amp;'10U_Coed_Champ_36'!O117&amp;"-"&amp;TEXT('10U_Coed_Champ_36'!B117,"h:mm am/pm")</f>
        <v>10C-073-pt_Group-1:40 PM</v>
      </c>
      <c r="H36" s="322"/>
      <c r="I36" s="103" t="str">
        <f>'10U_Coed_Classic 22 from 23'!L86&amp;"-"&amp;'10U_Coed_Classic 22 from 23'!O86&amp;"-"&amp;TEXT('10U_Coed_Classic 22 from 23'!B86,"h:mm am/pm")</f>
        <v>10CX-044-bz_Group-1:40 PM</v>
      </c>
      <c r="J36" s="325">
        <v>0.56944444444444497</v>
      </c>
      <c r="K36" s="323"/>
      <c r="L36" s="319" t="str">
        <f>'12U_Coed_Champ-45'!L124&amp;"-"&amp;'12U_Coed_Champ-45'!N124&amp;"-"&amp;TEXT('12U_Coed_Champ-45'!B124,"h:mm am/pm")</f>
        <v>12C-096-pt_Group-1:40 PM</v>
      </c>
      <c r="M36" s="319" t="str">
        <f>'12U_Coed_Champ-45'!L161&amp;"-"&amp;'12U_Coed_Champ-45'!N161&amp;"-"&amp;TEXT('12U_Coed_Champ-45'!B161,"h:mm am/pm")</f>
        <v>12C-094-pt_Group-1:40 PM</v>
      </c>
      <c r="N36" s="319" t="str">
        <f>'12U_Coed_Champ-45'!L180&amp;"-"&amp;'12U_Coed_Champ-45'!N180&amp;"-"&amp;TEXT('12U_Coed_Champ-45'!B180,"h:mm am/pm")</f>
        <v>12C-093-pt_Group-1:40 PM</v>
      </c>
      <c r="O36" s="325">
        <v>0.56944444444444497</v>
      </c>
      <c r="P36" s="449" t="str">
        <f>'12U_F_Champ-52'!L196&amp;"-"&amp;'12U_F_Champ-52'!N196&amp;"-"&amp;TEXT('12U_F_Champ-52'!B196,"h:mm am/pm")</f>
        <v>12G-093-au_1st/2ndR-1:40 PM</v>
      </c>
      <c r="Q36" s="450" t="str">
        <f>'14U_F_Classic-39 from 40'!L122&amp;"-"&amp;'14U_F_Classic-39 from 40'!N122&amp;"-"&amp;TEXT('14U_F_Classic-39 from 40'!B122,"h:mm am/pm")</f>
        <v>14GX-093-ag_Group-1:40 PM</v>
      </c>
      <c r="R36" s="449" t="str">
        <f>'12U_F_Champ-52'!L164&amp;"-"&amp;'12U_F_Champ-52'!N164&amp;"-"&amp;TEXT('12U_F_Champ-52'!B164,"h:mm am/pm")</f>
        <v>12G-087-pt_Group-1:40 PM</v>
      </c>
      <c r="S36" s="449" t="str">
        <f>'12U_F_Champ-52'!L179&amp;"-"&amp;'12U_F_Champ-52'!N179&amp;"-"&amp;TEXT('12U_F_Champ-52'!B179,"h:mm am/pm")</f>
        <v>12G-088-pt_Group-1:40 PM</v>
      </c>
      <c r="T36" s="449" t="str">
        <f>'12U_F_Champ-52'!L214&amp;"-"&amp;'12U_F_Champ-52'!N214&amp;"-"&amp;TEXT('12U_F_Champ-52'!B214,"h:mm am/pm")</f>
        <v>12G-90A-au_3rd/4thU-1:40 PM</v>
      </c>
      <c r="U36" s="325">
        <v>0.56944444444444497</v>
      </c>
      <c r="V36" s="329" t="str">
        <f>'16U_F_Champ'!L126&amp;"-"&amp;'16U_F_Champ'!O126&amp;"-"&amp;TEXT('16U_F_Champ'!B126,"h:mm am/pm")</f>
        <v>16G-093-pt_Group-1:40 PM</v>
      </c>
      <c r="W36" s="450" t="str">
        <f>'14U_F_Classic-39 from 40'!L172&amp;"-"&amp;'14U_F_Classic-39 from 40'!N172&amp;"-"&amp;TEXT('14U_F_Classic-39 from 40'!B172,"h:mm am/pm")</f>
        <v>14GX-096-ag_Group-1:40 PM</v>
      </c>
      <c r="X36" s="450" t="str">
        <f>'14U_F_Classic-39 from 40'!L139&amp;"-"&amp;'14U_F_Classic-39 from 40'!N139&amp;"-"&amp;TEXT('14U_F_Classic-39 from 40'!B139,"h:mm am/pm")</f>
        <v>14GX-094-ag_Group-1:40 PM</v>
      </c>
      <c r="Y36" s="450" t="str">
        <f>'14U_F_Classic-39 from 40'!L156&amp;"-"&amp;'14U_F_Classic-39 from 40'!N156&amp;"-"&amp;TEXT('14U_F_Classic-39 from 40'!B156,"h:mm am/pm")</f>
        <v>14GX-099-bz_Group-1:40 PM</v>
      </c>
      <c r="Z36" s="325">
        <v>0.56944444444444497</v>
      </c>
      <c r="AA36" s="328" t="str">
        <f>'14U_F_Champ'!L165&amp;"-"&amp;'14U_F_Champ'!N165&amp;"-"&amp;TEXT('14U_F_Champ'!B165,"h:mm am/pm")</f>
        <v>14G-095-au_Group-1:40 PM</v>
      </c>
      <c r="AB36" s="328" t="str">
        <f>'14U_F_Champ'!L146&amp;"-"&amp;'14U_F_Champ'!N146&amp;"-"&amp;TEXT('14U_F_Champ'!B146,"h:mm am/pm")</f>
        <v>14G-094-pt_Group-1:40 PM</v>
      </c>
      <c r="AC36" s="328" t="str">
        <f>'14U_F_Champ'!L127&amp;"-"&amp;'14U_F_Champ'!N127&amp;"-"&amp;TEXT('14U_F_Champ'!B127,"h:mm am/pm")</f>
        <v>14G-093-pt_Group-1:40 PM</v>
      </c>
      <c r="AD36" s="331" t="str">
        <f>'18U_F_Classic-44'!L134&amp;"-"&amp;'18U_F_Classic-44'!O134&amp;"-"&amp;TEXT('18U_F_Classic-44'!B134,"h:mm am/pm")</f>
        <v>18GX-093-ag Group-1:40 PM</v>
      </c>
      <c r="AE36" s="328" t="str">
        <f>'14U_F_Champ'!L184&amp;"-"&amp;'14U_F_Champ'!N184&amp;"-"&amp;TEXT('14U_F_Champ'!B184,"h:mm am/pm")</f>
        <v>14G-096-au_Group-1:40 PM</v>
      </c>
      <c r="AF36" s="339" t="str">
        <f>'16U_F_Classic-45'!L124&amp;"-"&amp;'16U_F_Classic-45'!N124&amp;"-"&amp;TEXT('16U_F_Classic-45'!B124,"h:mm am/pm")</f>
        <v>16GX-096-ag_Group-1:40 PM</v>
      </c>
      <c r="AG36" s="339" t="str">
        <f>'16U_F_Classic-45'!L177&amp;"-"&amp;'16U_F_Classic-45'!N177&amp;"-"&amp;TEXT('16U_F_Classic-45'!B177,"h:mm am/pm")</f>
        <v>16GX-093-ag_Group-1:40 PM</v>
      </c>
      <c r="AI36" s="339" t="str">
        <f>'16U_F_Classic-45'!L158&amp;"-"&amp;'16U_F_Classic-45'!N158&amp;"-"&amp;TEXT('16U_F_Classic-45'!B158,"h:mm am/pm")</f>
        <v>16GX-094-ag_Group-1:40 PM</v>
      </c>
      <c r="AJ36" s="331" t="str">
        <f>'18U_F_Classic-44'!L191&amp;"-"&amp;'18U_F_Classic-44'!O191&amp;"-"&amp;TEXT('18U_F_Classic-44'!B191,"h:mm am/pm")</f>
        <v>18GX-096-bz Group-1:40 PM</v>
      </c>
      <c r="AL36" s="325">
        <v>0.56944444444444497</v>
      </c>
      <c r="AM36" s="329" t="str">
        <f>'16U_F_Champ'!L145&amp;"-"&amp;'16U_F_Champ'!O145&amp;"-"&amp;TEXT('16U_F_Champ'!B145,"h:mm am/pm")</f>
        <v>16G-094-pt_Group-1:40 PM</v>
      </c>
      <c r="AO36" s="329" t="str">
        <f>'16U_F_Champ'!L164&amp;"-"&amp;'16U_F_Champ'!O164&amp;"-"&amp;TEXT('16U_F_Champ'!B164,"h:mm am/pm")</f>
        <v>16G-095-au_Group-1:40 PM</v>
      </c>
      <c r="AP36" s="329" t="str">
        <f>'16U_F_Champ'!L183&amp;"-"&amp;'16U_F_Champ'!O183&amp;"-"&amp;TEXT('16U_F_Champ'!B183,"h:mm am/pm")</f>
        <v>16G-096-au_Group-1:40 PM</v>
      </c>
      <c r="AQ36" s="331" t="str">
        <f>'18U_F_Classic-44'!L153&amp;"-"&amp;'18U_F_Classic-44'!O153&amp;"-"&amp;TEXT('18U_F_Classic-44'!B153,"h:mm am/pm")</f>
        <v>18GX-094-ag Group-1:40 PM</v>
      </c>
      <c r="AR36" s="331" t="str">
        <f>'18U_F_Classic-44'!L172&amp;"-"&amp;'18U_F_Classic-44'!O172&amp;"-"&amp;TEXT('18U_F_Classic-44'!B172,"h:mm am/pm")</f>
        <v>18GX-095-bz Group-1:40 PM</v>
      </c>
      <c r="AS36" s="322"/>
      <c r="AU36" s="325">
        <v>0.625</v>
      </c>
      <c r="AV36" s="330" t="str">
        <f>'18U_F_Champ'!L130&amp;"-"&amp;'18U_F_Champ'!N130&amp;"-"&amp;TEXT('18U_F_Champ'!B130,"h:mm am/pm")</f>
        <v>18G-104-pt_Group-3:00 PM</v>
      </c>
      <c r="AW36" s="322"/>
      <c r="AX36" s="330" t="str">
        <f>'18U_F_Champ'!L144&amp;"-"&amp;'18U_F_Champ'!N144&amp;"-"&amp;TEXT('18U_F_Champ'!B144,"h:mm am/pm")</f>
        <v>18G-105-pt_Group-3:00 PM</v>
      </c>
      <c r="AY36" s="330" t="str">
        <f>'18U_F_Champ'!L160&amp;"-"&amp;'18U_F_Champ'!N160&amp;"-"&amp;TEXT('18U_F_Champ'!B160,"h:mm am/pm")</f>
        <v>18G-101-au_Group-3:00 PM</v>
      </c>
      <c r="AZ36" s="330" t="str">
        <f>'18U_F_Champ'!L192&amp;"-"&amp;'18U_F_Champ'!N192&amp;"-"&amp;TEXT('18U_F_Champ'!B192,"h:mm am/pm")</f>
        <v>18G-098-au_Group-3:00 PM</v>
      </c>
      <c r="BA36" s="322"/>
      <c r="BB36" s="330" t="str">
        <f>'18U_F_Champ'!L176&amp;"-"&amp;'18U_F_Champ'!N176&amp;"-"&amp;TEXT('18U_F_Champ'!B176,"h:mm am/pm")</f>
        <v>18G-097-au_Group-3:00 PM</v>
      </c>
    </row>
    <row r="37" spans="1:55">
      <c r="A37" s="325">
        <v>0.60416666666666696</v>
      </c>
      <c r="B37" s="103" t="str">
        <f>'10U_Coed_Classic 22 from 23'!L72&amp;"-"&amp;'10U_Coed_Classic 22 from 23'!O72&amp;"-"&amp;TEXT('10U_Coed_Classic 22 from 23'!B72,"h:mm am/pm")</f>
        <v>10CX-045-ag_Group-2:30 PM</v>
      </c>
      <c r="D37" s="46" t="str">
        <f>'10U_F_Champ-18 teams'!L80&amp;"-"&amp;'10U_F_Champ-18 teams'!N80&amp;"-"&amp;TEXT('10U_F_Champ-18 teams'!B80,"h:mm am/pm")</f>
        <v>10G-090-pt_Group-2:30 PM</v>
      </c>
      <c r="E37" s="80" t="str">
        <f>'10U_Coed_Champ_36'!L99&amp;"-"&amp;'10U_Coed_Champ_36'!O99&amp;"-"&amp;TEXT('10U_Coed_Champ_36'!B99,"h:mm am/pm")</f>
        <v>10C-075-pt_Group-2:30 PM</v>
      </c>
      <c r="F37" s="80" t="str">
        <f>'10U_Coed_Champ_36'!L143&amp;"-"&amp;'10U_Coed_Champ_36'!O143&amp;"-"&amp;TEXT('10U_Coed_Champ_36'!B143,"h:mm am/pm")</f>
        <v>10C-080-au_Group-2:30 PM</v>
      </c>
      <c r="G37" s="80" t="str">
        <f>'10U_Coed_Champ_36'!L118&amp;"-"&amp;'10U_Coed_Champ_36'!O118&amp;"-"&amp;TEXT('10U_Coed_Champ_36'!B118,"h:mm am/pm")</f>
        <v>10C-076-pt_Group-2:30 PM</v>
      </c>
      <c r="H37" s="322"/>
      <c r="I37" s="103" t="str">
        <f>'10U_Coed_Classic 22 from 23'!L87&amp;"-"&amp;'10U_Coed_Classic 22 from 23'!O87&amp;"-"&amp;TEXT('10U_Coed_Classic 22 from 23'!B87,"h:mm am/pm")</f>
        <v>10CX-046-bz_Group-2:30 PM</v>
      </c>
      <c r="J37" s="325">
        <v>0.60416666666666696</v>
      </c>
      <c r="K37" s="319" t="str">
        <f>'12U_Coed_Champ-45'!L143&amp;"-"&amp;'12U_Coed_Champ-45'!N143&amp;"-"&amp;TEXT('12U_Coed_Champ-45'!B143,"h:mm am/pm")</f>
        <v>12C-103-pt_Group-2:30 PM</v>
      </c>
      <c r="L37" s="319" t="str">
        <f>'12U_Coed_Champ-45'!L125&amp;"-"&amp;'12U_Coed_Champ-45'!N125&amp;"-"&amp;TEXT('12U_Coed_Champ-45'!B125,"h:mm am/pm")</f>
        <v>12C-100-au_Group-2:30 PM</v>
      </c>
      <c r="M37" s="319" t="str">
        <f>'12U_Coed_Champ-45'!L162&amp;"-"&amp;'12U_Coed_Champ-45'!N162&amp;"-"&amp;TEXT('12U_Coed_Champ-45'!B162,"h:mm am/pm")</f>
        <v>12C-098-au_Group-2:30 PM</v>
      </c>
      <c r="N37" s="319" t="str">
        <f>'12U_Coed_Champ-45'!L181&amp;"-"&amp;'12U_Coed_Champ-45'!N181&amp;"-"&amp;TEXT('12U_Coed_Champ-45'!B181,"h:mm am/pm")</f>
        <v>12C-097-au_Group-2:30 PM</v>
      </c>
      <c r="O37" s="325">
        <v>0.60416666666666696</v>
      </c>
      <c r="P37" s="449" t="str">
        <f>'12U_F_Champ-52'!L197&amp;"-"&amp;'12U_F_Champ-52'!N197&amp;"-"&amp;TEXT('12U_F_Champ-52'!B197,"h:mm am/pm")</f>
        <v>12G-097-au_1st/2ndS-2:30 PM</v>
      </c>
      <c r="Q37" s="450" t="str">
        <f>'14U_F_Classic-39 from 40'!L123&amp;"-"&amp;'14U_F_Classic-39 from 40'!N123&amp;"-"&amp;TEXT('14U_F_Classic-39 from 40'!B123,"h:mm am/pm")</f>
        <v>14GX-097-bz_Group-2:30 PM</v>
      </c>
      <c r="R37" s="449" t="str">
        <f>'12U_F_Champ-52'!L165&amp;"-"&amp;'12U_F_Champ-52'!N165&amp;"-"&amp;TEXT('12U_F_Champ-52'!B165,"h:mm am/pm")</f>
        <v>12G-091-pt_Group-2:30 PM</v>
      </c>
      <c r="S37" s="449" t="str">
        <f>'12U_F_Champ-52'!L180&amp;"-"&amp;'12U_F_Champ-52'!N180&amp;"-"&amp;TEXT('12U_F_Champ-52'!B180,"h:mm am/pm")</f>
        <v>12G-092-pt_Group-2:30 PM</v>
      </c>
      <c r="T37" s="449" t="str">
        <f>'12U_F_Champ-52'!L215&amp;"-"&amp;'12U_F_Champ-52'!N215&amp;"-"&amp;TEXT('12U_F_Champ-52'!B215,"h:mm am/pm")</f>
        <v>12G-094-au_Group-2:30 PM</v>
      </c>
      <c r="U37" s="325">
        <v>0.60416666666666696</v>
      </c>
      <c r="V37" s="329" t="str">
        <f>'16U_F_Champ'!L127&amp;"-"&amp;'16U_F_Champ'!O127&amp;"-"&amp;TEXT('16U_F_Champ'!B127,"h:mm am/pm")</f>
        <v>16G-097-pt_Group-2:30 PM</v>
      </c>
      <c r="W37" s="450" t="str">
        <f>'14U_F_Classic-39 from 40'!L173&amp;"-"&amp;'14U_F_Classic-39 from 40'!N173&amp;"-"&amp;TEXT('14U_F_Classic-39 from 40'!B173,"h:mm am/pm")</f>
        <v>14GX-100-bz_Group-2:30 PM</v>
      </c>
      <c r="X37" s="450" t="str">
        <f>'14U_F_Classic-39 from 40'!L140&amp;"-"&amp;'14U_F_Classic-39 from 40'!N140&amp;"-"&amp;TEXT('14U_F_Classic-39 from 40'!B140,"h:mm am/pm")</f>
        <v>14GX-098-bz_Group-2:30 PM</v>
      </c>
      <c r="Y37" s="450" t="str">
        <f>'14U_F_Classic-39 from 40'!L157&amp;"-"&amp;'14U_F_Classic-39 from 40'!N157&amp;"-"&amp;TEXT('14U_F_Classic-39 from 40'!B157,"h:mm am/pm")</f>
        <v>14GX-103-ag_Group-2:30 PM</v>
      </c>
      <c r="Z37" s="325">
        <v>0.60416666666666696</v>
      </c>
      <c r="AA37" s="328" t="str">
        <f>'14U_F_Champ'!L166&amp;"-"&amp;'14U_F_Champ'!N166&amp;"-"&amp;TEXT('14U_F_Champ'!B166,"h:mm am/pm")</f>
        <v>14G-099-au_Group-2:30 PM</v>
      </c>
      <c r="AB37" s="328" t="str">
        <f>'14U_F_Champ'!L147&amp;"-"&amp;'14U_F_Champ'!N147&amp;"-"&amp;TEXT('14U_F_Champ'!B147,"h:mm am/pm")</f>
        <v>14G-098-pt_Group-2:30 PM</v>
      </c>
      <c r="AC37" s="328" t="str">
        <f>'14U_F_Champ'!L128&amp;"-"&amp;'14U_F_Champ'!N128&amp;"-"&amp;TEXT('14U_F_Champ'!B128,"h:mm am/pm")</f>
        <v>14G-097-pt_Group-2:30 PM</v>
      </c>
      <c r="AD37" s="331" t="str">
        <f>'18U_F_Classic-44'!L135&amp;"-"&amp;'18U_F_Classic-44'!O135&amp;"-"&amp;TEXT('18U_F_Classic-44'!B135,"h:mm am/pm")</f>
        <v>18GX-097-ag Group-2:30 PM</v>
      </c>
      <c r="AE37" s="328" t="str">
        <f>'14U_F_Champ'!L185&amp;"-"&amp;'14U_F_Champ'!N185&amp;"-"&amp;TEXT('14U_F_Champ'!B185,"h:mm am/pm")</f>
        <v>14G-100-au_Group-2:30 PM</v>
      </c>
      <c r="AF37" s="339" t="str">
        <f>'16U_F_Classic-45'!L125&amp;"-"&amp;'16U_F_Classic-45'!N125&amp;"-"&amp;TEXT('16U_F_Classic-45'!B125,"h:mm am/pm")</f>
        <v>16GX-100-bz_Group-2:30 PM</v>
      </c>
      <c r="AG37" s="339" t="str">
        <f>'16U_F_Classic-45'!L178&amp;"-"&amp;'16U_F_Classic-45'!N178&amp;"-"&amp;TEXT('16U_F_Classic-45'!B178,"h:mm am/pm")</f>
        <v>16GX-097-bz_Group-2:30 PM</v>
      </c>
      <c r="AH37" s="339" t="str">
        <f>'16U_F_Classic-45'!L143&amp;"-"&amp;'16U_F_Classic-45'!N143&amp;"-"&amp;TEXT('16U_F_Classic-45'!B143,"h:mm am/pm")</f>
        <v>16GX-103-ag_Group-2:30 PM</v>
      </c>
      <c r="AI37" s="339" t="str">
        <f>'16U_F_Classic-45'!L159&amp;"-"&amp;'16U_F_Classic-45'!N159&amp;"-"&amp;TEXT('16U_F_Classic-45'!B159,"h:mm am/pm")</f>
        <v>16GX-098-bz_Group-2:30 PM</v>
      </c>
      <c r="AJ37" s="331" t="str">
        <f>'18U_F_Classic-44'!L192&amp;"-"&amp;'18U_F_Classic-44'!O192&amp;"-"&amp;TEXT('18U_F_Classic-44'!B192,"h:mm am/pm")</f>
        <v>18GX-100-bz Group-2:30 PM</v>
      </c>
      <c r="AL37" s="325">
        <v>0.60416666666666696</v>
      </c>
      <c r="AM37" s="329" t="str">
        <f>'16U_F_Champ'!L146&amp;"-"&amp;'16U_F_Champ'!O146&amp;"-"&amp;TEXT('16U_F_Champ'!B146,"h:mm am/pm")</f>
        <v>16G-098-pt_Group-2:30 PM</v>
      </c>
      <c r="AO37" s="329" t="str">
        <f>'16U_F_Champ'!L165&amp;"-"&amp;'16U_F_Champ'!O165&amp;"-"&amp;TEXT('16U_F_Champ'!B165,"h:mm am/pm")</f>
        <v>16G-099-au_Group-2:30 PM</v>
      </c>
      <c r="AP37" s="329" t="str">
        <f>'16U_F_Champ'!L184&amp;"-"&amp;'16U_F_Champ'!O184&amp;"-"&amp;TEXT('16U_F_Champ'!B184,"h:mm am/pm")</f>
        <v>16G-100-au_Group-2:30 PM</v>
      </c>
      <c r="AQ37" s="331" t="str">
        <f>'18U_F_Classic-44'!L154&amp;"-"&amp;'18U_F_Classic-44'!O154&amp;"-"&amp;TEXT('18U_F_Classic-44'!B154,"h:mm am/pm")</f>
        <v>18GX-098-ag Group-2:30 PM</v>
      </c>
      <c r="AR37" s="331" t="str">
        <f>'18U_F_Classic-44'!L173&amp;"-"&amp;'18U_F_Classic-44'!O173&amp;"-"&amp;TEXT('18U_F_Classic-44'!B173,"h:mm am/pm")</f>
        <v>18GX-099-bz Group-2:30 PM</v>
      </c>
      <c r="AS37" s="322"/>
      <c r="AU37" s="325">
        <v>0.66666666666666696</v>
      </c>
      <c r="AW37" s="322"/>
      <c r="AY37" s="330" t="str">
        <f>'18U_F_Champ'!L161&amp;"-"&amp;'18U_F_Champ'!N161&amp;"-"&amp;TEXT('18U_F_Champ'!B161,"h:mm am/pm")</f>
        <v>18G-106-au_Group-4:00 PM</v>
      </c>
      <c r="AZ37" s="330" t="str">
        <f>'18U_F_Champ'!L193&amp;"-"&amp;'18U_F_Champ'!N193&amp;"-"&amp;TEXT('18U_F_Champ'!B193,"h:mm am/pm")</f>
        <v>18G-108-pt_Group-4:00 PM</v>
      </c>
      <c r="BA37" s="322"/>
      <c r="BB37" s="330" t="str">
        <f>'18U_F_Champ'!L177&amp;"-"&amp;'18U_F_Champ'!N177&amp;"-"&amp;TEXT('18U_F_Champ'!B177,"h:mm am/pm")</f>
        <v>18G-107-au_Group-4:00 PM</v>
      </c>
    </row>
    <row r="38" spans="1:55">
      <c r="A38" s="325">
        <v>0.63888888888888895</v>
      </c>
      <c r="B38" s="103" t="str">
        <f>'10U_Coed_Classic 22 from 23'!L73&amp;"-"&amp;'10U_Coed_Classic 22 from 23'!O73&amp;"-"&amp;TEXT('10U_Coed_Classic 22 from 23'!B73,"h:mm am/pm")</f>
        <v>10CX-047-ag_Group-3:20 PM</v>
      </c>
      <c r="E38" s="80" t="str">
        <f>'10U_Coed_Champ_36'!L100&amp;"-"&amp;'10U_Coed_Champ_36'!O100&amp;"-"&amp;TEXT('10U_Coed_Champ_36'!B100,"h:mm am/pm")</f>
        <v>10C-078-pt_Group-3:20 PM</v>
      </c>
      <c r="F38" s="80" t="str">
        <f>'10U_Coed_Champ_36'!L144&amp;"-"&amp;'10U_Coed_Champ_36'!O144&amp;"-"&amp;TEXT('10U_Coed_Champ_36'!B144,"h:mm am/pm")</f>
        <v>10C-083-au_Group-3:20 PM</v>
      </c>
      <c r="G38" s="80" t="str">
        <f>'10U_Coed_Champ_36'!L119&amp;"-"&amp;'10U_Coed_Champ_36'!O119&amp;"-"&amp;TEXT('10U_Coed_Champ_36'!B119,"h:mm am/pm")</f>
        <v>10C-079-pt_Group-3:20 PM</v>
      </c>
      <c r="H38" s="322"/>
      <c r="J38" s="325">
        <v>0.63888888888888895</v>
      </c>
      <c r="K38" s="319" t="str">
        <f>'12U_Coed_Champ-45'!L144&amp;"-"&amp;'12U_Coed_Champ-45'!N144&amp;"-"&amp;TEXT('12U_Coed_Champ-45'!B144,"h:mm am/pm")</f>
        <v>12C-107-au_Group-3:20 PM</v>
      </c>
      <c r="L38" s="319" t="str">
        <f>'12U_Coed_Champ-45'!L126&amp;"-"&amp;'12U_Coed_Champ-45'!N126&amp;"-"&amp;TEXT('12U_Coed_Champ-45'!B126,"h:mm am/pm")</f>
        <v>12C-104-pt_Group-3:20 PM</v>
      </c>
      <c r="M38" s="319" t="str">
        <f>'12U_Coed_Champ-45'!L163&amp;"-"&amp;'12U_Coed_Champ-45'!N163&amp;"-"&amp;TEXT('12U_Coed_Champ-45'!B163,"h:mm am/pm")</f>
        <v>12C-102-pt_Group-3:20 PM</v>
      </c>
      <c r="N38" s="319" t="str">
        <f>'12U_Coed_Champ-45'!L182&amp;"-"&amp;'12U_Coed_Champ-45'!N182&amp;"-"&amp;TEXT('12U_Coed_Champ-45'!B182,"h:mm am/pm")</f>
        <v>12C-101-pt_Group-3:20 PM</v>
      </c>
      <c r="O38" s="325">
        <v>0.63888888888888895</v>
      </c>
      <c r="P38" s="449" t="str">
        <f>'12U_F_Champ-52'!L198&amp;"-"&amp;'12U_F_Champ-52'!N198&amp;"-"&amp;TEXT('12U_F_Champ-52'!B198,"h:mm am/pm")</f>
        <v>12G-97A-au_3rd/4thR-3:20 PM</v>
      </c>
      <c r="Q38" s="450" t="str">
        <f>'14U_F_Classic-39 from 40'!L124&amp;"-"&amp;'14U_F_Classic-39 from 40'!N124&amp;"-"&amp;TEXT('14U_F_Classic-39 from 40'!B124,"h:mm am/pm")</f>
        <v>14GX-101-ag_Group-3:20 PM</v>
      </c>
      <c r="R38" s="449" t="str">
        <f>'12U_F_Champ-52'!L166&amp;"-"&amp;'12U_F_Champ-52'!N166&amp;"-"&amp;TEXT('12U_F_Champ-52'!B166,"h:mm am/pm")</f>
        <v>12G-095-pt_Group-3:20 PM</v>
      </c>
      <c r="S38" s="449" t="str">
        <f>'12U_F_Champ-52'!L181&amp;"-"&amp;'12U_F_Champ-52'!N181&amp;"-"&amp;TEXT('12U_F_Champ-52'!B181,"h:mm am/pm")</f>
        <v>12G-096-pt_Group-3:20 PM</v>
      </c>
      <c r="T38" s="449" t="str">
        <f>'12U_F_Champ-52'!L216&amp;"-"&amp;'12U_F_Champ-52'!N216&amp;"-"&amp;TEXT('12U_F_Champ-52'!B216,"h:mm am/pm")</f>
        <v>12G-098-au_1st/2ndT-3:20 PM</v>
      </c>
      <c r="U38" s="325">
        <v>0.63888888888888895</v>
      </c>
      <c r="V38" s="329" t="str">
        <f>'16U_F_Champ'!L128&amp;"-"&amp;'16U_F_Champ'!O128&amp;"-"&amp;TEXT('16U_F_Champ'!B128,"h:mm am/pm")</f>
        <v>16G-101-pt_Group-3:20 PM</v>
      </c>
      <c r="W38" s="450" t="str">
        <f>'14U_F_Classic-39 from 40'!L174&amp;"-"&amp;'14U_F_Classic-39 from 40'!N174&amp;"-"&amp;TEXT('14U_F_Classic-39 from 40'!B174,"h:mm am/pm")</f>
        <v>14GX-104-ag_Group-3:20 PM</v>
      </c>
      <c r="X38" s="450" t="str">
        <f>'14U_F_Classic-39 from 40'!L141&amp;"-"&amp;'14U_F_Classic-39 from 40'!N141&amp;"-"&amp;TEXT('14U_F_Classic-39 from 40'!B141,"h:mm am/pm")</f>
        <v>14GX-102-ag_Group-3:20 PM</v>
      </c>
      <c r="Y38" s="325"/>
      <c r="Z38" s="325">
        <v>0.63888888888888895</v>
      </c>
      <c r="AA38" s="328" t="str">
        <f>'14U_F_Champ'!L167&amp;"-"&amp;'14U_F_Champ'!N167&amp;"-"&amp;TEXT('14U_F_Champ'!B167,"h:mm am/pm")</f>
        <v>14G-103-au_Group-3:20 PM</v>
      </c>
      <c r="AB38" s="328" t="str">
        <f>'14U_F_Champ'!L148&amp;"-"&amp;'14U_F_Champ'!N148&amp;"-"&amp;TEXT('14U_F_Champ'!B148,"h:mm am/pm")</f>
        <v>14G-102-pt_Group-3:20 PM</v>
      </c>
      <c r="AC38" s="328" t="str">
        <f>'14U_F_Champ'!L129&amp;"-"&amp;'14U_F_Champ'!N129&amp;"-"&amp;TEXT('14U_F_Champ'!B129,"h:mm am/pm")</f>
        <v>14G-101-pt_Group-3:20 PM</v>
      </c>
      <c r="AD38" s="331" t="str">
        <f>'18U_F_Classic-44'!L136&amp;"-"&amp;'18U_F_Classic-44'!O136&amp;"-"&amp;TEXT('18U_F_Classic-44'!B136,"h:mm am/pm")</f>
        <v>18GX-101-ag Group-3:20 PM</v>
      </c>
      <c r="AE38" s="328" t="str">
        <f>'14U_F_Champ'!L186&amp;"-"&amp;'14U_F_Champ'!N186&amp;"-"&amp;TEXT('14U_F_Champ'!B186,"h:mm am/pm")</f>
        <v>14G-104-au_Group-3:20 PM</v>
      </c>
      <c r="AF38" s="339" t="str">
        <f>'16U_F_Classic-45'!L126&amp;"-"&amp;'16U_F_Classic-45'!N126&amp;"-"&amp;TEXT('16U_F_Classic-45'!B126,"h:mm am/pm")</f>
        <v>16GX-104-ag_Group-3:20 PM</v>
      </c>
      <c r="AG38" s="339" t="str">
        <f>'16U_F_Classic-45'!L179&amp;"-"&amp;'16U_F_Classic-45'!N179&amp;"-"&amp;TEXT('16U_F_Classic-45'!B179,"h:mm am/pm")</f>
        <v>16GX-101-ag_Group-3:20 PM</v>
      </c>
      <c r="AH38" s="339" t="str">
        <f>'16U_F_Classic-45'!L144&amp;"-"&amp;'16U_F_Classic-45'!N144&amp;"-"&amp;TEXT('16U_F_Classic-45'!B144,"h:mm am/pm")</f>
        <v>16GX-107-bz_Group-3:20 PM</v>
      </c>
      <c r="AI38" s="339" t="str">
        <f>'16U_F_Classic-45'!L160&amp;"-"&amp;'16U_F_Classic-45'!N160&amp;"-"&amp;TEXT('16U_F_Classic-45'!B160,"h:mm am/pm")</f>
        <v>16GX-102-ag_Group-3:20 PM</v>
      </c>
      <c r="AJ38" s="331" t="str">
        <f>'18U_F_Classic-44'!L193&amp;"-"&amp;'18U_F_Classic-44'!O193&amp;"-"&amp;TEXT('18U_F_Classic-44'!B193,"h:mm am/pm")</f>
        <v>18GX-104-bz Group-3:20 PM</v>
      </c>
      <c r="AL38" s="325">
        <v>0.63888888888888895</v>
      </c>
      <c r="AM38" s="329" t="str">
        <f>'16U_F_Champ'!L147&amp;"-"&amp;'16U_F_Champ'!O147&amp;"-"&amp;TEXT('16U_F_Champ'!B147,"h:mm am/pm")</f>
        <v>16G-102-pt_Group-3:20 PM</v>
      </c>
      <c r="AO38" s="329" t="str">
        <f>'16U_F_Champ'!L166&amp;"-"&amp;'16U_F_Champ'!O166&amp;"-"&amp;TEXT('16U_F_Champ'!B166,"h:mm am/pm")</f>
        <v>16G-103-au_Group-3:20 PM</v>
      </c>
      <c r="AP38" s="329" t="str">
        <f>'16U_F_Champ'!L185&amp;"-"&amp;'16U_F_Champ'!O185&amp;"-"&amp;TEXT('16U_F_Champ'!B185,"h:mm am/pm")</f>
        <v>16G-104-au_Group-3:20 PM</v>
      </c>
      <c r="AQ38" s="331" t="str">
        <f>'18U_F_Classic-44'!L155&amp;"-"&amp;'18U_F_Classic-44'!O155&amp;"-"&amp;TEXT('18U_F_Classic-44'!B155,"h:mm am/pm")</f>
        <v>18GX-102-ag Group-3:20 PM</v>
      </c>
      <c r="AR38" s="331" t="str">
        <f>'18U_F_Classic-44'!L174&amp;"-"&amp;'18U_F_Classic-44'!O174&amp;"-"&amp;TEXT('18U_F_Classic-44'!B174,"h:mm am/pm")</f>
        <v>18GX-103-bz Group-3:20 PM</v>
      </c>
      <c r="AS38" s="322"/>
      <c r="AU38" s="325">
        <v>0.70833333333333304</v>
      </c>
      <c r="AW38" s="322"/>
      <c r="BA38" s="322"/>
    </row>
    <row r="39" spans="1:55">
      <c r="A39" s="325">
        <v>0.67361111111111105</v>
      </c>
      <c r="B39" s="103" t="str">
        <f>'10U_Coed_Classic 22 from 23'!L74&amp;"-"&amp;'10U_Coed_Classic 22 from 23'!O74&amp;"-"&amp;TEXT('10U_Coed_Classic 22 from 23'!B74,"h:mm am/pm")</f>
        <v>10CX-049-ag_Group-4:10 PM</v>
      </c>
      <c r="C39" s="46" t="str">
        <f>'10U_F_Champ-18 teams'!L67&amp;"-"&amp;'10U_F_Champ-18 teams'!N67&amp;"-"&amp;TEXT('10U_F_Champ-18 teams'!B67,"h:mm am/pm")</f>
        <v>10G-109-pt_Play-in-4:10 PM</v>
      </c>
      <c r="E39" s="80" t="str">
        <f>'10U_Coed_Champ_36'!L101&amp;"-"&amp;'10U_Coed_Champ_36'!O101&amp;"-"&amp;TEXT('10U_Coed_Champ_36'!B101,"h:mm am/pm")</f>
        <v>10C-081-pt_Group-4:10 PM</v>
      </c>
      <c r="F39" s="80" t="str">
        <f>'10U_Coed_Champ_36'!L145&amp;"-"&amp;'10U_Coed_Champ_36'!O145&amp;"-"&amp;TEXT('10U_Coed_Champ_36'!B145,"h:mm am/pm")</f>
        <v>10C-084-au_Group-4:10 PM</v>
      </c>
      <c r="G39" s="80" t="str">
        <f>'10U_Coed_Champ_36'!L120&amp;"-"&amp;'10U_Coed_Champ_36'!O120&amp;"-"&amp;TEXT('10U_Coed_Champ_36'!B120,"h:mm am/pm")</f>
        <v>10C-082-pt_Group-4:10 PM</v>
      </c>
      <c r="H39" s="322"/>
      <c r="I39" s="103" t="str">
        <f>'10U_Coed_Classic 22 from 23'!L89&amp;"-"&amp;'10U_Coed_Classic 22 from 23'!O89&amp;"-"&amp;TEXT('10U_Coed_Classic 22 from 23'!B89,"h:mm am/pm")</f>
        <v>10CX-050-bz_Group-4:10 PM</v>
      </c>
      <c r="J39" s="325">
        <v>0.67361111111111105</v>
      </c>
      <c r="K39" s="323"/>
      <c r="L39" s="319" t="str">
        <f>'12U_Coed_Champ-45'!L127&amp;"-"&amp;'12U_Coed_Champ-45'!N127&amp;"-"&amp;TEXT('12U_Coed_Champ-45'!B127,"h:mm am/pm")</f>
        <v>12C-108-au_Group-4:10 PM</v>
      </c>
      <c r="M39" s="319" t="str">
        <f>'12U_Coed_Champ-45'!L164&amp;"-"&amp;'12U_Coed_Champ-45'!N164&amp;"-"&amp;TEXT('12U_Coed_Champ-45'!B164,"h:mm am/pm")</f>
        <v>12C-106-au_Group-4:10 PM</v>
      </c>
      <c r="N39" s="319" t="str">
        <f>'12U_Coed_Champ-45'!L183&amp;"-"&amp;'12U_Coed_Champ-45'!N183&amp;"-"&amp;TEXT('12U_Coed_Champ-45'!B183,"h:mm am/pm")</f>
        <v>12C-105-au_Group-4:10 PM</v>
      </c>
      <c r="O39" s="325">
        <v>0.67361111111111105</v>
      </c>
      <c r="P39" s="449" t="str">
        <f>'12U_F_Champ-52'!L199&amp;"-"&amp;'12U_F_Champ-52'!N199&amp;"-"&amp;TEXT('12U_F_Champ-52'!B199,"h:mm am/pm")</f>
        <v>12G-101-au_Group-4:10 PM</v>
      </c>
      <c r="R39" s="449" t="str">
        <f>'12U_F_Champ-52'!L167&amp;"-"&amp;'12U_F_Champ-52'!N167&amp;"-"&amp;TEXT('12U_F_Champ-52'!B167,"h:mm am/pm")</f>
        <v>12G-099-pt_Group-4:10 PM</v>
      </c>
      <c r="S39" s="449" t="str">
        <f>'12U_F_Champ-52'!L182&amp;"-"&amp;'12U_F_Champ-52'!N182&amp;"-"&amp;TEXT('12U_F_Champ-52'!B182,"h:mm am/pm")</f>
        <v>12G-100-pt_Group-4:10 PM</v>
      </c>
      <c r="T39" s="449" t="str">
        <f>'12U_F_Champ-52'!L217&amp;"-"&amp;'12U_F_Champ-52'!N217&amp;"-"&amp;TEXT('12U_F_Champ-52'!B217,"h:mm am/pm")</f>
        <v>12G-102-au_Group-4:10 PM</v>
      </c>
      <c r="U39" s="325">
        <v>0.67361111111111105</v>
      </c>
      <c r="V39" s="329" t="str">
        <f>'16U_F_Champ'!L129&amp;"-"&amp;'16U_F_Champ'!O129&amp;"-"&amp;TEXT('16U_F_Champ'!B129,"h:mm am/pm")</f>
        <v>16G-105-pt_Group-4:10 PM</v>
      </c>
      <c r="X39" s="325"/>
      <c r="Y39" s="325"/>
      <c r="Z39" s="325">
        <v>0.67361111111111105</v>
      </c>
      <c r="AA39" s="328" t="str">
        <f>'14U_F_Champ'!L168&amp;"-"&amp;'14U_F_Champ'!N168&amp;"-"&amp;TEXT('14U_F_Champ'!B168,"h:mm am/pm")</f>
        <v>14G-107-au_Group-4:10 PM</v>
      </c>
      <c r="AB39" s="328" t="str">
        <f>'14U_F_Champ'!L149&amp;"-"&amp;'14U_F_Champ'!N149&amp;"-"&amp;TEXT('14U_F_Champ'!B149,"h:mm am/pm")</f>
        <v>14G-106-pt_Group-4:10 PM</v>
      </c>
      <c r="AC39" s="328" t="str">
        <f>'14U_F_Champ'!L130&amp;"-"&amp;'14U_F_Champ'!N130&amp;"-"&amp;TEXT('14U_F_Champ'!B130,"h:mm am/pm")</f>
        <v>14G-105-pt_Group-4:10 PM</v>
      </c>
      <c r="AD39" s="331" t="str">
        <f>'18U_F_Classic-44'!L137&amp;"-"&amp;'18U_F_Classic-44'!O137&amp;"-"&amp;TEXT('18U_F_Classic-44'!B137,"h:mm am/pm")</f>
        <v>18GX-105-ag Group-4:10 PM</v>
      </c>
      <c r="AE39" s="328" t="str">
        <f>'14U_F_Champ'!L187&amp;"-"&amp;'14U_F_Champ'!N187&amp;"-"&amp;TEXT('14U_F_Champ'!B187,"h:mm am/pm")</f>
        <v>14G-108-au_Group-4:10 PM</v>
      </c>
      <c r="AF39" s="339" t="str">
        <f>'16U_F_Classic-45'!L127&amp;"-"&amp;'16U_F_Classic-45'!N127&amp;"-"&amp;TEXT('16U_F_Classic-45'!B127,"h:mm am/pm")</f>
        <v>16GX-108-bz_Group-4:10 PM</v>
      </c>
      <c r="AG39" s="339" t="str">
        <f>'16U_F_Classic-45'!L180&amp;"-"&amp;'16U_F_Classic-45'!N180&amp;"-"&amp;TEXT('16U_F_Classic-45'!B180,"h:mm am/pm")</f>
        <v>16GX-105-bz_Group-4:10 PM</v>
      </c>
      <c r="AH39" s="339" t="str">
        <f>'16U_F_Classic-45'!L145&amp;"-"&amp;'16U_F_Classic-45'!N145&amp;"-"&amp;TEXT('16U_F_Classic-45'!B145,"h:mm am/pm")</f>
        <v>16GX-111-ag_play-in-4:10 PM</v>
      </c>
      <c r="AI39" s="339" t="str">
        <f>'16U_F_Classic-45'!L161&amp;"-"&amp;'16U_F_Classic-45'!N161&amp;"-"&amp;TEXT('16U_F_Classic-45'!B161,"h:mm am/pm")</f>
        <v>16GX-106-bz_Group-4:10 PM</v>
      </c>
      <c r="AJ39" s="331" t="str">
        <f>'18U_F_Classic-44'!L194&amp;"-"&amp;'18U_F_Classic-44'!O194&amp;"-"&amp;TEXT('18U_F_Classic-44'!B194,"h:mm am/pm")</f>
        <v>18GX-108-bz Group-4:10 PM</v>
      </c>
      <c r="AL39" s="325">
        <v>0.67361111111111105</v>
      </c>
      <c r="AM39" s="329" t="str">
        <f>'16U_F_Champ'!L148&amp;"-"&amp;'16U_F_Champ'!O148&amp;"-"&amp;TEXT('16U_F_Champ'!B148,"h:mm am/pm")</f>
        <v>16G-106-pt_Group-4:10 PM</v>
      </c>
      <c r="AO39" s="329" t="str">
        <f>'16U_F_Champ'!L167&amp;"-"&amp;'16U_F_Champ'!O167&amp;"-"&amp;TEXT('16U_F_Champ'!B167,"h:mm am/pm")</f>
        <v>16G-107-au_Group-4:10 PM</v>
      </c>
      <c r="AP39" s="329" t="str">
        <f>'16U_F_Champ'!L186&amp;"-"&amp;'16U_F_Champ'!O186&amp;"-"&amp;TEXT('16U_F_Champ'!B186,"h:mm am/pm")</f>
        <v>16G-108-au_Group-4:10 PM</v>
      </c>
      <c r="AQ39" s="331" t="str">
        <f>'18U_F_Classic-44'!L156&amp;"-"&amp;'18U_F_Classic-44'!O156&amp;"-"&amp;TEXT('18U_F_Classic-44'!B156,"h:mm am/pm")</f>
        <v>18GX-106-ag Group-4:10 PM</v>
      </c>
      <c r="AR39" s="331" t="str">
        <f>'18U_F_Classic-44'!L175&amp;"-"&amp;'18U_F_Classic-44'!O175&amp;"-"&amp;TEXT('18U_F_Classic-44'!B175,"h:mm am/pm")</f>
        <v>18GX-107-bz Group-4:10 PM</v>
      </c>
      <c r="AS39" s="322"/>
      <c r="AU39" s="325">
        <v>0.75</v>
      </c>
      <c r="AW39" s="322"/>
      <c r="AX39" s="330" t="str">
        <f>'18U_F_Champ'!L147&amp;"-"&amp;'18U_F_Champ'!N147&amp;"-"&amp;TEXT('18U_F_Champ'!B147,"h:mm am/pm")</f>
        <v>18G-109-pt_Play-in-6:00 PM</v>
      </c>
      <c r="AY39" s="330" t="str">
        <f>'18U_F_Champ'!L163&amp;"-"&amp;'18U_F_Champ'!N163&amp;"-"&amp;TEXT('18U_F_Champ'!B163,"h:mm am/pm")</f>
        <v>18G-110-au_Play-in-6:00 PM</v>
      </c>
      <c r="AZ39" s="330" t="str">
        <f>'18U_F_Champ'!L195&amp;"-"&amp;'18U_F_Champ'!N195&amp;"-"&amp;TEXT('18U_F_Champ'!B195,"h:mm am/pm")</f>
        <v>18G-116-pt_Play-in-6:00 PM</v>
      </c>
      <c r="BA39" s="322"/>
      <c r="BB39" s="330" t="str">
        <f>'18U_F_Champ'!L179&amp;"-"&amp;'18U_F_Champ'!N179&amp;"-"&amp;TEXT('18U_F_Champ'!B179,"h:mm am/pm")</f>
        <v>18G-111-au_Play-in-6:00 PM</v>
      </c>
    </row>
    <row r="40" spans="1:55">
      <c r="A40" s="325">
        <v>0.70833333333333404</v>
      </c>
      <c r="B40" s="103" t="str">
        <f>'10U_Coed_Classic 22 from 23'!L75&amp;"-"&amp;'10U_Coed_Classic 22 from 23'!O75&amp;"-"&amp;TEXT('10U_Coed_Classic 22 from 23'!B75,"h:mm am/pm")</f>
        <v>10CX-051-ag_Group-5:00 PM</v>
      </c>
      <c r="C40" s="46" t="str">
        <f>'10U_F_Champ-18 teams'!L68&amp;"-"&amp;'10U_F_Champ-18 teams'!N68&amp;"-"&amp;TEXT('10U_F_Champ-18 teams'!B68,"h:mm am/pm")</f>
        <v>10G-113-pt_Play-in-5:00 PM</v>
      </c>
      <c r="D40" s="46" t="str">
        <f>'10U_F_Champ-18 teams'!L83&amp;"-"&amp;'10U_F_Champ-18 teams'!N83&amp;"-"&amp;TEXT('10U_F_Champ-18 teams'!B83,"h:mm am/pm")</f>
        <v>10G-110-pt_Play-in-5:00 PM</v>
      </c>
      <c r="H40" s="322"/>
      <c r="J40" s="325">
        <v>0.70833333333333404</v>
      </c>
      <c r="K40" s="323"/>
      <c r="O40" s="325">
        <v>0.70833333333333404</v>
      </c>
      <c r="P40" s="449" t="str">
        <f>'12U_F_Champ-52'!L200&amp;"-"&amp;'12U_F_Champ-52'!N200&amp;"-"&amp;TEXT('12U_F_Champ-52'!B200,"h:mm am/pm")</f>
        <v>12G-105-au_Group-5:00 PM</v>
      </c>
      <c r="R40" s="449" t="str">
        <f>'12U_F_Champ-52'!L168&amp;"-"&amp;'12U_F_Champ-52'!N168&amp;"-"&amp;TEXT('12U_F_Champ-52'!B168,"h:mm am/pm")</f>
        <v>12G-103-pt_Group-5:00 PM</v>
      </c>
      <c r="S40" s="449" t="str">
        <f>'12U_F_Champ-52'!L183&amp;"-"&amp;'12U_F_Champ-52'!N183&amp;"-"&amp;TEXT('12U_F_Champ-52'!B183,"h:mm am/pm")</f>
        <v>12G-104-pt_Group-5:00 PM</v>
      </c>
      <c r="U40" s="325">
        <v>0.70833333333333404</v>
      </c>
      <c r="V40" s="323"/>
      <c r="X40" s="325"/>
      <c r="Y40" s="450" t="str">
        <f>'14U_F_Classic-39 from 40'!L160&amp;"-"&amp;'14U_F_Classic-39 from 40'!N160&amp;"-"&amp;TEXT('14U_F_Classic-39 from 40'!B160,"h:mm am/pm")</f>
        <v>14GX-111-ag_play-in-5:00 PM</v>
      </c>
      <c r="Z40" s="325">
        <v>0.70833333333333404</v>
      </c>
      <c r="AA40" s="323"/>
      <c r="AB40" s="323"/>
      <c r="AC40" s="323"/>
      <c r="AE40" s="323"/>
      <c r="AF40" s="323"/>
      <c r="AG40" s="323"/>
      <c r="AH40" s="339" t="str">
        <f>'16U_F_Classic-45'!L146&amp;"-"&amp;'16U_F_Classic-45'!N146&amp;"-"&amp;TEXT('16U_F_Classic-45'!B146,"h:mm am/pm")</f>
        <v>16GX-115-bz_play-in-5:00 PM</v>
      </c>
      <c r="AJ40" s="323"/>
      <c r="AL40" s="325">
        <v>0.70833333333333404</v>
      </c>
      <c r="AM40" s="323"/>
      <c r="AS40" s="322"/>
      <c r="AU40" s="325">
        <v>0.79166666666666696</v>
      </c>
      <c r="AW40" s="322"/>
      <c r="AX40" s="330" t="str">
        <f>'18U_F_Champ'!L148&amp;"-"&amp;'18U_F_Champ'!N148&amp;"-"&amp;TEXT('18U_F_Champ'!B148,"h:mm am/pm")</f>
        <v>18G-113-pt_Play-in-7:00 PM</v>
      </c>
      <c r="AY40" s="330" t="str">
        <f>'18U_F_Champ'!L164&amp;"-"&amp;'18U_F_Champ'!N164&amp;"-"&amp;TEXT('18U_F_Champ'!B164,"h:mm am/pm")</f>
        <v>18G-114-au_Play-in-7:00 PM</v>
      </c>
      <c r="AZ40" s="330" t="str">
        <f>'18U_F_Champ'!L196&amp;"-"&amp;'18U_F_Champ'!N196&amp;"-"&amp;TEXT('18U_F_Champ'!B196,"h:mm am/pm")</f>
        <v>18G-112-pt_Play-in-7:00 PM</v>
      </c>
      <c r="BA40" s="322"/>
      <c r="BB40" s="330" t="str">
        <f>'18U_F_Champ'!L180&amp;"-"&amp;'18U_F_Champ'!N180&amp;"-"&amp;TEXT('18U_F_Champ'!B180,"h:mm am/pm")</f>
        <v>18G-115-au_Play-in-7:00 PM</v>
      </c>
    </row>
    <row r="41" spans="1:55">
      <c r="A41" s="325">
        <v>0.74305555555555602</v>
      </c>
      <c r="D41" s="46" t="str">
        <f>'10U_F_Champ-18 teams'!L84&amp;"-"&amp;'10U_F_Champ-18 teams'!N84&amp;"-"&amp;TEXT('10U_F_Champ-18 teams'!B84,"h:mm am/pm")</f>
        <v>10G-114-pt_Play-in-5:50 PM</v>
      </c>
      <c r="H41" s="322"/>
      <c r="J41" s="325">
        <v>0.74305555555555602</v>
      </c>
      <c r="K41" s="323"/>
      <c r="L41" s="319" t="str">
        <f>'12U_Coed_Champ-45'!L129&amp;"-"&amp;'12U_Coed_Champ-45'!N129&amp;"-"&amp;TEXT('12U_Coed_Champ-45'!B129,"h:mm am/pm")</f>
        <v>12C-112-pt_play-in-5:50 PM</v>
      </c>
      <c r="M41" s="319" t="str">
        <f>'12U_Coed_Champ-45'!L166&amp;"-"&amp;'12U_Coed_Champ-45'!N166&amp;"-"&amp;TEXT('12U_Coed_Champ-45'!B166,"h:mm am/pm")</f>
        <v>12C-110-pt_play-in-5:50 PM</v>
      </c>
      <c r="N41" s="319" t="str">
        <f>'12U_Coed_Champ-45'!L185&amp;"-"&amp;'12U_Coed_Champ-45'!N185&amp;"-"&amp;TEXT('12U_Coed_Champ-45'!B185,"h:mm am/pm")</f>
        <v>12C-109-pt_play-in-5:50 PM</v>
      </c>
      <c r="O41" s="325">
        <v>0.74305555555555602</v>
      </c>
      <c r="P41" s="449" t="str">
        <f>'12U_F_Champ-52'!L201&amp;"-"&amp;'12U_F_Champ-52'!N201&amp;"-"&amp;TEXT('12U_F_Champ-52'!B201,"h:mm am/pm")</f>
        <v>12G-109-au_Group-5:50 PM</v>
      </c>
      <c r="Q41" s="450" t="str">
        <f>'14U_F_Classic-39 from 40'!L127&amp;"-"&amp;'14U_F_Classic-39 from 40'!N127&amp;"-"&amp;TEXT('14U_F_Classic-39 from 40'!B127,"h:mm am/pm")</f>
        <v>14GX-109-ag_play-in-5:50 PM</v>
      </c>
      <c r="R41" s="449" t="str">
        <f>'12U_F_Champ-52'!L169&amp;"-"&amp;'12U_F_Champ-52'!N169&amp;"-"&amp;TEXT('12U_F_Champ-52'!B169,"h:mm am/pm")</f>
        <v>12G-107-pt_Group-5:50 PM</v>
      </c>
      <c r="S41" s="449" t="str">
        <f>'12U_F_Champ-52'!L184&amp;"-"&amp;'12U_F_Champ-52'!N184&amp;"-"&amp;TEXT('12U_F_Champ-52'!B184,"h:mm am/pm")</f>
        <v>12G-108-pt_Group-5:50 PM</v>
      </c>
      <c r="T41" s="449" t="str">
        <f>'12U_F_Champ-52'!L219&amp;"-"&amp;'12U_F_Champ-52'!N219&amp;"-"&amp;TEXT('12U_F_Champ-52'!B219,"h:mm am/pm")</f>
        <v>12G-110-au_Group-5:50 PM</v>
      </c>
      <c r="U41" s="325">
        <v>0.74305555555555602</v>
      </c>
      <c r="V41" s="323"/>
      <c r="W41" s="450" t="str">
        <f>'14U_F_Classic-39 from 40'!L177&amp;"-"&amp;'14U_F_Classic-39 from 40'!N177&amp;"-"&amp;TEXT('14U_F_Classic-39 from 40'!B177,"h:mm am/pm")</f>
        <v>14GX-112-ag_play-in-5:50 PM</v>
      </c>
      <c r="X41" s="450" t="str">
        <f>'14U_F_Classic-39 from 40'!L144&amp;"-"&amp;'14U_F_Classic-39 from 40'!N144&amp;"-"&amp;TEXT('14U_F_Classic-39 from 40'!B144,"h:mm am/pm")</f>
        <v>14GX-110-ag_play-in-5:50 PM</v>
      </c>
      <c r="Y41" s="325"/>
      <c r="Z41" s="325">
        <v>0.74305555555555602</v>
      </c>
      <c r="AA41" s="323"/>
      <c r="AB41" s="323"/>
      <c r="AC41" s="323"/>
      <c r="AE41" s="323"/>
      <c r="AF41" s="339" t="str">
        <f>'16U_F_Classic-45'!L129&amp;"-"&amp;'16U_F_Classic-45'!N129&amp;"-"&amp;TEXT('16U_F_Classic-45'!B129,"h:mm am/pm")</f>
        <v>16GX-112-ag_play-in-5:50 PM</v>
      </c>
      <c r="AG41" s="339" t="str">
        <f>'16U_F_Classic-45'!L182&amp;"-"&amp;'16U_F_Classic-45'!N182&amp;"-"&amp;TEXT('16U_F_Classic-45'!B182,"h:mm am/pm")</f>
        <v>16GX-109-ag_play-in-5:50 PM</v>
      </c>
      <c r="AI41" s="339" t="str">
        <f>'16U_F_Classic-45'!L163&amp;"-"&amp;'16U_F_Classic-45'!N163&amp;"-"&amp;TEXT('16U_F_Classic-45'!B163,"h:mm am/pm")</f>
        <v>16GX-110-ag_play-in-5:50 PM</v>
      </c>
      <c r="AJ41" s="323"/>
      <c r="AL41" s="325">
        <v>0.74305555555555602</v>
      </c>
      <c r="AM41" s="323"/>
      <c r="AS41" s="322"/>
      <c r="AU41" s="325">
        <v>0.83333333333333304</v>
      </c>
      <c r="AW41" s="322"/>
      <c r="BA41" s="322"/>
    </row>
    <row r="42" spans="1:55">
      <c r="A42" s="325">
        <v>0.77777777777777801</v>
      </c>
      <c r="E42" s="80" t="str">
        <f>'10U_Coed_Champ_36'!L104&amp;"-"&amp;'10U_Coed_Champ_36'!O104&amp;"-"&amp;TEXT('10U_Coed_Champ_36'!B104,"h:mm am/pm")</f>
        <v>10C-085-pt_Play-in-6:40 PM</v>
      </c>
      <c r="G42" s="80" t="str">
        <f>'10U_Coed_Champ_36'!L123&amp;"-"&amp;'10U_Coed_Champ_36'!O123&amp;"-"&amp;TEXT('10U_Coed_Champ_36'!B123,"h:mm am/pm")</f>
        <v>10C-086-pt_Play-in-6:40 PM</v>
      </c>
      <c r="H42" s="322"/>
      <c r="J42" s="325">
        <v>0.77777777777777801</v>
      </c>
      <c r="K42" s="319" t="str">
        <f>'12U_Coed_Champ-45'!L148&amp;"-"&amp;'12U_Coed_Champ-45'!N148&amp;"-"&amp;TEXT('12U_Coed_Champ-45'!B148,"h:mm am/pm")</f>
        <v>12C-111-pt_play-in-6:40 PM</v>
      </c>
      <c r="L42" s="319" t="str">
        <f>'12U_Coed_Champ-45'!L130&amp;"-"&amp;'12U_Coed_Champ-45'!N130&amp;"-"&amp;TEXT('12U_Coed_Champ-45'!B130,"h:mm am/pm")</f>
        <v>12C-116-au_play-in-6:40 PM</v>
      </c>
      <c r="M42" s="319" t="str">
        <f>'12U_Coed_Champ-45'!L167&amp;"-"&amp;'12U_Coed_Champ-45'!N167&amp;"-"&amp;TEXT('12U_Coed_Champ-45'!B167,"h:mm am/pm")</f>
        <v>12C-114-au_play-in-6:40 PM</v>
      </c>
      <c r="N42" s="319" t="str">
        <f>'12U_Coed_Champ-45'!L186&amp;"-"&amp;'12U_Coed_Champ-45'!N186&amp;"-"&amp;TEXT('12U_Coed_Champ-45'!B186,"h:mm am/pm")</f>
        <v>12C-113-au_play-in-6:40 PM</v>
      </c>
      <c r="O42" s="325">
        <v>0.77777777777777801</v>
      </c>
      <c r="P42" s="449" t="str">
        <f>'12U_F_Champ-52'!L202&amp;"-"&amp;'12U_F_Champ-52'!N202&amp;"-"&amp;TEXT('12U_F_Champ-52'!B202,"h:mm am/pm")</f>
        <v>12G-111-au_3rd/4thS-6:40 PM</v>
      </c>
      <c r="R42" s="325"/>
      <c r="T42" s="449" t="str">
        <f>'12U_F_Champ-52'!L220&amp;"-"&amp;'12U_F_Champ-52'!N220&amp;"-"&amp;TEXT('12U_F_Champ-52'!B220,"h:mm am/pm")</f>
        <v>12G-112-au_3rd/4thT-6:40 PM</v>
      </c>
      <c r="U42" s="325">
        <v>0.77777777777777801</v>
      </c>
      <c r="V42" s="329" t="str">
        <f>'16U_F_Champ'!L132&amp;"-"&amp;'16U_F_Champ'!O132&amp;"-"&amp;TEXT('16U_F_Champ'!B132,"h:mm am/pm")</f>
        <v>16G-109-pt_Play-in-6:40 PM</v>
      </c>
      <c r="X42" s="325"/>
      <c r="Y42" s="325"/>
      <c r="Z42" s="325">
        <v>0.77777777777777801</v>
      </c>
      <c r="AA42" s="328" t="str">
        <f>'14U_F_Champ'!L171&amp;"-"&amp;'14U_F_Champ'!N171&amp;"-"&amp;TEXT('14U_F_Champ'!B171,"h:mm am/pm")</f>
        <v>14G-111-au_Play-in-6:40 PM</v>
      </c>
      <c r="AB42" s="328" t="str">
        <f>'14U_F_Champ'!L152&amp;"-"&amp;'14U_F_Champ'!N152&amp;"-"&amp;TEXT('14U_F_Champ'!B152,"h:mm am/pm")</f>
        <v>14G-110-pt_Play-in-6:40 PM</v>
      </c>
      <c r="AC42" s="328" t="str">
        <f>'14U_F_Champ'!L133&amp;"-"&amp;'14U_F_Champ'!N133&amp;"-"&amp;TEXT('14U_F_Champ'!B133,"h:mm am/pm")</f>
        <v>14G-109-pt_Play-in-6:40 PM</v>
      </c>
      <c r="AD42" s="331" t="str">
        <f>'18U_F_Classic-44'!L140&amp;"-"&amp;'18U_F_Classic-44'!O140&amp;"-"&amp;TEXT('18U_F_Classic-44'!B140,"h:mm am/pm")</f>
        <v>18GX-109-ag Play-in-6:40 PM</v>
      </c>
      <c r="AE42" s="328" t="str">
        <f>'14U_F_Champ'!L190&amp;"-"&amp;'14U_F_Champ'!N190&amp;"-"&amp;TEXT('14U_F_Champ'!B190,"h:mm am/pm")</f>
        <v>14G-112-au_Play-in-6:40 PM</v>
      </c>
      <c r="AF42" s="339" t="str">
        <f>'16U_F_Classic-45'!L130&amp;"-"&amp;'16U_F_Classic-45'!N130&amp;"-"&amp;TEXT('16U_F_Classic-45'!B130,"h:mm am/pm")</f>
        <v>16GX-116-bz_play-in-6:40 PM</v>
      </c>
      <c r="AG42" s="339" t="str">
        <f>'16U_F_Classic-45'!L183&amp;"-"&amp;'16U_F_Classic-45'!N183&amp;"-"&amp;TEXT('16U_F_Classic-45'!B183,"h:mm am/pm")</f>
        <v>16GX-113-bz_play-in-6:40 PM</v>
      </c>
      <c r="AI42" s="339" t="str">
        <f>'16U_F_Classic-45'!L164&amp;"-"&amp;'16U_F_Classic-45'!N164&amp;"-"&amp;TEXT('16U_F_Classic-45'!B164,"h:mm am/pm")</f>
        <v>16GX-114-bz_play-in-6:40 PM</v>
      </c>
      <c r="AJ42" s="331" t="str">
        <f>'18U_F_Classic-44'!L197&amp;"-"&amp;'18U_F_Classic-44'!O197&amp;"-"&amp;TEXT('18U_F_Classic-44'!B197,"h:mm am/pm")</f>
        <v>18GX-112-bz Play-in-6:40 PM</v>
      </c>
      <c r="AL42" s="325">
        <v>0.77777777777777801</v>
      </c>
      <c r="AM42" s="329" t="str">
        <f>'16U_F_Champ'!L151&amp;"-"&amp;'16U_F_Champ'!O151&amp;"-"&amp;TEXT('16U_F_Champ'!B151,"h:mm am/pm")</f>
        <v>16G-110-pt_Play-in-6:40 PM</v>
      </c>
      <c r="AO42" s="329" t="str">
        <f>'16U_F_Champ'!L170&amp;"-"&amp;'16U_F_Champ'!O170&amp;"-"&amp;TEXT('16U_F_Champ'!B170,"h:mm am/pm")</f>
        <v>16G-111-au_Play-in-6:40 PM</v>
      </c>
      <c r="AP42" s="329" t="str">
        <f>'16U_F_Champ'!L189&amp;"-"&amp;'16U_F_Champ'!O189&amp;"-"&amp;TEXT('16U_F_Champ'!B189,"h:mm am/pm")</f>
        <v>16G-112-au_Play-in-6:40 PM</v>
      </c>
      <c r="AQ42" s="331" t="str">
        <f>'18U_F_Classic-44'!L159&amp;"-"&amp;'18U_F_Classic-44'!O159&amp;"-"&amp;TEXT('18U_F_Classic-44'!B159,"h:mm am/pm")</f>
        <v>18GX-110-ag Play-in-6:40 PM</v>
      </c>
      <c r="AR42" s="331" t="str">
        <f>'18U_F_Classic-44'!L178&amp;"-"&amp;'18U_F_Classic-44'!O178&amp;"-"&amp;TEXT('18U_F_Classic-44'!B178,"h:mm am/pm")</f>
        <v>18GX-111-bz Play-in-6:40 PM</v>
      </c>
      <c r="AS42" s="322"/>
      <c r="AU42" s="325"/>
      <c r="AW42" s="322"/>
      <c r="BA42" s="322"/>
    </row>
    <row r="43" spans="1:55">
      <c r="A43" s="325">
        <v>0.8125</v>
      </c>
      <c r="E43" s="80" t="str">
        <f>'10U_Coed_Champ_36'!L105&amp;"-"&amp;'10U_Coed_Champ_36'!O105&amp;"-"&amp;TEXT('10U_Coed_Champ_36'!B105,"h:mm am/pm")</f>
        <v>10C-087-pt_Play-in-7:30 PM</v>
      </c>
      <c r="G43" s="80" t="str">
        <f>'10U_Coed_Champ_36'!L124&amp;"-"&amp;'10U_Coed_Champ_36'!O124&amp;"-"&amp;TEXT('10U_Coed_Champ_36'!B124,"h:mm am/pm")</f>
        <v>10C-088-pt_Play-in-7:30 PM</v>
      </c>
      <c r="H43" s="322"/>
      <c r="J43" s="325">
        <v>0.8125</v>
      </c>
      <c r="K43" s="319" t="str">
        <f>'12U_Coed_Champ-45'!L149&amp;"-"&amp;'12U_Coed_Champ-45'!N149&amp;"-"&amp;TEXT('12U_Coed_Champ-45'!B149,"h:mm am/pm")</f>
        <v>12C-115-au_play-in-7:30 PM</v>
      </c>
      <c r="M43" s="319" t="str">
        <f>'12U_Coed_Champ-45'!L168&amp;"-"&amp;'12U_Coed_Champ-45'!N168&amp;"-"&amp;TEXT('12U_Coed_Champ-45'!B168,"h:mm am/pm")</f>
        <v>12C-083-au_play-in-7:30 PM</v>
      </c>
      <c r="N43" s="319" t="str">
        <f>'12U_Coed_Champ-45'!L187&amp;"-"&amp;'12U_Coed_Champ-45'!N187&amp;"-"&amp;TEXT('12U_Coed_Champ-45'!B187,"h:mm am/pm")</f>
        <v>12C-067-au_play-in-7:30 PM</v>
      </c>
      <c r="O43" s="325">
        <v>0.8125</v>
      </c>
      <c r="U43" s="325">
        <v>0.8125</v>
      </c>
      <c r="V43" s="329" t="str">
        <f>'16U_F_Champ'!L133&amp;"-"&amp;'16U_F_Champ'!O133&amp;"-"&amp;TEXT('16U_F_Champ'!B133,"h:mm am/pm")</f>
        <v>16G-113-pt_Play-in-7:30 PM</v>
      </c>
      <c r="X43" s="325"/>
      <c r="Y43" s="325"/>
      <c r="Z43" s="325">
        <v>0.8125</v>
      </c>
      <c r="AA43" s="328" t="str">
        <f>'14U_F_Champ'!L172&amp;"-"&amp;'14U_F_Champ'!N172&amp;"-"&amp;TEXT('14U_F_Champ'!B172,"h:mm am/pm")</f>
        <v>14G-115-au_Play-in-7:30 PM</v>
      </c>
      <c r="AB43" s="328" t="str">
        <f>'14U_F_Champ'!L153&amp;"-"&amp;'14U_F_Champ'!N153&amp;"-"&amp;TEXT('14U_F_Champ'!B153,"h:mm am/pm")</f>
        <v>14G-114-pt_Play-in-7:30 PM</v>
      </c>
      <c r="AC43" s="328" t="str">
        <f>'14U_F_Champ'!L134&amp;"-"&amp;'14U_F_Champ'!N134&amp;"-"&amp;TEXT('14U_F_Champ'!B134,"h:mm am/pm")</f>
        <v>14G-113-pt_Play-in-7:30 PM</v>
      </c>
      <c r="AD43" s="331" t="str">
        <f>'18U_F_Classic-44'!L141&amp;"-"&amp;'18U_F_Classic-44'!O141&amp;"-"&amp;TEXT('18U_F_Classic-44'!B141,"h:mm am/pm")</f>
        <v>18GX-113-ag Play-in-7:30 PM</v>
      </c>
      <c r="AE43" s="328" t="str">
        <f>'14U_F_Champ'!L191&amp;"-"&amp;'14U_F_Champ'!N191&amp;"-"&amp;TEXT('14U_F_Champ'!B191,"h:mm am/pm")</f>
        <v>14G-116-au_Play-in-7:30 PM</v>
      </c>
      <c r="AF43" s="323"/>
      <c r="AG43" s="339" t="str">
        <f>'16U_F_Classic-45'!L184&amp;"-"&amp;'16U_F_Classic-45'!N184&amp;"-"&amp;TEXT('16U_F_Classic-45'!B184,"h:mm am/pm")</f>
        <v>16GX-067-bz_play-in-7:30 PM</v>
      </c>
      <c r="AI43" s="339" t="str">
        <f>'16U_F_Classic-45'!L165&amp;"-"&amp;'16U_F_Classic-45'!N165&amp;"-"&amp;TEXT('16U_F_Classic-45'!B165,"h:mm am/pm")</f>
        <v>16GX-083-bz_play-in-7:30 PM</v>
      </c>
      <c r="AJ43" s="331" t="str">
        <f>'18U_F_Classic-44'!L198&amp;"-"&amp;'18U_F_Classic-44'!O198&amp;"-"&amp;TEXT('18U_F_Classic-44'!B198,"h:mm am/pm")</f>
        <v>18GX-116-bz Play-in-7:30 PM</v>
      </c>
      <c r="AL43" s="325">
        <v>0.8125</v>
      </c>
      <c r="AM43" s="329" t="str">
        <f>'16U_F_Champ'!L152&amp;"-"&amp;'16U_F_Champ'!O152&amp;"-"&amp;TEXT('16U_F_Champ'!B152,"h:mm am/pm")</f>
        <v>16G-114-pt_Play-in-7:30 PM</v>
      </c>
      <c r="AO43" s="329" t="str">
        <f>'16U_F_Champ'!L171&amp;"-"&amp;'16U_F_Champ'!O171&amp;"-"&amp;TEXT('16U_F_Champ'!B171,"h:mm am/pm")</f>
        <v>16G-115-au_Play-in-7:30 PM</v>
      </c>
      <c r="AP43" s="329" t="str">
        <f>'16U_F_Champ'!L190&amp;"-"&amp;'16U_F_Champ'!O190&amp;"-"&amp;TEXT('16U_F_Champ'!B190,"h:mm am/pm")</f>
        <v>16G-116-au_Play-in-7:30 PM</v>
      </c>
      <c r="AQ43" s="331" t="str">
        <f>'18U_F_Classic-44'!L160&amp;"-"&amp;'18U_F_Classic-44'!O160&amp;"-"&amp;TEXT('18U_F_Classic-44'!B160,"h:mm am/pm")</f>
        <v>18GX-114-ag Play-in-7:30 PM</v>
      </c>
      <c r="AR43" s="331" t="str">
        <f>'18U_F_Classic-44'!L179&amp;"-"&amp;'18U_F_Classic-44'!O179&amp;"-"&amp;TEXT('18U_F_Classic-44'!B179,"h:mm am/pm")</f>
        <v>18GX-115-bz Play-in-7:30 PM</v>
      </c>
      <c r="AS43" s="322"/>
      <c r="AU43" s="325"/>
      <c r="AW43" s="322"/>
      <c r="BA43" s="322"/>
    </row>
    <row r="44" spans="1:55">
      <c r="A44" s="325">
        <v>0.84722222222222199</v>
      </c>
      <c r="H44" s="322"/>
      <c r="J44" s="325">
        <v>0.84722222222222199</v>
      </c>
      <c r="K44" s="323"/>
      <c r="O44" s="325">
        <v>0.84722222222222199</v>
      </c>
      <c r="U44" s="325">
        <v>0.84722222222222199</v>
      </c>
      <c r="V44" s="323"/>
      <c r="X44" s="325"/>
      <c r="Z44" s="325">
        <v>0.84722222222222199</v>
      </c>
      <c r="AB44" s="323"/>
      <c r="AC44" s="323"/>
      <c r="AE44" s="323"/>
      <c r="AF44" s="323"/>
      <c r="AG44" s="323"/>
      <c r="AJ44" s="323"/>
      <c r="AL44" s="325">
        <v>0.84722222222222199</v>
      </c>
      <c r="AM44" s="323"/>
      <c r="AS44" s="322"/>
      <c r="AU44" s="325"/>
      <c r="AW44" s="322"/>
      <c r="BA44" s="322"/>
    </row>
    <row r="45" spans="1:55">
      <c r="K45" s="323"/>
      <c r="V45" s="323"/>
      <c r="AB45" s="323"/>
      <c r="AC45" s="323"/>
      <c r="AD45" s="323"/>
      <c r="AE45" s="323"/>
      <c r="AF45" s="323"/>
      <c r="AG45" s="323"/>
      <c r="AJ45" s="323"/>
      <c r="AM45" s="323"/>
    </row>
    <row r="46" spans="1:55">
      <c r="K46" s="323"/>
      <c r="V46" s="323"/>
      <c r="AB46" s="323"/>
      <c r="AC46" s="323"/>
      <c r="AD46" s="323"/>
      <c r="AE46" s="323"/>
      <c r="AG46" s="323"/>
      <c r="AJ46" s="323"/>
      <c r="AM46" s="323"/>
    </row>
    <row r="48" spans="1:55">
      <c r="A48" s="326"/>
      <c r="B48" s="322"/>
      <c r="C48" s="322"/>
      <c r="D48" s="322"/>
      <c r="E48" s="322"/>
      <c r="F48" s="322"/>
      <c r="G48" s="322"/>
      <c r="H48" s="322"/>
      <c r="I48" s="322"/>
      <c r="J48" s="326"/>
      <c r="K48" s="322"/>
      <c r="L48" s="322"/>
      <c r="M48" s="322"/>
      <c r="N48" s="322"/>
      <c r="O48" s="326"/>
      <c r="P48" s="326"/>
      <c r="Q48" s="326"/>
      <c r="R48" s="326"/>
      <c r="S48" s="326"/>
      <c r="T48" s="326"/>
      <c r="U48" s="326"/>
      <c r="V48" s="322"/>
      <c r="W48" s="326"/>
      <c r="X48" s="326"/>
      <c r="Y48" s="326"/>
      <c r="Z48" s="326"/>
      <c r="AA48" s="322"/>
      <c r="AB48" s="322"/>
      <c r="AC48" s="322"/>
      <c r="AD48" s="322"/>
      <c r="AE48" s="322"/>
      <c r="AF48" s="322"/>
      <c r="AG48" s="322"/>
      <c r="AH48" s="322"/>
      <c r="AI48" s="322"/>
      <c r="AJ48" s="322"/>
      <c r="AK48" s="322"/>
      <c r="AL48" s="326"/>
      <c r="AM48" s="322"/>
      <c r="AN48" s="322"/>
      <c r="AO48" s="322"/>
      <c r="AP48" s="322"/>
      <c r="AQ48" s="322"/>
      <c r="AR48" s="322"/>
      <c r="AS48" s="322"/>
      <c r="AT48" s="322"/>
      <c r="AU48" s="326"/>
      <c r="AV48" s="322"/>
      <c r="AW48" s="322"/>
      <c r="AX48" s="322"/>
      <c r="AY48" s="322"/>
      <c r="AZ48" s="322"/>
      <c r="BA48" s="322"/>
      <c r="BB48" s="322"/>
      <c r="BC48" s="322"/>
    </row>
    <row r="49" spans="1:57">
      <c r="Z49" s="452" t="s">
        <v>49</v>
      </c>
    </row>
    <row r="50" spans="1:57">
      <c r="A50" s="327" t="s">
        <v>50</v>
      </c>
      <c r="H50" s="453" t="s">
        <v>51</v>
      </c>
      <c r="J50" s="327" t="s">
        <v>50</v>
      </c>
      <c r="L50" s="453" t="s">
        <v>52</v>
      </c>
      <c r="O50" s="327" t="s">
        <v>50</v>
      </c>
      <c r="P50" s="327"/>
      <c r="Q50" s="327"/>
      <c r="R50" s="327"/>
      <c r="S50" s="327"/>
      <c r="T50" s="327"/>
      <c r="U50" s="327" t="s">
        <v>50</v>
      </c>
      <c r="W50" s="327"/>
      <c r="X50" s="327"/>
      <c r="Y50" s="327"/>
      <c r="Z50" s="327" t="s">
        <v>50</v>
      </c>
      <c r="AF50" s="453" t="s">
        <v>53</v>
      </c>
      <c r="AL50" s="327" t="s">
        <v>50</v>
      </c>
      <c r="AO50" s="453" t="s">
        <v>54</v>
      </c>
      <c r="AS50" s="320" t="s">
        <v>55</v>
      </c>
      <c r="AU50" s="327" t="s">
        <v>50</v>
      </c>
      <c r="BA50" s="453" t="s">
        <v>56</v>
      </c>
    </row>
    <row r="51" spans="1:57" s="323" customFormat="1">
      <c r="B51" s="323" t="s">
        <v>2</v>
      </c>
      <c r="C51" s="323" t="s">
        <v>3</v>
      </c>
      <c r="D51" s="323" t="s">
        <v>4</v>
      </c>
      <c r="E51" s="323" t="s">
        <v>5</v>
      </c>
      <c r="F51" s="323" t="s">
        <v>6</v>
      </c>
      <c r="G51" s="323" t="s">
        <v>7</v>
      </c>
      <c r="H51" s="323" t="s">
        <v>8</v>
      </c>
      <c r="I51" s="323" t="s">
        <v>9</v>
      </c>
      <c r="K51" s="323" t="s">
        <v>10</v>
      </c>
      <c r="L51" s="323" t="s">
        <v>11</v>
      </c>
      <c r="M51" s="323" t="s">
        <v>12</v>
      </c>
      <c r="N51" s="323" t="s">
        <v>13</v>
      </c>
      <c r="P51" s="323" t="s">
        <v>14</v>
      </c>
      <c r="Q51" s="323" t="s">
        <v>15</v>
      </c>
      <c r="R51" s="323" t="s">
        <v>16</v>
      </c>
      <c r="S51" s="323" t="s">
        <v>17</v>
      </c>
      <c r="T51" s="323" t="s">
        <v>18</v>
      </c>
      <c r="V51" s="323" t="s">
        <v>19</v>
      </c>
      <c r="W51" s="323" t="s">
        <v>20</v>
      </c>
      <c r="X51" s="323" t="s">
        <v>21</v>
      </c>
      <c r="Y51" s="323" t="s">
        <v>22</v>
      </c>
      <c r="AA51" s="323" t="s">
        <v>23</v>
      </c>
      <c r="AB51" s="323" t="s">
        <v>24</v>
      </c>
      <c r="AC51" s="323" t="s">
        <v>25</v>
      </c>
      <c r="AD51" s="323" t="s">
        <v>26</v>
      </c>
      <c r="AE51" s="323" t="s">
        <v>27</v>
      </c>
      <c r="AF51" s="452" t="s">
        <v>28</v>
      </c>
      <c r="AG51" s="323" t="s">
        <v>29</v>
      </c>
      <c r="AH51" s="323" t="s">
        <v>30</v>
      </c>
      <c r="AI51" s="323" t="s">
        <v>31</v>
      </c>
      <c r="AJ51" s="323" t="s">
        <v>32</v>
      </c>
      <c r="AK51" s="323" t="s">
        <v>33</v>
      </c>
      <c r="AM51" s="323" t="s">
        <v>34</v>
      </c>
      <c r="AN51" s="323" t="s">
        <v>35</v>
      </c>
      <c r="AO51" s="452" t="s">
        <v>36</v>
      </c>
      <c r="AP51" s="323" t="s">
        <v>37</v>
      </c>
      <c r="AQ51" s="323" t="s">
        <v>38</v>
      </c>
      <c r="AR51" s="323" t="s">
        <v>39</v>
      </c>
      <c r="AS51" s="323" t="s">
        <v>40</v>
      </c>
      <c r="AV51" s="323" t="s">
        <v>41</v>
      </c>
      <c r="AW51" s="323" t="s">
        <v>42</v>
      </c>
      <c r="AX51" s="323" t="s">
        <v>43</v>
      </c>
      <c r="AY51" s="323" t="s">
        <v>44</v>
      </c>
      <c r="AZ51" s="323" t="s">
        <v>45</v>
      </c>
      <c r="BA51" s="323" t="s">
        <v>46</v>
      </c>
      <c r="BB51" s="323" t="s">
        <v>47</v>
      </c>
      <c r="BE51" s="323">
        <f>COUNTA(B51:BC51)</f>
        <v>46</v>
      </c>
    </row>
    <row r="52" spans="1:57">
      <c r="P52" s="326"/>
      <c r="X52" s="325"/>
      <c r="Y52" s="326"/>
      <c r="Z52" s="353">
        <v>0.29166666666666669</v>
      </c>
      <c r="AF52" s="339" t="str">
        <f>'16U_F_Classic-45'!L224&amp;"-"&amp;'16U_F_Classic-45'!N224&amp;"-"&amp;TEXT('16U_F_Classic-45'!B224,"h:mm am/pm")</f>
        <v>16GX-136-bz_bracket-7:00 AM</v>
      </c>
      <c r="AL52" s="353">
        <v>0.29166666666666669</v>
      </c>
      <c r="AO52" s="329" t="str">
        <f>'16U_F_Champ'!L246&amp;"-"&amp;'16U_F_Champ'!O246&amp;"-"&amp;TEXT('16U_F_Champ'!B246,"h:mm am/pm")</f>
        <v>16G-128-au_13-20 qtr-7:00 AM</v>
      </c>
    </row>
    <row r="53" spans="1:57">
      <c r="A53" s="325">
        <v>0.33333333333333331</v>
      </c>
      <c r="B53" s="103" t="str">
        <f>'10U_Coed_Classic 22 from 23'!L111&amp;"-"&amp;'10U_Coed_Classic 22 from 23'!O111&amp;"-"&amp;TEXT('10U_Coed_Classic 22 from 23'!B111,"h:mm am/pm")</f>
        <v>10CX-054-bz_Group-8:00 AM</v>
      </c>
      <c r="C53" s="80" t="str">
        <f>'10U_Coed_Champ_36'!L151&amp;"-"&amp;'10U_Coed_Champ_36'!O151&amp;"-"&amp;TEXT('10U_Coed_Champ_36'!B151,"h:mm am/pm")</f>
        <v>10C-089-pt_5-8 v 9-12-8:00 AM</v>
      </c>
      <c r="D53" s="80" t="str">
        <f>'10U_Coed_Champ_36'!L166&amp;"-"&amp;'10U_Coed_Champ_36'!O166&amp;"-"&amp;TEXT('10U_Coed_Champ_36'!B166,"h:mm am/pm")</f>
        <v>10C-090-pt_21-24 RR-8:00 AM</v>
      </c>
      <c r="E53" s="46" t="str">
        <f>'10U_F_Champ-18 teams'!L96&amp;"-"&amp;'10U_F_Champ-18 teams'!N96&amp;"-"&amp;TEXT('10U_F_Champ-18 teams'!B96,"h:mm am/pm")</f>
        <v>10G-121-pt_5-8 v 9-12-8:00 AM</v>
      </c>
      <c r="F53" s="322"/>
      <c r="G53" s="80" t="str">
        <f>'10U_Coed_Champ_36'!L181&amp;"-"&amp;'10U_Coed_Champ_36'!O181&amp;"-"&amp;TEXT('10U_Coed_Champ_36'!B181,"h:mm am/pm")</f>
        <v>10C-091-au_5-8 v 9-12-8:00 AM</v>
      </c>
      <c r="H53" s="322"/>
      <c r="I53" s="103" t="str">
        <f>'10U_Coed_Classic 22 from 23'!L96&amp;"-"&amp;'10U_Coed_Classic 22 from 23'!O96&amp;"-"&amp;TEXT('10U_Coed_Classic 22 from 23'!B96,"h:mm am/pm")</f>
        <v>10CX-053-ag_5-8 v 9-12-8:00 AM</v>
      </c>
      <c r="J53" s="325">
        <v>0.33333333333333331</v>
      </c>
      <c r="K53" s="319" t="str">
        <f>'12U_Coed_Champ-45'!L208&amp;"-"&amp;'12U_Coed_Champ-45'!N208&amp;"-"&amp;TEXT('12U_Coed_Champ-45'!B208,"h:mm am/pm")</f>
        <v>12C-118-pt_21-24 RR-8:00 AM</v>
      </c>
      <c r="L53" s="319" t="str">
        <f>'12U_Coed_Champ-45'!L241&amp;"-"&amp;'12U_Coed_Champ-45'!N241&amp;"-"&amp;TEXT('12U_Coed_Champ-45'!B241,"h:mm am/pm")</f>
        <v>12C-135-au_bracket-8:00 AM</v>
      </c>
      <c r="M53" s="319" t="str">
        <f>'12U_Coed_Champ-45'!L193&amp;"-"&amp;'12U_Coed_Champ-45'!N193&amp;"-"&amp;TEXT('12U_Coed_Champ-45'!B193,"h:mm am/pm")</f>
        <v>12C-117-pt_21-24 RR-8:00 AM</v>
      </c>
      <c r="N53" s="319" t="str">
        <f>'12U_Coed_Champ-45'!L227&amp;"-"&amp;'12U_Coed_Champ-45'!N227&amp;"-"&amp;TEXT('12U_Coed_Champ-45'!B227,"h:mm am/pm")</f>
        <v>12C-136-au_bracket-8:00 AM</v>
      </c>
      <c r="O53" s="325">
        <v>0.33333333333333331</v>
      </c>
      <c r="P53" s="326"/>
      <c r="Q53" s="449" t="str">
        <f>'12U_F_Champ-52'!L240&amp;"-"&amp;'12U_F_Champ-52'!N240&amp;"-"&amp;TEXT('12U_F_Champ-52'!B240,"h:mm am/pm")</f>
        <v>12G-113-pt_1v6 QF-8:00 AM</v>
      </c>
      <c r="R53" s="449" t="str">
        <f>'12U_F_Champ-52'!L257&amp;"-"&amp;'12U_F_Champ-52'!N257&amp;"-"&amp;TEXT('12U_F_Champ-52'!B257,"h:mm am/pm")</f>
        <v>12G-114-pt_3v8 QF-8:00 AM</v>
      </c>
      <c r="S53" s="449" t="str">
        <f>'12U_F_Champ-52'!L275&amp;"-"&amp;'12U_F_Champ-52'!N275&amp;"-"&amp;TEXT('12U_F_Champ-52'!B275,"h:mm am/pm")</f>
        <v>12G-201-au_17-24 QF-8:00 AM</v>
      </c>
      <c r="T53" s="449" t="str">
        <f>'12U_F_Champ-52'!L293&amp;"-"&amp;'12U_F_Champ-52'!N293&amp;"-"&amp;TEXT('12U_F_Champ-52'!B293,"h:mm am/pm")</f>
        <v>12G-115-au_3v8 QF-8:00 AM</v>
      </c>
      <c r="U53" s="325">
        <v>0.33333333333333331</v>
      </c>
      <c r="V53" s="328" t="str">
        <f>'14U_F_Champ'!L197&amp;"-"&amp;'14U_F_Champ'!N197&amp;"-"&amp;TEXT('14U_F_Champ'!B197,"h:mm am/pm")</f>
        <v>14G-117-pt_5-8 v 9-12-8:00 AM</v>
      </c>
      <c r="W53" s="450" t="str">
        <f>'14U_F_Classic-39 from 40'!L216&amp;"-"&amp;'14U_F_Classic-39 from 40'!N216&amp;"-"&amp;TEXT('14U_F_Classic-39 from 40'!B216,"h:mm am/pm")</f>
        <v>14GX-125-ag_5-8 v 9-12-8:00 AM</v>
      </c>
      <c r="X53" s="450" t="str">
        <f>'14U_F_Classic-39 from 40'!L203&amp;"-"&amp;'14U_F_Classic-39 from 40'!N203&amp;"-"&amp;TEXT('14U_F_Classic-39 from 40'!B203,"h:mm am/pm")</f>
        <v>14GX-121-ag_1-2 v 3-4-8:00 AM</v>
      </c>
      <c r="Y53" s="451"/>
      <c r="Z53" s="325">
        <v>0.33333333333333331</v>
      </c>
      <c r="AA53" s="450" t="str">
        <f>'14U_F_Classic-39 from 40'!L229&amp;"-"&amp;'14U_F_Classic-39 from 40'!N229&amp;"-"&amp;TEXT('14U_F_Classic-39 from 40'!B229,"h:mm am/pm")</f>
        <v>14GX-126-ag_5-8 v 9-12-8:00 AM</v>
      </c>
      <c r="AB53" s="328" t="str">
        <f>'14U_F_Champ'!L212&amp;"-"&amp;'14U_F_Champ'!N212&amp;"-"&amp;TEXT('14U_F_Champ'!B212,"h:mm am/pm")</f>
        <v>14G-118-pt_21-24 RR-8:00 AM</v>
      </c>
      <c r="AC53" s="322"/>
      <c r="AD53" s="450" t="str">
        <f>'14U_F_Classic-39 from 40'!L190&amp;"-"&amp;'14U_F_Classic-39 from 40'!N190&amp;"-"&amp;TEXT('14U_F_Classic-39 from 40'!B190,"h:mm am/pm")</f>
        <v>14GX-122-ag_1-2 v 3-4-8:00 AM</v>
      </c>
      <c r="AE53" s="331" t="str">
        <f>'18U_F_Classic-44'!L249&amp;"-"&amp;'18U_F_Classic-44'!O249&amp;"-"&amp;TEXT('18U_F_Classic-44'!B249,"h:mm am/pm")</f>
        <v>18GX-128-bz 13-20 qtr-8:00 AM</v>
      </c>
      <c r="AF53" s="339" t="str">
        <f>'16U_F_Classic-45'!L225&amp;"-"&amp;'16U_F_Classic-45'!N225&amp;"-"&amp;TEXT('16U_F_Classic-45'!B225,"h:mm am/pm")</f>
        <v>16GX-128-bz_5-8 v 9-12-8:00 AM</v>
      </c>
      <c r="AG53" s="339" t="str">
        <f>'16U_F_Classic-45'!L205&amp;"-"&amp;'16U_F_Classic-45'!N205&amp;"-"&amp;TEXT('16U_F_Classic-45'!B205,"h:mm am/pm")</f>
        <v>16GX-118-ag_21-24 RR-8:00 AM</v>
      </c>
      <c r="AH53" s="339" t="str">
        <f>'16U_F_Classic-45'!L238&amp;"-"&amp;'16U_F_Classic-45'!N238&amp;"-"&amp;TEXT('16U_F_Classic-45'!B238,"h:mm am/pm")</f>
        <v>16GX-135-bz_bracket-8:00 AM</v>
      </c>
      <c r="AI53" s="339" t="str">
        <f>'16U_F_Classic-45'!L190&amp;"-"&amp;'16U_F_Classic-45'!N190&amp;"-"&amp;TEXT('16U_F_Classic-45'!B190,"h:mm am/pm")</f>
        <v>16GX-117-ag_21-24 RR-8:00 AM</v>
      </c>
      <c r="AJ53" s="328" t="str">
        <f>'14U_F_Champ'!L227&amp;"-"&amp;'14U_F_Champ'!N227&amp;"-"&amp;TEXT('14U_F_Champ'!B227,"h:mm am/pm")</f>
        <v>14G-119-au_5-8 v 9-12-8:00 AM</v>
      </c>
      <c r="AK53" s="328" t="str">
        <f>'14U_F_Champ'!L242&amp;"-"&amp;'14U_F_Champ'!N242&amp;"-"&amp;TEXT('14U_F_Champ'!B242,"h:mm am/pm")</f>
        <v>14G-120-au_21-24 RR-8:00 AM</v>
      </c>
      <c r="AL53" s="325">
        <v>0.33333333333333331</v>
      </c>
      <c r="AM53" s="322"/>
      <c r="AN53" s="329" t="str">
        <f>'16U_F_Champ'!L196&amp;"-"&amp;'16U_F_Champ'!O196&amp;"-"&amp;TEXT('16U_F_Champ'!B196,"h:mm am/pm")</f>
        <v>16G-117-pt_5-8 v 9-12-8:00 AM</v>
      </c>
      <c r="AO53" s="329" t="str">
        <f>'16U_F_Champ'!L247&amp;"-"&amp;'16U_F_Champ'!O247&amp;"-"&amp;TEXT('16U_F_Champ'!B247,"h:mm am/pm")</f>
        <v>16G-132-au_13-20 qtr-8:00 AM</v>
      </c>
      <c r="AP53" s="331" t="str">
        <f>'18U_F_Classic-44'!L219&amp;"-"&amp;'18U_F_Classic-44'!O219&amp;"-"&amp;TEXT('18U_F_Classic-44'!B219,"h:mm am/pm")</f>
        <v>18GX-118-ag 21-24 RR-8:00 AM</v>
      </c>
      <c r="AQ53" s="322"/>
      <c r="AR53" s="331" t="str">
        <f>'18U_F_Classic-44'!L234&amp;"-"&amp;'18U_F_Classic-44'!O234&amp;"-"&amp;TEXT('18U_F_Classic-44'!B234,"h:mm am/pm")</f>
        <v>18GX-119-bz 5-8 v 9-12-8:00 AM</v>
      </c>
      <c r="AS53" s="331" t="str">
        <f>'18U_F_Classic-44'!L204&amp;"-"&amp;'18U_F_Classic-44'!O204&amp;"-"&amp;TEXT('18U_F_Classic-44'!B204,"h:mm am/pm")</f>
        <v>18GX-117-ag 5-8 v 9-12-8:00 AM</v>
      </c>
      <c r="AU53" s="325">
        <v>0.33333333333333331</v>
      </c>
      <c r="AV53" s="329" t="str">
        <f>'16U_F_Champ'!L211&amp;"-"&amp;'16U_F_Champ'!O211&amp;"-"&amp;TEXT('16U_F_Champ'!B211,"h:mm am/pm")</f>
        <v>16G-118-pt_21-24 RR-8:00 AM</v>
      </c>
      <c r="AW53" s="329" t="str">
        <f>'16U_F_Champ'!L226&amp;"-"&amp;'16U_F_Champ'!O226&amp;"-"&amp;TEXT('16U_F_Champ'!B226,"h:mm am/pm")</f>
        <v>16G-119-au_5-8 v 9-12-8:00 AM</v>
      </c>
      <c r="AX53" s="322"/>
      <c r="AY53" s="330" t="str">
        <f>'18U_F_Champ'!L202&amp;"-"&amp;'18U_F_Champ'!N202&amp;"-"&amp;TEXT('18U_F_Champ'!B202,"h:mm am/pm")</f>
        <v>18G-117-pt_5-8 v 9-12-8:00 AM</v>
      </c>
      <c r="AZ53" s="330" t="str">
        <f>'18U_F_Champ'!L217&amp;"-"&amp;'18U_F_Champ'!N217&amp;"-"&amp;TEXT('18U_F_Champ'!B217,"h:mm am/pm")</f>
        <v>18G-118-pt_21-24 RR-8:00 AM</v>
      </c>
      <c r="BA53" s="322"/>
      <c r="BB53" s="330" t="str">
        <f>'18U_F_Champ'!L232&amp;"-"&amp;'18U_F_Champ'!N232&amp;"-"&amp;TEXT('18U_F_Champ'!B232,"h:mm am/pm")</f>
        <v>18G-119-au_5-8 v 9-12-8:00 AM</v>
      </c>
    </row>
    <row r="54" spans="1:57">
      <c r="A54" s="325">
        <v>0.36805555555555558</v>
      </c>
      <c r="B54" s="103" t="str">
        <f>'10U_Coed_Classic 22 from 23'!L112&amp;"-"&amp;'10U_Coed_Classic 22 from 23'!O112&amp;"-"&amp;TEXT('10U_Coed_Classic 22 from 23'!B112,"h:mm am/pm")</f>
        <v>10CX-056-bz_Group-8:50 AM</v>
      </c>
      <c r="C54" s="80" t="str">
        <f>'10U_Coed_Champ_36'!L152&amp;"-"&amp;'10U_Coed_Champ_36'!O152&amp;"-"&amp;TEXT('10U_Coed_Champ_36'!B152,"h:mm am/pm")</f>
        <v>10C-092-pt_5-8 v 9-12-8:50 AM</v>
      </c>
      <c r="D54" s="80" t="str">
        <f>'10U_Coed_Champ_36'!L167&amp;"-"&amp;'10U_Coed_Champ_36'!O167&amp;"-"&amp;TEXT('10U_Coed_Champ_36'!B167,"h:mm am/pm")</f>
        <v>10C-093-pt_21-24 RR-8:50 AM</v>
      </c>
      <c r="E54" s="46" t="str">
        <f>'10U_F_Champ-18 teams'!L97&amp;"-"&amp;'10U_F_Champ-18 teams'!N97&amp;"-"&amp;TEXT('10U_F_Champ-18 teams'!B97,"h:mm am/pm")</f>
        <v>10G-125-pt_5-8 v 9-12-8:50 AM</v>
      </c>
      <c r="F54" s="322"/>
      <c r="G54" s="80" t="str">
        <f>'10U_Coed_Champ_36'!L182&amp;"-"&amp;'10U_Coed_Champ_36'!O182&amp;"-"&amp;TEXT('10U_Coed_Champ_36'!B182,"h:mm am/pm")</f>
        <v>10C-094-au_5-8 v 9-12-8:50 AM</v>
      </c>
      <c r="I54" s="103" t="str">
        <f>'10U_Coed_Classic 22 from 23'!L97&amp;"-"&amp;'10U_Coed_Classic 22 from 23'!O97&amp;"-"&amp;TEXT('10U_Coed_Classic 22 from 23'!B97,"h:mm am/pm")</f>
        <v>10CX-055-ag_5-8 v 9-12-8:50 AM</v>
      </c>
      <c r="J54" s="325">
        <v>0.36805555555555558</v>
      </c>
      <c r="K54" s="319" t="str">
        <f>'12U_Coed_Champ-45'!L209&amp;"-"&amp;'12U_Coed_Champ-45'!N209&amp;"-"&amp;TEXT('12U_Coed_Champ-45'!B209,"h:mm am/pm")</f>
        <v>12C-122-pt_play to semi-8:50 AM</v>
      </c>
      <c r="L54" s="319" t="str">
        <f>'12U_Coed_Champ-45'!L242&amp;"-"&amp;'12U_Coed_Champ-45'!N242&amp;"-"&amp;TEXT('12U_Coed_Champ-45'!B242,"h:mm am/pm")</f>
        <v>12C-127-au_5-8 v 9-12-8:50 AM</v>
      </c>
      <c r="M54" s="319" t="str">
        <f>'12U_Coed_Champ-45'!L194&amp;"-"&amp;'12U_Coed_Champ-45'!N194&amp;"-"&amp;TEXT('12U_Coed_Champ-45'!B194,"h:mm am/pm")</f>
        <v>12C-121-pt_1-2 v 3-4-8:50 AM</v>
      </c>
      <c r="N54" s="319" t="str">
        <f>'12U_Coed_Champ-45'!L228&amp;"-"&amp;'12U_Coed_Champ-45'!N228&amp;"-"&amp;TEXT('12U_Coed_Champ-45'!B228,"h:mm am/pm")</f>
        <v>12C-128-au_5-8 v 9-12-8:50 AM</v>
      </c>
      <c r="O54" s="325">
        <v>0.375</v>
      </c>
      <c r="P54" s="326"/>
      <c r="Q54" s="449" t="str">
        <f>'12U_F_Champ-52'!L241&amp;"-"&amp;'12U_F_Champ-52'!N241&amp;"-"&amp;TEXT('12U_F_Champ-52'!B241,"h:mm am/pm")</f>
        <v>12G-118-pt_2v5 QF-8:50 AM</v>
      </c>
      <c r="R54" s="449" t="str">
        <f>'12U_F_Champ-52'!L258&amp;"-"&amp;'12U_F_Champ-52'!N258&amp;"-"&amp;TEXT('12U_F_Champ-52'!B258,"h:mm am/pm")</f>
        <v>12G-119-pt_4v7 QF-8:50 AM</v>
      </c>
      <c r="S54" s="449" t="str">
        <f>'12U_F_Champ-52'!L276&amp;"-"&amp;'12U_F_Champ-52'!N276&amp;"-"&amp;TEXT('12U_F_Champ-52'!B276,"h:mm am/pm")</f>
        <v>12G-203-au_17-24 QF-8:50 AM</v>
      </c>
      <c r="T54" s="449" t="str">
        <f>'12U_F_Champ-52'!L294&amp;"-"&amp;'12U_F_Champ-52'!N294&amp;"-"&amp;TEXT('12U_F_Champ-52'!B294,"h:mm am/pm")</f>
        <v>12G-120-au_4v7 QF-8:50 AM</v>
      </c>
      <c r="U54" s="325">
        <v>0.375</v>
      </c>
      <c r="V54" s="328" t="str">
        <f>'14U_F_Champ'!L198&amp;"-"&amp;'14U_F_Champ'!N198&amp;"-"&amp;TEXT('14U_F_Champ'!B198,"h:mm am/pm")</f>
        <v>14G-121-pt_5-8 v 9-12-9:00 AM</v>
      </c>
      <c r="W54" s="450" t="str">
        <f>'14U_F_Classic-39 from 40'!L217&amp;"-"&amp;'14U_F_Classic-39 from 40'!N217&amp;"-"&amp;TEXT('14U_F_Classic-39 from 40'!B217,"h:mm am/pm")</f>
        <v>14GX-129-ag_5-8 v 9-12-9:00 AM</v>
      </c>
      <c r="X54" s="450" t="str">
        <f>'14U_F_Classic-39 from 40'!L204&amp;"-"&amp;'14U_F_Classic-39 from 40'!N204&amp;"-"&amp;TEXT('14U_F_Classic-39 from 40'!B204,"h:mm am/pm")</f>
        <v>14GX-131-bz_5-8 v 9-12-9:00 AM</v>
      </c>
      <c r="Y54" s="451"/>
      <c r="Z54" s="325">
        <v>0.375</v>
      </c>
      <c r="AA54" s="450" t="str">
        <f>'14U_F_Classic-39 from 40'!L230&amp;"-"&amp;'14U_F_Classic-39 from 40'!N230&amp;"-"&amp;TEXT('14U_F_Classic-39 from 40'!B230,"h:mm am/pm")</f>
        <v>14GX-130-ag_5-8 v 9-12-9:00 AM</v>
      </c>
      <c r="AB54" s="328" t="str">
        <f>'14U_F_Champ'!L213&amp;"-"&amp;'14U_F_Champ'!N213&amp;"-"&amp;TEXT('14U_F_Champ'!B213,"h:mm am/pm")</f>
        <v>14G-122-pt_21-24 RR-9:00 AM</v>
      </c>
      <c r="AC54" s="322"/>
      <c r="AD54" s="450" t="str">
        <f>'14U_F_Classic-39 from 40'!L191&amp;"-"&amp;'14U_F_Classic-39 from 40'!N191&amp;"-"&amp;TEXT('14U_F_Classic-39 from 40'!B191,"h:mm am/pm")</f>
        <v>14GX-119-bz_13-15 RR-9:00 AM</v>
      </c>
      <c r="AE54" s="331" t="str">
        <f>'18U_F_Classic-44'!L250&amp;"-"&amp;'18U_F_Classic-44'!O250&amp;"-"&amp;TEXT('18U_F_Classic-44'!B250,"h:mm am/pm")</f>
        <v>18GX-132-bz 13-20 qtr-9:00 AM</v>
      </c>
      <c r="AF54" s="339" t="str">
        <f>'16U_F_Classic-45'!L226&amp;"-"&amp;'16U_F_Classic-45'!N226&amp;"-"&amp;TEXT('16U_F_Classic-45'!B226,"h:mm am/pm")</f>
        <v>16GX-132-bz_5-8 v 9-12-9:00 AM</v>
      </c>
      <c r="AG54" s="339" t="str">
        <f>'16U_F_Classic-45'!L206&amp;"-"&amp;'16U_F_Classic-45'!N206&amp;"-"&amp;TEXT('16U_F_Classic-45'!B206,"h:mm am/pm")</f>
        <v>16GX-122-ag_play to semi-9:00 AM</v>
      </c>
      <c r="AH54" s="339" t="str">
        <f>'16U_F_Classic-45'!L239&amp;"-"&amp;'16U_F_Classic-45'!N239&amp;"-"&amp;TEXT('16U_F_Classic-45'!B239,"h:mm am/pm")</f>
        <v>16GX-127-bz_5-8 v 9-12-9:00 AM</v>
      </c>
      <c r="AI54" s="339" t="str">
        <f>'16U_F_Classic-45'!L191&amp;"-"&amp;'16U_F_Classic-45'!N191&amp;"-"&amp;TEXT('16U_F_Classic-45'!B191,"h:mm am/pm")</f>
        <v>16GX-121-ag_1-2 v 3-4-9:00 AM</v>
      </c>
      <c r="AJ54" s="328" t="str">
        <f>'14U_F_Champ'!L228&amp;"-"&amp;'14U_F_Champ'!N228&amp;"-"&amp;TEXT('14U_F_Champ'!B228,"h:mm am/pm")</f>
        <v>14G-123-au_5-8 v 9-12-9:00 AM</v>
      </c>
      <c r="AK54" s="328" t="str">
        <f>'14U_F_Champ'!L243&amp;"-"&amp;'14U_F_Champ'!N243&amp;"-"&amp;TEXT('14U_F_Champ'!B243,"h:mm am/pm")</f>
        <v>14G-124-au_21-24 RR-9:00 AM</v>
      </c>
      <c r="AL54" s="325">
        <v>0.375</v>
      </c>
      <c r="AM54" s="322"/>
      <c r="AN54" s="329" t="str">
        <f>'16U_F_Champ'!L197&amp;"-"&amp;'16U_F_Champ'!O197&amp;"-"&amp;TEXT('16U_F_Champ'!B197,"h:mm am/pm")</f>
        <v>16G-121-pt_5-8 v 9-12-9:00 AM</v>
      </c>
      <c r="AO54" s="329" t="str">
        <f>'16U_F_Champ'!L248&amp;"-"&amp;'16U_F_Champ'!O248&amp;"-"&amp;TEXT('16U_F_Champ'!B248,"h:mm am/pm")</f>
        <v>16G-136-au_13-20 qtr-9:00 AM</v>
      </c>
      <c r="AP54" s="331" t="str">
        <f>'18U_F_Classic-44'!L220&amp;"-"&amp;'18U_F_Classic-44'!O220&amp;"-"&amp;TEXT('18U_F_Classic-44'!B220,"h:mm am/pm")</f>
        <v>18GX-122-ag 21-24 RR-9:00 AM</v>
      </c>
      <c r="AQ54" s="322"/>
      <c r="AR54" s="331" t="str">
        <f>'18U_F_Classic-44'!L235&amp;"-"&amp;'18U_F_Classic-44'!O235&amp;"-"&amp;TEXT('18U_F_Classic-44'!B235,"h:mm am/pm")</f>
        <v>18GX-123-bz 5-8 v 9-12-9:00 AM</v>
      </c>
      <c r="AS54" s="331" t="str">
        <f>'18U_F_Classic-44'!L205&amp;"-"&amp;'18U_F_Classic-44'!O205&amp;"-"&amp;TEXT('18U_F_Classic-44'!B205,"h:mm am/pm")</f>
        <v>18GX-121-ag 5-8 v 9-12-9:00 AM</v>
      </c>
      <c r="AU54" s="325">
        <v>0.375</v>
      </c>
      <c r="AV54" s="329" t="str">
        <f>'16U_F_Champ'!L212&amp;"-"&amp;'16U_F_Champ'!O212&amp;"-"&amp;TEXT('16U_F_Champ'!B212,"h:mm am/pm")</f>
        <v>16G-122-pt_21-24 RR-9:00 AM</v>
      </c>
      <c r="AW54" s="329" t="str">
        <f>'16U_F_Champ'!L227&amp;"-"&amp;'16U_F_Champ'!O227&amp;"-"&amp;TEXT('16U_F_Champ'!B227,"h:mm am/pm")</f>
        <v>16G-123-au_5-8 v 9-12-9:00 AM</v>
      </c>
      <c r="AX54" s="322"/>
      <c r="AY54" s="330" t="str">
        <f>'18U_F_Champ'!L203&amp;"-"&amp;'18U_F_Champ'!N203&amp;"-"&amp;TEXT('18U_F_Champ'!B203,"h:mm am/pm")</f>
        <v>18G-121-pt_5-8 v 9-12-9:00 AM</v>
      </c>
      <c r="AZ54" s="330" t="str">
        <f>'18U_F_Champ'!L218&amp;"-"&amp;'18U_F_Champ'!N218&amp;"-"&amp;TEXT('18U_F_Champ'!B218,"h:mm am/pm")</f>
        <v>18G-122-pt_21-24 RR-9:00 AM</v>
      </c>
      <c r="BA54" s="330" t="str">
        <f>'18U_F_Champ'!L247&amp;"-"&amp;'18U_F_Champ'!N247&amp;"-"&amp;TEXT('18U_F_Champ'!B247,"h:mm am/pm")</f>
        <v>18G-120-au_21-24 RR-9:00 AM</v>
      </c>
      <c r="BB54" s="330" t="str">
        <f>'18U_F_Champ'!L233&amp;"-"&amp;'18U_F_Champ'!N233&amp;"-"&amp;TEXT('18U_F_Champ'!B233,"h:mm am/pm")</f>
        <v>18G-123-au_5-8 v 9-12-9:00 AM</v>
      </c>
    </row>
    <row r="55" spans="1:57">
      <c r="A55" s="325">
        <v>0.40277777777777801</v>
      </c>
      <c r="B55" s="323"/>
      <c r="C55" s="80" t="str">
        <f>'10U_Coed_Champ_36'!L153&amp;"-"&amp;'10U_Coed_Champ_36'!O153&amp;"-"&amp;TEXT('10U_Coed_Champ_36'!B153,"h:mm am/pm")</f>
        <v>10C-095-pt_5-8 v 9-12-9:40 AM</v>
      </c>
      <c r="D55" s="80" t="str">
        <f>'10U_Coed_Champ_36'!L168&amp;"-"&amp;'10U_Coed_Champ_36'!O168&amp;"-"&amp;TEXT('10U_Coed_Champ_36'!B168,"h:mm am/pm")</f>
        <v>10C-096-pt_13-20 qtr-9:40 AM</v>
      </c>
      <c r="E55" s="46" t="str">
        <f>'10U_F_Champ-18 teams'!L98&amp;"-"&amp;'10U_F_Champ-18 teams'!N98&amp;"-"&amp;TEXT('10U_F_Champ-18 teams'!B98,"h:mm am/pm")</f>
        <v>10G-129-pt_5-8 v 9-12-9:40 AM</v>
      </c>
      <c r="F55" s="322"/>
      <c r="G55" s="80" t="str">
        <f>'10U_Coed_Champ_36'!L183&amp;"-"&amp;'10U_Coed_Champ_36'!O183&amp;"-"&amp;TEXT('10U_Coed_Champ_36'!B183,"h:mm am/pm")</f>
        <v>10C-097-au_5-8 v 9-12-9:40 AM</v>
      </c>
      <c r="H55" s="46" t="str">
        <f>'10U_F_Champ-18 teams'!L111&amp;"-"&amp;'10U_F_Champ-18 teams'!N111&amp;"-"&amp;TEXT('10U_F_Champ-18 teams'!B111,"h:mm am/pm")</f>
        <v>10G-122-au_Group-9:40 AM</v>
      </c>
      <c r="I55" s="103" t="str">
        <f>'10U_Coed_Classic 22 from 23'!L98&amp;"-"&amp;'10U_Coed_Classic 22 from 23'!O98&amp;"-"&amp;TEXT('10U_Coed_Classic 22 from 23'!B98,"h:mm am/pm")</f>
        <v>10CX-057-ag_5-8 v 9-12-9:40 AM</v>
      </c>
      <c r="J55" s="325">
        <v>0.40277777777777801</v>
      </c>
      <c r="K55" s="319" t="str">
        <f>'12U_Coed_Champ-45'!L210&amp;"-"&amp;'12U_Coed_Champ-45'!N210&amp;"-"&amp;TEXT('12U_Coed_Champ-45'!B210,"h:mm am/pm")</f>
        <v>12C-126-pt_5-8 v 9-12-9:40 AM</v>
      </c>
      <c r="L55" s="319" t="str">
        <f>'12U_Coed_Champ-45'!L243&amp;"-"&amp;'12U_Coed_Champ-45'!N243&amp;"-"&amp;TEXT('12U_Coed_Champ-45'!B243,"h:mm am/pm")</f>
        <v>12C-131-au_5-8 v 9-12-9:40 AM</v>
      </c>
      <c r="M55" s="319" t="str">
        <f>'12U_Coed_Champ-45'!L195&amp;"-"&amp;'12U_Coed_Champ-45'!N195&amp;"-"&amp;TEXT('12U_Coed_Champ-45'!B195,"h:mm am/pm")</f>
        <v>12C-125-pt_5-8 v 9-12-9:40 AM</v>
      </c>
      <c r="N55" s="319" t="str">
        <f>'12U_Coed_Champ-45'!L229&amp;"-"&amp;'12U_Coed_Champ-45'!N229&amp;"-"&amp;TEXT('12U_Coed_Champ-45'!B229,"h:mm am/pm")</f>
        <v>12C-132-au_5-8 v 9-12-9:40 AM</v>
      </c>
      <c r="O55" s="325">
        <v>0.41666666666666702</v>
      </c>
      <c r="P55" s="326"/>
      <c r="Q55" s="449" t="str">
        <f>'12U_F_Champ-52'!L242&amp;"-"&amp;'12U_F_Champ-52'!N242&amp;"-"&amp;TEXT('12U_F_Champ-52'!B242,"h:mm am/pm")</f>
        <v>12G-124-pt_9-16 QF-9:40 AM</v>
      </c>
      <c r="R55" s="449" t="str">
        <f>'12U_F_Champ-52'!L259&amp;"-"&amp;'12U_F_Champ-52'!N259&amp;"-"&amp;TEXT('12U_F_Champ-52'!B259,"h:mm am/pm")</f>
        <v>12G-123-pt_17th-24th-9:40 AM</v>
      </c>
      <c r="S55" s="449" t="str">
        <f>'12U_F_Champ-52'!L277&amp;"-"&amp;'12U_F_Champ-52'!N277&amp;"-"&amp;TEXT('12U_F_Champ-52'!B277,"h:mm am/pm")</f>
        <v>12G-202-au_17-24 QF-9:40 AM</v>
      </c>
      <c r="T55" s="449" t="str">
        <f>'12U_F_Champ-52'!L295&amp;"-"&amp;'12U_F_Champ-52'!N295&amp;"-"&amp;TEXT('12U_F_Champ-52'!B295,"h:mm am/pm")</f>
        <v>12G-116-au_1v6 QF-9:40 AM</v>
      </c>
      <c r="U55" s="325">
        <v>0.41666666666666702</v>
      </c>
      <c r="V55" s="328" t="str">
        <f>'14U_F_Champ'!L199&amp;"-"&amp;'14U_F_Champ'!N199&amp;"-"&amp;TEXT('14U_F_Champ'!B199,"h:mm am/pm")</f>
        <v>14G-125-pt_5-8 v 9-12-10:00 AM</v>
      </c>
      <c r="W55" s="450" t="str">
        <f>'14U_F_Classic-39 from 40'!L218&amp;"-"&amp;'14U_F_Classic-39 from 40'!N218&amp;"-"&amp;TEXT('14U_F_Classic-39 from 40'!B218,"h:mm am/pm")</f>
        <v>14GX-133-ag_13-20 quarter-10:00 AM</v>
      </c>
      <c r="X55" s="450" t="str">
        <f>'14U_F_Classic-39 from 40'!L205&amp;"-"&amp;'14U_F_Classic-39 from 40'!N205&amp;"-"&amp;TEXT('14U_F_Classic-39 from 40'!B205,"h:mm am/pm")</f>
        <v>14GX-132-bz_5-8 v 9-12-10:00 AM</v>
      </c>
      <c r="Y55" s="451"/>
      <c r="Z55" s="325">
        <v>0.41666666666666702</v>
      </c>
      <c r="AA55" s="450" t="str">
        <f>'14U_F_Classic-39 from 40'!L231&amp;"-"&amp;'14U_F_Classic-39 from 40'!N231&amp;"-"&amp;TEXT('14U_F_Classic-39 from 40'!B231,"h:mm am/pm")</f>
        <v>14GX-134-ag_13-20 quarter-10:00 AM</v>
      </c>
      <c r="AB55" s="328" t="str">
        <f>'14U_F_Champ'!L214&amp;"-"&amp;'14U_F_Champ'!N214&amp;"-"&amp;TEXT('14U_F_Champ'!B214,"h:mm am/pm")</f>
        <v>14G-126-pt_13-20 qtr-10:00 AM</v>
      </c>
      <c r="AC55" s="322"/>
      <c r="AD55" s="450" t="str">
        <f>'14U_F_Classic-39 from 40'!L192&amp;"-"&amp;'14U_F_Classic-39 from 40'!N192&amp;"-"&amp;TEXT('14U_F_Classic-39 from 40'!B192,"h:mm am/pm")</f>
        <v>14GX-127-bz_5-8 v 9-12-10:00 AM</v>
      </c>
      <c r="AE55" s="331" t="str">
        <f>'18U_F_Classic-44'!L251&amp;"-"&amp;'18U_F_Classic-44'!O251&amp;"-"&amp;TEXT('18U_F_Classic-44'!B251,"h:mm am/pm")</f>
        <v>18GX-136-bz 13-20 qtr-10:00 AM</v>
      </c>
      <c r="AF55" s="339" t="str">
        <f>'16U_F_Classic-45'!L227&amp;"-"&amp;'16U_F_Classic-45'!N227&amp;"-"&amp;TEXT('16U_F_Classic-45'!B227,"h:mm am/pm")</f>
        <v>16GX-120-bz_19-21 RR-10:00 AM</v>
      </c>
      <c r="AG55" s="339" t="str">
        <f>'16U_F_Classic-45'!L207&amp;"-"&amp;'16U_F_Classic-45'!N207&amp;"-"&amp;TEXT('16U_F_Classic-45'!B207,"h:mm am/pm")</f>
        <v>16GX-126-ag_5-8 v 9-12-10:00 AM</v>
      </c>
      <c r="AH55" s="339" t="str">
        <f>'16U_F_Classic-45'!L240&amp;"-"&amp;'16U_F_Classic-45'!N240&amp;"-"&amp;TEXT('16U_F_Classic-45'!B240,"h:mm am/pm")</f>
        <v>16GX-131-bz_5-8 v 9-12-10:00 AM</v>
      </c>
      <c r="AI55" s="339" t="str">
        <f>'16U_F_Classic-45'!L192&amp;"-"&amp;'16U_F_Classic-45'!N192&amp;"-"&amp;TEXT('16U_F_Classic-45'!B192,"h:mm am/pm")</f>
        <v>16GX-125-ag_5-8 v 9-12-10:00 AM</v>
      </c>
      <c r="AJ55" s="328" t="str">
        <f>'14U_F_Champ'!L229&amp;"-"&amp;'14U_F_Champ'!N229&amp;"-"&amp;TEXT('14U_F_Champ'!B229,"h:mm am/pm")</f>
        <v>14G-127-au_5-8 v 9-12-10:00 AM</v>
      </c>
      <c r="AK55" s="328" t="str">
        <f>'14U_F_Champ'!L244&amp;"-"&amp;'14U_F_Champ'!N244&amp;"-"&amp;TEXT('14U_F_Champ'!B244,"h:mm am/pm")</f>
        <v>14G-128-au_13-20 qtr-10:00 AM</v>
      </c>
      <c r="AL55" s="325">
        <v>0.41666666666666702</v>
      </c>
      <c r="AM55" s="322"/>
      <c r="AN55" s="329" t="str">
        <f>'16U_F_Champ'!L198&amp;"-"&amp;'16U_F_Champ'!O198&amp;"-"&amp;TEXT('16U_F_Champ'!B198,"h:mm am/pm")</f>
        <v>16G-125-pt_5-8 v 9-12-10:00 AM</v>
      </c>
      <c r="AO55" s="329" t="str">
        <f>'16U_F_Champ'!L249&amp;"-"&amp;'16U_F_Champ'!O249&amp;"-"&amp;TEXT('16U_F_Champ'!B249,"h:mm am/pm")</f>
        <v>16G-140-au_13-20 qtr-10:00 AM</v>
      </c>
      <c r="AP55" s="331" t="str">
        <f>'18U_F_Classic-44'!L221&amp;"-"&amp;'18U_F_Classic-44'!O221&amp;"-"&amp;TEXT('18U_F_Classic-44'!B221,"h:mm am/pm")</f>
        <v>18GX-126-ag 13-20 qtr-10:00 AM</v>
      </c>
      <c r="AQ55" s="322"/>
      <c r="AR55" s="331" t="str">
        <f>'18U_F_Classic-44'!L236&amp;"-"&amp;'18U_F_Classic-44'!O236&amp;"-"&amp;TEXT('18U_F_Classic-44'!B236,"h:mm am/pm")</f>
        <v>18GX-127-bz 5-8 v 9-12-10:00 AM</v>
      </c>
      <c r="AS55" s="331" t="str">
        <f>'18U_F_Classic-44'!L206&amp;"-"&amp;'18U_F_Classic-44'!O206&amp;"-"&amp;TEXT('18U_F_Classic-44'!B206,"h:mm am/pm")</f>
        <v>18GX-125-ag 5-8 v 9-12-10:00 AM</v>
      </c>
      <c r="AU55" s="325">
        <v>0.41666666666666702</v>
      </c>
      <c r="AV55" s="329" t="str">
        <f>'16U_F_Champ'!L213&amp;"-"&amp;'16U_F_Champ'!O213&amp;"-"&amp;TEXT('16U_F_Champ'!B213,"h:mm am/pm")</f>
        <v>16G-126-pt_13-20 qtr-10:00 AM</v>
      </c>
      <c r="AW55" s="329" t="str">
        <f>'16U_F_Champ'!L228&amp;"-"&amp;'16U_F_Champ'!O228&amp;"-"&amp;TEXT('16U_F_Champ'!B228,"h:mm am/pm")</f>
        <v>16G-127-au_5-8 v 9-12-10:00 AM</v>
      </c>
      <c r="AX55" s="322"/>
      <c r="AY55" s="330" t="str">
        <f>'18U_F_Champ'!L204&amp;"-"&amp;'18U_F_Champ'!N204&amp;"-"&amp;TEXT('18U_F_Champ'!B204,"h:mm am/pm")</f>
        <v>18G-125-pt_5-8 v 9-12-10:00 AM</v>
      </c>
      <c r="AZ55" s="330" t="str">
        <f>'18U_F_Champ'!L219&amp;"-"&amp;'18U_F_Champ'!N219&amp;"-"&amp;TEXT('18U_F_Champ'!B219,"h:mm am/pm")</f>
        <v>18G-126-pt_13-20 qtr-10:00 AM</v>
      </c>
      <c r="BA55" s="330" t="str">
        <f>'18U_F_Champ'!L248&amp;"-"&amp;'18U_F_Champ'!N248&amp;"-"&amp;TEXT('18U_F_Champ'!B248,"h:mm am/pm")</f>
        <v>18G-124-au_21-24 RR-10:00 AM</v>
      </c>
      <c r="BB55" s="330" t="str">
        <f>'18U_F_Champ'!L234&amp;"-"&amp;'18U_F_Champ'!N234&amp;"-"&amp;TEXT('18U_F_Champ'!B234,"h:mm am/pm")</f>
        <v>18G-127-au_5-8 v 9-12-10:00 AM</v>
      </c>
    </row>
    <row r="56" spans="1:57">
      <c r="A56" s="325">
        <v>0.4375</v>
      </c>
      <c r="B56" s="103" t="str">
        <f>'10U_Coed_Classic 22 from 23'!L114&amp;"-"&amp;'10U_Coed_Classic 22 from 23'!O114&amp;"-"&amp;TEXT('10U_Coed_Classic 22 from 23'!B114,"h:mm am/pm")</f>
        <v>10CX-060-bz_Group-10:30 AM</v>
      </c>
      <c r="C56" s="80" t="str">
        <f>'10U_Coed_Champ_36'!L154&amp;"-"&amp;'10U_Coed_Champ_36'!O154&amp;"-"&amp;TEXT('10U_Coed_Champ_36'!B154,"h:mm am/pm")</f>
        <v>10C-098-pt_5-8 v 9-12-10:30 AM</v>
      </c>
      <c r="D56" s="80" t="str">
        <f>'10U_Coed_Champ_36'!L169&amp;"-"&amp;'10U_Coed_Champ_36'!O169&amp;"-"&amp;TEXT('10U_Coed_Champ_36'!B169,"h:mm am/pm")</f>
        <v>10C-099-pt_13-20 qtr-10:30 AM</v>
      </c>
      <c r="E56" s="46" t="str">
        <f>'10U_F_Champ-18 teams'!L99&amp;"-"&amp;'10U_F_Champ-18 teams'!N99&amp;"-"&amp;TEXT('10U_F_Champ-18 teams'!B99,"h:mm am/pm")</f>
        <v>10G-133-pt_5-8 v 9-12-10:30 AM</v>
      </c>
      <c r="F56" s="322"/>
      <c r="G56" s="80" t="str">
        <f>'10U_Coed_Champ_36'!L184&amp;"-"&amp;'10U_Coed_Champ_36'!O184&amp;"-"&amp;TEXT('10U_Coed_Champ_36'!B184,"h:mm am/pm")</f>
        <v>10C-100-au_5-8 v 9-12-10:30 AM</v>
      </c>
      <c r="H56" s="46" t="str">
        <f>'10U_F_Champ-18 teams'!L112&amp;"-"&amp;'10U_F_Champ-18 teams'!N112&amp;"-"&amp;TEXT('10U_F_Champ-18 teams'!B112,"h:mm am/pm")</f>
        <v>10G-126-au_Group-10:30 AM</v>
      </c>
      <c r="I56" s="103" t="str">
        <f>'10U_Coed_Classic 22 from 23'!L99&amp;"-"&amp;'10U_Coed_Classic 22 from 23'!O99&amp;"-"&amp;TEXT('10U_Coed_Classic 22 from 23'!B99,"h:mm am/pm")</f>
        <v>10CX-059-ag_5-8 v 9-12-10:30 AM</v>
      </c>
      <c r="J56" s="325">
        <v>0.4375</v>
      </c>
      <c r="K56" s="319" t="str">
        <f>'12U_Coed_Champ-45'!L211&amp;"-"&amp;'12U_Coed_Champ-45'!N211&amp;"-"&amp;TEXT('12U_Coed_Champ-45'!B211,"h:mm am/pm")</f>
        <v>12C-130-pt_5-8 v 9-12-10:30 AM</v>
      </c>
      <c r="M56" s="319" t="str">
        <f>'12U_Coed_Champ-45'!L196&amp;"-"&amp;'12U_Coed_Champ-45'!N196&amp;"-"&amp;TEXT('12U_Coed_Champ-45'!B196,"h:mm am/pm")</f>
        <v>12C-129-pt_5-8 v 9-12-10:30 AM</v>
      </c>
      <c r="N56" s="319" t="str">
        <f>'12U_Coed_Champ-45'!L230&amp;"-"&amp;'12U_Coed_Champ-45'!N230&amp;"-"&amp;TEXT('12U_Coed_Champ-45'!B230,"h:mm am/pm")</f>
        <v>12C-120-au_19-21 RR-10:30 AM</v>
      </c>
      <c r="O56" s="325">
        <v>0.45833333333333298</v>
      </c>
      <c r="P56" s="326"/>
      <c r="Q56" s="449" t="str">
        <f>'12U_F_Champ-52'!L243&amp;"-"&amp;'12U_F_Champ-52'!N243&amp;"-"&amp;TEXT('12U_F_Champ-52'!B243,"h:mm am/pm")</f>
        <v>12G-127-pt_9-16 QF-10:30 AM</v>
      </c>
      <c r="R56" s="449" t="str">
        <f>'12U_F_Champ-52'!L260&amp;"-"&amp;'12U_F_Champ-52'!N260&amp;"-"&amp;TEXT('12U_F_Champ-52'!B260,"h:mm am/pm")</f>
        <v>12G-126-pt_17th-24th-10:30 AM</v>
      </c>
      <c r="S56" s="449" t="str">
        <f>'12U_F_Champ-52'!L278&amp;"-"&amp;'12U_F_Champ-52'!N278&amp;"-"&amp;TEXT('12U_F_Champ-52'!B278,"h:mm am/pm")</f>
        <v>12G-204-au_17-24 QF-10:30 AM</v>
      </c>
      <c r="T56" s="449" t="str">
        <f>'12U_F_Champ-52'!L296&amp;"-"&amp;'12U_F_Champ-52'!N296&amp;"-"&amp;TEXT('12U_F_Champ-52'!B296,"h:mm am/pm")</f>
        <v>12G-121-au_2v5 QF-10:30 AM</v>
      </c>
      <c r="U56" s="325">
        <v>0.45833333333333298</v>
      </c>
      <c r="V56" s="328" t="str">
        <f>'14U_F_Champ'!L200&amp;"-"&amp;'14U_F_Champ'!N200&amp;"-"&amp;TEXT('14U_F_Champ'!B200,"h:mm am/pm")</f>
        <v>14G-129-pt_5-8 v 9-12-11:00 AM</v>
      </c>
      <c r="W56" s="450" t="str">
        <f>'14U_F_Classic-39 from 40'!L219&amp;"-"&amp;'14U_F_Classic-39 from 40'!N219&amp;"-"&amp;TEXT('14U_F_Classic-39 from 40'!B219,"h:mm am/pm")</f>
        <v>14GX-137-ag_13-20 quarter-11:00 AM</v>
      </c>
      <c r="X56" s="450" t="str">
        <f>'14U_F_Classic-39 from 40'!L206&amp;"-"&amp;'14U_F_Classic-39 from 40'!N206&amp;"-"&amp;TEXT('14U_F_Classic-39 from 40'!B206,"h:mm am/pm")</f>
        <v>14GX-118-ag_21-24 RR-11:00 AM</v>
      </c>
      <c r="Y56" s="451"/>
      <c r="Z56" s="325">
        <v>0.45833333333333298</v>
      </c>
      <c r="AA56" s="450" t="str">
        <f>'14U_F_Classic-39 from 40'!L232&amp;"-"&amp;'14U_F_Classic-39 from 40'!N232&amp;"-"&amp;TEXT('14U_F_Classic-39 from 40'!B232,"h:mm am/pm")</f>
        <v>14GX-138-ag_13-20 quarter-11:00 AM</v>
      </c>
      <c r="AB56" s="328" t="str">
        <f>'14U_F_Champ'!L215&amp;"-"&amp;'14U_F_Champ'!N215&amp;"-"&amp;TEXT('14U_F_Champ'!B215,"h:mm am/pm")</f>
        <v>14G-130-pt_13-20 qtr-11:00 AM</v>
      </c>
      <c r="AC56" s="322"/>
      <c r="AD56" s="450" t="str">
        <f>'14U_F_Classic-39 from 40'!L193&amp;"-"&amp;'14U_F_Classic-39 from 40'!N193&amp;"-"&amp;TEXT('14U_F_Classic-39 from 40'!B193,"h:mm am/pm")</f>
        <v>14GX-128-bz_5-8 v 9-12-11:00 AM</v>
      </c>
      <c r="AE56" s="331" t="str">
        <f>'18U_F_Classic-44'!L252&amp;"-"&amp;'18U_F_Classic-44'!O252&amp;"-"&amp;TEXT('18U_F_Classic-44'!B252,"h:mm am/pm")</f>
        <v>18GX-140-bz 13-20 qtr-11:00 AM</v>
      </c>
      <c r="AF56" s="339" t="str">
        <f>'16U_F_Classic-45'!L228&amp;"-"&amp;'16U_F_Classic-45'!N228&amp;"-"&amp;TEXT('16U_F_Classic-45'!B228,"h:mm am/pm")</f>
        <v>16GX-124-bz_play to semi-11:00 AM</v>
      </c>
      <c r="AG56" s="339" t="str">
        <f>'16U_F_Classic-45'!L208&amp;"-"&amp;'16U_F_Classic-45'!N208&amp;"-"&amp;TEXT('16U_F_Classic-45'!B208,"h:mm am/pm")</f>
        <v>16GX-130-ag_5-8 v 9-12-11:00 AM</v>
      </c>
      <c r="AI56" s="339" t="str">
        <f>'16U_F_Classic-45'!L193&amp;"-"&amp;'16U_F_Classic-45'!N193&amp;"-"&amp;TEXT('16U_F_Classic-45'!B193,"h:mm am/pm")</f>
        <v>16GX-129-ag_5-8 v 9-12-11:00 AM</v>
      </c>
      <c r="AJ56" s="328" t="str">
        <f>'14U_F_Champ'!L230&amp;"-"&amp;'14U_F_Champ'!N230&amp;"-"&amp;TEXT('14U_F_Champ'!B230,"h:mm am/pm")</f>
        <v>14G-131-au_5-8 v 9-12-11:00 AM</v>
      </c>
      <c r="AK56" s="328" t="str">
        <f>'14U_F_Champ'!L245&amp;"-"&amp;'14U_F_Champ'!N245&amp;"-"&amp;TEXT('14U_F_Champ'!B245,"h:mm am/pm")</f>
        <v>14G-132-au_13-20 qtr-11:00 AM</v>
      </c>
      <c r="AL56" s="325">
        <v>0.45833333333333298</v>
      </c>
      <c r="AM56" s="322"/>
      <c r="AN56" s="329" t="str">
        <f>'16U_F_Champ'!L199&amp;"-"&amp;'16U_F_Champ'!O199&amp;"-"&amp;TEXT('16U_F_Champ'!B199,"h:mm am/pm")</f>
        <v>16G-129-pt_5-8 v 9-12-11:00 AM</v>
      </c>
      <c r="AO56" s="322"/>
      <c r="AP56" s="331" t="str">
        <f>'18U_F_Classic-44'!L222&amp;"-"&amp;'18U_F_Classic-44'!O222&amp;"-"&amp;TEXT('18U_F_Classic-44'!B222,"h:mm am/pm")</f>
        <v>18GX-130-ag 13-20 qtr-11:00 AM</v>
      </c>
      <c r="AQ56" s="322"/>
      <c r="AR56" s="331" t="str">
        <f>'18U_F_Classic-44'!L237&amp;"-"&amp;'18U_F_Classic-44'!O237&amp;"-"&amp;TEXT('18U_F_Classic-44'!B237,"h:mm am/pm")</f>
        <v>18GX-131-bz 5-8 v 9-12-11:00 AM</v>
      </c>
      <c r="AS56" s="331" t="str">
        <f>'18U_F_Classic-44'!L207&amp;"-"&amp;'18U_F_Classic-44'!O207&amp;"-"&amp;TEXT('18U_F_Classic-44'!B207,"h:mm am/pm")</f>
        <v>18GX-129-ag 5-8 v 9-12-11:00 AM</v>
      </c>
      <c r="AU56" s="325">
        <v>0.45833333333333298</v>
      </c>
      <c r="AV56" s="329" t="str">
        <f>'16U_F_Champ'!L214&amp;"-"&amp;'16U_F_Champ'!O214&amp;"-"&amp;TEXT('16U_F_Champ'!B214,"h:mm am/pm")</f>
        <v>16G-130-pt_13-20 qtr-11:00 AM</v>
      </c>
      <c r="AW56" s="329" t="str">
        <f>'16U_F_Champ'!L229&amp;"-"&amp;'16U_F_Champ'!O229&amp;"-"&amp;TEXT('16U_F_Champ'!B229,"h:mm am/pm")</f>
        <v>16G-131-au_5-8 v 9-12-11:00 AM</v>
      </c>
      <c r="AX56" s="322"/>
      <c r="AY56" s="330" t="str">
        <f>'18U_F_Champ'!L205&amp;"-"&amp;'18U_F_Champ'!N205&amp;"-"&amp;TEXT('18U_F_Champ'!B205,"h:mm am/pm")</f>
        <v>18G-129-pt_5-8 v 9-12-11:00 AM</v>
      </c>
      <c r="AZ56" s="330" t="str">
        <f>'18U_F_Champ'!L220&amp;"-"&amp;'18U_F_Champ'!N220&amp;"-"&amp;TEXT('18U_F_Champ'!B220,"h:mm am/pm")</f>
        <v>18G-130-pt_13-20 qtr-11:00 AM</v>
      </c>
      <c r="BA56" s="330" t="str">
        <f>'18U_F_Champ'!L249&amp;"-"&amp;'18U_F_Champ'!N249&amp;"-"&amp;TEXT('18U_F_Champ'!B249,"h:mm am/pm")</f>
        <v>18G-128-au_13-20 qtr-11:00 AM</v>
      </c>
      <c r="BB56" s="330" t="str">
        <f>'18U_F_Champ'!L235&amp;"-"&amp;'18U_F_Champ'!N235&amp;"-"&amp;TEXT('18U_F_Champ'!B235,"h:mm am/pm")</f>
        <v>18G-131-au_5-8 v 9-12-11:00 AM</v>
      </c>
    </row>
    <row r="57" spans="1:57">
      <c r="A57" s="325">
        <v>0.47222222222222199</v>
      </c>
      <c r="B57" s="103" t="str">
        <f>'10U_Coed_Classic 22 from 23'!L115&amp;"-"&amp;'10U_Coed_Classic 22 from 23'!O115&amp;"-"&amp;TEXT('10U_Coed_Classic 22 from 23'!B115,"h:mm am/pm")</f>
        <v>10CX-062-bz_Group-11:20 AM</v>
      </c>
      <c r="C57" s="80" t="str">
        <f>'10U_Coed_Champ_36'!L155&amp;"-"&amp;'10U_Coed_Champ_36'!O155&amp;"-"&amp;TEXT('10U_Coed_Champ_36'!B155,"h:mm am/pm")</f>
        <v>10C-101-pt_1-2 v 3-4-11:20 AM</v>
      </c>
      <c r="D57" s="80" t="str">
        <f>'10U_Coed_Champ_36'!L170&amp;"-"&amp;'10U_Coed_Champ_36'!O170&amp;"-"&amp;TEXT('10U_Coed_Champ_36'!B170,"h:mm am/pm")</f>
        <v>10C-102-pt_13-20 qtr-11:20 AM</v>
      </c>
      <c r="E57" s="46" t="str">
        <f>'10U_F_Champ-18 teams'!L100&amp;"-"&amp;'10U_F_Champ-18 teams'!N100&amp;"-"&amp;TEXT('10U_F_Champ-18 teams'!B100,"h:mm am/pm")</f>
        <v>10G-137-pt_1-2 v 3-4-11:20 AM</v>
      </c>
      <c r="F57" s="322"/>
      <c r="G57" s="80" t="str">
        <f>'10U_Coed_Champ_36'!L185&amp;"-"&amp;'10U_Coed_Champ_36'!O185&amp;"-"&amp;TEXT('10U_Coed_Champ_36'!B185,"h:mm am/pm")</f>
        <v>10C-103-au_1-2 v 3-4-11:20 AM</v>
      </c>
      <c r="I57" s="103" t="str">
        <f>'10U_Coed_Classic 22 from 23'!L100&amp;"-"&amp;'10U_Coed_Classic 22 from 23'!O100&amp;"-"&amp;TEXT('10U_Coed_Classic 22 from 23'!B100,"h:mm am/pm")</f>
        <v>10CX-061-ag_1-2 v 3-4-11:20 AM</v>
      </c>
      <c r="J57" s="325">
        <v>0.47222222222222199</v>
      </c>
      <c r="K57" s="319" t="str">
        <f>'12U_Coed_Champ-45'!L212&amp;"-"&amp;'12U_Coed_Champ-45'!N212&amp;"-"&amp;TEXT('12U_Coed_Champ-45'!B212,"h:mm am/pm")</f>
        <v>12C-134-pt_13-20 qtr-11:20 AM</v>
      </c>
      <c r="L57" s="319" t="str">
        <f>'12U_Coed_Champ-45'!L245&amp;"-"&amp;'12U_Coed_Champ-45'!N245&amp;"-"&amp;TEXT('12U_Coed_Champ-45'!B245,"h:mm am/pm")</f>
        <v>12C-123-au_play to semi-11:20 AM</v>
      </c>
      <c r="M57" s="319" t="str">
        <f>'12U_Coed_Champ-45'!L197&amp;"-"&amp;'12U_Coed_Champ-45'!N197&amp;"-"&amp;TEXT('12U_Coed_Champ-45'!B197,"h:mm am/pm")</f>
        <v>12C-133-pt_13-20 qtr-11:20 AM</v>
      </c>
      <c r="N57" s="319" t="str">
        <f>'12U_Coed_Champ-45'!L231&amp;"-"&amp;'12U_Coed_Champ-45'!N231&amp;"-"&amp;TEXT('12U_Coed_Champ-45'!B231,"h:mm am/pm")</f>
        <v>12C-124-au_play to semi-11:20 AM</v>
      </c>
      <c r="O57" s="325">
        <v>0.5</v>
      </c>
      <c r="P57" s="326"/>
      <c r="Q57" s="449" t="str">
        <f>'12U_F_Champ-52'!L244&amp;"-"&amp;'12U_F_Champ-52'!N244&amp;"-"&amp;TEXT('12U_F_Champ-52'!B244,"h:mm am/pm")</f>
        <v>12G-133-pt_W to semi, L to play-in 1v4-11:20 AM</v>
      </c>
      <c r="R57" s="449" t="str">
        <f>'12U_F_Champ-52'!L261&amp;"-"&amp;'12U_F_Champ-52'!N261&amp;"-"&amp;TEXT('12U_F_Champ-52'!B261,"h:mm am/pm")</f>
        <v>12G-137-pt_17th-24th-11:20 AM</v>
      </c>
      <c r="S57" s="449" t="str">
        <f>'12U_F_Champ-52'!L279&amp;"-"&amp;'12U_F_Champ-52'!N279&amp;"-"&amp;TEXT('12U_F_Champ-52'!B279,"h:mm am/pm")</f>
        <v>12G-135-au_ 21-28 W1/W4-11:20 AM</v>
      </c>
      <c r="T57" s="449" t="str">
        <f>'12U_F_Champ-52'!L297&amp;"-"&amp;'12U_F_Champ-52'!N297&amp;"-"&amp;TEXT('12U_F_Champ-52'!B297,"h:mm am/pm")</f>
        <v>12G-132-au_21-28 V1/V4-11:20 AM</v>
      </c>
      <c r="U57" s="325">
        <v>0.5</v>
      </c>
      <c r="V57" s="328" t="str">
        <f>'14U_F_Champ'!L201&amp;"-"&amp;'14U_F_Champ'!N201&amp;"-"&amp;TEXT('14U_F_Champ'!B201,"h:mm am/pm")</f>
        <v>14G-133-pt_1-2 v 3-4-12:00 PM</v>
      </c>
      <c r="W57" s="450" t="str">
        <f>'14U_F_Classic-39 from 40'!L220&amp;"-"&amp;'14U_F_Classic-39 from 40'!N220&amp;"-"&amp;TEXT('14U_F_Classic-39 from 40'!B220,"h:mm am/pm")</f>
        <v>14GX-141-ag_21-24 RR-12:00 PM</v>
      </c>
      <c r="X57" s="450" t="str">
        <f>'14U_F_Classic-39 from 40'!L207&amp;"-"&amp;'14U_F_Classic-39 from 40'!N207&amp;"-"&amp;TEXT('14U_F_Classic-39 from 40'!B207,"h:mm am/pm")</f>
        <v>14GX-163-bz_play to semi-12:00 PM</v>
      </c>
      <c r="Y57" s="451"/>
      <c r="Z57" s="325">
        <v>0.5</v>
      </c>
      <c r="AA57" s="450" t="str">
        <f>'14U_F_Classic-39 from 40'!L233&amp;"-"&amp;'14U_F_Classic-39 from 40'!N233&amp;"-"&amp;TEXT('14U_F_Classic-39 from 40'!B233,"h:mm am/pm")</f>
        <v>14GX-142-ag_21-24 RR-12:00 PM</v>
      </c>
      <c r="AB57" s="328" t="str">
        <f>'14U_F_Champ'!L216&amp;"-"&amp;'14U_F_Champ'!N216&amp;"-"&amp;TEXT('14U_F_Champ'!B216,"h:mm am/pm")</f>
        <v>14G-134-pt_13-20 qtr-12:00 PM</v>
      </c>
      <c r="AC57" s="322"/>
      <c r="AD57" s="450" t="str">
        <f>'14U_F_Classic-39 from 40'!L194&amp;"-"&amp;'14U_F_Classic-39 from 40'!N194&amp;"-"&amp;TEXT('14U_F_Classic-39 from 40'!B194,"h:mm am/pm")</f>
        <v>14GX-117-ag_21-24 RR-12:00 PM</v>
      </c>
      <c r="AE57" s="329" t="str">
        <f>'16U_F_Champ'!L241&amp;"-"&amp;'16U_F_Champ'!O241&amp;"-"&amp;TEXT('16U_F_Champ'!B241,"h:mm am/pm")</f>
        <v>16G-120-au_21-24 RR-12:00 PM</v>
      </c>
      <c r="AF57" s="339" t="str">
        <f>'16U_F_Classic-45'!L229&amp;"-"&amp;'16U_F_Classic-45'!N229&amp;"-"&amp;TEXT('16U_F_Classic-45'!B229,"h:mm am/pm")</f>
        <v>16GX-140-bz_bracket-12:00 PM</v>
      </c>
      <c r="AG57" s="339" t="str">
        <f>'16U_F_Classic-45'!L209&amp;"-"&amp;'16U_F_Classic-45'!N209&amp;"-"&amp;TEXT('16U_F_Classic-45'!B209,"h:mm am/pm")</f>
        <v>16GX-134-ag_13-20 qtr-12:00 PM</v>
      </c>
      <c r="AH57" s="339" t="str">
        <f>'16U_F_Classic-45'!L242&amp;"-"&amp;'16U_F_Classic-45'!N242&amp;"-"&amp;TEXT('16U_F_Classic-45'!B242,"h:mm am/pm")</f>
        <v>16GX-123-bz_play to semi-12:00 PM</v>
      </c>
      <c r="AI57" s="339" t="str">
        <f>'16U_F_Classic-45'!L194&amp;"-"&amp;'16U_F_Classic-45'!N194&amp;"-"&amp;TEXT('16U_F_Classic-45'!B194,"h:mm am/pm")</f>
        <v>16GX-133-ag_13-20 qtr-12:00 PM</v>
      </c>
      <c r="AJ57" s="328" t="str">
        <f>'14U_F_Champ'!L231&amp;"-"&amp;'14U_F_Champ'!N231&amp;"-"&amp;TEXT('14U_F_Champ'!B231,"h:mm am/pm")</f>
        <v>14G-135-au_1-2 v 3-4-12:00 PM</v>
      </c>
      <c r="AK57" s="328" t="str">
        <f>'14U_F_Champ'!L246&amp;"-"&amp;'14U_F_Champ'!N246&amp;"-"&amp;TEXT('14U_F_Champ'!B246,"h:mm am/pm")</f>
        <v>14G-136-au_13-20 qtr-12:00 PM</v>
      </c>
      <c r="AL57" s="325">
        <v>0.5</v>
      </c>
      <c r="AM57" s="322"/>
      <c r="AN57" s="329" t="str">
        <f>'16U_F_Champ'!L200&amp;"-"&amp;'16U_F_Champ'!O200&amp;"-"&amp;TEXT('16U_F_Champ'!B200,"h:mm am/pm")</f>
        <v>16G-133-pt_1-2 v 3-4-12:00 PM</v>
      </c>
      <c r="AO57" s="322"/>
      <c r="AP57" s="331" t="str">
        <f>'18U_F_Classic-44'!L223&amp;"-"&amp;'18U_F_Classic-44'!O223&amp;"-"&amp;TEXT('18U_F_Classic-44'!B223,"h:mm am/pm")</f>
        <v>18GX-134-ag 13-20 qtr-12:00 PM</v>
      </c>
      <c r="AQ57" s="322"/>
      <c r="AR57" s="331" t="str">
        <f>'18U_F_Classic-44'!L238&amp;"-"&amp;'18U_F_Classic-44'!O238&amp;"-"&amp;TEXT('18U_F_Classic-44'!B238,"h:mm am/pm")</f>
        <v>18GX-135-bz 1-2 v 3-4-12:00 PM</v>
      </c>
      <c r="AS57" s="331" t="str">
        <f>'18U_F_Classic-44'!L208&amp;"-"&amp;'18U_F_Classic-44'!O208&amp;"-"&amp;TEXT('18U_F_Classic-44'!B208,"h:mm am/pm")</f>
        <v>18GX-133-ag 1-2 v 3-4-12:00 PM</v>
      </c>
      <c r="AU57" s="325">
        <v>0.5</v>
      </c>
      <c r="AV57" s="329" t="str">
        <f>'16U_F_Champ'!L215&amp;"-"&amp;'16U_F_Champ'!O215&amp;"-"&amp;TEXT('16U_F_Champ'!B215,"h:mm am/pm")</f>
        <v>16G-134-pt_13-20 qtr-12:00 PM</v>
      </c>
      <c r="AW57" s="329" t="str">
        <f>'16U_F_Champ'!L230&amp;"-"&amp;'16U_F_Champ'!O230&amp;"-"&amp;TEXT('16U_F_Champ'!B230,"h:mm am/pm")</f>
        <v>16G-135-au_1-2 v 3-4-12:00 PM</v>
      </c>
      <c r="AX57" s="322"/>
      <c r="AY57" s="330" t="str">
        <f>'18U_F_Champ'!L206&amp;"-"&amp;'18U_F_Champ'!N206&amp;"-"&amp;TEXT('18U_F_Champ'!B206,"h:mm am/pm")</f>
        <v>18G-133-pt_1-2 v 3-4-12:00 PM</v>
      </c>
      <c r="AZ57" s="330" t="str">
        <f>'18U_F_Champ'!L221&amp;"-"&amp;'18U_F_Champ'!N221&amp;"-"&amp;TEXT('18U_F_Champ'!B221,"h:mm am/pm")</f>
        <v>18G-134-pt_13-20 qtr-12:00 PM</v>
      </c>
      <c r="BA57" s="330" t="str">
        <f>'18U_F_Champ'!L250&amp;"-"&amp;'18U_F_Champ'!N250&amp;"-"&amp;TEXT('18U_F_Champ'!B250,"h:mm am/pm")</f>
        <v>18G-132-au_13-20 qtr-12:00 PM</v>
      </c>
      <c r="BB57" s="330" t="str">
        <f>'18U_F_Champ'!L236&amp;"-"&amp;'18U_F_Champ'!N236&amp;"-"&amp;TEXT('18U_F_Champ'!B236,"h:mm am/pm")</f>
        <v>18G-135-au_1-2 v 3-4-12:00 PM</v>
      </c>
    </row>
    <row r="58" spans="1:57">
      <c r="A58" s="325">
        <v>0.50694444444444398</v>
      </c>
      <c r="B58" s="103" t="str">
        <f>'10U_Coed_Classic 22 from 23'!L116&amp;"-"&amp;'10U_Coed_Classic 22 from 23'!O116&amp;"-"&amp;TEXT('10U_Coed_Classic 22 from 23'!B116,"h:mm am/pm")</f>
        <v>10CX-064-bz_Group-12:10 PM</v>
      </c>
      <c r="C58" s="80" t="str">
        <f>'10U_Coed_Champ_36'!L156&amp;"-"&amp;'10U_Coed_Champ_36'!O156&amp;"-"&amp;TEXT('10U_Coed_Champ_36'!B156,"h:mm am/pm")</f>
        <v>10C-104-pt_1-2 v 3-4-12:10 PM</v>
      </c>
      <c r="D58" s="80" t="str">
        <f>'10U_Coed_Champ_36'!L171&amp;"-"&amp;'10U_Coed_Champ_36'!O171&amp;"-"&amp;TEXT('10U_Coed_Champ_36'!B171,"h:mm am/pm")</f>
        <v>10C-105-pt_13-20 qtr-12:10 PM</v>
      </c>
      <c r="E58" s="46" t="str">
        <f>'10U_F_Champ-18 teams'!L101&amp;"-"&amp;'10U_F_Champ-18 teams'!N101&amp;"-"&amp;TEXT('10U_F_Champ-18 teams'!B101,"h:mm am/pm")</f>
        <v>10G-141-pt_1-2 v 3-4-12:10 PM</v>
      </c>
      <c r="F58" s="322"/>
      <c r="G58" s="80" t="str">
        <f>'10U_Coed_Champ_36'!L186&amp;"-"&amp;'10U_Coed_Champ_36'!O186&amp;"-"&amp;TEXT('10U_Coed_Champ_36'!B186,"h:mm am/pm")</f>
        <v>10C-106-au_1-2 v 3-4-12:10 PM</v>
      </c>
      <c r="H58" s="46" t="str">
        <f>'10U_F_Champ-18 teams'!L114&amp;"-"&amp;'10U_F_Champ-18 teams'!N114&amp;"-"&amp;TEXT('10U_F_Champ-18 teams'!B114,"h:mm am/pm")</f>
        <v>10G-130-au_Group-12:10 PM</v>
      </c>
      <c r="I58" s="103" t="str">
        <f>'10U_Coed_Classic 22 from 23'!L101&amp;"-"&amp;'10U_Coed_Classic 22 from 23'!O101&amp;"-"&amp;TEXT('10U_Coed_Classic 22 from 23'!B101,"h:mm am/pm")</f>
        <v>10CX-063-ag_5-6 v 7-8-12:10 PM</v>
      </c>
      <c r="J58" s="325">
        <v>0.50694444444444398</v>
      </c>
      <c r="K58" s="319" t="str">
        <f>'12U_Coed_Champ-45'!L213&amp;"-"&amp;'12U_Coed_Champ-45'!N213&amp;"-"&amp;TEXT('12U_Coed_Champ-45'!B213,"h:mm am/pm")</f>
        <v>12C-138-pt_13-20 qtr-12:10 PM</v>
      </c>
      <c r="L58" s="319" t="str">
        <f>'12U_Coed_Champ-45'!L246&amp;"-"&amp;'12U_Coed_Champ-45'!N246&amp;"-"&amp;TEXT('12U_Coed_Champ-45'!B246,"h:mm am/pm")</f>
        <v>12C-139-au_bracket-12:10 PM</v>
      </c>
      <c r="M58" s="319" t="str">
        <f>'12U_Coed_Champ-45'!L198&amp;"-"&amp;'12U_Coed_Champ-45'!N198&amp;"-"&amp;TEXT('12U_Coed_Champ-45'!B198,"h:mm am/pm")</f>
        <v>12C-137-pt_13-20 qtr-12:10 PM</v>
      </c>
      <c r="N58" s="319" t="str">
        <f>'12U_Coed_Champ-45'!L232&amp;"-"&amp;'12U_Coed_Champ-45'!N232&amp;"-"&amp;TEXT('12U_Coed_Champ-45'!B232,"h:mm am/pm")</f>
        <v>12C-140-au_bracket-12:10 PM</v>
      </c>
      <c r="O58" s="325">
        <v>0.54166666666666696</v>
      </c>
      <c r="P58" s="326"/>
      <c r="Q58" s="449" t="str">
        <f>'12U_F_Champ-52'!L245&amp;"-"&amp;'12U_F_Champ-52'!N245&amp;"-"&amp;TEXT('12U_F_Champ-52'!B245,"h:mm am/pm")</f>
        <v>12G-136-pt_W to semi, L to play-in 2v3-12:10 PM</v>
      </c>
      <c r="R58" s="449" t="str">
        <f>'12U_F_Champ-52'!L262&amp;"-"&amp;'12U_F_Champ-52'!N262&amp;"-"&amp;TEXT('12U_F_Champ-52'!B262,"h:mm am/pm")</f>
        <v>12G-140-pt_17th-24th-12:10 PM</v>
      </c>
      <c r="S58" s="449" t="str">
        <f>'12U_F_Champ-52'!L280&amp;"-"&amp;'12U_F_Champ-52'!N280&amp;"-"&amp;TEXT('12U_F_Champ-52'!B280,"h:mm am/pm")</f>
        <v>12G-147-au_21-28 W2/W3-12:10 PM</v>
      </c>
      <c r="T58" s="449" t="str">
        <f>'12U_F_Champ-52'!L298&amp;"-"&amp;'12U_F_Champ-52'!N298&amp;"-"&amp;TEXT('12U_F_Champ-52'!B298,"h:mm am/pm")</f>
        <v>12G-138-au_W to semi, L to play-in-12:10 PM</v>
      </c>
      <c r="U58" s="325">
        <v>0.54166666666666696</v>
      </c>
      <c r="V58" s="328" t="str">
        <f>'14U_F_Champ'!L202&amp;"-"&amp;'14U_F_Champ'!N202&amp;"-"&amp;TEXT('14U_F_Champ'!B202,"h:mm am/pm")</f>
        <v>14G-137-pt_1-2 v 3-4-1:00 PM</v>
      </c>
      <c r="W58" s="450" t="str">
        <f>'14U_F_Classic-39 from 40'!L221&amp;"-"&amp;'14U_F_Classic-39 from 40'!N221&amp;"-"&amp;TEXT('14U_F_Classic-39 from 40'!B221,"h:mm am/pm")</f>
        <v>14GX-145-ag_5-6 vs 7-8-1:00 PM</v>
      </c>
      <c r="X58" s="450" t="str">
        <f>'14U_F_Classic-39 from 40'!L208&amp;"-"&amp;'14U_F_Classic-39 from 40'!N208&amp;"-"&amp;TEXT('14U_F_Classic-39 from 40'!B208,"h:mm am/pm")</f>
        <v>14GX-155-bz_13-15 RR-1:00 PM</v>
      </c>
      <c r="Y58" s="451"/>
      <c r="Z58" s="325">
        <v>0.54166666666666696</v>
      </c>
      <c r="AA58" s="450" t="str">
        <f>'14U_F_Classic-39 from 40'!L234&amp;"-"&amp;'14U_F_Classic-39 from 40'!N234&amp;"-"&amp;TEXT('14U_F_Classic-39 from 40'!B234,"h:mm am/pm")</f>
        <v>14GX-146-ag_5-6 vs 7-8-1:00 PM</v>
      </c>
      <c r="AB58" s="328" t="str">
        <f>'14U_F_Champ'!L217&amp;"-"&amp;'14U_F_Champ'!N217&amp;"-"&amp;TEXT('14U_F_Champ'!B217,"h:mm am/pm")</f>
        <v>14G-138-pt_13-20 qtr-1:00 PM</v>
      </c>
      <c r="AC58" s="322"/>
      <c r="AD58" s="450" t="str">
        <f>'14U_F_Classic-39 from 40'!L195&amp;"-"&amp;'14U_F_Classic-39 from 40'!N195&amp;"-"&amp;TEXT('14U_F_Classic-39 from 40'!B195,"h:mm am/pm")</f>
        <v>14GX-123-bz_1-2 v 3-4-1:00 PM</v>
      </c>
      <c r="AE58" s="329" t="str">
        <f>'16U_F_Champ'!L242&amp;"-"&amp;'16U_F_Champ'!O242&amp;"-"&amp;TEXT('16U_F_Champ'!B242,"h:mm am/pm")</f>
        <v>16G-124-au_21-24 RR-1:00 PM</v>
      </c>
      <c r="AF58" s="339" t="str">
        <f>'16U_F_Classic-45'!L230&amp;"-"&amp;'16U_F_Classic-45'!N230&amp;"-"&amp;TEXT('16U_F_Classic-45'!B230,"h:mm am/pm")</f>
        <v>16GX-148-bz_1-2 v 3-4-1:00 PM</v>
      </c>
      <c r="AG58" s="339" t="str">
        <f>'16U_F_Classic-45'!L210&amp;"-"&amp;'16U_F_Classic-45'!N210&amp;"-"&amp;TEXT('16U_F_Classic-45'!B210,"h:mm am/pm")</f>
        <v>16GX-138-ag_13-20 qtr-1:00 PM</v>
      </c>
      <c r="AH58" s="339" t="str">
        <f>'16U_F_Classic-45'!L243&amp;"-"&amp;'16U_F_Classic-45'!N243&amp;"-"&amp;TEXT('16U_F_Classic-45'!B243,"h:mm am/pm")</f>
        <v>16GX-139-bz_bracket-1:00 PM</v>
      </c>
      <c r="AI58" s="339" t="str">
        <f>'16U_F_Classic-45'!L195&amp;"-"&amp;'16U_F_Classic-45'!N195&amp;"-"&amp;TEXT('16U_F_Classic-45'!B195,"h:mm am/pm")</f>
        <v>16GX-137-ag_13-20 qtr-1:00 PM</v>
      </c>
      <c r="AJ58" s="328" t="str">
        <f>'14U_F_Champ'!L232&amp;"-"&amp;'14U_F_Champ'!N232&amp;"-"&amp;TEXT('14U_F_Champ'!B232,"h:mm am/pm")</f>
        <v>14G-139-au_1-2 v 3-4-1:00 PM</v>
      </c>
      <c r="AK58" s="328" t="str">
        <f>'14U_F_Champ'!L247&amp;"-"&amp;'14U_F_Champ'!N247&amp;"-"&amp;TEXT('14U_F_Champ'!B247,"h:mm am/pm")</f>
        <v>14G-140-au_13-20 qtr-1:00 PM</v>
      </c>
      <c r="AL58" s="325">
        <v>0.54166666666666696</v>
      </c>
      <c r="AM58" s="322"/>
      <c r="AN58" s="329" t="str">
        <f>'16U_F_Champ'!L201&amp;"-"&amp;'16U_F_Champ'!O201&amp;"-"&amp;TEXT('16U_F_Champ'!B201,"h:mm am/pm")</f>
        <v>16G-137-pt_1-2 v 3-4-1:00 PM</v>
      </c>
      <c r="AO58" s="322"/>
      <c r="AP58" s="331" t="str">
        <f>'18U_F_Classic-44'!L224&amp;"-"&amp;'18U_F_Classic-44'!O224&amp;"-"&amp;TEXT('18U_F_Classic-44'!B224,"h:mm am/pm")</f>
        <v>18GX-138-ag 13-20 qtr-1:00 PM</v>
      </c>
      <c r="AQ58" s="322"/>
      <c r="AR58" s="331" t="str">
        <f>'18U_F_Classic-44'!L239&amp;"-"&amp;'18U_F_Classic-44'!O239&amp;"-"&amp;TEXT('18U_F_Classic-44'!B239,"h:mm am/pm")</f>
        <v>18GX-139-bz 1-2 v 3-4-1:00 PM</v>
      </c>
      <c r="AS58" s="331" t="str">
        <f>'18U_F_Classic-44'!L209&amp;"-"&amp;'18U_F_Classic-44'!O209&amp;"-"&amp;TEXT('18U_F_Classic-44'!B209,"h:mm am/pm")</f>
        <v>18GX-137-ag 1-2 v 3-4-1:00 PM</v>
      </c>
      <c r="AU58" s="325">
        <v>0.54166666666666696</v>
      </c>
      <c r="AV58" s="329" t="str">
        <f>'16U_F_Champ'!L216&amp;"-"&amp;'16U_F_Champ'!O216&amp;"-"&amp;TEXT('16U_F_Champ'!B216,"h:mm am/pm")</f>
        <v>16G-138-pt_13-20 qtr-1:00 PM</v>
      </c>
      <c r="AW58" s="329" t="str">
        <f>'16U_F_Champ'!L231&amp;"-"&amp;'16U_F_Champ'!O231&amp;"-"&amp;TEXT('16U_F_Champ'!B231,"h:mm am/pm")</f>
        <v>16G-139-au_1-2 v 3-4-1:00 PM</v>
      </c>
      <c r="AX58" s="322"/>
      <c r="AY58" s="330" t="str">
        <f>'18U_F_Champ'!L207&amp;"-"&amp;'18U_F_Champ'!N207&amp;"-"&amp;TEXT('18U_F_Champ'!B207,"h:mm am/pm")</f>
        <v>18G-137-pt_1-2 v 3-4-1:00 PM</v>
      </c>
      <c r="AZ58" s="330" t="str">
        <f>'18U_F_Champ'!L222&amp;"-"&amp;'18U_F_Champ'!N222&amp;"-"&amp;TEXT('18U_F_Champ'!B222,"h:mm am/pm")</f>
        <v>18G-138-pt_13-20 qtr-1:00 PM</v>
      </c>
      <c r="BA58" s="330" t="str">
        <f>'18U_F_Champ'!L251&amp;"-"&amp;'18U_F_Champ'!N251&amp;"-"&amp;TEXT('18U_F_Champ'!B251,"h:mm am/pm")</f>
        <v>18G-136-au_13-20 qtr-1:00 PM</v>
      </c>
      <c r="BB58" s="330" t="str">
        <f>'18U_F_Champ'!L237&amp;"-"&amp;'18U_F_Champ'!N237&amp;"-"&amp;TEXT('18U_F_Champ'!B237,"h:mm am/pm")</f>
        <v>18G-139-au_1-2 v 3-4-1:00 PM</v>
      </c>
    </row>
    <row r="59" spans="1:57">
      <c r="A59" s="325">
        <v>0.54166666666666696</v>
      </c>
      <c r="B59" s="103" t="str">
        <f>'10U_Coed_Classic 22 from 23'!L117&amp;"-"&amp;'10U_Coed_Classic 22 from 23'!O117&amp;"-"&amp;TEXT('10U_Coed_Classic 22 from 23'!B117,"h:mm am/pm")</f>
        <v>10CX-066-bz_Group-1:00 PM</v>
      </c>
      <c r="C59" s="80" t="str">
        <f>'10U_Coed_Champ_36'!L157&amp;"-"&amp;'10U_Coed_Champ_36'!O157&amp;"-"&amp;TEXT('10U_Coed_Champ_36'!B157,"h:mm am/pm")</f>
        <v>10C-107-pt_5-6 v 7-8-1:00 PM</v>
      </c>
      <c r="D59" s="80" t="str">
        <f>'10U_Coed_Champ_36'!L172&amp;"-"&amp;'10U_Coed_Champ_36'!O172&amp;"-"&amp;TEXT('10U_Coed_Champ_36'!B172,"h:mm am/pm")</f>
        <v>10C-108-pt_21-24 RR-1:00 PM</v>
      </c>
      <c r="E59" s="46" t="str">
        <f>'10U_F_Champ-18 teams'!L102&amp;"-"&amp;'10U_F_Champ-18 teams'!N102&amp;"-"&amp;TEXT('10U_F_Champ-18 teams'!B102,"h:mm am/pm")</f>
        <v>10G-145-pt_5-6 v 7-8-1:00 PM</v>
      </c>
      <c r="F59" s="322"/>
      <c r="G59" s="80" t="str">
        <f>'10U_Coed_Champ_36'!L187&amp;"-"&amp;'10U_Coed_Champ_36'!O187&amp;"-"&amp;TEXT('10U_Coed_Champ_36'!B187,"h:mm am/pm")</f>
        <v>10C-109-au_5-6 v 7-8-1:00 PM</v>
      </c>
      <c r="H59" s="46" t="str">
        <f>'10U_F_Champ-18 teams'!L115&amp;"-"&amp;'10U_F_Champ-18 teams'!N115&amp;"-"&amp;TEXT('10U_F_Champ-18 teams'!B115,"h:mm am/pm")</f>
        <v>10G-134-au_Group-1:00 PM</v>
      </c>
      <c r="I59" s="103" t="str">
        <f>'10U_Coed_Classic 22 from 23'!L102&amp;"-"&amp;'10U_Coed_Classic 22 from 23'!O102&amp;"-"&amp;TEXT('10U_Coed_Classic 22 from 23'!B102,"h:mm am/pm")</f>
        <v>10CX-065-ag_1-2 v 3-4-1:00 PM</v>
      </c>
      <c r="J59" s="325">
        <v>0.54166666666666696</v>
      </c>
      <c r="K59" s="319" t="str">
        <f>'12U_Coed_Champ-45'!L214&amp;"-"&amp;'12U_Coed_Champ-45'!N214&amp;"-"&amp;TEXT('12U_Coed_Champ-45'!B214,"h:mm am/pm")</f>
        <v>12C-142-pt_21-24 RR-1:00 PM</v>
      </c>
      <c r="L59" s="319" t="str">
        <f>'12U_Coed_Champ-45'!L247&amp;"-"&amp;'12U_Coed_Champ-45'!N247&amp;"-"&amp;TEXT('12U_Coed_Champ-45'!B247,"h:mm am/pm")</f>
        <v>12C-147-au_1-2 v 3-4-1:00 PM</v>
      </c>
      <c r="M59" s="319" t="str">
        <f>'12U_Coed_Champ-45'!L199&amp;"-"&amp;'12U_Coed_Champ-45'!N199&amp;"-"&amp;TEXT('12U_Coed_Champ-45'!B199,"h:mm am/pm")</f>
        <v>12C-141-pt_21-24 RR-1:00 PM</v>
      </c>
      <c r="N59" s="319" t="str">
        <f>'12U_Coed_Champ-45'!L233&amp;"-"&amp;'12U_Coed_Champ-45'!N233&amp;"-"&amp;TEXT('12U_Coed_Champ-45'!B233,"h:mm am/pm")</f>
        <v>12C-148-au_1-2 v 3-4-1:00 PM</v>
      </c>
      <c r="O59" s="325">
        <v>0.58333333333333304</v>
      </c>
      <c r="P59" s="326"/>
      <c r="Q59" s="449" t="str">
        <f>'12U_F_Champ-52'!L246&amp;"-"&amp;'12U_F_Champ-52'!N246&amp;"-"&amp;TEXT('12U_F_Champ-52'!B246,"h:mm am/pm")</f>
        <v>12G-139-pt_W to play-in-1:00 PM</v>
      </c>
      <c r="R59" s="449" t="str">
        <f>'12U_F_Champ-52'!L263&amp;"-"&amp;'12U_F_Champ-52'!N263&amp;"-"&amp;TEXT('12U_F_Champ-52'!B263,"h:mm am/pm")</f>
        <v>12G-117-pt_9-16 QF-1:00 PM</v>
      </c>
      <c r="S59" s="449" t="str">
        <f>'12U_F_Champ-52'!L281&amp;"-"&amp;'12U_F_Champ-52'!N281&amp;"-"&amp;TEXT('12U_F_Champ-52'!B281,"h:mm am/pm")</f>
        <v>12G-131-au_9-16 QF-1:00 PM</v>
      </c>
      <c r="T59" s="449" t="str">
        <f>'12U_F_Champ-52'!L299&amp;"-"&amp;'12U_F_Champ-52'!N299&amp;"-"&amp;TEXT('12U_F_Champ-52'!B299,"h:mm am/pm")</f>
        <v>12G-144-au_21-28 V2/V3-1:00 PM</v>
      </c>
      <c r="U59" s="325">
        <v>0.58333333333333304</v>
      </c>
      <c r="V59" s="328" t="str">
        <f>'14U_F_Champ'!L203&amp;"-"&amp;'14U_F_Champ'!N203&amp;"-"&amp;TEXT('14U_F_Champ'!B203,"h:mm am/pm")</f>
        <v>14G-141-pt_5-6 v 7-8-2:00 PM</v>
      </c>
      <c r="W59" s="450" t="str">
        <f>'14U_F_Classic-39 from 40'!L222&amp;"-"&amp;'14U_F_Classic-39 from 40'!N222&amp;"-"&amp;TEXT('14U_F_Classic-39 from 40'!B222,"h:mm am/pm")</f>
        <v>14GX-149-ag_9-12 semi-2:00 PM</v>
      </c>
      <c r="X59" s="450" t="str">
        <f>'14U_F_Classic-39 from 40'!L209&amp;"-"&amp;'14U_F_Classic-39 from 40'!N209&amp;"-"&amp;TEXT('14U_F_Classic-39 from 40'!B209,"h:mm am/pm")</f>
        <v>14GX-148-bz_5-6 vs 7-8-2:00 PM</v>
      </c>
      <c r="Y59" s="451"/>
      <c r="Z59" s="325">
        <v>0.58333333333333304</v>
      </c>
      <c r="AA59" s="450" t="str">
        <f>'14U_F_Classic-39 from 40'!L235&amp;"-"&amp;'14U_F_Classic-39 from 40'!N235&amp;"-"&amp;TEXT('14U_F_Classic-39 from 40'!B235,"h:mm am/pm")</f>
        <v>14GX-150-ag_9-12 semi-2:00 PM</v>
      </c>
      <c r="AB59" s="328" t="str">
        <f>'14U_F_Champ'!L218&amp;"-"&amp;'14U_F_Champ'!N218&amp;"-"&amp;TEXT('14U_F_Champ'!B218,"h:mm am/pm")</f>
        <v>14G-142-pt_21-24 RR-2:00 PM</v>
      </c>
      <c r="AC59" s="322"/>
      <c r="AD59" s="450" t="str">
        <f>'14U_F_Classic-39 from 40'!L196&amp;"-"&amp;'14U_F_Classic-39 from 40'!N196&amp;"-"&amp;TEXT('14U_F_Classic-39 from 40'!B196,"h:mm am/pm")</f>
        <v>14GX-124-bz_1-2 v 3-4-2:00 PM</v>
      </c>
      <c r="AF59" s="339" t="str">
        <f>'16U_F_Classic-45'!L231&amp;"-"&amp;'16U_F_Classic-45'!N231&amp;"-"&amp;TEXT('16U_F_Classic-45'!B231,"h:mm am/pm")</f>
        <v>16GX-144-bz_19-21 RR-2:00 PM</v>
      </c>
      <c r="AG59" s="339" t="str">
        <f>'16U_F_Classic-45'!L211&amp;"-"&amp;'16U_F_Classic-45'!N211&amp;"-"&amp;TEXT('16U_F_Classic-45'!B211,"h:mm am/pm")</f>
        <v>16GX-142-ag_21-24 RR-2:00 PM</v>
      </c>
      <c r="AH59" s="339" t="str">
        <f>'16U_F_Classic-45'!L244&amp;"-"&amp;'16U_F_Classic-45'!N244&amp;"-"&amp;TEXT('16U_F_Classic-45'!B244,"h:mm am/pm")</f>
        <v>16GX-147-bz_1-2 v 3-4-2:00 PM</v>
      </c>
      <c r="AI59" s="339" t="str">
        <f>'16U_F_Classic-45'!L196&amp;"-"&amp;'16U_F_Classic-45'!N196&amp;"-"&amp;TEXT('16U_F_Classic-45'!B196,"h:mm am/pm")</f>
        <v>16GX-141-ag_21-24 RR-2:00 PM</v>
      </c>
      <c r="AJ59" s="328" t="str">
        <f>'14U_F_Champ'!L233&amp;"-"&amp;'14U_F_Champ'!N233&amp;"-"&amp;TEXT('14U_F_Champ'!B233,"h:mm am/pm")</f>
        <v>14G-143-au_5-6 v 7-8-2:00 PM</v>
      </c>
      <c r="AK59" s="328" t="str">
        <f>'14U_F_Champ'!L248&amp;"-"&amp;'14U_F_Champ'!N248&amp;"-"&amp;TEXT('14U_F_Champ'!B248,"h:mm am/pm")</f>
        <v>14G-144-au_21-24 RR-2:00 PM</v>
      </c>
      <c r="AL59" s="325">
        <v>0.58333333333333304</v>
      </c>
      <c r="AM59" s="322"/>
      <c r="AN59" s="329" t="str">
        <f>'16U_F_Champ'!L202&amp;"-"&amp;'16U_F_Champ'!O202&amp;"-"&amp;TEXT('16U_F_Champ'!B202,"h:mm am/pm")</f>
        <v>16G-141-pt_5-6 v 7-8-2:00 PM</v>
      </c>
      <c r="AO59" s="322"/>
      <c r="AP59" s="331" t="str">
        <f>'18U_F_Classic-44'!L225&amp;"-"&amp;'18U_F_Classic-44'!O225&amp;"-"&amp;TEXT('18U_F_Classic-44'!B225,"h:mm am/pm")</f>
        <v>18GX-142-ag 21-24 RR-2:00 PM</v>
      </c>
      <c r="AQ59" s="331" t="str">
        <f>'18U_F_Classic-44'!L256&amp;"-"&amp;'18U_F_Classic-44'!O256&amp;"-"&amp;TEXT('18U_F_Classic-44'!B256,"h:mm am/pm")</f>
        <v>18GX-152-bz 13-16 semi-2:00 PM</v>
      </c>
      <c r="AR59" s="331" t="str">
        <f>'18U_F_Classic-44'!L240&amp;"-"&amp;'18U_F_Classic-44'!O240&amp;"-"&amp;TEXT('18U_F_Classic-44'!B240,"h:mm am/pm")</f>
        <v>18GX-143-bz 5-6 v 7-8-2:00 PM</v>
      </c>
      <c r="AS59" s="331" t="str">
        <f>'18U_F_Classic-44'!L210&amp;"-"&amp;'18U_F_Classic-44'!O210&amp;"-"&amp;TEXT('18U_F_Classic-44'!B210,"h:mm am/pm")</f>
        <v>18GX-141-ag 5-6 v 7-8-2:00 PM</v>
      </c>
      <c r="AU59" s="325">
        <v>0.58333333333333304</v>
      </c>
      <c r="AV59" s="329" t="str">
        <f>'16U_F_Champ'!L217&amp;"-"&amp;'16U_F_Champ'!O217&amp;"-"&amp;TEXT('16U_F_Champ'!B217,"h:mm am/pm")</f>
        <v>16G-142-pt_21-24 RR-2:00 PM</v>
      </c>
      <c r="AW59" s="329" t="str">
        <f>'16U_F_Champ'!L232&amp;"-"&amp;'16U_F_Champ'!O232&amp;"-"&amp;TEXT('16U_F_Champ'!B232,"h:mm am/pm")</f>
        <v>16G-143-au_5-6 v 7-8-2:00 PM</v>
      </c>
      <c r="AX59" s="322"/>
      <c r="AY59" s="330" t="str">
        <f>'18U_F_Champ'!L208&amp;"-"&amp;'18U_F_Champ'!N208&amp;"-"&amp;TEXT('18U_F_Champ'!B208,"h:mm am/pm")</f>
        <v>18G-141-pt_5-6 v 7-8-2:00 PM</v>
      </c>
      <c r="AZ59" s="330" t="str">
        <f>'18U_F_Champ'!L223&amp;"-"&amp;'18U_F_Champ'!N223&amp;"-"&amp;TEXT('18U_F_Champ'!B223,"h:mm am/pm")</f>
        <v>18G-142-pt_21-24 RR-2:00 PM</v>
      </c>
      <c r="BA59" s="330" t="str">
        <f>'18U_F_Champ'!L252&amp;"-"&amp;'18U_F_Champ'!N252&amp;"-"&amp;TEXT('18U_F_Champ'!B252,"h:mm am/pm")</f>
        <v>18G-140-au_13-20 qtr-2:00 PM</v>
      </c>
      <c r="BB59" s="330" t="str">
        <f>'18U_F_Champ'!L238&amp;"-"&amp;'18U_F_Champ'!N238&amp;"-"&amp;TEXT('18U_F_Champ'!B238,"h:mm am/pm")</f>
        <v>18G-143-au_5-6 v 7-8-2:00 PM</v>
      </c>
    </row>
    <row r="60" spans="1:57">
      <c r="A60" s="325">
        <v>0.57638888888888895</v>
      </c>
      <c r="B60" s="323"/>
      <c r="C60" s="80" t="str">
        <f>'10U_Coed_Champ_36'!L158&amp;"-"&amp;'10U_Coed_Champ_36'!O158&amp;"-"&amp;TEXT('10U_Coed_Champ_36'!B158,"h:mm am/pm")</f>
        <v>10C-110-pt_5-6 v 7-8-1:50 PM</v>
      </c>
      <c r="D60" s="80" t="str">
        <f>'10U_Coed_Champ_36'!L173&amp;"-"&amp;'10U_Coed_Champ_36'!O173&amp;"-"&amp;TEXT('10U_Coed_Champ_36'!B173,"h:mm am/pm")</f>
        <v>10C-111-pt_21-24 RR-1:50 PM</v>
      </c>
      <c r="E60" s="46" t="str">
        <f>'10U_F_Champ-18 teams'!L103&amp;"-"&amp;'10U_F_Champ-18 teams'!N103&amp;"-"&amp;TEXT('10U_F_Champ-18 teams'!B103,"h:mm am/pm")</f>
        <v>10G-149-pt_5-6 v 7-8-1:50 PM</v>
      </c>
      <c r="F60" s="322"/>
      <c r="G60" s="80" t="str">
        <f>'10U_Coed_Champ_36'!L188&amp;"-"&amp;'10U_Coed_Champ_36'!O188&amp;"-"&amp;TEXT('10U_Coed_Champ_36'!B188,"h:mm am/pm")</f>
        <v>10C-112-au_5-6 v 7-8-1:50 PM</v>
      </c>
      <c r="I60" s="103" t="str">
        <f>'10U_Coed_Classic 22 from 23'!L103&amp;"-"&amp;'10U_Coed_Classic 22 from 23'!O103&amp;"-"&amp;TEXT('10U_Coed_Classic 22 from 23'!B103,"h:mm am/pm")</f>
        <v>10CX-067-ag_5-6 v 7-8-1:50 PM</v>
      </c>
      <c r="J60" s="325">
        <v>0.57638888888888895</v>
      </c>
      <c r="K60" s="319" t="str">
        <f>'12U_Coed_Champ-45'!L215&amp;"-"&amp;'12U_Coed_Champ-45'!N215&amp;"-"&amp;TEXT('12U_Coed_Champ-45'!B215,"h:mm am/pm")</f>
        <v>12C-146-pt_5-6 v 7-8-1:50 PM</v>
      </c>
      <c r="L60" s="326"/>
      <c r="M60" s="319" t="str">
        <f>'12U_Coed_Champ-45'!L200&amp;"-"&amp;'12U_Coed_Champ-45'!N200&amp;"-"&amp;TEXT('12U_Coed_Champ-45'!B200,"h:mm am/pm")</f>
        <v>12C-145-pt_5-6 v 7-8-1:50 PM</v>
      </c>
      <c r="N60" s="319" t="str">
        <f>'12U_Coed_Champ-45'!L234&amp;"-"&amp;'12U_Coed_Champ-45'!N234&amp;"-"&amp;TEXT('12U_Coed_Champ-45'!B234,"h:mm am/pm")</f>
        <v>12C-144-au_19-21 RR-1:50 PM</v>
      </c>
      <c r="O60" s="325">
        <v>0.625</v>
      </c>
      <c r="P60" s="326"/>
      <c r="Q60" s="449" t="str">
        <f>'12U_F_Champ-52'!L247&amp;"-"&amp;'12U_F_Champ-52'!N247&amp;"-"&amp;TEXT('12U_F_Champ-52'!B247,"h:mm am/pm")</f>
        <v>12G-142-pt_W to play-in-1:50 PM</v>
      </c>
      <c r="R60" s="449" t="str">
        <f>'12U_F_Champ-52'!L264&amp;"-"&amp;'12U_F_Champ-52'!N264&amp;"-"&amp;TEXT('12U_F_Champ-52'!B264,"h:mm am/pm")</f>
        <v>12G-122-pt_9-16 QF-1:50 PM</v>
      </c>
      <c r="S60" s="449" t="str">
        <f>'12U_F_Champ-52'!L282&amp;"-"&amp;'12U_F_Champ-52'!N282&amp;"-"&amp;TEXT('12U_F_Champ-52'!B282,"h:mm am/pm")</f>
        <v>12G-134-au_9-16 QF-1:50 PM</v>
      </c>
      <c r="T60" s="449" t="str">
        <f>'12U_F_Champ-52'!L300&amp;"-"&amp;'12U_F_Champ-52'!N300&amp;"-"&amp;TEXT('12U_F_Champ-52'!B300,"h:mm am/pm")</f>
        <v>12G-141-au_W to semi, L to play-in-1:50 PM</v>
      </c>
      <c r="U60" s="325">
        <v>0.625</v>
      </c>
      <c r="V60" s="328" t="str">
        <f>'14U_F_Champ'!L204&amp;"-"&amp;'14U_F_Champ'!N204&amp;"-"&amp;TEXT('14U_F_Champ'!B204,"h:mm am/pm")</f>
        <v>14G-145-pt_5-6 v 7-8-3:00 PM</v>
      </c>
      <c r="W60" s="450" t="str">
        <f>'14U_F_Classic-39 from 40'!L223&amp;"-"&amp;'14U_F_Classic-39 from 40'!N223&amp;"-"&amp;TEXT('14U_F_Classic-39 from 40'!B223,"h:mm am/pm")</f>
        <v>14GX-153-ag_13-16 semi-3:00 PM</v>
      </c>
      <c r="X60" s="450" t="str">
        <f>'14U_F_Classic-39 from 40'!L210&amp;"-"&amp;'14U_F_Classic-39 from 40'!N210&amp;"-"&amp;TEXT('14U_F_Classic-39 from 40'!B210,"h:mm am/pm")</f>
        <v>14GX-152-bz_9-12 semi-3:00 PM</v>
      </c>
      <c r="Y60" s="451"/>
      <c r="Z60" s="325">
        <v>0.625</v>
      </c>
      <c r="AA60" s="450" t="str">
        <f>'14U_F_Classic-39 from 40'!L236&amp;"-"&amp;'14U_F_Classic-39 from 40'!N236&amp;"-"&amp;TEXT('14U_F_Classic-39 from 40'!B236,"h:mm am/pm")</f>
        <v>14GX-154-ag_13-16 semi-3:00 PM</v>
      </c>
      <c r="AB60" s="328" t="str">
        <f>'14U_F_Champ'!L219&amp;"-"&amp;'14U_F_Champ'!N219&amp;"-"&amp;TEXT('14U_F_Champ'!B219,"h:mm am/pm")</f>
        <v>14G-146-pt_21-24 RR-3:00 PM</v>
      </c>
      <c r="AC60" s="322"/>
      <c r="AD60" s="450" t="str">
        <f>'14U_F_Classic-39 from 40'!L197&amp;"-"&amp;'14U_F_Classic-39 from 40'!N197&amp;"-"&amp;TEXT('14U_F_Classic-39 from 40'!B197,"h:mm am/pm")</f>
        <v>14GX-147-bz_5-6 vs 7-8-3:00 PM</v>
      </c>
      <c r="AF60" s="339" t="str">
        <f>'16U_F_Classic-45'!L232&amp;"-"&amp;'16U_F_Classic-45'!N232&amp;"-"&amp;TEXT('16U_F_Classic-45'!B232,"h:mm am/pm")</f>
        <v>16GX-152-bz_9-12 semi-3:00 PM</v>
      </c>
      <c r="AG60" s="339" t="str">
        <f>'16U_F_Classic-45'!L212&amp;"-"&amp;'16U_F_Classic-45'!N212&amp;"-"&amp;TEXT('16U_F_Classic-45'!B212,"h:mm am/pm")</f>
        <v>16GX-146-ag_5-6 v 7-8-3:00 PM</v>
      </c>
      <c r="AI60" s="339" t="str">
        <f>'16U_F_Classic-45'!L197&amp;"-"&amp;'16U_F_Classic-45'!N197&amp;"-"&amp;TEXT('16U_F_Classic-45'!B197,"h:mm am/pm")</f>
        <v>16GX-145-ag_5-6 v 7-8-3:00 PM</v>
      </c>
      <c r="AJ60" s="328" t="str">
        <f>'14U_F_Champ'!L234&amp;"-"&amp;'14U_F_Champ'!N234&amp;"-"&amp;TEXT('14U_F_Champ'!B234,"h:mm am/pm")</f>
        <v>14G-147-au_5-6 v 7-8-3:00 PM</v>
      </c>
      <c r="AK60" s="328" t="str">
        <f>'14U_F_Champ'!L249&amp;"-"&amp;'14U_F_Champ'!N249&amp;"-"&amp;TEXT('14U_F_Champ'!B249,"h:mm am/pm")</f>
        <v>14G-148-au_21-24 RR-3:00 PM</v>
      </c>
      <c r="AL60" s="325">
        <v>0.625</v>
      </c>
      <c r="AM60" s="322"/>
      <c r="AN60" s="329" t="str">
        <f>'16U_F_Champ'!L203&amp;"-"&amp;'16U_F_Champ'!O203&amp;"-"&amp;TEXT('16U_F_Champ'!B203,"h:mm am/pm")</f>
        <v>16G-145-pt_5-6 v 7-8-3:00 PM</v>
      </c>
      <c r="AO60" s="322"/>
      <c r="AP60" s="331" t="str">
        <f>'18U_F_Classic-44'!L226&amp;"-"&amp;'18U_F_Classic-44'!O226&amp;"-"&amp;TEXT('18U_F_Classic-44'!B226,"h:mm am/pm")</f>
        <v>18GX-146-ag 21-24 RR-3:00 PM</v>
      </c>
      <c r="AQ60" s="331" t="str">
        <f>'18U_F_Classic-44'!L257&amp;"-"&amp;'18U_F_Classic-44'!O257&amp;"-"&amp;TEXT('18U_F_Classic-44'!B257,"h:mm am/pm")</f>
        <v>18GX-156-bz 17-20 semi-3:00 PM</v>
      </c>
      <c r="AR60" s="331" t="str">
        <f>'18U_F_Classic-44'!L241&amp;"-"&amp;'18U_F_Classic-44'!O241&amp;"-"&amp;TEXT('18U_F_Classic-44'!B241,"h:mm am/pm")</f>
        <v>18GX-147-bz 5-6 v 7-8-3:00 PM</v>
      </c>
      <c r="AS60" s="331" t="str">
        <f>'18U_F_Classic-44'!L211&amp;"-"&amp;'18U_F_Classic-44'!O211&amp;"-"&amp;TEXT('18U_F_Classic-44'!B211,"h:mm am/pm")</f>
        <v>18GX-145-ag 5-6 v 7-8-3:00 PM</v>
      </c>
      <c r="AU60" s="325">
        <v>0.625</v>
      </c>
      <c r="AV60" s="329" t="str">
        <f>'16U_F_Champ'!L218&amp;"-"&amp;'16U_F_Champ'!O218&amp;"-"&amp;TEXT('16U_F_Champ'!B218,"h:mm am/pm")</f>
        <v>16G-146-pt_21-24 RR-3:00 PM</v>
      </c>
      <c r="AW60" s="329" t="str">
        <f>'16U_F_Champ'!L233&amp;"-"&amp;'16U_F_Champ'!O233&amp;"-"&amp;TEXT('16U_F_Champ'!B233,"h:mm am/pm")</f>
        <v>16G-147-au_5-6 v 7-8-3:00 PM</v>
      </c>
      <c r="AX60" s="322"/>
      <c r="AY60" s="330" t="str">
        <f>'18U_F_Champ'!L209&amp;"-"&amp;'18U_F_Champ'!N209&amp;"-"&amp;TEXT('18U_F_Champ'!B209,"h:mm am/pm")</f>
        <v>18G-145-pt_5-6 v 7-8-3:00 PM</v>
      </c>
      <c r="AZ60" s="330" t="str">
        <f>'18U_F_Champ'!L224&amp;"-"&amp;'18U_F_Champ'!N224&amp;"-"&amp;TEXT('18U_F_Champ'!B224,"h:mm am/pm")</f>
        <v>18G-146-pt_21-24 RR-3:00 PM</v>
      </c>
      <c r="BA60" s="330" t="str">
        <f>'18U_F_Champ'!L253&amp;"-"&amp;'18U_F_Champ'!N253&amp;"-"&amp;TEXT('18U_F_Champ'!B253,"h:mm am/pm")</f>
        <v>18G-144-au_21-24 RR-3:00 PM</v>
      </c>
      <c r="BB60" s="330" t="str">
        <f>'18U_F_Champ'!L239&amp;"-"&amp;'18U_F_Champ'!N239&amp;"-"&amp;TEXT('18U_F_Champ'!B239,"h:mm am/pm")</f>
        <v>18G-147-au_5-6 v 7-8-3:00 PM</v>
      </c>
    </row>
    <row r="61" spans="1:57">
      <c r="A61" s="325">
        <v>0.61111111111111105</v>
      </c>
      <c r="B61" s="103" t="str">
        <f>'10U_Coed_Classic 22 from 23'!L119&amp;"-"&amp;'10U_Coed_Classic 22 from 23'!O119&amp;"-"&amp;TEXT('10U_Coed_Classic 22 from 23'!B119,"h:mm am/pm")</f>
        <v>10CX-070-bz_Group-2:40 PM</v>
      </c>
      <c r="C61" s="80" t="str">
        <f>'10U_Coed_Champ_36'!L159&amp;"-"&amp;'10U_Coed_Champ_36'!O159&amp;"-"&amp;TEXT('10U_Coed_Champ_36'!B159,"h:mm am/pm")</f>
        <v>10C-113-pt_9-12 semi-2:40 PM</v>
      </c>
      <c r="D61" s="80" t="str">
        <f>'10U_Coed_Champ_36'!L174&amp;"-"&amp;'10U_Coed_Champ_36'!O174&amp;"-"&amp;TEXT('10U_Coed_Champ_36'!B174,"h:mm am/pm")</f>
        <v>10C-114-pt_13-16 semi-2:40 PM</v>
      </c>
      <c r="E61" s="46" t="str">
        <f>'10U_F_Champ-18 teams'!L104&amp;"-"&amp;'10U_F_Champ-18 teams'!N104&amp;"-"&amp;TEXT('10U_F_Champ-18 teams'!B104,"h:mm am/pm")</f>
        <v>10G-153-pt_9-12 semi-2:40 PM</v>
      </c>
      <c r="F61" s="322"/>
      <c r="G61" s="80" t="str">
        <f>'10U_Coed_Champ_36'!L189&amp;"-"&amp;'10U_Coed_Champ_36'!O189&amp;"-"&amp;TEXT('10U_Coed_Champ_36'!B189,"h:mm am/pm")</f>
        <v>10C-115-au_9-12 semi-2:40 PM</v>
      </c>
      <c r="H61" s="46" t="str">
        <f>'10U_F_Champ-18 teams'!L117&amp;"-"&amp;'10U_F_Champ-18 teams'!N117&amp;"-"&amp;TEXT('10U_F_Champ-18 teams'!B117,"h:mm am/pm")</f>
        <v>10G-138-au_Group-2:40 PM</v>
      </c>
      <c r="I61" s="103" t="str">
        <f>'10U_Coed_Classic 22 from 23'!L104&amp;"-"&amp;'10U_Coed_Classic 22 from 23'!O104&amp;"-"&amp;TEXT('10U_Coed_Classic 22 from 23'!B104,"h:mm am/pm")</f>
        <v>10CX-069-ag_9-12 semi-2:40 PM</v>
      </c>
      <c r="J61" s="325">
        <v>0.61111111111111105</v>
      </c>
      <c r="K61" s="319" t="str">
        <f>'12U_Coed_Champ-45'!L216&amp;"-"&amp;'12U_Coed_Champ-45'!N216&amp;"-"&amp;TEXT('12U_Coed_Champ-45'!B216,"h:mm am/pm")</f>
        <v>12C-150-pt_9-12 semi-2:40 PM</v>
      </c>
      <c r="L61" s="326"/>
      <c r="M61" s="319" t="str">
        <f>'12U_Coed_Champ-45'!L201&amp;"-"&amp;'12U_Coed_Champ-45'!N201&amp;"-"&amp;TEXT('12U_Coed_Champ-45'!B201,"h:mm am/pm")</f>
        <v>12C-149-pt_9-12 semi-2:40 PM</v>
      </c>
      <c r="N61" s="319" t="str">
        <f>'12U_Coed_Champ-45'!L235&amp;"-"&amp;'12U_Coed_Champ-45'!N235&amp;"-"&amp;TEXT('12U_Coed_Champ-45'!B235,"h:mm am/pm")</f>
        <v>12C-152-au_9-12 semi-2:40 PM</v>
      </c>
      <c r="O61" s="325">
        <v>0.66666666666666696</v>
      </c>
      <c r="P61" s="326"/>
      <c r="Q61" s="449" t="str">
        <f>'12U_F_Champ-52'!L248&amp;"-"&amp;'12U_F_Champ-52'!N248&amp;"-"&amp;TEXT('12U_F_Champ-52'!B248,"h:mm am/pm")</f>
        <v>12G-145-pt_21st-24th-2:40 PM</v>
      </c>
      <c r="R61" s="449" t="str">
        <f>'12U_F_Champ-52'!L265&amp;"-"&amp;'12U_F_Champ-52'!N265&amp;"-"&amp;TEXT('12U_F_Champ-52'!B265,"h:mm am/pm")</f>
        <v>12G-128-au_17-20 semi-2:40 PM</v>
      </c>
      <c r="S61" s="449" t="str">
        <f>'12U_F_Champ-52'!L283&amp;"-"&amp;'12U_F_Champ-52'!N283&amp;"-"&amp;TEXT('12U_F_Champ-52'!B283,"h:mm am/pm")</f>
        <v>12G-130-au_9-16 QF-2:40 PM</v>
      </c>
      <c r="T61" s="449" t="str">
        <f>'12U_F_Champ-52'!L301&amp;"-"&amp;'12U_F_Champ-52'!N301&amp;"-"&amp;TEXT('12U_F_Champ-52'!B301,"h:mm am/pm")</f>
        <v>12G-150-au_W to play-in-2:40 PM</v>
      </c>
      <c r="U61" s="325">
        <v>0.66666666666666696</v>
      </c>
      <c r="V61" s="328" t="str">
        <f>'14U_F_Champ'!L205&amp;"-"&amp;'14U_F_Champ'!N205&amp;"-"&amp;TEXT('14U_F_Champ'!B205,"h:mm am/pm")</f>
        <v>14G-149-pt_9-12 semi-4:00 PM</v>
      </c>
      <c r="W61" s="450" t="str">
        <f>'14U_F_Classic-39 from 40'!L224&amp;"-"&amp;'14U_F_Classic-39 from 40'!N224&amp;"-"&amp;TEXT('14U_F_Classic-39 from 40'!B224,"h:mm am/pm")</f>
        <v>14GX-161-ag_play to semi-4:00 PM</v>
      </c>
      <c r="X61" s="450" t="str">
        <f>'14U_F_Classic-39 from 40'!L211&amp;"-"&amp;'14U_F_Classic-39 from 40'!N211&amp;"-"&amp;TEXT('14U_F_Classic-39 from 40'!B211,"h:mm am/pm")</f>
        <v>14GX-156-bz_13-15 RR-4:00 PM</v>
      </c>
      <c r="Y61" s="451"/>
      <c r="Z61" s="325">
        <v>0.66666666666666696</v>
      </c>
      <c r="AA61" s="450" t="str">
        <f>'14U_F_Classic-39 from 40'!L237&amp;"-"&amp;'14U_F_Classic-39 from 40'!N237&amp;"-"&amp;TEXT('14U_F_Classic-39 from 40'!B237,"h:mm am/pm")</f>
        <v>14GX-158-ag_17-20 semi-4:00 PM</v>
      </c>
      <c r="AB61" s="328" t="str">
        <f>'14U_F_Champ'!L220&amp;"-"&amp;'14U_F_Champ'!N220&amp;"-"&amp;TEXT('14U_F_Champ'!B220,"h:mm am/pm")</f>
        <v>14G-150-pt_13-16 semi-4:00 PM</v>
      </c>
      <c r="AC61" s="322"/>
      <c r="AD61" s="450" t="str">
        <f>'14U_F_Classic-39 from 40'!L198&amp;"-"&amp;'14U_F_Classic-39 from 40'!N198&amp;"-"&amp;TEXT('14U_F_Classic-39 from 40'!B198,"h:mm am/pm")</f>
        <v>14GX-151-bz_9-12 semi-4:00 PM</v>
      </c>
      <c r="AE61" s="322"/>
      <c r="AF61" s="339" t="str">
        <f>'16U_F_Classic-45'!L233&amp;"-"&amp;'16U_F_Classic-45'!N233&amp;"-"&amp;TEXT('16U_F_Classic-45'!B233,"h:mm am/pm")</f>
        <v>16GX-156-bz_bracket-4:00 PM</v>
      </c>
      <c r="AG61" s="339" t="str">
        <f>'16U_F_Classic-45'!L213&amp;"-"&amp;'16U_F_Classic-45'!N213&amp;"-"&amp;TEXT('16U_F_Classic-45'!B213,"h:mm am/pm")</f>
        <v>16GX-150-ag_9-12 semi-4:00 PM</v>
      </c>
      <c r="AH61" s="339" t="str">
        <f>'16U_F_Classic-45'!L246&amp;"-"&amp;'16U_F_Classic-45'!N246&amp;"-"&amp;TEXT('16U_F_Classic-45'!B246,"h:mm am/pm")</f>
        <v>16GX-151-bz_9-12 semi-4:00 PM</v>
      </c>
      <c r="AI61" s="339" t="str">
        <f>'16U_F_Classic-45'!L198&amp;"-"&amp;'16U_F_Classic-45'!N198&amp;"-"&amp;TEXT('16U_F_Classic-45'!B198,"h:mm am/pm")</f>
        <v>16GX-149-ag_9-12 semi-4:00 PM</v>
      </c>
      <c r="AJ61" s="328" t="str">
        <f>'14U_F_Champ'!L235&amp;"-"&amp;'14U_F_Champ'!N235&amp;"-"&amp;TEXT('14U_F_Champ'!B235,"h:mm am/pm")</f>
        <v>14G-151-au_9-12 semi-4:00 PM</v>
      </c>
      <c r="AK61" s="328" t="str">
        <f>'14U_F_Champ'!L250&amp;"-"&amp;'14U_F_Champ'!N250&amp;"-"&amp;TEXT('14U_F_Champ'!B250,"h:mm am/pm")</f>
        <v>14G-152-au_13-16 semi-4:00 PM</v>
      </c>
      <c r="AL61" s="325">
        <v>0.66666666666666696</v>
      </c>
      <c r="AM61" s="322"/>
      <c r="AN61" s="329" t="str">
        <f>'16U_F_Champ'!L204&amp;"-"&amp;'16U_F_Champ'!O204&amp;"-"&amp;TEXT('16U_F_Champ'!B204,"h:mm am/pm")</f>
        <v>16G-149-pt_9-12 semi-4:00 PM</v>
      </c>
      <c r="AO61" s="329" t="str">
        <f>'16U_F_Champ'!L251&amp;"-"&amp;'16U_F_Champ'!O251&amp;"-"&amp;TEXT('16U_F_Champ'!B251,"h:mm am/pm")</f>
        <v>16G-152-au_13-16 semi-4:00 PM</v>
      </c>
      <c r="AP61" s="331" t="str">
        <f>'18U_F_Classic-44'!L227&amp;"-"&amp;'18U_F_Classic-44'!O227&amp;"-"&amp;TEXT('18U_F_Classic-44'!B227,"h:mm am/pm")</f>
        <v>18GX-150-ag 13-16 semi-4:00 PM</v>
      </c>
      <c r="AQ61" s="331" t="str">
        <f>'18U_F_Classic-44'!L258&amp;"-"&amp;'18U_F_Classic-44'!O258&amp;"-"&amp;TEXT('18U_F_Classic-44'!B258,"h:mm am/pm")</f>
        <v>18GX-160-bz 13-16 semi-4:00 PM</v>
      </c>
      <c r="AR61" s="331" t="str">
        <f>'18U_F_Classic-44'!L242&amp;"-"&amp;'18U_F_Classic-44'!O242&amp;"-"&amp;TEXT('18U_F_Classic-44'!B242,"h:mm am/pm")</f>
        <v>18GX-151-bz 9-12 semi-4:00 PM</v>
      </c>
      <c r="AS61" s="331" t="str">
        <f>'18U_F_Classic-44'!L212&amp;"-"&amp;'18U_F_Classic-44'!O212&amp;"-"&amp;TEXT('18U_F_Classic-44'!B212,"h:mm am/pm")</f>
        <v>18GX-149-ag 9-12 semi-4:00 PM</v>
      </c>
      <c r="AU61" s="325">
        <v>0.66666666666666696</v>
      </c>
      <c r="AV61" s="329" t="str">
        <f>'16U_F_Champ'!L219&amp;"-"&amp;'16U_F_Champ'!O219&amp;"-"&amp;TEXT('16U_F_Champ'!B219,"h:mm am/pm")</f>
        <v>16G-150-pt_13-16 semi-4:00 PM</v>
      </c>
      <c r="AW61" s="329" t="str">
        <f>'16U_F_Champ'!L234&amp;"-"&amp;'16U_F_Champ'!O234&amp;"-"&amp;TEXT('16U_F_Champ'!B234,"h:mm am/pm")</f>
        <v>16G-151-au_9-12 semi-4:00 PM</v>
      </c>
      <c r="AX61" s="322"/>
      <c r="AY61" s="330" t="str">
        <f>'18U_F_Champ'!L210&amp;"-"&amp;'18U_F_Champ'!N210&amp;"-"&amp;TEXT('18U_F_Champ'!B210,"h:mm am/pm")</f>
        <v>18G-149-pt_9-12 semi-4:00 PM</v>
      </c>
      <c r="AZ61" s="330" t="str">
        <f>'18U_F_Champ'!L225&amp;"-"&amp;'18U_F_Champ'!N225&amp;"-"&amp;TEXT('18U_F_Champ'!B225,"h:mm am/pm")</f>
        <v>18G-150-pt_13-16 semi-4:00 PM</v>
      </c>
      <c r="BA61" s="330" t="str">
        <f>'18U_F_Champ'!L254&amp;"-"&amp;'18U_F_Champ'!N254&amp;"-"&amp;TEXT('18U_F_Champ'!B254,"h:mm am/pm")</f>
        <v>18G-148-au_21-24 RR-4:00 PM</v>
      </c>
      <c r="BB61" s="330" t="str">
        <f>'18U_F_Champ'!L240&amp;"-"&amp;'18U_F_Champ'!N240&amp;"-"&amp;TEXT('18U_F_Champ'!B240,"h:mm am/pm")</f>
        <v>18G-151-au_9-12 semi-4:00 PM</v>
      </c>
    </row>
    <row r="62" spans="1:57">
      <c r="A62" s="325">
        <v>0.64583333333333304</v>
      </c>
      <c r="B62" s="103" t="str">
        <f>'10U_Coed_Classic 22 from 23'!L120&amp;"-"&amp;'10U_Coed_Classic 22 from 23'!O120&amp;"-"&amp;TEXT('10U_Coed_Classic 22 from 23'!B120,"h:mm am/pm")</f>
        <v>10CX-072-bz_Group-3:30 PM</v>
      </c>
      <c r="C62" s="80" t="str">
        <f>'10U_Coed_Champ_36'!L160&amp;"-"&amp;'10U_Coed_Champ_36'!O160&amp;"-"&amp;TEXT('10U_Coed_Champ_36'!B160,"h:mm am/pm")</f>
        <v>10C-116-pt_9-12 semi-3:30 PM</v>
      </c>
      <c r="D62" s="80" t="str">
        <f>'10U_Coed_Champ_36'!L175&amp;"-"&amp;'10U_Coed_Champ_36'!O175&amp;"-"&amp;TEXT('10U_Coed_Champ_36'!B175,"h:mm am/pm")</f>
        <v>10C-117-pt_17-20 semi-3:30 PM</v>
      </c>
      <c r="E62" s="46" t="str">
        <f>'10U_F_Champ-18 teams'!L105&amp;"-"&amp;'10U_F_Champ-18 teams'!N105&amp;"-"&amp;TEXT('10U_F_Champ-18 teams'!B105,"h:mm am/pm")</f>
        <v>10G-157-pt_9-12 semi-3:30 PM</v>
      </c>
      <c r="F62" s="322"/>
      <c r="G62" s="80" t="str">
        <f>'10U_Coed_Champ_36'!L190&amp;"-"&amp;'10U_Coed_Champ_36'!O190&amp;"-"&amp;TEXT('10U_Coed_Champ_36'!B190,"h:mm am/pm")</f>
        <v>10C-118-au_9-12 semi-3:30 PM</v>
      </c>
      <c r="H62" s="46" t="str">
        <f>'10U_F_Champ-18 teams'!L118&amp;"-"&amp;'10U_F_Champ-18 teams'!N118&amp;"-"&amp;TEXT('10U_F_Champ-18 teams'!B118,"h:mm am/pm")</f>
        <v>10G-142-au_Group-3:30 PM</v>
      </c>
      <c r="I62" s="103" t="str">
        <f>'10U_Coed_Classic 22 from 23'!L105&amp;"-"&amp;'10U_Coed_Classic 22 from 23'!O105&amp;"-"&amp;TEXT('10U_Coed_Classic 22 from 23'!B105,"h:mm am/pm")</f>
        <v>10CX-071-ag_9-12 semi-3:30 PM</v>
      </c>
      <c r="J62" s="325">
        <v>0.64583333333333304</v>
      </c>
      <c r="K62" s="319" t="str">
        <f>'12U_Coed_Champ-45'!L217&amp;"-"&amp;'12U_Coed_Champ-45'!N217&amp;"-"&amp;TEXT('12U_Coed_Champ-45'!B217,"h:mm am/pm")</f>
        <v>12C-154-pt_13-16 semi-3:30 PM</v>
      </c>
      <c r="L62" s="326"/>
      <c r="M62" s="319" t="str">
        <f>'12U_Coed_Champ-45'!L202&amp;"-"&amp;'12U_Coed_Champ-45'!N202&amp;"-"&amp;TEXT('12U_Coed_Champ-45'!B202,"h:mm am/pm")</f>
        <v>12C-153-pt_13-16 semi-3:30 PM</v>
      </c>
      <c r="N62" s="319" t="str">
        <f>'12U_Coed_Champ-45'!L236&amp;"-"&amp;'12U_Coed_Champ-45'!N236&amp;"-"&amp;TEXT('12U_Coed_Champ-45'!B236,"h:mm am/pm")</f>
        <v>12C-156-au_bracket-3:30 PM</v>
      </c>
      <c r="O62" s="325">
        <v>0.70833333333333304</v>
      </c>
      <c r="P62" s="326"/>
      <c r="Q62" s="449" t="str">
        <f>'12U_F_Champ-52'!L249&amp;"-"&amp;'12U_F_Champ-52'!N249&amp;"-"&amp;TEXT('12U_F_Champ-52'!B249,"h:mm am/pm")</f>
        <v>12G-148-pt_21st-24th-3:30 PM</v>
      </c>
      <c r="R62" s="449" t="str">
        <f>'12U_F_Champ-52'!L266&amp;"-"&amp;'12U_F_Champ-52'!N266&amp;"-"&amp;TEXT('12U_F_Champ-52'!B266,"h:mm am/pm")</f>
        <v>12G-129-au_17-20 semi-3:30 PM</v>
      </c>
      <c r="S62" s="449" t="str">
        <f>'12U_F_Champ-52'!L284&amp;"-"&amp;'12U_F_Champ-52'!N284&amp;"-"&amp;TEXT('12U_F_Champ-52'!B284,"h:mm am/pm")</f>
        <v>12G-125-au_9-16 QF-3:30 PM</v>
      </c>
      <c r="T62" s="449" t="str">
        <f>'12U_F_Champ-52'!L302&amp;"-"&amp;'12U_F_Champ-52'!N302&amp;"-"&amp;TEXT('12U_F_Champ-52'!B302,"h:mm am/pm")</f>
        <v>12G-155-au_W to play-in-3:30 PM</v>
      </c>
      <c r="U62" s="325">
        <v>0.70833333333333304</v>
      </c>
      <c r="V62" s="328" t="str">
        <f>'14U_F_Champ'!L206&amp;"-"&amp;'14U_F_Champ'!N206&amp;"-"&amp;TEXT('14U_F_Champ'!B206,"h:mm am/pm")</f>
        <v>14G-153-pt_9-12 semi-5:00 PM</v>
      </c>
      <c r="W62" s="450" t="str">
        <f>'14U_F_Classic-39 from 40'!L225&amp;"-"&amp;'14U_F_Classic-39 from 40'!N225&amp;"-"&amp;TEXT('14U_F_Classic-39 from 40'!B225,"h:mm am/pm")</f>
        <v>14GX-162-ag_play to semi-5:00 PM</v>
      </c>
      <c r="X62" s="450" t="str">
        <f>'14U_F_Classic-39 from 40'!L212&amp;"-"&amp;'14U_F_Classic-39 from 40'!N212&amp;"-"&amp;TEXT('14U_F_Classic-39 from 40'!B212,"h:mm am/pm")</f>
        <v>14GX-157-ag_17-20 semi-5:00 PM</v>
      </c>
      <c r="Y62" s="451"/>
      <c r="Z62" s="325">
        <v>0.70833333333333304</v>
      </c>
      <c r="AA62" s="323"/>
      <c r="AB62" s="328" t="str">
        <f>'14U_F_Champ'!L221&amp;"-"&amp;'14U_F_Champ'!N221&amp;"-"&amp;TEXT('14U_F_Champ'!B221,"h:mm am/pm")</f>
        <v>14G-154-pt_17-20 semi-5:00 PM</v>
      </c>
      <c r="AC62" s="322"/>
      <c r="AD62" s="450" t="str">
        <f>'14U_F_Classic-39 from 40'!L199&amp;"-"&amp;'14U_F_Classic-39 from 40'!N199&amp;"-"&amp;TEXT('14U_F_Classic-39 from 40'!B199,"h:mm am/pm")</f>
        <v>14GX-164-bz_play to semi-5:00 PM</v>
      </c>
      <c r="AE62" s="322"/>
      <c r="AF62" s="339" t="str">
        <f>'16U_F_Classic-45'!L234&amp;"-"&amp;'16U_F_Classic-45'!N234&amp;"-"&amp;TEXT('16U_F_Classic-45'!B234,"h:mm am/pm")</f>
        <v>16GX-164-bz_play to semi-5:00 PM</v>
      </c>
      <c r="AG62" s="339" t="str">
        <f>'16U_F_Classic-45'!L214&amp;"-"&amp;'16U_F_Classic-45'!N214&amp;"-"&amp;TEXT('16U_F_Classic-45'!B214,"h:mm am/pm")</f>
        <v>16GX-154-ag_13-16 semi-5:00 PM</v>
      </c>
      <c r="AH62" s="339" t="str">
        <f>'16U_F_Classic-45'!L247&amp;"-"&amp;'16U_F_Classic-45'!N247&amp;"-"&amp;TEXT('16U_F_Classic-45'!B247,"h:mm am/pm")</f>
        <v>16GX-155-bz_bracket-5:00 PM</v>
      </c>
      <c r="AI62" s="339" t="str">
        <f>'16U_F_Classic-45'!L199&amp;"-"&amp;'16U_F_Classic-45'!N199&amp;"-"&amp;TEXT('16U_F_Classic-45'!B199,"h:mm am/pm")</f>
        <v>16GX-153-ag_13-16 semi-5:00 PM</v>
      </c>
      <c r="AJ62" s="328" t="str">
        <f>'14U_F_Champ'!L236&amp;"-"&amp;'14U_F_Champ'!N236&amp;"-"&amp;TEXT('14U_F_Champ'!B236,"h:mm am/pm")</f>
        <v>14G-155-au_9-12 semi-5:00 PM</v>
      </c>
      <c r="AK62" s="328" t="str">
        <f>'14U_F_Champ'!L251&amp;"-"&amp;'14U_F_Champ'!N251&amp;"-"&amp;TEXT('14U_F_Champ'!B251,"h:mm am/pm")</f>
        <v>14G-156-au_17-20 semi-5:00 PM</v>
      </c>
      <c r="AL62" s="325">
        <v>0.70833333333333304</v>
      </c>
      <c r="AM62" s="322"/>
      <c r="AN62" s="329" t="str">
        <f>'16U_F_Champ'!L205&amp;"-"&amp;'16U_F_Champ'!O205&amp;"-"&amp;TEXT('16U_F_Champ'!B205,"h:mm am/pm")</f>
        <v>16G-153-pt_9-12 semi-5:00 PM</v>
      </c>
      <c r="AO62" s="329" t="str">
        <f>'16U_F_Champ'!L252&amp;"-"&amp;'16U_F_Champ'!O252&amp;"-"&amp;TEXT('16U_F_Champ'!B252,"h:mm am/pm")</f>
        <v>16G-156-au_17-20 semi-5:00 PM</v>
      </c>
      <c r="AP62" s="331" t="str">
        <f>'18U_F_Classic-44'!L228&amp;"-"&amp;'18U_F_Classic-44'!O228&amp;"-"&amp;TEXT('18U_F_Classic-44'!B228,"h:mm am/pm")</f>
        <v>18GX-154-ag 17-20 semi-5:00 PM</v>
      </c>
      <c r="AQ62" s="331" t="str">
        <f>'18U_F_Classic-44'!L259&amp;"-"&amp;'18U_F_Classic-44'!O259&amp;"-"&amp;TEXT('18U_F_Classic-44'!B259,"h:mm am/pm")</f>
        <v>18GX-164-bz 17-20 semi-5:00 PM</v>
      </c>
      <c r="AR62" s="331" t="str">
        <f>'18U_F_Classic-44'!L243&amp;"-"&amp;'18U_F_Classic-44'!O243&amp;"-"&amp;TEXT('18U_F_Classic-44'!B243,"h:mm am/pm")</f>
        <v>18GX-155-bz 9-12 semi-5:00 PM</v>
      </c>
      <c r="AS62" s="331" t="str">
        <f>'18U_F_Classic-44'!L213&amp;"-"&amp;'18U_F_Classic-44'!O213&amp;"-"&amp;TEXT('18U_F_Classic-44'!B213,"h:mm am/pm")</f>
        <v>18GX-153-ag 9-12 semi-5:00 PM</v>
      </c>
      <c r="AU62" s="325">
        <v>0.70833333333333304</v>
      </c>
      <c r="AV62" s="329" t="str">
        <f>'16U_F_Champ'!L220&amp;"-"&amp;'16U_F_Champ'!O220&amp;"-"&amp;TEXT('16U_F_Champ'!B220,"h:mm am/pm")</f>
        <v>16G-154-pt_17-20 semi-5:00 PM</v>
      </c>
      <c r="AW62" s="329" t="str">
        <f>'16U_F_Champ'!L235&amp;"-"&amp;'16U_F_Champ'!O235&amp;"-"&amp;TEXT('16U_F_Champ'!B235,"h:mm am/pm")</f>
        <v>16G-155-au_9-12 semi-5:00 PM</v>
      </c>
      <c r="AX62" s="322"/>
      <c r="AY62" s="330" t="str">
        <f>'18U_F_Champ'!L211&amp;"-"&amp;'18U_F_Champ'!N211&amp;"-"&amp;TEXT('18U_F_Champ'!B211,"h:mm am/pm")</f>
        <v>18G-153-pt_9-12 semi-5:00 PM</v>
      </c>
      <c r="AZ62" s="330" t="str">
        <f>'18U_F_Champ'!L226&amp;"-"&amp;'18U_F_Champ'!N226&amp;"-"&amp;TEXT('18U_F_Champ'!B226,"h:mm am/pm")</f>
        <v>18G-154-pt_17-20 semi-5:00 PM</v>
      </c>
      <c r="BA62" s="330" t="str">
        <f>'18U_F_Champ'!L255&amp;"-"&amp;'18U_F_Champ'!N255&amp;"-"&amp;TEXT('18U_F_Champ'!B255,"h:mm am/pm")</f>
        <v>18G-152-au_13-16 semi-5:00 PM</v>
      </c>
      <c r="BB62" s="330" t="str">
        <f>'18U_F_Champ'!L241&amp;"-"&amp;'18U_F_Champ'!N241&amp;"-"&amp;TEXT('18U_F_Champ'!B241,"h:mm am/pm")</f>
        <v>18G-155-au_9-12 semi-5:00 PM</v>
      </c>
    </row>
    <row r="63" spans="1:57">
      <c r="A63" s="325">
        <v>0.68055555555555602</v>
      </c>
      <c r="B63" s="103" t="str">
        <f>'10U_Coed_Classic 22 from 23'!L121&amp;"-"&amp;'10U_Coed_Classic 22 from 23'!O121&amp;"-"&amp;TEXT('10U_Coed_Classic 22 from 23'!B121,"h:mm am/pm")</f>
        <v>10CX-074-bz_Group-4:20 PM</v>
      </c>
      <c r="C63" s="80" t="str">
        <f>'10U_Coed_Champ_36'!L161&amp;"-"&amp;'10U_Coed_Champ_36'!O161&amp;"-"&amp;TEXT('10U_Coed_Champ_36'!B161,"h:mm am/pm")</f>
        <v>10C-119-pt_Play-in-4:20 PM</v>
      </c>
      <c r="D63" s="80" t="str">
        <f>'10U_Coed_Champ_36'!L176&amp;"-"&amp;'10U_Coed_Champ_36'!O176&amp;"-"&amp;TEXT('10U_Coed_Champ_36'!B176,"h:mm am/pm")</f>
        <v>10C-120-pt_13-16 semi-4:20 PM</v>
      </c>
      <c r="E63" s="46" t="str">
        <f>'10U_F_Champ-18 teams'!L106&amp;"-"&amp;'10U_F_Champ-18 teams'!N106&amp;"-"&amp;TEXT('10U_F_Champ-18 teams'!B106,"h:mm am/pm")</f>
        <v>10G-161-pt_play to semi-4:20 PM</v>
      </c>
      <c r="F63" s="322"/>
      <c r="G63" s="80" t="str">
        <f>'10U_Coed_Champ_36'!L191&amp;"-"&amp;'10U_Coed_Champ_36'!O191&amp;"-"&amp;TEXT('10U_Coed_Champ_36'!B191,"h:mm am/pm")</f>
        <v>10C-121-au_Play-in-4:20 PM</v>
      </c>
      <c r="I63" s="103" t="str">
        <f>'10U_Coed_Classic 22 from 23'!L106&amp;"-"&amp;'10U_Coed_Classic 22 from 23'!O106&amp;"-"&amp;TEXT('10U_Coed_Classic 22 from 23'!B106,"h:mm am/pm")</f>
        <v>10CX-073-ag_qtr final-4:20 PM</v>
      </c>
      <c r="J63" s="325">
        <v>0.68055555555555602</v>
      </c>
      <c r="K63" s="319" t="str">
        <f>'12U_Coed_Champ-45'!L218&amp;"-"&amp;'12U_Coed_Champ-45'!N218&amp;"-"&amp;TEXT('12U_Coed_Champ-45'!B218,"h:mm am/pm")</f>
        <v>12C-158-pt_17-20 semi-4:20 PM</v>
      </c>
      <c r="L63" s="319" t="str">
        <f>'12U_Coed_Champ-45'!L249&amp;"-"&amp;'12U_Coed_Champ-45'!N249&amp;"-"&amp;TEXT('12U_Coed_Champ-45'!B249,"h:mm am/pm")</f>
        <v>12C-151-au_9-12 semi-4:20 PM</v>
      </c>
      <c r="M63" s="319" t="str">
        <f>'12U_Coed_Champ-45'!L203&amp;"-"&amp;'12U_Coed_Champ-45'!N203&amp;"-"&amp;TEXT('12U_Coed_Champ-45'!B203,"h:mm am/pm")</f>
        <v>169-pt_17-20 semi-4:20 PM</v>
      </c>
      <c r="N63" s="319" t="str">
        <f>'12U_Coed_Champ-45'!L237&amp;"-"&amp;'12U_Coed_Champ-45'!N237&amp;"-"&amp;TEXT('12U_Coed_Champ-45'!B237,"h:mm am/pm")</f>
        <v>12C-164-au_play to semi-4:20 PM</v>
      </c>
      <c r="O63" s="325">
        <v>0.75</v>
      </c>
      <c r="P63" s="326"/>
      <c r="Q63" s="449" t="str">
        <f>'12U_F_Champ-52'!L250&amp;"-"&amp;'12U_F_Champ-52'!N250&amp;"-"&amp;TEXT('12U_F_Champ-52'!B250,"h:mm am/pm")</f>
        <v>12G-151-pt_13th-16th-4:20 PM</v>
      </c>
      <c r="R63" s="449" t="str">
        <f>'12U_F_Champ-52'!L267&amp;"-"&amp;'12U_F_Champ-52'!N267&amp;"-"&amp;TEXT('12U_F_Champ-52'!B267,"h:mm am/pm")</f>
        <v>12G-157-pt_17th-20th-4:20 PM</v>
      </c>
      <c r="S63" s="449" t="str">
        <f>'12U_F_Champ-52'!L285&amp;"-"&amp;'12U_F_Champ-52'!N285&amp;"-"&amp;TEXT('12U_F_Champ-52'!B285,"h:mm am/pm")</f>
        <v>12G-135A-au_21-28 1st/2ndW-4:20 PM</v>
      </c>
      <c r="T63" s="449" t="str">
        <f>'12U_F_Champ-52'!L303&amp;"-"&amp;'12U_F_Champ-52'!N303&amp;"-"&amp;TEXT('12U_F_Champ-52'!B303,"h:mm am/pm")</f>
        <v>12G-158-au_13th-16th-4:20 PM</v>
      </c>
      <c r="U63" s="325">
        <v>0.75</v>
      </c>
      <c r="V63" s="328" t="str">
        <f>'14U_F_Champ'!L207&amp;"-"&amp;'14U_F_Champ'!N207&amp;"-"&amp;TEXT('14U_F_Champ'!B207,"h:mm am/pm")</f>
        <v>14G-157-pt_play to semi-6:00 PM</v>
      </c>
      <c r="Y63" s="451"/>
      <c r="Z63" s="325">
        <v>0.75</v>
      </c>
      <c r="AA63" s="323"/>
      <c r="AB63" s="328" t="str">
        <f>'14U_F_Champ'!L222&amp;"-"&amp;'14U_F_Champ'!N222&amp;"-"&amp;TEXT('14U_F_Champ'!B222,"h:mm am/pm")</f>
        <v>14G-158-pt_13-16 semi-6:00 PM</v>
      </c>
      <c r="AC63" s="322"/>
      <c r="AE63" s="322"/>
      <c r="AF63" s="322"/>
      <c r="AG63" s="339" t="str">
        <f>'16U_F_Classic-45'!L215&amp;"-"&amp;'16U_F_Classic-45'!N215&amp;"-"&amp;TEXT('16U_F_Classic-45'!B215,"h:mm am/pm")</f>
        <v>16GX-158-ag_17-20 semi-6:00 PM</v>
      </c>
      <c r="AH63" s="339" t="str">
        <f>'16U_F_Classic-45'!L248&amp;"-"&amp;'16U_F_Classic-45'!N248&amp;"-"&amp;TEXT('16U_F_Classic-45'!B248,"h:mm am/pm")</f>
        <v>16GX-163-bz_play to semi-6:00 PM</v>
      </c>
      <c r="AI63" s="339" t="str">
        <f>'16U_F_Classic-45'!L200&amp;"-"&amp;'16U_F_Classic-45'!N200&amp;"-"&amp;TEXT('16U_F_Classic-45'!B200,"h:mm am/pm")</f>
        <v>169-ag_17-20 semi-6:00 PM</v>
      </c>
      <c r="AJ63" s="328" t="str">
        <f>'14U_F_Champ'!L237&amp;"-"&amp;'14U_F_Champ'!N237&amp;"-"&amp;TEXT('14U_F_Champ'!B237,"h:mm am/pm")</f>
        <v>14G-159-au_play to semi-6:00 PM</v>
      </c>
      <c r="AK63" s="328" t="str">
        <f>'14U_F_Champ'!L252&amp;"-"&amp;'14U_F_Champ'!N252&amp;"-"&amp;TEXT('14U_F_Champ'!B252,"h:mm am/pm")</f>
        <v>14G-160-au_13-16 semi-6:00 PM</v>
      </c>
      <c r="AL63" s="325">
        <v>0.75</v>
      </c>
      <c r="AM63" s="322"/>
      <c r="AN63" s="329" t="str">
        <f>'16U_F_Champ'!L206&amp;"-"&amp;'16U_F_Champ'!O206&amp;"-"&amp;TEXT('16U_F_Champ'!B206,"h:mm am/pm")</f>
        <v>16G-157-pt_play to semi-6:00 PM</v>
      </c>
      <c r="AO63" s="329" t="str">
        <f>'16U_F_Champ'!L253&amp;"-"&amp;'16U_F_Champ'!O253&amp;"-"&amp;TEXT('16U_F_Champ'!B253,"h:mm am/pm")</f>
        <v>16G-160-au_13-16 semi-6:00 PM</v>
      </c>
      <c r="AP63" s="331" t="str">
        <f>'18U_F_Classic-44'!L229&amp;"-"&amp;'18U_F_Classic-44'!O229&amp;"-"&amp;TEXT('18U_F_Classic-44'!B229,"h:mm am/pm")</f>
        <v>18GX-158-ag 13-16 semi-6:00 PM</v>
      </c>
      <c r="AQ63" s="329" t="str">
        <f>'16U_F_Champ'!L258&amp;"-"&amp;'16U_F_Champ'!O258&amp;"-"&amp;TEXT('16U_F_Champ'!B258,"h:mm am/pm")</f>
        <v>16G-144-au_21-24 RR-6:00 PM</v>
      </c>
      <c r="AR63" s="331" t="str">
        <f>'18U_F_Classic-44'!L244&amp;"-"&amp;'18U_F_Classic-44'!O244&amp;"-"&amp;TEXT('18U_F_Classic-44'!B244,"h:mm am/pm")</f>
        <v>18GX-159-bz play to semi-6:00 PM</v>
      </c>
      <c r="AS63" s="331" t="str">
        <f>'18U_F_Classic-44'!L214&amp;"-"&amp;'18U_F_Classic-44'!O214&amp;"-"&amp;TEXT('18U_F_Classic-44'!B214,"h:mm am/pm")</f>
        <v>18GX-157-ag play to semi-6:00 PM</v>
      </c>
      <c r="AU63" s="325">
        <v>0.75</v>
      </c>
      <c r="AV63" s="329" t="str">
        <f>'16U_F_Champ'!L221&amp;"-"&amp;'16U_F_Champ'!O221&amp;"-"&amp;TEXT('16U_F_Champ'!B221,"h:mm am/pm")</f>
        <v>16G-158-pt_13-16 semi-6:00 PM</v>
      </c>
      <c r="AW63" s="329" t="str">
        <f>'16U_F_Champ'!L236&amp;"-"&amp;'16U_F_Champ'!O236&amp;"-"&amp;TEXT('16U_F_Champ'!B236,"h:mm am/pm")</f>
        <v>16G-159-au_play to semi-6:00 PM</v>
      </c>
      <c r="AX63" s="322"/>
      <c r="AY63" s="330" t="str">
        <f>'18U_F_Champ'!L212&amp;"-"&amp;'18U_F_Champ'!N212&amp;"-"&amp;TEXT('18U_F_Champ'!B212,"h:mm am/pm")</f>
        <v>18G-157-pt_qtr final-6:00 PM</v>
      </c>
      <c r="AZ63" s="330" t="str">
        <f>'18U_F_Champ'!L227&amp;"-"&amp;'18U_F_Champ'!N227&amp;"-"&amp;TEXT('18U_F_Champ'!B227,"h:mm am/pm")</f>
        <v>18G-158-pt_13-16 semi-6:00 PM</v>
      </c>
      <c r="BA63" s="330" t="str">
        <f>'18U_F_Champ'!L256&amp;"-"&amp;'18U_F_Champ'!N256&amp;"-"&amp;TEXT('18U_F_Champ'!B256,"h:mm am/pm")</f>
        <v>18G-156-au_17-20 semi-6:00 PM</v>
      </c>
      <c r="BB63" s="330" t="str">
        <f>'18U_F_Champ'!L242&amp;"-"&amp;'18U_F_Champ'!N242&amp;"-"&amp;TEXT('18U_F_Champ'!B242,"h:mm am/pm")</f>
        <v>18G-159-au_qtr final-6:00 PM</v>
      </c>
    </row>
    <row r="64" spans="1:57">
      <c r="A64" s="325">
        <v>0.71527777777777801</v>
      </c>
      <c r="B64" s="103" t="str">
        <f>'10U_Coed_Classic 22 from 23'!L122&amp;"-"&amp;'10U_Coed_Classic 22 from 23'!O122&amp;"-"&amp;TEXT('10U_Coed_Classic 22 from 23'!B122,"h:mm am/pm")</f>
        <v>10CX-076-bz_Group-5:10 PM</v>
      </c>
      <c r="C64" s="80" t="str">
        <f>'10U_Coed_Champ_36'!L162&amp;"-"&amp;'10U_Coed_Champ_36'!O162&amp;"-"&amp;TEXT('10U_Coed_Champ_36'!B162,"h:mm am/pm")</f>
        <v>10C-122-pt_Play-in-5:10 PM</v>
      </c>
      <c r="D64" s="80" t="str">
        <f>'10U_Coed_Champ_36'!L177&amp;"-"&amp;'10U_Coed_Champ_36'!O177&amp;"-"&amp;TEXT('10U_Coed_Champ_36'!B177,"h:mm am/pm")</f>
        <v>10C-123-pt_17-20 semi-5:10 PM</v>
      </c>
      <c r="E64" s="46" t="str">
        <f>'10U_F_Champ-18 teams'!L107&amp;"-"&amp;'10U_F_Champ-18 teams'!N107&amp;"-"&amp;TEXT('10U_F_Champ-18 teams'!B107,"h:mm am/pm")</f>
        <v>10G-165-pt_play to semi-5:10 PM</v>
      </c>
      <c r="F64" s="322"/>
      <c r="G64" s="80" t="str">
        <f>'10U_Coed_Champ_36'!L192&amp;"-"&amp;'10U_Coed_Champ_36'!O192&amp;"-"&amp;TEXT('10U_Coed_Champ_36'!B192,"h:mm am/pm")</f>
        <v>10C-124-au_Play-in-5:10 PM</v>
      </c>
      <c r="I64" s="103" t="str">
        <f>'10U_Coed_Classic 22 from 23'!L107&amp;"-"&amp;'10U_Coed_Classic 22 from 23'!O107&amp;"-"&amp;TEXT('10U_Coed_Classic 22 from 23'!B107,"h:mm am/pm")</f>
        <v>10CX-075-ag_qtr final-5:10 PM</v>
      </c>
      <c r="J64" s="325">
        <v>0.71527777777777801</v>
      </c>
      <c r="K64" s="319" t="str">
        <f>'12U_Coed_Champ-45'!L219&amp;"-"&amp;'12U_Coed_Champ-45'!N219&amp;"-"&amp;TEXT('12U_Coed_Champ-45'!B219,"h:mm am/pm")</f>
        <v>12C-162-pt_play to semi-5:10 PM</v>
      </c>
      <c r="L64" s="319" t="str">
        <f>'12U_Coed_Champ-45'!L250&amp;"-"&amp;'12U_Coed_Champ-45'!N250&amp;"-"&amp;TEXT('12U_Coed_Champ-45'!B250,"h:mm am/pm")</f>
        <v>12C-155-au_bracket-5:10 PM</v>
      </c>
      <c r="M64" s="319" t="str">
        <f>'12U_Coed_Champ-45'!L204&amp;"-"&amp;'12U_Coed_Champ-45'!N204&amp;"-"&amp;TEXT('12U_Coed_Champ-45'!B204,"h:mm am/pm")</f>
        <v>12C-161-pt_play to semi-5:10 PM</v>
      </c>
      <c r="O64" s="325">
        <v>0.79166666666666696</v>
      </c>
      <c r="P64" s="326"/>
      <c r="Q64" s="449" t="str">
        <f>'12U_F_Champ-52'!L251&amp;"-"&amp;'12U_F_Champ-52'!N251&amp;"-"&amp;TEXT('12U_F_Champ-52'!B251,"h:mm am/pm")</f>
        <v>12G-156-pt_13th-16th-5:10 PM</v>
      </c>
      <c r="R64" s="449" t="str">
        <f>'12U_F_Champ-52'!L268&amp;"-"&amp;'12U_F_Champ-52'!N268&amp;"-"&amp;TEXT('12U_F_Champ-52'!B268,"h:mm am/pm")</f>
        <v>12G-160-pt_17th-20th-5:10 PM</v>
      </c>
      <c r="S64" s="449" t="str">
        <f>'12U_F_Champ-52'!L286&amp;"-"&amp;'12U_F_Champ-52'!N286&amp;"-"&amp;TEXT('12U_F_Champ-52'!B286,"h:mm am/pm")</f>
        <v>12G-147A-au_21-28 3rd/4thW-5:10 PM</v>
      </c>
      <c r="T64" s="449" t="str">
        <f>'12U_F_Champ-52'!L304&amp;"-"&amp;'12U_F_Champ-52'!N304&amp;"-"&amp;TEXT('12U_F_Champ-52'!B304,"h:mm am/pm")</f>
        <v>12G-161-au_13th-16th-5:10 PM</v>
      </c>
      <c r="U64" s="325">
        <v>0.79166666666666696</v>
      </c>
      <c r="V64" s="328" t="str">
        <f>'14U_F_Champ'!L208&amp;"-"&amp;'14U_F_Champ'!N208&amp;"-"&amp;TEXT('14U_F_Champ'!B208,"h:mm am/pm")</f>
        <v>14G-161-pt_play to semi-7:00 PM</v>
      </c>
      <c r="Y64" s="451"/>
      <c r="Z64" s="325">
        <v>0.79166666666666696</v>
      </c>
      <c r="AA64" s="323"/>
      <c r="AB64" s="328" t="str">
        <f>'14U_F_Champ'!L223&amp;"-"&amp;'14U_F_Champ'!N223&amp;"-"&amp;TEXT('14U_F_Champ'!B223,"h:mm am/pm")</f>
        <v>14G-162-pt_17-20 semi-7:00 PM</v>
      </c>
      <c r="AC64" s="322"/>
      <c r="AE64" s="322"/>
      <c r="AF64" s="322"/>
      <c r="AG64" s="339" t="str">
        <f>'16U_F_Classic-45'!L216&amp;"-"&amp;'16U_F_Classic-45'!N216&amp;"-"&amp;TEXT('16U_F_Classic-45'!B216,"h:mm am/pm")</f>
        <v>16GX-162-ag_play to semi-7:00 PM</v>
      </c>
      <c r="AI64" s="339" t="str">
        <f>'16U_F_Classic-45'!L201&amp;"-"&amp;'16U_F_Classic-45'!N201&amp;"-"&amp;TEXT('16U_F_Classic-45'!B201,"h:mm am/pm")</f>
        <v>16GX-161-ag_play to semi-7:00 PM</v>
      </c>
      <c r="AJ64" s="328" t="str">
        <f>'14U_F_Champ'!L238&amp;"-"&amp;'14U_F_Champ'!N238&amp;"-"&amp;TEXT('14U_F_Champ'!B238,"h:mm am/pm")</f>
        <v>14G-163-au_play to semi-7:00 PM</v>
      </c>
      <c r="AK64" s="328" t="str">
        <f>'14U_F_Champ'!L253&amp;"-"&amp;'14U_F_Champ'!N253&amp;"-"&amp;TEXT('14U_F_Champ'!B253,"h:mm am/pm")</f>
        <v>14G-164-au_17-20 semi-7:00 PM</v>
      </c>
      <c r="AL64" s="325">
        <v>0.79166666666666696</v>
      </c>
      <c r="AM64" s="322"/>
      <c r="AN64" s="329" t="str">
        <f>'16U_F_Champ'!L207&amp;"-"&amp;'16U_F_Champ'!O207&amp;"-"&amp;TEXT('16U_F_Champ'!B207,"h:mm am/pm")</f>
        <v>16G-161-pt_play to semi-7:00 PM</v>
      </c>
      <c r="AO64" s="329" t="str">
        <f>'16U_F_Champ'!L254&amp;"-"&amp;'16U_F_Champ'!O254&amp;"-"&amp;TEXT('16U_F_Champ'!B254,"h:mm am/pm")</f>
        <v>16G-164-au_17-20 semi-7:00 PM</v>
      </c>
      <c r="AP64" s="331" t="str">
        <f>'18U_F_Classic-44'!L230&amp;"-"&amp;'18U_F_Classic-44'!O230&amp;"-"&amp;TEXT('18U_F_Classic-44'!B230,"h:mm am/pm")</f>
        <v>18GX-162-ag 17-20 semi-7:00 PM</v>
      </c>
      <c r="AQ64" s="329" t="str">
        <f>'16U_F_Champ'!L259&amp;"-"&amp;'16U_F_Champ'!O259&amp;"-"&amp;TEXT('16U_F_Champ'!B259,"h:mm am/pm")</f>
        <v>16G-148-au_21-24 RR-7:00 PM</v>
      </c>
      <c r="AR64" s="331" t="str">
        <f>'18U_F_Classic-44'!L245&amp;"-"&amp;'18U_F_Classic-44'!O245&amp;"-"&amp;TEXT('18U_F_Classic-44'!B245,"h:mm am/pm")</f>
        <v>18GX-163-bz play to semi-7:00 PM</v>
      </c>
      <c r="AS64" s="331" t="str">
        <f>'18U_F_Classic-44'!L215&amp;"-"&amp;'18U_F_Classic-44'!O215&amp;"-"&amp;TEXT('18U_F_Classic-44'!B215,"h:mm am/pm")</f>
        <v>18GX-161-ag play to semi-7:00 PM</v>
      </c>
      <c r="AU64" s="325">
        <v>0.79166666666666696</v>
      </c>
      <c r="AV64" s="329" t="str">
        <f>'16U_F_Champ'!L222&amp;"-"&amp;'16U_F_Champ'!O222&amp;"-"&amp;TEXT('16U_F_Champ'!B222,"h:mm am/pm")</f>
        <v>16G-162-pt_17-20 semi-7:00 PM</v>
      </c>
      <c r="AW64" s="329" t="str">
        <f>'16U_F_Champ'!L237&amp;"-"&amp;'16U_F_Champ'!O237&amp;"-"&amp;TEXT('16U_F_Champ'!B237,"h:mm am/pm")</f>
        <v>16G-163-au_play to semi-7:00 PM</v>
      </c>
      <c r="AX64" s="322"/>
      <c r="AY64" s="330" t="str">
        <f>'18U_F_Champ'!L213&amp;"-"&amp;'18U_F_Champ'!N213&amp;"-"&amp;TEXT('18U_F_Champ'!B213,"h:mm am/pm")</f>
        <v>18G-161-pt_qtr final-7:00 PM</v>
      </c>
      <c r="AZ64" s="330" t="str">
        <f>'18U_F_Champ'!L228&amp;"-"&amp;'18U_F_Champ'!N228&amp;"-"&amp;TEXT('18U_F_Champ'!B228,"h:mm am/pm")</f>
        <v>18G-162-pt_17-20 semi-7:00 PM</v>
      </c>
      <c r="BA64" s="330" t="str">
        <f>'18U_F_Champ'!L257&amp;"-"&amp;'18U_F_Champ'!N257&amp;"-"&amp;TEXT('18U_F_Champ'!B257,"h:mm am/pm")</f>
        <v>18G-160-au_13-16 semi-7:00 PM</v>
      </c>
      <c r="BB64" s="330" t="str">
        <f>'18U_F_Champ'!L243&amp;"-"&amp;'18U_F_Champ'!N243&amp;"-"&amp;TEXT('18U_F_Champ'!B243,"h:mm am/pm")</f>
        <v>18G-163-au_qtr final-7:00 PM</v>
      </c>
    </row>
    <row r="65" spans="1:57">
      <c r="A65" s="325">
        <v>0.75</v>
      </c>
      <c r="B65" s="103" t="str">
        <f>'10U_Coed_Classic 22 from 23'!L123&amp;"-"&amp;'10U_Coed_Classic 22 from 23'!O123&amp;"-"&amp;TEXT('10U_Coed_Classic 22 from 23'!B123,"h:mm am/pm")</f>
        <v>10CX-098-bz_Group-6:00 PM</v>
      </c>
      <c r="J65" s="325">
        <v>0.75</v>
      </c>
      <c r="L65" s="319" t="str">
        <f>'12U_Coed_Champ-45'!L251&amp;"-"&amp;'12U_Coed_Champ-45'!N251&amp;"-"&amp;TEXT('12U_Coed_Champ-45'!B251,"h:mm am/pm")</f>
        <v>12C-163-au_play to semi-6:00 PM</v>
      </c>
      <c r="O65" s="325">
        <v>0.83333333333333304</v>
      </c>
      <c r="P65" s="326"/>
      <c r="Q65" s="449" t="str">
        <f>'12U_F_Champ-52'!L252&amp;"-"&amp;'12U_F_Champ-52'!N252&amp;"-"&amp;TEXT('12U_F_Champ-52'!B252,"h:mm am/pm")</f>
        <v>12G-159-pt_play to semi, L to 5th-6:00 PM</v>
      </c>
      <c r="R65" s="449" t="str">
        <f>'12U_F_Champ-52'!L269&amp;"-"&amp;'12U_F_Champ-52'!N269&amp;"-"&amp;TEXT('12U_F_Champ-52'!B269,"h:mm am/pm")</f>
        <v>12G-143-pt_9th-12th-6:00 PM</v>
      </c>
      <c r="S65" s="449" t="str">
        <f>'12U_F_Champ-52'!L287&amp;"-"&amp;'12U_F_Champ-52'!N287&amp;"-"&amp;TEXT('12U_F_Champ-52'!B287,"h:mm am/pm")</f>
        <v>12G-152A-au_21-28 3rd/4thV-6:00 PM</v>
      </c>
      <c r="T65" s="449" t="str">
        <f>'12U_F_Champ-52'!L305&amp;"-"&amp;'12U_F_Champ-52'!N305&amp;"-"&amp;TEXT('12U_F_Champ-52'!B305,"h:mm am/pm")</f>
        <v>12G-152-au_21-28 1st/2ndV-6:00 PM</v>
      </c>
      <c r="U65" s="325">
        <v>0.83333333333333304</v>
      </c>
      <c r="V65" s="323"/>
      <c r="Y65" s="451"/>
      <c r="Z65" s="325">
        <v>0.83333333333333304</v>
      </c>
      <c r="AA65" s="323"/>
      <c r="AB65" s="323"/>
      <c r="AE65" s="322"/>
      <c r="AF65" s="322"/>
      <c r="AL65" s="325">
        <v>0.83333333333333304</v>
      </c>
      <c r="AM65" s="322"/>
      <c r="AU65" s="325">
        <v>0.83333333333333304</v>
      </c>
      <c r="AX65" s="322"/>
      <c r="BA65" s="330" t="str">
        <f>'18U_F_Champ'!L258&amp;"-"&amp;'18U_F_Champ'!N258&amp;"-"&amp;TEXT('18U_F_Champ'!B258,"h:mm am/pm")</f>
        <v>18G-164-au_17-20 semi-8:00 PM</v>
      </c>
    </row>
    <row r="66" spans="1:57">
      <c r="A66" s="325">
        <v>0.78472222222222199</v>
      </c>
      <c r="B66" s="323"/>
      <c r="J66" s="325">
        <v>0.78472222222222199</v>
      </c>
      <c r="O66" s="325"/>
      <c r="P66" s="326"/>
      <c r="Q66" s="449" t="str">
        <f>'12U_F_Champ-52'!L253&amp;"-"&amp;'12U_F_Champ-52'!N253&amp;"-"&amp;TEXT('12U_F_Champ-52'!B253,"h:mm am/pm")</f>
        <v>12G-162-pt_play to semi, L to 5th-6:50 PM</v>
      </c>
      <c r="R66" s="449" t="str">
        <f>'12U_F_Champ-52'!L270&amp;"-"&amp;'12U_F_Champ-52'!N270&amp;"-"&amp;TEXT('12U_F_Champ-52'!B270,"h:mm am/pm")</f>
        <v>12G-146-pt_9th-12th-6:50 PM</v>
      </c>
      <c r="S66" s="449" t="str">
        <f>'12U_F_Champ-52'!L288&amp;"-"&amp;'12U_F_Champ-52'!N288&amp;"-"&amp;TEXT('12U_F_Champ-52'!B288,"h:mm am/pm")</f>
        <v>12G-149-au_9th-12th-6:50 PM</v>
      </c>
      <c r="T66" s="449" t="str">
        <f>'12U_F_Champ-52'!L306&amp;"-"&amp;'12U_F_Champ-52'!N306&amp;"-"&amp;TEXT('12U_F_Champ-52'!B306,"h:mm am/pm")</f>
        <v>12G-163-au_play to semi, L to 5th-6:50 PM</v>
      </c>
      <c r="U66" s="325"/>
      <c r="V66" s="323"/>
      <c r="Y66" s="451"/>
      <c r="Z66" s="325"/>
      <c r="AA66" s="323"/>
      <c r="AB66" s="323"/>
      <c r="AL66" s="325"/>
      <c r="AU66" s="325"/>
    </row>
    <row r="67" spans="1:57">
      <c r="B67" s="323"/>
      <c r="J67" s="325">
        <v>0.81944444444444398</v>
      </c>
      <c r="S67" s="449" t="str">
        <f>'12U_F_Champ-52'!L289&amp;"-"&amp;'12U_F_Champ-52'!N289&amp;"-"&amp;TEXT('12U_F_Champ-52'!B289,"h:mm am/pm")</f>
        <v>12G-154-au_9th-12th-7:40 PM</v>
      </c>
      <c r="T67" s="449" t="str">
        <f>'12U_F_Champ-52'!L307&amp;"-"&amp;'12U_F_Champ-52'!N307&amp;"-"&amp;TEXT('12U_F_Champ-52'!B307,"h:mm am/pm")</f>
        <v>12G-164-au_play to semi, L to 5th-7:40 PM</v>
      </c>
      <c r="V67" s="323"/>
      <c r="Y67" s="326"/>
      <c r="AB67" s="323"/>
    </row>
    <row r="69" spans="1:57">
      <c r="A69" s="326"/>
      <c r="B69" s="322"/>
      <c r="C69" s="322"/>
      <c r="D69" s="322"/>
      <c r="E69" s="322"/>
      <c r="F69" s="322"/>
      <c r="G69" s="322"/>
      <c r="H69" s="322"/>
      <c r="I69" s="322"/>
      <c r="J69" s="326"/>
      <c r="K69" s="322"/>
      <c r="L69" s="322"/>
      <c r="M69" s="322"/>
      <c r="N69" s="322"/>
      <c r="O69" s="326"/>
      <c r="P69" s="326"/>
      <c r="Q69" s="326"/>
      <c r="R69" s="326"/>
      <c r="S69" s="326"/>
      <c r="T69" s="326"/>
      <c r="U69" s="326"/>
      <c r="V69" s="322"/>
      <c r="W69" s="326"/>
      <c r="X69" s="326"/>
      <c r="Y69" s="326"/>
      <c r="Z69" s="326"/>
      <c r="AA69" s="322"/>
      <c r="AB69" s="322"/>
      <c r="AC69" s="322"/>
      <c r="AD69" s="322"/>
      <c r="AE69" s="322"/>
      <c r="AF69" s="322"/>
      <c r="AG69" s="322"/>
      <c r="AH69" s="322"/>
      <c r="AI69" s="322"/>
      <c r="AJ69" s="322"/>
      <c r="AK69" s="322"/>
      <c r="AL69" s="326"/>
      <c r="AM69" s="322"/>
      <c r="AN69" s="322"/>
      <c r="AO69" s="322"/>
      <c r="AP69" s="322"/>
      <c r="AQ69" s="322"/>
      <c r="AR69" s="322"/>
      <c r="AS69" s="322"/>
      <c r="AT69" s="322"/>
      <c r="AU69" s="326"/>
      <c r="AV69" s="322"/>
      <c r="AW69" s="322"/>
      <c r="AX69" s="322"/>
      <c r="AY69" s="322"/>
      <c r="AZ69" s="322"/>
      <c r="BA69" s="322"/>
      <c r="BB69" s="322"/>
      <c r="BC69" s="322"/>
    </row>
    <row r="71" spans="1:57">
      <c r="A71" s="327" t="s">
        <v>57</v>
      </c>
      <c r="J71" s="327" t="s">
        <v>57</v>
      </c>
      <c r="O71" s="327" t="s">
        <v>57</v>
      </c>
      <c r="P71" s="327"/>
      <c r="Q71" s="327"/>
      <c r="R71" s="327"/>
      <c r="S71" s="327"/>
      <c r="T71" s="327"/>
      <c r="U71" s="327" t="s">
        <v>57</v>
      </c>
      <c r="W71" s="327"/>
      <c r="X71" s="327"/>
      <c r="Y71" s="327"/>
      <c r="Z71" s="327" t="s">
        <v>57</v>
      </c>
      <c r="AL71" s="327" t="s">
        <v>57</v>
      </c>
      <c r="AO71" s="453" t="s">
        <v>58</v>
      </c>
      <c r="AS71" s="320" t="s">
        <v>55</v>
      </c>
      <c r="AU71" s="327" t="s">
        <v>57</v>
      </c>
    </row>
    <row r="72" spans="1:57" s="323" customFormat="1">
      <c r="B72" s="323" t="s">
        <v>2</v>
      </c>
      <c r="C72" s="323" t="s">
        <v>3</v>
      </c>
      <c r="D72" s="323" t="s">
        <v>4</v>
      </c>
      <c r="E72" s="323" t="s">
        <v>5</v>
      </c>
      <c r="F72" s="323" t="s">
        <v>6</v>
      </c>
      <c r="G72" s="323" t="s">
        <v>7</v>
      </c>
      <c r="H72" s="323" t="s">
        <v>8</v>
      </c>
      <c r="I72" s="323" t="s">
        <v>9</v>
      </c>
      <c r="K72" s="323" t="s">
        <v>10</v>
      </c>
      <c r="L72" s="323" t="s">
        <v>11</v>
      </c>
      <c r="M72" s="323" t="s">
        <v>12</v>
      </c>
      <c r="N72" s="323" t="s">
        <v>13</v>
      </c>
      <c r="P72" s="323" t="s">
        <v>14</v>
      </c>
      <c r="Q72" s="323" t="s">
        <v>15</v>
      </c>
      <c r="R72" s="323" t="s">
        <v>16</v>
      </c>
      <c r="S72" s="323" t="s">
        <v>17</v>
      </c>
      <c r="T72" s="323" t="s">
        <v>18</v>
      </c>
      <c r="V72" s="323" t="s">
        <v>19</v>
      </c>
      <c r="W72" s="323" t="s">
        <v>20</v>
      </c>
      <c r="X72" s="323" t="s">
        <v>21</v>
      </c>
      <c r="Y72" s="323" t="s">
        <v>22</v>
      </c>
      <c r="AA72" s="323" t="s">
        <v>23</v>
      </c>
      <c r="AB72" s="323" t="s">
        <v>24</v>
      </c>
      <c r="AC72" s="323" t="s">
        <v>25</v>
      </c>
      <c r="AD72" s="323" t="s">
        <v>26</v>
      </c>
      <c r="AE72" s="323" t="s">
        <v>27</v>
      </c>
      <c r="AF72" s="323" t="s">
        <v>28</v>
      </c>
      <c r="AG72" s="323" t="s">
        <v>29</v>
      </c>
      <c r="AH72" s="323" t="s">
        <v>30</v>
      </c>
      <c r="AI72" s="323" t="s">
        <v>31</v>
      </c>
      <c r="AJ72" s="323" t="s">
        <v>32</v>
      </c>
      <c r="AK72" s="323" t="s">
        <v>33</v>
      </c>
      <c r="AM72" s="323" t="s">
        <v>34</v>
      </c>
      <c r="AN72" s="323" t="s">
        <v>35</v>
      </c>
      <c r="AO72" s="323" t="s">
        <v>36</v>
      </c>
      <c r="AP72" s="323" t="s">
        <v>37</v>
      </c>
      <c r="AQ72" s="323" t="s">
        <v>38</v>
      </c>
      <c r="AR72" s="323" t="s">
        <v>39</v>
      </c>
      <c r="AS72" s="323" t="s">
        <v>40</v>
      </c>
      <c r="AV72" s="323" t="s">
        <v>41</v>
      </c>
      <c r="AW72" s="323" t="s">
        <v>42</v>
      </c>
      <c r="AX72" s="323" t="s">
        <v>43</v>
      </c>
      <c r="AY72" s="323" t="s">
        <v>44</v>
      </c>
      <c r="AZ72" s="323" t="s">
        <v>45</v>
      </c>
      <c r="BA72" s="323" t="s">
        <v>46</v>
      </c>
      <c r="BB72" s="323" t="s">
        <v>47</v>
      </c>
      <c r="BE72" s="323">
        <f>COUNTA(B72:BC72)</f>
        <v>46</v>
      </c>
    </row>
    <row r="73" spans="1:57">
      <c r="A73" s="325">
        <v>0.29166666666666669</v>
      </c>
      <c r="B73" s="103" t="str">
        <f>'10U_Coed_Classic 22 from 23'!L139&amp;"-"&amp;'10U_Coed_Classic 22 from 23'!O139&amp;"-"&amp;TEXT('10U_Coed_Classic 22 from 23'!B139,"h:mm am/pm")</f>
        <v>10CX-077-bz_Semi-7:00 AM</v>
      </c>
      <c r="C73" s="103" t="str">
        <f>'10U_Coed_Classic 22 from 23'!L147&amp;"-"&amp;'10U_Coed_Classic 22 from 23'!O147&amp;"-"&amp;TEXT('10U_Coed_Classic 22 from 23'!B147,"h:mm am/pm")</f>
        <v>10CX-079-ag_Semi-7:00 AM</v>
      </c>
      <c r="D73" s="103" t="str">
        <f>'10U_Coed_Classic 22 from 23'!L154&amp;"-"&amp;'10U_Coed_Classic 22 from 23'!O154&amp;"-"&amp;TEXT('10U_Coed_Classic 22 from 23'!B154,"h:mm am/pm")</f>
        <v>10CX-080-ag_Semi-7:00 AM</v>
      </c>
      <c r="F73" s="322"/>
      <c r="I73" s="103" t="str">
        <f>'10U_Coed_Classic 22 from 23'!L129&amp;"-"&amp;'10U_Coed_Classic 22 from 23'!O129&amp;"-"&amp;TEXT('10U_Coed_Classic 22 from 23'!B129,"h:mm am/pm")</f>
        <v>10CX-085-ag_7th-7:00 AM</v>
      </c>
      <c r="J73" s="325">
        <v>0.29166666666666669</v>
      </c>
      <c r="K73" s="319" t="str">
        <f>'12U_Coed_Champ-45'!L277&amp;"-"&amp;'12U_Coed_Champ-45'!N277&amp;"-"&amp;TEXT('12U_Coed_Champ-45'!B277,"h:mm am/pm")</f>
        <v>12C-168-au_19-21 RR-7:00 AM</v>
      </c>
      <c r="L73" s="319" t="str">
        <f>'12U_Coed_Champ-45'!L259&amp;"-"&amp;'12U_Coed_Champ-45'!N259&amp;"-"&amp;TEXT('12U_Coed_Champ-45'!B259,"h:mm am/pm")</f>
        <v>12C-171-au_semi-7:00 AM</v>
      </c>
      <c r="M73" s="319" t="str">
        <f>'12U_Coed_Champ-45'!L286&amp;"-"&amp;'12U_Coed_Champ-45'!N286&amp;"-"&amp;TEXT('12U_Coed_Champ-45'!B286,"h:mm am/pm")</f>
        <v>12C-170-pt_17th-7:00 AM</v>
      </c>
      <c r="N73" s="319" t="str">
        <f>'12U_Coed_Champ-45'!L268&amp;"-"&amp;'12U_Coed_Champ-45'!N268&amp;"-"&amp;TEXT('12U_Coed_Champ-45'!B268,"h:mm am/pm")</f>
        <v>12C-165-pt_21-24 RR-7:00 AM</v>
      </c>
      <c r="O73" s="325">
        <v>0.29166666666666669</v>
      </c>
      <c r="P73" s="326"/>
      <c r="Q73" s="449" t="str">
        <f>'12U_F_Champ-52'!L343&amp;"-"&amp;'12U_F_Champ-52'!N343&amp;"-"&amp;TEXT('12U_F_Champ-52'!B343,"h:mm am/pm")</f>
        <v>12G-171-pt_semi-7:00 AM</v>
      </c>
      <c r="R73" s="449" t="str">
        <f>'12U_F_Champ-52'!L333&amp;"-"&amp;'12U_F_Champ-52'!N333&amp;"-"&amp;TEXT('12U_F_Champ-52'!B333,"h:mm am/pm")</f>
        <v>12G-172-pt_semi-7:00 AM</v>
      </c>
      <c r="S73" s="449" t="str">
        <f>'12U_F_Champ-52'!L323&amp;"-"&amp;'12U_F_Champ-52'!N323&amp;"-"&amp;TEXT('12U_F_Champ-52'!B323,"h:mm am/pm")</f>
        <v>12G-177-pt_21st-7:00 AM</v>
      </c>
      <c r="T73" s="449" t="str">
        <f>'12U_F_Champ-52'!L313&amp;"-"&amp;'12U_F_Champ-52'!N313&amp;"-"&amp;TEXT('12U_F_Champ-52'!B313,"h:mm am/pm")</f>
        <v>12G-165-au_27th-7:00 AM</v>
      </c>
      <c r="U73" s="325">
        <v>0.29166666666666669</v>
      </c>
      <c r="V73" s="328" t="str">
        <f>'14U_F_Champ'!L279&amp;"-"&amp;'14U_F_Champ'!N279&amp;"-"&amp;TEXT('14U_F_Champ'!B279,"h:mm am/pm")</f>
        <v>14G-185-pt_7th-7:00 AM</v>
      </c>
      <c r="W73" s="450" t="str">
        <f>'14U_F_Classic-39 from 40'!L268&amp;"-"&amp;'14U_F_Classic-39 from 40'!N268&amp;"-"&amp;TEXT('14U_F_Classic-39 from 40'!B268,"h:mm am/pm")</f>
        <v>14GX-171-bz_semi-7:00 AM</v>
      </c>
      <c r="X73" s="450" t="str">
        <f>'14U_F_Classic-39 from 40'!L252&amp;"-"&amp;'14U_F_Classic-39 from 40'!N252&amp;"-"&amp;TEXT('14U_F_Classic-39 from 40'!B252,"h:mm am/pm")</f>
        <v>14GX-166-ag_21-24 RR-7:00 AM</v>
      </c>
      <c r="Y73" s="451"/>
      <c r="Z73" s="325">
        <v>0.29166666666666669</v>
      </c>
      <c r="AA73" s="328" t="str">
        <f>'14U_F_Champ'!L269&amp;"-"&amp;'14U_F_Champ'!N269&amp;"-"&amp;TEXT('14U_F_Champ'!B269,"h:mm am/pm")</f>
        <v>14G-167-au_21-24 RR-7:00 AM</v>
      </c>
      <c r="AB73" s="328" t="str">
        <f>'14U_F_Champ'!L259&amp;"-"&amp;'14U_F_Champ'!N259&amp;"-"&amp;TEXT('14U_F_Champ'!B259,"h:mm am/pm")</f>
        <v>14G-165-pt_21-24 RR-7:00 AM</v>
      </c>
      <c r="AC73" s="322"/>
      <c r="AD73" s="339" t="str">
        <f>'16U_F_Classic-45'!L267&amp;"-"&amp;'16U_F_Classic-45'!N267&amp;"-"&amp;TEXT('16U_F_Classic-45'!B267,"h:mm am/pm")</f>
        <v>16GX-168-bz_19-21 RR-7:00 AM</v>
      </c>
      <c r="AE73" s="450" t="str">
        <f>'14U_F_Classic-39 from 40'!L260&amp;"-"&amp;'14U_F_Classic-39 from 40'!N260&amp;"-"&amp;TEXT('14U_F_Classic-39 from 40'!B260,"h:mm am/pm")</f>
        <v>14GX-182-ag_9th-7:00 AM</v>
      </c>
      <c r="AF73" s="322"/>
      <c r="AG73" s="339" t="str">
        <f>'16U_F_Classic-45'!L256&amp;"-"&amp;'16U_F_Classic-45'!N256&amp;"-"&amp;TEXT('16U_F_Classic-45'!B256,"h:mm am/pm")</f>
        <v>16GX-171-bz_semi-7:00 AM</v>
      </c>
      <c r="AH73" s="339" t="str">
        <f>'16U_F_Classic-45'!L285&amp;"-"&amp;'16U_F_Classic-45'!N285&amp;"-"&amp;TEXT('16U_F_Classic-45'!B285,"h:mm am/pm")</f>
        <v>16GX-169-ag_19th-7:00 AM</v>
      </c>
      <c r="AI73" s="339" t="str">
        <f>'16U_F_Classic-45'!L276&amp;"-"&amp;'16U_F_Classic-45'!N276&amp;"-"&amp;TEXT('16U_F_Classic-45'!B276,"h:mm am/pm")</f>
        <v>16GX-170-ag_17th-7:00 AM</v>
      </c>
      <c r="AJ73" s="331" t="str">
        <f>'18U_F_Classic-44'!L274&amp;"-"&amp;'18U_F_Classic-44'!O274&amp;"-"&amp;TEXT('18U_F_Classic-44'!B274,"h:mm am/pm")</f>
        <v>18GX-183-bz 9th-7:00 AM</v>
      </c>
      <c r="AK73" s="328" t="str">
        <f>'14U_F_Champ'!L287&amp;"-"&amp;'14U_F_Champ'!N287&amp;"-"&amp;TEXT('14U_F_Champ'!B287,"h:mm am/pm")</f>
        <v>14G-171-au_semi-7:00 AM</v>
      </c>
      <c r="AL73" s="325">
        <v>0.29166666666666669</v>
      </c>
      <c r="AM73" s="322"/>
      <c r="AN73" s="329" t="str">
        <f>'16U_F_Champ'!L292&amp;"-"&amp;'16U_F_Champ'!O292&amp;"-"&amp;TEXT('16U_F_Champ'!B292,"h:mm am/pm")</f>
        <v>16G-176-au_19th-7:00 AM</v>
      </c>
      <c r="AO73" s="329" t="str">
        <f>'16U_F_Champ'!L285&amp;"-"&amp;'16U_F_Champ'!O285&amp;"-"&amp;TEXT('16U_F_Champ'!B285,"h:mm am/pm")</f>
        <v>16G-184-au_11th-7:00 AM</v>
      </c>
      <c r="AP73" s="329" t="str">
        <f>'16U_F_Champ'!L274&amp;"-"&amp;'16U_F_Champ'!O274&amp;"-"&amp;TEXT('16U_F_Champ'!B274,"h:mm am/pm")</f>
        <v>16G-169-pt_19th-7:00 AM</v>
      </c>
      <c r="AQ73" s="331" t="str">
        <f>'18U_F_Classic-44'!L292&amp;"-"&amp;'18U_F_Classic-44'!O292&amp;"-"&amp;TEXT('18U_F_Classic-44'!B292,"h:mm am/pm")</f>
        <v>18GX-171-bz Semi-7:00 AM</v>
      </c>
      <c r="AR73" s="331" t="str">
        <f>'18U_F_Classic-44'!L283&amp;"-"&amp;'18U_F_Classic-44'!O283&amp;"-"&amp;TEXT('18U_F_Classic-44'!B283,"h:mm am/pm")</f>
        <v>18GX-165-ag 21-24 RR-7:00 AM</v>
      </c>
      <c r="AS73" s="322"/>
      <c r="AU73" s="325">
        <v>0.29166666666666669</v>
      </c>
      <c r="AV73" s="450" t="str">
        <f>'14U_F_Classic-39 from 40'!L243&amp;"-"&amp;'14U_F_Classic-39 from 40'!N243&amp;"-"&amp;TEXT('14U_F_Classic-39 from 40'!B243,"h:mm am/pm")</f>
        <v>14GX-165-ag_21-24 RR-7:00 AM</v>
      </c>
      <c r="AW73" s="329" t="str">
        <f>'16U_F_Champ'!L265&amp;"-"&amp;'16U_F_Champ'!O265&amp;"-"&amp;TEXT('16U_F_Champ'!B265,"h:mm am/pm")</f>
        <v>16G-185-pt_7th-7:00 AM</v>
      </c>
      <c r="AX73" s="322"/>
      <c r="AY73" s="330" t="str">
        <f>'18U_F_Champ'!L292&amp;"-"&amp;'18U_F_Champ'!N292&amp;"-"&amp;TEXT('18U_F_Champ'!B292,"h:mm am/pm")</f>
        <v>18G-183-au_9th-7:00 AM</v>
      </c>
      <c r="AZ73" s="330" t="str">
        <f>'18U_F_Champ'!L273&amp;"-"&amp;'18U_F_Champ'!N273&amp;"-"&amp;TEXT('18U_F_Champ'!B273,"h:mm am/pm")</f>
        <v>18G-185-pt_7th-7:00 AM</v>
      </c>
      <c r="BA73" s="330" t="str">
        <f>'18U_F_Champ'!L282&amp;"-"&amp;'18U_F_Champ'!N282&amp;"-"&amp;TEXT('18U_F_Champ'!B282,"h:mm am/pm")</f>
        <v>18G-167-au_21-24 RR-7:00 AM</v>
      </c>
      <c r="BB73" s="330" t="str">
        <f>'18U_F_Champ'!L264&amp;"-"&amp;'18U_F_Champ'!N264&amp;"-"&amp;TEXT('18U_F_Champ'!B264,"h:mm am/pm")</f>
        <v>18G-165-pt_21-24 RR-7:00 AM</v>
      </c>
    </row>
    <row r="74" spans="1:57">
      <c r="A74" s="325">
        <v>0.33333333333333298</v>
      </c>
      <c r="B74" s="103" t="str">
        <f>'10U_Coed_Classic 22 from 23'!L140&amp;"-"&amp;'10U_Coed_Classic 22 from 23'!O140&amp;"-"&amp;TEXT('10U_Coed_Classic 22 from 23'!B140,"h:mm am/pm")</f>
        <v>10CX-078-bz_Semi-8:00 AM</v>
      </c>
      <c r="C74" s="80" t="str">
        <f>'10U_Coed_Champ_36'!L206&amp;"-"&amp;'10U_Coed_Champ_36'!O206&amp;"-"&amp;TEXT('10U_Coed_Champ_36'!B206,"h:mm am/pm")</f>
        <v>10C-127-au_semi-8:00 AM</v>
      </c>
      <c r="D74" s="80" t="str">
        <f>'10U_Coed_Champ_36'!L214&amp;"-"&amp;'10U_Coed_Champ_36'!O214&amp;"-"&amp;TEXT('10U_Coed_Champ_36'!B214,"h:mm am/pm")</f>
        <v>10C-130-au_semi-8:00 AM</v>
      </c>
      <c r="E74" s="80" t="str">
        <f>'10U_Coed_Champ_36'!L199&amp;"-"&amp;'10U_Coed_Champ_36'!O199&amp;"-"&amp;TEXT('10U_Coed_Champ_36'!B199,"h:mm am/pm")</f>
        <v>10C-136-au_11th-8:00 AM</v>
      </c>
      <c r="F74" s="322"/>
      <c r="G74" s="80" t="str">
        <f>'10U_Coed_Champ_36'!L225&amp;"-"&amp;'10U_Coed_Champ_36'!O225&amp;"-"&amp;TEXT('10U_Coed_Champ_36'!B225,"h:mm am/pm")</f>
        <v>10C-125-pt_21-24 RR-8:00 AM</v>
      </c>
      <c r="H74" s="46" t="str">
        <f>'10U_F_Champ-18 teams'!L124&amp;"-"&amp;'10U_F_Champ-18 teams'!N124&amp;"-"&amp;TEXT('10U_F_Champ-18 teams'!B124,"h:mm am/pm")</f>
        <v>10G-192-au_5th-8:00 AM</v>
      </c>
      <c r="I74" s="103" t="str">
        <f>'10U_Coed_Classic 22 from 23'!L130&amp;"-"&amp;'10U_Coed_Classic 22 from 23'!O130&amp;"-"&amp;TEXT('10U_Coed_Classic 22 from 23'!B130,"h:mm am/pm")</f>
        <v>10CX-086-ag_5th-8:00 AM</v>
      </c>
      <c r="J74" s="325">
        <v>0.33333333333333298</v>
      </c>
      <c r="K74" s="319" t="str">
        <f>'12U_Coed_Champ-45'!L278&amp;"-"&amp;'12U_Coed_Champ-45'!N278&amp;"-"&amp;TEXT('12U_Coed_Champ-45'!B278,"h:mm am/pm")</f>
        <v>12C-181-pt_11th-8:00 AM</v>
      </c>
      <c r="L74" s="319" t="str">
        <f>'12U_Coed_Champ-45'!L260&amp;"-"&amp;'12U_Coed_Champ-45'!N260&amp;"-"&amp;TEXT('12U_Coed_Champ-45'!B260,"h:mm am/pm")</f>
        <v>12C-172-au_semi-8:00 AM</v>
      </c>
      <c r="M74" s="319" t="str">
        <f>'12U_Coed_Champ-45'!L287&amp;"-"&amp;'12U_Coed_Champ-45'!N287&amp;"-"&amp;TEXT('12U_Coed_Champ-45'!B287,"h:mm am/pm")</f>
        <v>12C-173-pt_semi-8:00 AM</v>
      </c>
      <c r="N74" s="319" t="str">
        <f>'12U_Coed_Champ-45'!L269&amp;"-"&amp;'12U_Coed_Champ-45'!N269&amp;"-"&amp;TEXT('12U_Coed_Champ-45'!B269,"h:mm am/pm")</f>
        <v>12C-166-pt_21-24 RR-8:00 AM</v>
      </c>
      <c r="O74" s="325">
        <v>0.33333333333333298</v>
      </c>
      <c r="P74" s="326"/>
      <c r="Q74" s="449" t="str">
        <f>'12U_F_Champ-52'!L344&amp;"-"&amp;'12U_F_Champ-52'!N344&amp;"-"&amp;TEXT('12U_F_Champ-52'!B344,"h:mm am/pm")</f>
        <v>12G-169-au_semi-8:00 AM</v>
      </c>
      <c r="R74" s="449" t="str">
        <f>'12U_F_Champ-52'!L334&amp;"-"&amp;'12U_F_Champ-52'!N334&amp;"-"&amp;TEXT('12U_F_Champ-52'!B334,"h:mm am/pm")</f>
        <v>12G-189-pt_9th-8:00 AM</v>
      </c>
      <c r="S74" s="449" t="str">
        <f>'12U_F_Champ-52'!L324&amp;"-"&amp;'12U_F_Champ-52'!N324&amp;"-"&amp;TEXT('12U_F_Champ-52'!B324,"h:mm am/pm")</f>
        <v>12G-175-pt_23rd-8:00 AM</v>
      </c>
      <c r="T74" s="449" t="str">
        <f>'12U_F_Champ-52'!L314&amp;"-"&amp;'12U_F_Champ-52'!N314&amp;"-"&amp;TEXT('12U_F_Champ-52'!B314,"h:mm am/pm")</f>
        <v>12G-173-au_25th-8:00 AM</v>
      </c>
      <c r="U74" s="325">
        <v>0.33333333333333298</v>
      </c>
      <c r="V74" s="328" t="str">
        <f>'14U_F_Champ'!L280&amp;"-"&amp;'14U_F_Champ'!N280&amp;"-"&amp;TEXT('14U_F_Champ'!B280,"h:mm am/pm")</f>
        <v>14G-186-pt_5th-8:00 AM</v>
      </c>
      <c r="W74" s="450" t="str">
        <f>'14U_F_Classic-39 from 40'!L269&amp;"-"&amp;'14U_F_Classic-39 from 40'!N269&amp;"-"&amp;TEXT('14U_F_Classic-39 from 40'!B269,"h:mm am/pm")</f>
        <v>14GX-172-bz_semi-8:00 AM</v>
      </c>
      <c r="X74" s="450" t="str">
        <f>'14U_F_Classic-39 from 40'!L253&amp;"-"&amp;'14U_F_Classic-39 from 40'!N253&amp;"-"&amp;TEXT('14U_F_Classic-39 from 40'!B253,"h:mm am/pm")</f>
        <v>14GX-167-bz_13-15 RR-8:00 AM</v>
      </c>
      <c r="Y74" s="451"/>
      <c r="Z74" s="325">
        <v>0.33333333333333298</v>
      </c>
      <c r="AA74" s="328" t="str">
        <f>'14U_F_Champ'!L270&amp;"-"&amp;'14U_F_Champ'!N270&amp;"-"&amp;TEXT('14U_F_Champ'!B270,"h:mm am/pm")</f>
        <v>14G-168-au_21-24 RR-8:00 AM</v>
      </c>
      <c r="AB74" s="328" t="str">
        <f>'14U_F_Champ'!L260&amp;"-"&amp;'14U_F_Champ'!N260&amp;"-"&amp;TEXT('14U_F_Champ'!B260,"h:mm am/pm")</f>
        <v>14G-166-pt_21-24 RR-8:00 AM</v>
      </c>
      <c r="AC74" s="322"/>
      <c r="AD74" s="339" t="str">
        <f>'16U_F_Classic-45'!L268&amp;"-"&amp;'16U_F_Classic-45'!N268&amp;"-"&amp;TEXT('16U_F_Classic-45'!B268,"h:mm am/pm")</f>
        <v>16GX-165-ag_21-24 RR-8:00 AM</v>
      </c>
      <c r="AE74" s="450" t="str">
        <f>'14U_F_Classic-39 from 40'!L261&amp;"-"&amp;'14U_F_Classic-39 from 40'!N261&amp;"-"&amp;TEXT('14U_F_Classic-39 from 40'!B261,"h:mm am/pm")</f>
        <v>14GX-185-ag_7th-8:00 AM</v>
      </c>
      <c r="AF74" s="322"/>
      <c r="AG74" s="339" t="str">
        <f>'16U_F_Classic-45'!L257&amp;"-"&amp;'16U_F_Classic-45'!N257&amp;"-"&amp;TEXT('16U_F_Classic-45'!B257,"h:mm am/pm")</f>
        <v>16GX-172-bz_semi-8:00 AM</v>
      </c>
      <c r="AH74" s="339" t="str">
        <f>'16U_F_Classic-45'!L286&amp;"-"&amp;'16U_F_Classic-45'!N286&amp;"-"&amp;TEXT('16U_F_Classic-45'!B286,"h:mm am/pm")</f>
        <v>16GX-180-bz_15th-8:00 AM</v>
      </c>
      <c r="AI74" s="339" t="str">
        <f>'16U_F_Classic-45'!L277&amp;"-"&amp;'16U_F_Classic-45'!N277&amp;"-"&amp;TEXT('16U_F_Classic-45'!B277,"h:mm am/pm")</f>
        <v>16GX-177-ag_15th-8:00 AM</v>
      </c>
      <c r="AJ74" s="331" t="str">
        <f>'18U_F_Classic-44'!L275&amp;"-"&amp;'18U_F_Classic-44'!O275&amp;"-"&amp;TEXT('18U_F_Classic-44'!B275,"h:mm am/pm")</f>
        <v>18GX-188-bz 7th-8:00 AM</v>
      </c>
      <c r="AK74" s="328" t="str">
        <f>'14U_F_Champ'!L288&amp;"-"&amp;'14U_F_Champ'!N288&amp;"-"&amp;TEXT('14U_F_Champ'!B288,"h:mm am/pm")</f>
        <v>14G-172-au_semi-8:00 AM</v>
      </c>
      <c r="AL74" s="325">
        <v>0.33333333333333298</v>
      </c>
      <c r="AM74" s="322"/>
      <c r="AN74" s="329" t="str">
        <f>'16U_F_Champ'!L293&amp;"-"&amp;'16U_F_Champ'!O293&amp;"-"&amp;TEXT('16U_F_Champ'!B293,"h:mm am/pm")</f>
        <v>16G-171-au_semi-8:00 AM</v>
      </c>
      <c r="AO74" s="329" t="str">
        <f>'16U_F_Champ'!L286&amp;"-"&amp;'16U_F_Champ'!O286&amp;"-"&amp;TEXT('16U_F_Champ'!B286,"h:mm am/pm")</f>
        <v>16G-179-au_13th-8:00 AM</v>
      </c>
      <c r="AP74" s="329" t="str">
        <f>'16U_F_Champ'!L275&amp;"-"&amp;'16U_F_Champ'!O275&amp;"-"&amp;TEXT('16U_F_Champ'!B275,"h:mm am/pm")</f>
        <v>16G-170-pt_17th-8:00 AM</v>
      </c>
      <c r="AQ74" s="331" t="str">
        <f>'18U_F_Classic-44'!L293&amp;"-"&amp;'18U_F_Classic-44'!O293&amp;"-"&amp;TEXT('18U_F_Classic-44'!B293,"h:mm am/pm")</f>
        <v>18GX-172-bz Semi-8:00 AM</v>
      </c>
      <c r="AR74" s="331" t="str">
        <f>'18U_F_Classic-44'!L284&amp;"-"&amp;'18U_F_Classic-44'!O284&amp;"-"&amp;TEXT('18U_F_Classic-44'!B284,"h:mm am/pm")</f>
        <v>18GX-166-ag 21-24 RR-8:00 AM</v>
      </c>
      <c r="AS74" s="331" t="str">
        <f>'18U_F_Classic-44'!L265&amp;"-"&amp;'18U_F_Classic-44'!O265&amp;"-"&amp;TEXT('18U_F_Classic-44'!B265,"h:mm am/pm")</f>
        <v>18GX-182-ag 9th-8:00 AM</v>
      </c>
      <c r="AU74" s="325">
        <v>0.33333333333333298</v>
      </c>
      <c r="AV74" s="450" t="str">
        <f>'14U_F_Classic-39 from 40'!L244&amp;"-"&amp;'14U_F_Classic-39 from 40'!N244&amp;"-"&amp;TEXT('14U_F_Classic-39 from 40'!B244,"h:mm am/pm")</f>
        <v>14GX-181-ag_11th-8:00 AM</v>
      </c>
      <c r="AW74" s="329" t="str">
        <f>'16U_F_Champ'!L266&amp;"-"&amp;'16U_F_Champ'!O266&amp;"-"&amp;TEXT('16U_F_Champ'!B266,"h:mm am/pm")</f>
        <v>16G-186-pt_5th-8:00 AM</v>
      </c>
      <c r="AX74" s="322"/>
      <c r="AY74" s="330" t="str">
        <f>'18U_F_Champ'!L293&amp;"-"&amp;'18U_F_Champ'!N293&amp;"-"&amp;TEXT('18U_F_Champ'!B293,"h:mm am/pm")</f>
        <v>18G-171-au_semi-8:00 AM</v>
      </c>
      <c r="AZ74" s="330" t="str">
        <f>'18U_F_Champ'!L274&amp;"-"&amp;'18U_F_Champ'!N274&amp;"-"&amp;TEXT('18U_F_Champ'!B274,"h:mm am/pm")</f>
        <v>18G-186-pt_5th-8:00 AM</v>
      </c>
      <c r="BA74" s="330" t="str">
        <f>'18U_F_Champ'!L283&amp;"-"&amp;'18U_F_Champ'!N283&amp;"-"&amp;TEXT('18U_F_Champ'!B283,"h:mm am/pm")</f>
        <v>18G-168-au_21-24 RR-8:00 AM</v>
      </c>
      <c r="BB74" s="330" t="str">
        <f>'18U_F_Champ'!L265&amp;"-"&amp;'18U_F_Champ'!N265&amp;"-"&amp;TEXT('18U_F_Champ'!B265,"h:mm am/pm")</f>
        <v>18G-166-pt_21-24 RR-8:00 AM</v>
      </c>
    </row>
    <row r="75" spans="1:57">
      <c r="A75" s="325">
        <v>0.375</v>
      </c>
      <c r="C75" s="80" t="str">
        <f>'10U_Coed_Champ_36'!L207&amp;"-"&amp;'10U_Coed_Champ_36'!O207&amp;"-"&amp;TEXT('10U_Coed_Champ_36'!B207,"h:mm am/pm")</f>
        <v>10C-129-pt_17th-9:00 AM</v>
      </c>
      <c r="D75" s="80" t="str">
        <f>'10U_Coed_Champ_36'!L215&amp;"-"&amp;'10U_Coed_Champ_36'!O215&amp;"-"&amp;TEXT('10U_Coed_Champ_36'!B215,"h:mm am/pm")</f>
        <v>10C-140-pt_7th-9:00 AM</v>
      </c>
      <c r="E75" s="46" t="str">
        <f>'10U_F_Champ-18 teams'!L131&amp;"-"&amp;'10U_F_Champ-18 teams'!N131&amp;"-"&amp;TEXT('10U_F_Champ-18 teams'!B131,"h:mm am/pm")</f>
        <v>10G-178-pt_7th-9:00 AM</v>
      </c>
      <c r="F75" s="322"/>
      <c r="G75" s="80" t="str">
        <f>'10U_Coed_Champ_36'!L226&amp;"-"&amp;'10U_Coed_Champ_36'!O226&amp;"-"&amp;TEXT('10U_Coed_Champ_36'!B226,"h:mm am/pm")</f>
        <v>10C-126-pt_21-24 RR-9:00 AM</v>
      </c>
      <c r="H75" s="46" t="str">
        <f>'10U_F_Champ-18 teams'!L125&amp;"-"&amp;'10U_F_Champ-18 teams'!N125&amp;"-"&amp;TEXT('10U_F_Champ-18 teams'!B125,"h:mm am/pm")</f>
        <v>10G-191-au_3rd-9:00 AM</v>
      </c>
      <c r="I75" s="103" t="str">
        <f>'10U_Coed_Classic 22 from 23'!L131&amp;"-"&amp;'10U_Coed_Classic 22 from 23'!O131&amp;"-"&amp;TEXT('10U_Coed_Classic 22 from 23'!B131,"h:mm am/pm")</f>
        <v>10CX-088-bz_7th-9:00 AM</v>
      </c>
      <c r="J75" s="325">
        <v>0.375</v>
      </c>
      <c r="K75" s="319" t="str">
        <f>'12U_Coed_Champ-45'!L279&amp;"-"&amp;'12U_Coed_Champ-45'!N279&amp;"-"&amp;TEXT('12U_Coed_Champ-45'!B279,"h:mm am/pm")</f>
        <v>12C-178-pt_13th-9:00 AM</v>
      </c>
      <c r="L75" s="319" t="str">
        <f>'12U_Coed_Champ-45'!L261&amp;"-"&amp;'12U_Coed_Champ-45'!N261&amp;"-"&amp;TEXT('12U_Coed_Champ-45'!B261,"h:mm am/pm")</f>
        <v>12C-187-au_5th-9:00 AM</v>
      </c>
      <c r="M75" s="319" t="str">
        <f>'12U_Coed_Champ-45'!L288&amp;"-"&amp;'12U_Coed_Champ-45'!N288&amp;"-"&amp;TEXT('12U_Coed_Champ-45'!B288,"h:mm am/pm")</f>
        <v>12C-174-pt_semi-9:00 AM</v>
      </c>
      <c r="N75" s="319" t="str">
        <f>'12U_Coed_Champ-45'!L270&amp;"-"&amp;'12U_Coed_Champ-45'!N270&amp;"-"&amp;TEXT('12U_Coed_Champ-45'!B270,"h:mm am/pm")</f>
        <v>12C-175-au_17th-9:00 AM</v>
      </c>
      <c r="O75" s="325">
        <v>0.375</v>
      </c>
      <c r="P75" s="326"/>
      <c r="Q75" s="449" t="str">
        <f>'12U_F_Champ-52'!L345&amp;"-"&amp;'12U_F_Champ-52'!N345&amp;"-"&amp;TEXT('12U_F_Champ-52'!B345,"h:mm am/pm")</f>
        <v>12G-170-au_semi-9:00 AM</v>
      </c>
      <c r="R75" s="449" t="str">
        <f>'12U_F_Champ-52'!L335&amp;"-"&amp;'12U_F_Champ-52'!N335&amp;"-"&amp;TEXT('12U_F_Champ-52'!B335,"h:mm am/pm")</f>
        <v>12G-187-pt_11th-9:00 AM</v>
      </c>
      <c r="S75" s="449" t="str">
        <f>'12U_F_Champ-52'!L325&amp;"-"&amp;'12U_F_Champ-52'!N325&amp;"-"&amp;TEXT('12U_F_Champ-52'!B325,"h:mm am/pm")</f>
        <v>12G-192-au_5th-9:00 AM</v>
      </c>
      <c r="T75" s="449" t="str">
        <f>'12U_F_Champ-52'!L315&amp;"-"&amp;'12U_F_Champ-52'!N315&amp;"-"&amp;TEXT('12U_F_Champ-52'!B315,"h:mm am/pm")</f>
        <v>12G-174-au_23rd-9:00 AM</v>
      </c>
      <c r="U75" s="325">
        <v>0.375</v>
      </c>
      <c r="V75" s="328" t="str">
        <f>'14U_F_Champ'!L281&amp;"-"&amp;'14U_F_Champ'!N281&amp;"-"&amp;TEXT('14U_F_Champ'!B281,"h:mm am/pm")</f>
        <v>14G-173-pt_semi-9:00 AM</v>
      </c>
      <c r="W75" s="450" t="str">
        <f>'14U_F_Classic-39 from 40'!L270&amp;"-"&amp;'14U_F_Classic-39 from 40'!N270&amp;"-"&amp;TEXT('14U_F_Classic-39 from 40'!B270,"h:mm am/pm")</f>
        <v>14GX-173-ag_semi-9:00 AM</v>
      </c>
      <c r="X75" s="450" t="str">
        <f>'14U_F_Classic-39 from 40'!L254&amp;"-"&amp;'14U_F_Classic-39 from 40'!N254&amp;"-"&amp;TEXT('14U_F_Classic-39 from 40'!B254,"h:mm am/pm")</f>
        <v>14GX-183-bz_9th-9:00 AM</v>
      </c>
      <c r="Y75" s="451"/>
      <c r="Z75" s="325">
        <v>0.375</v>
      </c>
      <c r="AA75" s="328" t="str">
        <f>'14U_F_Champ'!L271&amp;"-"&amp;'14U_F_Champ'!N271&amp;"-"&amp;TEXT('14U_F_Champ'!B271,"h:mm am/pm")</f>
        <v>14G-183-au_9th-9:00 AM</v>
      </c>
      <c r="AB75" s="328" t="str">
        <f>'14U_F_Champ'!L261&amp;"-"&amp;'14U_F_Champ'!N261&amp;"-"&amp;TEXT('14U_F_Champ'!B261,"h:mm am/pm")</f>
        <v>14G-174-pt_semi-9:00 AM</v>
      </c>
      <c r="AC75" s="322"/>
      <c r="AD75" s="339" t="str">
        <f>'16U_F_Classic-45'!L269&amp;"-"&amp;'16U_F_Classic-45'!N269&amp;"-"&amp;TEXT('16U_F_Classic-45'!B269,"h:mm am/pm")</f>
        <v>16GX-166-ag_21-24 RR-9:00 AM</v>
      </c>
      <c r="AE75" s="450" t="str">
        <f>'14U_F_Classic-39 from 40'!L262&amp;"-"&amp;'14U_F_Classic-39 from 40'!N262&amp;"-"&amp;TEXT('14U_F_Classic-39 from 40'!B262,"h:mm am/pm")</f>
        <v>14GX-186-ag_5th-9:00 AM</v>
      </c>
      <c r="AF75" s="322"/>
      <c r="AG75" s="339" t="str">
        <f>'16U_F_Classic-45'!L258&amp;"-"&amp;'16U_F_Classic-45'!N258&amp;"-"&amp;TEXT('16U_F_Classic-45'!B258,"h:mm am/pm")</f>
        <v>16GX-173-ag_semi-9:00 AM</v>
      </c>
      <c r="AH75" s="339" t="str">
        <f>'16U_F_Classic-45'!L287&amp;"-"&amp;'16U_F_Classic-45'!N287&amp;"-"&amp;TEXT('16U_F_Classic-45'!B287,"h:mm am/pm")</f>
        <v>16GX-181-ag_11th-9:00 AM</v>
      </c>
      <c r="AI75" s="339" t="str">
        <f>'16U_F_Classic-45'!L278&amp;"-"&amp;'16U_F_Classic-45'!N278&amp;"-"&amp;TEXT('16U_F_Classic-45'!B278,"h:mm am/pm")</f>
        <v>16GX-186-ag_5th-9:00 AM</v>
      </c>
      <c r="AJ75" s="331" t="str">
        <f>'18U_F_Classic-44'!L276&amp;"-"&amp;'18U_F_Classic-44'!O276&amp;"-"&amp;TEXT('18U_F_Classic-44'!B276,"h:mm am/pm")</f>
        <v>18GX-187-bz 5th-9:00 AM</v>
      </c>
      <c r="AK75" s="328" t="str">
        <f>'14U_F_Champ'!L289&amp;"-"&amp;'14U_F_Champ'!N289&amp;"-"&amp;TEXT('14U_F_Champ'!B289,"h:mm am/pm")</f>
        <v>14G-187-au_5th-9:00 AM</v>
      </c>
      <c r="AL75" s="325">
        <v>0.375</v>
      </c>
      <c r="AM75" s="322"/>
      <c r="AN75" s="329" t="str">
        <f>'16U_F_Champ'!L294&amp;"-"&amp;'16U_F_Champ'!O294&amp;"-"&amp;TEXT('16U_F_Champ'!B294,"h:mm am/pm")</f>
        <v>16G-172-au_semi-9:00 AM</v>
      </c>
      <c r="AO75" s="329" t="str">
        <f>'16U_F_Champ'!L287&amp;"-"&amp;'16U_F_Champ'!O287&amp;"-"&amp;TEXT('16U_F_Champ'!B287,"h:mm am/pm")</f>
        <v>16G-180-au_15th-9:00 AM</v>
      </c>
      <c r="AP75" s="329" t="str">
        <f>'16U_F_Champ'!L276&amp;"-"&amp;'16U_F_Champ'!O276&amp;"-"&amp;TEXT('16U_F_Champ'!B276,"h:mm am/pm")</f>
        <v>16G-177-pt_15th-9:00 AM</v>
      </c>
      <c r="AQ75" s="331" t="str">
        <f>'18U_F_Classic-44'!L294&amp;"-"&amp;'18U_F_Classic-44'!O294&amp;"-"&amp;TEXT('18U_F_Classic-44'!B294,"h:mm am/pm")</f>
        <v>18GX-173-ag semi-9:00 AM</v>
      </c>
      <c r="AR75" s="331" t="str">
        <f>'18U_F_Classic-44'!L285&amp;"-"&amp;'18U_F_Classic-44'!O285&amp;"-"&amp;TEXT('18U_F_Classic-44'!B285,"h:mm am/pm")</f>
        <v>18GX-170-ag 17th-9:00 AM</v>
      </c>
      <c r="AS75" s="331" t="str">
        <f>'18U_F_Classic-44'!L266&amp;"-"&amp;'18U_F_Classic-44'!O266&amp;"-"&amp;TEXT('18U_F_Classic-44'!B266,"h:mm am/pm")</f>
        <v>18GX-185-ag 7th-9:00 AM</v>
      </c>
      <c r="AU75" s="325">
        <v>0.375</v>
      </c>
      <c r="AV75" s="450" t="str">
        <f>'14U_F_Classic-39 from 40'!L245&amp;"-"&amp;'14U_F_Classic-39 from 40'!N245&amp;"-"&amp;TEXT('14U_F_Classic-39 from 40'!B245,"h:mm am/pm")</f>
        <v>14GX-177-ag_15th-9:00 AM</v>
      </c>
      <c r="AW75" s="329" t="str">
        <f>'16U_F_Champ'!L267&amp;"-"&amp;'16U_F_Champ'!O267&amp;"-"&amp;TEXT('16U_F_Champ'!B267,"h:mm am/pm")</f>
        <v>16G-173-pt_semi-9:00 AM</v>
      </c>
      <c r="AX75" s="322"/>
      <c r="AY75" s="330" t="str">
        <f>'18U_F_Champ'!L294&amp;"-"&amp;'18U_F_Champ'!N294&amp;"-"&amp;TEXT('18U_F_Champ'!B294,"h:mm am/pm")</f>
        <v>18G-172-au_semi-9:00 AM</v>
      </c>
      <c r="AZ75" s="330" t="str">
        <f>'18U_F_Champ'!L275&amp;"-"&amp;'18U_F_Champ'!N275&amp;"-"&amp;TEXT('18U_F_Champ'!B275,"h:mm am/pm")</f>
        <v>18G-173-pt_semi-9:00 AM</v>
      </c>
      <c r="BA75" s="330" t="str">
        <f>'18U_F_Champ'!L284&amp;"-"&amp;'18U_F_Champ'!N284&amp;"-"&amp;TEXT('18U_F_Champ'!B284,"h:mm am/pm")</f>
        <v>18G-184-au_11th-9:00 AM</v>
      </c>
      <c r="BB75" s="330" t="str">
        <f>'18U_F_Champ'!L266&amp;"-"&amp;'18U_F_Champ'!N266&amp;"-"&amp;TEXT('18U_F_Champ'!B266,"h:mm am/pm")</f>
        <v>18G-178-pt_13th-9:00 AM</v>
      </c>
    </row>
    <row r="76" spans="1:57">
      <c r="A76" s="325">
        <v>0.41666666666666702</v>
      </c>
      <c r="C76" s="103" t="str">
        <f>'10U_Coed_Classic 22 from 23'!L149&amp;"-"&amp;'10U_Coed_Classic 22 from 23'!O149&amp;"-"&amp;TEXT('10U_Coed_Classic 22 from 23'!B149,"h:mm am/pm")</f>
        <v>10CX-091-ag_3rd-10:00 AM</v>
      </c>
      <c r="D76" s="80" t="str">
        <f>'10U_Coed_Champ_36'!L216&amp;"-"&amp;'10U_Coed_Champ_36'!O216&amp;"-"&amp;TEXT('10U_Coed_Champ_36'!B216,"h:mm am/pm")</f>
        <v>10C-138-pt_9th-10:00 AM</v>
      </c>
      <c r="E76" s="46" t="str">
        <f>'10U_F_Champ-18 teams'!L132&amp;"-"&amp;'10U_F_Champ-18 teams'!N132&amp;"-"&amp;TEXT('10U_F_Champ-18 teams'!B132,"h:mm am/pm")</f>
        <v>10G-177-pt_9th-10:00 AM</v>
      </c>
      <c r="F76" s="322"/>
      <c r="G76" s="80" t="str">
        <f>'10U_Coed_Champ_36'!L227&amp;"-"&amp;'10U_Coed_Champ_36'!O227&amp;"-"&amp;TEXT('10U_Coed_Champ_36'!B227,"h:mm am/pm")</f>
        <v>10C-139-au_5th-10:00 AM</v>
      </c>
      <c r="H76" s="46" t="str">
        <f>'10U_F_Champ-18 teams'!L126&amp;"-"&amp;'10U_F_Champ-18 teams'!N126&amp;"-"&amp;TEXT('10U_F_Champ-18 teams'!B126,"h:mm am/pm")</f>
        <v>10G-182-au_1st-10:00 AM</v>
      </c>
      <c r="I76" s="103" t="str">
        <f>'10U_Coed_Classic 22 from 23'!L132&amp;"-"&amp;'10U_Coed_Classic 22 from 23'!O132&amp;"-"&amp;TEXT('10U_Coed_Classic 22 from 23'!B132,"h:mm am/pm")</f>
        <v>10CX-081-ag_11th-10:00 AM</v>
      </c>
      <c r="J76" s="325">
        <v>0.41666666666666702</v>
      </c>
      <c r="K76" s="319" t="str">
        <f>'12U_Coed_Champ-45'!L280&amp;"-"&amp;'12U_Coed_Champ-45'!N280&amp;"-"&amp;TEXT('12U_Coed_Champ-45'!B280,"h:mm am/pm")</f>
        <v>12C-177-pt_15th-10:00 AM</v>
      </c>
      <c r="L76" s="319" t="str">
        <f>'12U_Coed_Champ-45'!L262&amp;"-"&amp;'12U_Coed_Champ-45'!N262&amp;"-"&amp;TEXT('12U_Coed_Champ-45'!B262,"h:mm am/pm")</f>
        <v>12C-188-au_7th-10:00 AM</v>
      </c>
      <c r="M76" s="319" t="str">
        <f>'12U_Coed_Champ-45'!L289&amp;"-"&amp;'12U_Coed_Champ-45'!N289&amp;"-"&amp;TEXT('12U_Coed_Champ-45'!B289,"h:mm am/pm")</f>
        <v>12C-186-pt_5th-10:00 AM</v>
      </c>
      <c r="N76" s="319" t="str">
        <f>'12U_Coed_Champ-45'!L271&amp;"-"&amp;'12U_Coed_Champ-45'!N271&amp;"-"&amp;TEXT('12U_Coed_Champ-45'!B271,"h:mm am/pm")</f>
        <v>12C-179-au_13th-10:00 AM</v>
      </c>
      <c r="O76" s="325">
        <v>0.41666666666666702</v>
      </c>
      <c r="P76" s="326"/>
      <c r="Q76" s="449" t="str">
        <f>'12U_F_Champ-52'!L346&amp;"-"&amp;'12U_F_Champ-52'!N346&amp;"-"&amp;TEXT('12U_F_Champ-52'!B346,"h:mm am/pm")</f>
        <v>12G-193-pt_5th-10:00 AM</v>
      </c>
      <c r="R76" s="449" t="str">
        <f>'12U_F_Champ-52'!L336&amp;"-"&amp;'12U_F_Champ-52'!N336&amp;"-"&amp;TEXT('12U_F_Champ-52'!B336,"h:mm am/pm")</f>
        <v>12G-185-pt_13th-10:00 AM</v>
      </c>
      <c r="S76" s="449" t="str">
        <f>'12U_F_Champ-52'!L326&amp;"-"&amp;'12U_F_Champ-52'!N326&amp;"-"&amp;TEXT('12U_F_Champ-52'!B326,"h:mm am/pm")</f>
        <v>12G-190-au_7th-10:00 AM</v>
      </c>
      <c r="T76" s="449" t="str">
        <f>'12U_F_Champ-52'!L316&amp;"-"&amp;'12U_F_Champ-52'!N316&amp;"-"&amp;TEXT('12U_F_Champ-52'!B316,"h:mm am/pm")</f>
        <v>12G-176-au_21st-10:00 AM</v>
      </c>
      <c r="U76" s="325">
        <v>0.41666666666666702</v>
      </c>
      <c r="V76" s="328" t="str">
        <f>'14U_F_Champ'!L282&amp;"-"&amp;'14U_F_Champ'!N282&amp;"-"&amp;TEXT('14U_F_Champ'!B282,"h:mm am/pm")</f>
        <v>14G-182-pt_9th-10:00 AM</v>
      </c>
      <c r="W76" s="450" t="str">
        <f>'14U_F_Classic-39 from 40'!L271&amp;"-"&amp;'14U_F_Classic-39 from 40'!N271&amp;"-"&amp;TEXT('14U_F_Classic-39 from 40'!B271,"h:mm am/pm")</f>
        <v>14GX-174-ag_semi-10:00 AM</v>
      </c>
      <c r="X76" s="450" t="str">
        <f>'14U_F_Classic-39 from 40'!L255&amp;"-"&amp;'14U_F_Classic-39 from 40'!N255&amp;"-"&amp;TEXT('14U_F_Classic-39 from 40'!B255,"h:mm am/pm")</f>
        <v>14GX-184-bz_11th-10:00 AM</v>
      </c>
      <c r="Y76" s="451"/>
      <c r="Z76" s="325">
        <v>0.41666666666666702</v>
      </c>
      <c r="AA76" s="328" t="str">
        <f>'14U_F_Champ'!L272&amp;"-"&amp;'14U_F_Champ'!N272&amp;"-"&amp;TEXT('14U_F_Champ'!B272,"h:mm am/pm")</f>
        <v>14G-184-au_11th-10:00 AM</v>
      </c>
      <c r="AB76" s="328" t="str">
        <f>'14U_F_Champ'!L262&amp;"-"&amp;'14U_F_Champ'!N262&amp;"-"&amp;TEXT('14U_F_Champ'!B262,"h:mm am/pm")</f>
        <v>14G-178-pt_13th-10:00 AM</v>
      </c>
      <c r="AC76" s="322"/>
      <c r="AD76" s="339" t="str">
        <f>'16U_F_Classic-45'!L270&amp;"-"&amp;'16U_F_Classic-45'!N270&amp;"-"&amp;TEXT('16U_F_Classic-45'!B270,"h:mm am/pm")</f>
        <v>16GX-175-bz_17th-10:00 AM</v>
      </c>
      <c r="AE76" s="450" t="str">
        <f>'14U_F_Classic-39 from 40'!L263&amp;"-"&amp;'14U_F_Classic-39 from 40'!N263&amp;"-"&amp;TEXT('14U_F_Classic-39 from 40'!B263,"h:mm am/pm")</f>
        <v>14GX-187-bz_5th-10:00 AM</v>
      </c>
      <c r="AF76" s="322"/>
      <c r="AG76" s="339" t="str">
        <f>'16U_F_Classic-45'!L259&amp;"-"&amp;'16U_F_Classic-45'!N259&amp;"-"&amp;TEXT('16U_F_Classic-45'!B259,"h:mm am/pm")</f>
        <v>16GX-174-ag_semi-10:00 AM</v>
      </c>
      <c r="AH76" s="339" t="str">
        <f>'16U_F_Classic-45'!L288&amp;"-"&amp;'16U_F_Classic-45'!N288&amp;"-"&amp;TEXT('16U_F_Classic-45'!B288,"h:mm am/pm")</f>
        <v>16GX-183-bz_9th-10:00 AM</v>
      </c>
      <c r="AI76" s="339" t="str">
        <f>'16U_F_Classic-45'!L279&amp;"-"&amp;'16U_F_Classic-45'!N279&amp;"-"&amp;TEXT('16U_F_Classic-45'!B279,"h:mm am/pm")</f>
        <v>16GX-185-ag_7th-10:00 AM</v>
      </c>
      <c r="AJ76" s="331" t="str">
        <f>'18U_F_Classic-44'!L277&amp;"-"&amp;'18U_F_Classic-44'!O277&amp;"-"&amp;TEXT('18U_F_Classic-44'!B277,"h:mm am/pm")</f>
        <v>18GX-184-bz 11th-10:00 AM</v>
      </c>
      <c r="AK76" s="328" t="str">
        <f>'14U_F_Champ'!L290&amp;"-"&amp;'14U_F_Champ'!N290&amp;"-"&amp;TEXT('14U_F_Champ'!B290,"h:mm am/pm")</f>
        <v>14G-188-au_7th-10:00 AM</v>
      </c>
      <c r="AL76" s="325">
        <v>0.41666666666666702</v>
      </c>
      <c r="AM76" s="322"/>
      <c r="AN76" s="329" t="str">
        <f>'16U_F_Champ'!L295&amp;"-"&amp;'16U_F_Champ'!O295&amp;"-"&amp;TEXT('16U_F_Champ'!B295,"h:mm am/pm")</f>
        <v>16G-188-au_7th-10:00 AM</v>
      </c>
      <c r="AO76" s="329" t="str">
        <f>'16U_F_Champ'!L288&amp;"-"&amp;'16U_F_Champ'!O288&amp;"-"&amp;TEXT('16U_F_Champ'!B288,"h:mm am/pm")</f>
        <v>16G-175-au_17th-10:00 AM</v>
      </c>
      <c r="AP76" s="329" t="str">
        <f>'16U_F_Champ'!L277&amp;"-"&amp;'16U_F_Champ'!O277&amp;"-"&amp;TEXT('16U_F_Champ'!B277,"h:mm am/pm")</f>
        <v>16G-178-pt_13th-10:00 AM</v>
      </c>
      <c r="AQ76" s="331" t="str">
        <f>'18U_F_Classic-44'!L295&amp;"-"&amp;'18U_F_Classic-44'!O295&amp;"-"&amp;TEXT('18U_F_Classic-44'!B295,"h:mm am/pm")</f>
        <v>18GX-174-ag semi-10:00 AM</v>
      </c>
      <c r="AR76" s="331" t="str">
        <f>'18U_F_Classic-44'!L286&amp;"-"&amp;'18U_F_Classic-44'!O286&amp;"-"&amp;TEXT('18U_F_Classic-44'!B286,"h:mm am/pm")</f>
        <v>18GX-169-ag 19th-10:00 AM</v>
      </c>
      <c r="AS76" s="331" t="str">
        <f>'18U_F_Classic-44'!L267&amp;"-"&amp;'18U_F_Classic-44'!O267&amp;"-"&amp;TEXT('18U_F_Classic-44'!B267,"h:mm am/pm")</f>
        <v>18GX-186-ag 5th-10:00 AM</v>
      </c>
      <c r="AU76" s="325">
        <v>0.41666666666666702</v>
      </c>
      <c r="AV76" s="450" t="str">
        <f>'14U_F_Classic-39 from 40'!L246&amp;"-"&amp;'14U_F_Classic-39 from 40'!N246&amp;"-"&amp;TEXT('14U_F_Classic-39 from 40'!B246,"h:mm am/pm")</f>
        <v>14GX-178-ag_13th-10:00 AM</v>
      </c>
      <c r="AW76" s="329" t="str">
        <f>'16U_F_Champ'!L268&amp;"-"&amp;'16U_F_Champ'!O268&amp;"-"&amp;TEXT('16U_F_Champ'!B268,"h:mm am/pm")</f>
        <v>16G-174-pt_semi-10:00 AM</v>
      </c>
      <c r="AX76" s="322"/>
      <c r="AY76" s="330" t="str">
        <f>'18U_F_Champ'!L295&amp;"-"&amp;'18U_F_Champ'!N295&amp;"-"&amp;TEXT('18U_F_Champ'!B295,"h:mm am/pm")</f>
        <v>18G-188-au_7th-10:00 AM</v>
      </c>
      <c r="AZ76" s="330" t="str">
        <f>'18U_F_Champ'!L276&amp;"-"&amp;'18U_F_Champ'!N276&amp;"-"&amp;TEXT('18U_F_Champ'!B276,"h:mm am/pm")</f>
        <v>18G-174-pt_semi-10:00 AM</v>
      </c>
      <c r="BA76" s="330" t="str">
        <f>'18U_F_Champ'!L285&amp;"-"&amp;'18U_F_Champ'!N285&amp;"-"&amp;TEXT('18U_F_Champ'!B285,"h:mm am/pm")</f>
        <v>18G-179-au_13th-10:00 AM</v>
      </c>
      <c r="BB76" s="330" t="str">
        <f>'18U_F_Champ'!L267&amp;"-"&amp;'18U_F_Champ'!N267&amp;"-"&amp;TEXT('18U_F_Champ'!B267,"h:mm am/pm")</f>
        <v>18G-177-pt_15th-10:00 AM</v>
      </c>
    </row>
    <row r="77" spans="1:57">
      <c r="A77" s="325">
        <v>0.45833333333333298</v>
      </c>
      <c r="B77" s="103" t="str">
        <f>'10U_Coed_Classic 22 from 23'!L142&amp;"-"&amp;'10U_Coed_Classic 22 from 23'!O142&amp;"-"&amp;TEXT('10U_Coed_Classic 22 from 23'!B142,"h:mm am/pm")</f>
        <v>10CX-089-bz_3rd-11:00 AM</v>
      </c>
      <c r="C77" s="103" t="str">
        <f>'10U_Coed_Classic 22 from 23'!L150&amp;"-"&amp;'10U_Coed_Classic 22 from 23'!O150&amp;"-"&amp;TEXT('10U_Coed_Classic 22 from 23'!B150,"h:mm am/pm")</f>
        <v>10CX-092-ag_1st-11:00 AM</v>
      </c>
      <c r="D77" s="80" t="str">
        <f>'10U_Coed_Champ_36'!L217&amp;"-"&amp;'10U_Coed_Champ_36'!O217&amp;"-"&amp;TEXT('10U_Coed_Champ_36'!B217,"h:mm am/pm")</f>
        <v>10C-137-pt_11th-11:00 AM</v>
      </c>
      <c r="E77" s="80" t="str">
        <f>'10U_Coed_Champ_36'!L201&amp;"-"&amp;'10U_Coed_Champ_36'!O201&amp;"-"&amp;TEXT('10U_Coed_Champ_36'!B201,"h:mm am/pm")</f>
        <v>10C-134-pt_15th-11:00 AM</v>
      </c>
      <c r="F77" s="322"/>
      <c r="G77" s="80" t="str">
        <f>'10U_Coed_Champ_36'!L228&amp;"-"&amp;'10U_Coed_Champ_36'!O228&amp;"-"&amp;TEXT('10U_Coed_Champ_36'!B228,"h:mm am/pm")</f>
        <v>10C-142-au_7th-11:00 AM</v>
      </c>
      <c r="H77" s="46" t="str">
        <f>'10U_F_Champ-18 teams'!L127&amp;"-"&amp;'10U_F_Champ-18 teams'!N127&amp;"-"&amp;TEXT('10U_F_Champ-18 teams'!B127,"h:mm am/pm")</f>
        <v>10G-181-pt_11th-11:00 AM</v>
      </c>
      <c r="I77" s="103" t="str">
        <f>'10U_Coed_Classic 22 from 23'!L133&amp;"-"&amp;'10U_Coed_Classic 22 from 23'!O133&amp;"-"&amp;TEXT('10U_Coed_Classic 22 from 23'!B133,"h:mm am/pm")</f>
        <v>10CX-082-ag_9th-11:00 AM</v>
      </c>
      <c r="J77" s="325">
        <v>0.45833333333333298</v>
      </c>
      <c r="K77" s="319" t="str">
        <f>'12U_Coed_Champ-45'!L281&amp;"-"&amp;'12U_Coed_Champ-45'!N281&amp;"-"&amp;TEXT('12U_Coed_Champ-45'!B281,"h:mm am/pm")</f>
        <v>12C-169-pt_19th-11:00 AM</v>
      </c>
      <c r="L77" s="319" t="str">
        <f>'12U_Coed_Champ-45'!L263&amp;"-"&amp;'12U_Coed_Champ-45'!N263&amp;"-"&amp;TEXT('12U_Coed_Champ-45'!B263,"h:mm am/pm")</f>
        <v>12C-192-au_3rd-11:00 AM</v>
      </c>
      <c r="M77" s="319" t="str">
        <f>'12U_Coed_Champ-45'!L290&amp;"-"&amp;'12U_Coed_Champ-45'!N290&amp;"-"&amp;TEXT('12U_Coed_Champ-45'!B290,"h:mm am/pm")</f>
        <v>12C-185-pt_7th-11:00 AM</v>
      </c>
      <c r="N77" s="319" t="str">
        <f>'12U_Coed_Champ-45'!L272&amp;"-"&amp;'12U_Coed_Champ-45'!N272&amp;"-"&amp;TEXT('12U_Coed_Champ-45'!B272,"h:mm am/pm")</f>
        <v>12C-184-au_11th-11:00 AM</v>
      </c>
      <c r="O77" s="325">
        <v>0.45833333333333298</v>
      </c>
      <c r="P77" s="326"/>
      <c r="Q77" s="449" t="str">
        <f>'12U_F_Champ-52'!L347&amp;"-"&amp;'12U_F_Champ-52'!N347&amp;"-"&amp;TEXT('12U_F_Champ-52'!B347,"h:mm am/pm")</f>
        <v>12G-191-pt_7th-11:00 AM</v>
      </c>
      <c r="R77" s="449" t="str">
        <f>'12U_F_Champ-52'!L337&amp;"-"&amp;'12U_F_Champ-52'!N337&amp;"-"&amp;TEXT('12U_F_Champ-52'!B337,"h:mm am/pm")</f>
        <v>12G-183-pt_15th-11:00 AM</v>
      </c>
      <c r="S77" s="449" t="str">
        <f>'12U_F_Champ-52'!L327&amp;"-"&amp;'12U_F_Champ-52'!N327&amp;"-"&amp;TEXT('12U_F_Champ-52'!B327,"h:mm am/pm")</f>
        <v>12G-188-au_9th-11:00 AM</v>
      </c>
      <c r="T77" s="449" t="str">
        <f>'12U_F_Champ-52'!L317&amp;"-"&amp;'12U_F_Champ-52'!N317&amp;"-"&amp;TEXT('12U_F_Champ-52'!B317,"h:mm am/pm")</f>
        <v>12G-182-au_15th-11:00 AM</v>
      </c>
      <c r="U77" s="325">
        <v>0.45833333333333298</v>
      </c>
      <c r="V77" s="328" t="str">
        <f>'14U_F_Champ'!L283&amp;"-"&amp;'14U_F_Champ'!N283&amp;"-"&amp;TEXT('14U_F_Champ'!B283,"h:mm am/pm")</f>
        <v>14G-181-pt_11th-11:00 AM</v>
      </c>
      <c r="W77" s="450" t="str">
        <f>'14U_F_Classic-39 from 40'!L272&amp;"-"&amp;'14U_F_Classic-39 from 40'!N272&amp;"-"&amp;TEXT('14U_F_Classic-39 from 40'!B272,"h:mm am/pm")</f>
        <v>14GX-192-bz_3rd-11:00 AM</v>
      </c>
      <c r="X77" s="450" t="str">
        <f>'14U_F_Classic-39 from 40'!L256&amp;"-"&amp;'14U_F_Classic-39 from 40'!N256&amp;"-"&amp;TEXT('14U_F_Classic-39 from 40'!B256,"h:mm am/pm")</f>
        <v>14GX-179-bz_13-15 RR-11:00 AM</v>
      </c>
      <c r="Y77" s="451"/>
      <c r="Z77" s="325">
        <v>0.45833333333333298</v>
      </c>
      <c r="AA77" s="328" t="str">
        <f>'14U_F_Champ'!L273&amp;"-"&amp;'14U_F_Champ'!N273&amp;"-"&amp;TEXT('14U_F_Champ'!B273,"h:mm am/pm")</f>
        <v>14G-179-au_13th-11:00 AM</v>
      </c>
      <c r="AB77" s="328" t="str">
        <f>'14U_F_Champ'!L263&amp;"-"&amp;'14U_F_Champ'!N263&amp;"-"&amp;TEXT('14U_F_Champ'!B263,"h:mm am/pm")</f>
        <v>14G-177-pt_15th-11:00 AM</v>
      </c>
      <c r="AC77" s="322"/>
      <c r="AD77" s="339" t="str">
        <f>'16U_F_Classic-45'!L271&amp;"-"&amp;'16U_F_Classic-45'!N271&amp;"-"&amp;TEXT('16U_F_Classic-45'!B271,"h:mm am/pm")</f>
        <v>16GX-179-bz_13th-11:00 AM</v>
      </c>
      <c r="AE77" s="450" t="str">
        <f>'14U_F_Classic-39 from 40'!L264&amp;"-"&amp;'14U_F_Classic-39 from 40'!N264&amp;"-"&amp;TEXT('14U_F_Classic-39 from 40'!B264,"h:mm am/pm")</f>
        <v>14GX-188-bz_7th-11:00 AM</v>
      </c>
      <c r="AF77" s="322"/>
      <c r="AG77" s="339" t="str">
        <f>'16U_F_Classic-45'!L260&amp;"-"&amp;'16U_F_Classic-45'!N260&amp;"-"&amp;TEXT('16U_F_Classic-45'!B260,"h:mm am/pm")</f>
        <v>16GX-192-bz_3rd-11:00 AM</v>
      </c>
      <c r="AH77" s="339" t="str">
        <f>'16U_F_Classic-45'!L289&amp;"-"&amp;'16U_F_Classic-45'!N289&amp;"-"&amp;TEXT('16U_F_Classic-45'!B289,"h:mm am/pm")</f>
        <v>16GX-188-bz_7th-11:00 AM</v>
      </c>
      <c r="AI77" s="339" t="str">
        <f>'16U_F_Classic-45'!L280&amp;"-"&amp;'16U_F_Classic-45'!N280&amp;"-"&amp;TEXT('16U_F_Classic-45'!B280,"h:mm am/pm")</f>
        <v>16GX-182-ag_9th-11:00 AM</v>
      </c>
      <c r="AJ77" s="331" t="str">
        <f>'18U_F_Classic-44'!L278&amp;"-"&amp;'18U_F_Classic-44'!O278&amp;"-"&amp;TEXT('18U_F_Classic-44'!B278,"h:mm am/pm")</f>
        <v>18GX-179-bz 13th-11:00 AM</v>
      </c>
      <c r="AK77" s="328" t="str">
        <f>'14U_F_Champ'!L291&amp;"-"&amp;'14U_F_Champ'!N291&amp;"-"&amp;TEXT('14U_F_Champ'!B291,"h:mm am/pm")</f>
        <v>14G-189-au_3rd-11:00 AM</v>
      </c>
      <c r="AL77" s="325">
        <v>0.45833333333333298</v>
      </c>
      <c r="AM77" s="322"/>
      <c r="AN77" s="329" t="str">
        <f>'16U_F_Champ'!L296&amp;"-"&amp;'16U_F_Champ'!O296&amp;"-"&amp;TEXT('16U_F_Champ'!B296,"h:mm am/pm")</f>
        <v>16G-187-au_5th-11:00 AM</v>
      </c>
      <c r="AO77" s="322"/>
      <c r="AP77" s="329" t="str">
        <f>'16U_F_Champ'!L278&amp;"-"&amp;'16U_F_Champ'!O278&amp;"-"&amp;TEXT('16U_F_Champ'!B278,"h:mm am/pm")</f>
        <v>16G-165-pt_21-24 RR-11:00 AM</v>
      </c>
      <c r="AQ77" s="331" t="str">
        <f>'18U_F_Classic-44'!L296&amp;"-"&amp;'18U_F_Classic-44'!O296&amp;"-"&amp;TEXT('18U_F_Classic-44'!B296,"h:mm am/pm")</f>
        <v>18GX-189-bz 3rd-11:00 AM</v>
      </c>
      <c r="AR77" s="331" t="str">
        <f>'18U_F_Classic-44'!L287&amp;"-"&amp;'18U_F_Classic-44'!O287&amp;"-"&amp;TEXT('18U_F_Classic-44'!B287,"h:mm am/pm")</f>
        <v>18GX-175-bz 17th-11:00 AM</v>
      </c>
      <c r="AS77" s="331" t="str">
        <f>'18U_F_Classic-44'!L268&amp;"-"&amp;'18U_F_Classic-44'!O268&amp;"-"&amp;TEXT('18U_F_Classic-44'!B268,"h:mm am/pm")</f>
        <v>18GX-181-ag 11th-11:00 AM</v>
      </c>
      <c r="AU77" s="325">
        <v>0.45833333333333298</v>
      </c>
      <c r="AV77" s="450" t="str">
        <f>'14U_F_Classic-39 from 40'!L247&amp;"-"&amp;'14U_F_Classic-39 from 40'!N247&amp;"-"&amp;TEXT('14U_F_Classic-39 from 40'!B247,"h:mm am/pm")</f>
        <v>14GX-170-ag_17th-11:00 AM</v>
      </c>
      <c r="AW77" s="329" t="str">
        <f>'16U_F_Champ'!L269&amp;"-"&amp;'16U_F_Champ'!O269&amp;"-"&amp;TEXT('16U_F_Champ'!B269,"h:mm am/pm")</f>
        <v>16G-182-pt_9th-11:00 AM</v>
      </c>
      <c r="AX77" s="322"/>
      <c r="AY77" s="330" t="str">
        <f>'18U_F_Champ'!L296&amp;"-"&amp;'18U_F_Champ'!N296&amp;"-"&amp;TEXT('18U_F_Champ'!B296,"h:mm am/pm")</f>
        <v>18G-187-au_5th-11:00 AM</v>
      </c>
      <c r="AZ77" s="330" t="str">
        <f>'18U_F_Champ'!L277&amp;"-"&amp;'18U_F_Champ'!N277&amp;"-"&amp;TEXT('18U_F_Champ'!B277,"h:mm am/pm")</f>
        <v>18G-182-pt_9th-11:00 AM</v>
      </c>
      <c r="BA77" s="330" t="str">
        <f>'18U_F_Champ'!L286&amp;"-"&amp;'18U_F_Champ'!N286&amp;"-"&amp;TEXT('18U_F_Champ'!B286,"h:mm am/pm")</f>
        <v>18G-180-au_15th-11:00 AM</v>
      </c>
      <c r="BB77" s="330" t="str">
        <f>'18U_F_Champ'!L268&amp;"-"&amp;'18U_F_Champ'!N268&amp;"-"&amp;TEXT('18U_F_Champ'!B268,"h:mm am/pm")</f>
        <v>18G-170-pt_17th-11:00 AM</v>
      </c>
    </row>
    <row r="78" spans="1:57">
      <c r="A78" s="325">
        <v>0.5</v>
      </c>
      <c r="B78" s="103" t="str">
        <f>'10U_Coed_Classic 22 from 23'!L143&amp;"-"&amp;'10U_Coed_Classic 22 from 23'!O143&amp;"-"&amp;TEXT('10U_Coed_Classic 22 from 23'!B143,"h:mm am/pm")</f>
        <v>10CX-090-bz_1st-12:00 PM</v>
      </c>
      <c r="C78" s="80" t="str">
        <f>'10U_Coed_Champ_36'!L209&amp;"-"&amp;'10U_Coed_Champ_36'!O209&amp;"-"&amp;TEXT('10U_Coed_Champ_36'!B209,"h:mm am/pm")</f>
        <v>10C-143-au_3rd-12:00 PM</v>
      </c>
      <c r="E78" s="80" t="str">
        <f>'10U_Coed_Champ_36'!L202&amp;"-"&amp;'10U_Coed_Champ_36'!O202&amp;"-"&amp;TEXT('10U_Coed_Champ_36'!B202,"h:mm am/pm")</f>
        <v>10C-128-pt_19th-12:00 PM</v>
      </c>
      <c r="F78" s="322"/>
      <c r="G78" s="80" t="str">
        <f>'10U_Coed_Champ_36'!L229&amp;"-"&amp;'10U_Coed_Champ_36'!O229&amp;"-"&amp;TEXT('10U_Coed_Champ_36'!B229,"h:mm am/pm")</f>
        <v>10C-133-au_9th-12:00 PM</v>
      </c>
      <c r="H78" s="80" t="str">
        <f>'10U_Coed_Champ_36'!L221&amp;"-"&amp;'10U_Coed_Champ_36'!O221&amp;"-"&amp;TEXT('10U_Coed_Champ_36'!B221,"h:mm am/pm")</f>
        <v>10C-135-pt_13th-12:00 PM</v>
      </c>
      <c r="I78" s="103" t="str">
        <f>'10U_Coed_Classic 22 from 23'!L134&amp;"-"&amp;'10U_Coed_Classic 22 from 23'!O134&amp;"-"&amp;TEXT('10U_Coed_Classic 22 from 23'!B134,"h:mm am/pm")</f>
        <v>10CX-083-bz_5th-12:00 PM</v>
      </c>
      <c r="J78" s="325">
        <v>0.5</v>
      </c>
      <c r="K78" s="319" t="str">
        <f>'12U_Coed_Champ-45'!L282&amp;"-"&amp;'12U_Coed_Champ-45'!N282&amp;"-"&amp;TEXT('12U_Coed_Champ-45'!B282,"h:mm am/pm")</f>
        <v>12C-180-au_15th-12:00 PM</v>
      </c>
      <c r="L78" s="319" t="str">
        <f>'12U_Coed_Champ-45'!L264&amp;"-"&amp;'12U_Coed_Champ-45'!N264&amp;"-"&amp;TEXT('12U_Coed_Champ-45'!B264,"h:mm am/pm")</f>
        <v>12C-191-au_1st-12:00 PM</v>
      </c>
      <c r="M78" s="319" t="str">
        <f>'12U_Coed_Champ-45'!L291&amp;"-"&amp;'12U_Coed_Champ-45'!N291&amp;"-"&amp;TEXT('12U_Coed_Champ-45'!B291,"h:mm am/pm")</f>
        <v>12C-182-pt_9th-12:00 PM</v>
      </c>
      <c r="N78" s="319" t="str">
        <f>'12U_Coed_Champ-45'!L273&amp;"-"&amp;'12U_Coed_Champ-45'!N273&amp;"-"&amp;TEXT('12U_Coed_Champ-45'!B273,"h:mm am/pm")</f>
        <v>12C-183-au_9th-12:00 PM</v>
      </c>
      <c r="O78" s="325">
        <v>0.5</v>
      </c>
      <c r="P78" s="326"/>
      <c r="Q78" s="449" t="str">
        <f>'12U_F_Champ-52'!L348&amp;"-"&amp;'12U_F_Champ-52'!N348&amp;"-"&amp;TEXT('12U_F_Champ-52'!B348,"h:mm am/pm")</f>
        <v>12G-194-au_3rd-12:00 PM</v>
      </c>
      <c r="R78" s="449" t="str">
        <f>'12U_F_Champ-52'!L338&amp;"-"&amp;'12U_F_Champ-52'!N338&amp;"-"&amp;TEXT('12U_F_Champ-52'!B338,"h:mm am/pm")</f>
        <v>12G-181-pt_17th-12:00 PM</v>
      </c>
      <c r="S78" s="449" t="str">
        <f>'12U_F_Champ-52'!L328&amp;"-"&amp;'12U_F_Champ-52'!N328&amp;"-"&amp;TEXT('12U_F_Champ-52'!B328,"h:mm am/pm")</f>
        <v>12G-186-au_11th-12:00 PM</v>
      </c>
      <c r="T78" s="449" t="str">
        <f>'12U_F_Champ-52'!L318&amp;"-"&amp;'12U_F_Champ-52'!N318&amp;"-"&amp;TEXT('12U_F_Champ-52'!B318,"h:mm am/pm")</f>
        <v>12G-167-au_17th-12:00 PM</v>
      </c>
      <c r="U78" s="325">
        <v>0.5</v>
      </c>
      <c r="W78" s="450" t="str">
        <f>'14U_F_Classic-39 from 40'!L273&amp;"-"&amp;'14U_F_Classic-39 from 40'!N273&amp;"-"&amp;TEXT('14U_F_Classic-39 from 40'!B273,"h:mm am/pm")</f>
        <v>14GX-191-bz_1st-12:00 PM</v>
      </c>
      <c r="X78" s="325"/>
      <c r="Y78" s="451"/>
      <c r="Z78" s="325">
        <v>0.5</v>
      </c>
      <c r="AA78" s="328" t="str">
        <f>'14U_F_Champ'!L274&amp;"-"&amp;'14U_F_Champ'!N274&amp;"-"&amp;TEXT('14U_F_Champ'!B274,"h:mm am/pm")</f>
        <v>14G-180-au_15th-12:00 PM</v>
      </c>
      <c r="AB78" s="328" t="str">
        <f>'14U_F_Champ'!L264&amp;"-"&amp;'14U_F_Champ'!N264&amp;"-"&amp;TEXT('14U_F_Champ'!B264,"h:mm am/pm")</f>
        <v>14G-170-pt_17th-12:00 PM</v>
      </c>
      <c r="AC78" s="322"/>
      <c r="AD78" s="339" t="str">
        <f>'16U_F_Classic-45'!L272&amp;"-"&amp;'16U_F_Classic-45'!N272&amp;"-"&amp;TEXT('16U_F_Classic-45'!B272,"h:mm am/pm")</f>
        <v>16GX-184-bz_11th-12:00 PM</v>
      </c>
      <c r="AF78" s="322"/>
      <c r="AG78" s="339" t="str">
        <f>'16U_F_Classic-45'!L261&amp;"-"&amp;'16U_F_Classic-45'!N261&amp;"-"&amp;TEXT('16U_F_Classic-45'!B261,"h:mm am/pm")</f>
        <v>16GX-191-bz_1st-12:00 PM</v>
      </c>
      <c r="AH78" s="339" t="str">
        <f>'16U_F_Classic-45'!L290&amp;"-"&amp;'16U_F_Classic-45'!N290&amp;"-"&amp;TEXT('16U_F_Classic-45'!B290,"h:mm am/pm")</f>
        <v>16GX-187-bz_5th-12:00 PM</v>
      </c>
      <c r="AI78" s="339" t="str">
        <f>'16U_F_Classic-45'!L281&amp;"-"&amp;'16U_F_Classic-45'!N281&amp;"-"&amp;TEXT('16U_F_Classic-45'!B281,"h:mm am/pm")</f>
        <v>16GX-178-ag_13th-12:00 PM</v>
      </c>
      <c r="AJ78" s="331" t="str">
        <f>'18U_F_Classic-44'!L279&amp;"-"&amp;'18U_F_Classic-44'!O279&amp;"-"&amp;TEXT('18U_F_Classic-44'!B279,"h:mm am/pm")</f>
        <v>18GX-180-bz 15th-12:00 PM</v>
      </c>
      <c r="AK78" s="328" t="str">
        <f>'14U_F_Champ'!L292&amp;"-"&amp;'14U_F_Champ'!N292&amp;"-"&amp;TEXT('14U_F_Champ'!B292,"h:mm am/pm")</f>
        <v>14G-190-au_1st-12:00 PM</v>
      </c>
      <c r="AL78" s="325">
        <v>0.5</v>
      </c>
      <c r="AM78" s="322"/>
      <c r="AN78" s="329" t="str">
        <f>'16U_F_Champ'!L297&amp;"-"&amp;'16U_F_Champ'!O297&amp;"-"&amp;TEXT('16U_F_Champ'!B297,"h:mm am/pm")</f>
        <v>16G-189-au_3rd-12:00 PM</v>
      </c>
      <c r="AO78" s="322"/>
      <c r="AP78" s="329" t="str">
        <f>'16U_F_Champ'!L279&amp;"-"&amp;'16U_F_Champ'!O279&amp;"-"&amp;TEXT('16U_F_Champ'!B279,"h:mm am/pm")</f>
        <v>16G-166-pt_21-24 RR-12:00 PM</v>
      </c>
      <c r="AQ78" s="331" t="str">
        <f>'18U_F_Classic-44'!L297&amp;"-"&amp;'18U_F_Classic-44'!O297&amp;"-"&amp;TEXT('18U_F_Classic-44'!B297,"h:mm am/pm")</f>
        <v>18GX-190-bz 1st-12:00 PM</v>
      </c>
      <c r="AR78" s="331" t="str">
        <f>'18U_F_Classic-44'!L288&amp;"-"&amp;'18U_F_Classic-44'!O288&amp;"-"&amp;TEXT('18U_F_Classic-44'!B288,"h:mm am/pm")</f>
        <v>18GX-176-bz 19th-12:00 PM</v>
      </c>
      <c r="AS78" s="331" t="str">
        <f>'18U_F_Classic-44'!L269&amp;"-"&amp;'18U_F_Classic-44'!O269&amp;"-"&amp;TEXT('18U_F_Classic-44'!B269,"h:mm am/pm")</f>
        <v>18GX-178-ag 13th-12:00 PM</v>
      </c>
      <c r="AU78" s="325">
        <v>0.5</v>
      </c>
      <c r="AV78" s="450" t="str">
        <f>'14U_F_Classic-39 from 40'!L248&amp;"-"&amp;'14U_F_Classic-39 from 40'!N248&amp;"-"&amp;TEXT('14U_F_Classic-39 from 40'!B248,"h:mm am/pm")</f>
        <v>14GX-169-ag_19th-12:00 PM</v>
      </c>
      <c r="AW78" s="329" t="str">
        <f>'16U_F_Champ'!L270&amp;"-"&amp;'16U_F_Champ'!O270&amp;"-"&amp;TEXT('16U_F_Champ'!B270,"h:mm am/pm")</f>
        <v>16G-181-pt_11th-12:00 PM</v>
      </c>
      <c r="AX78" s="322"/>
      <c r="AY78" s="330" t="str">
        <f>'18U_F_Champ'!L297&amp;"-"&amp;'18U_F_Champ'!N297&amp;"-"&amp;TEXT('18U_F_Champ'!B297,"h:mm am/pm")</f>
        <v>18G-189-au_3rd-12:00 PM</v>
      </c>
      <c r="AZ78" s="330" t="str">
        <f>'18U_F_Champ'!L278&amp;"-"&amp;'18U_F_Champ'!N278&amp;"-"&amp;TEXT('18U_F_Champ'!B278,"h:mm am/pm")</f>
        <v>18G-181-pt_11th-12:00 PM</v>
      </c>
      <c r="BA78" s="330" t="str">
        <f>'18U_F_Champ'!L287&amp;"-"&amp;'18U_F_Champ'!N287&amp;"-"&amp;TEXT('18U_F_Champ'!B287,"h:mm am/pm")</f>
        <v>18G-175-au_17th-12:00 PM</v>
      </c>
      <c r="BB78" s="330" t="str">
        <f>'18U_F_Champ'!L269&amp;"-"&amp;'18U_F_Champ'!N269&amp;"-"&amp;TEXT('18U_F_Champ'!B269,"h:mm am/pm")</f>
        <v>18G-169-pt_19th-12:00 PM</v>
      </c>
    </row>
    <row r="79" spans="1:57">
      <c r="A79" s="325">
        <v>0.54166666666666696</v>
      </c>
      <c r="C79" s="80" t="str">
        <f>'10U_Coed_Champ_36'!L210&amp;"-"&amp;'10U_Coed_Champ_36'!O210&amp;"-"&amp;TEXT('10U_Coed_Champ_36'!B210,"h:mm am/pm")</f>
        <v>10C-144-au_1st-1:00 PM</v>
      </c>
      <c r="F79" s="322"/>
      <c r="I79" s="103" t="str">
        <f>'10U_Coed_Classic 22 from 23'!L135&amp;"-"&amp;'10U_Coed_Classic 22 from 23'!O135&amp;"-"&amp;TEXT('10U_Coed_Classic 22 from 23'!B135,"h:mm am/pm")</f>
        <v>10CX-084-bz_9th-1:00 PM</v>
      </c>
      <c r="J79" s="325">
        <v>0.54166666666666696</v>
      </c>
      <c r="O79" s="325">
        <v>0.54166666666666696</v>
      </c>
      <c r="P79" s="326"/>
      <c r="Q79" s="449" t="str">
        <f>'12U_F_Champ-52'!L349&amp;"-"&amp;'12U_F_Champ-52'!N349&amp;"-"&amp;TEXT('12U_F_Champ-52'!B349,"h:mm am/pm")</f>
        <v>12G-195-au_1st-1:00 PM</v>
      </c>
      <c r="R79" s="449" t="str">
        <f>'12U_F_Champ-52'!L339&amp;"-"&amp;'12U_F_Champ-52'!N339&amp;"-"&amp;TEXT('12U_F_Champ-52'!B339,"h:mm am/pm")</f>
        <v>12G-179-pt_19th-1:00 PM</v>
      </c>
      <c r="S79" s="449" t="str">
        <f>'12U_F_Champ-52'!L329&amp;"-"&amp;'12U_F_Champ-52'!N329&amp;"-"&amp;TEXT('12U_F_Champ-52'!B329,"h:mm am/pm")</f>
        <v>12G-184-au_13th-1:00 PM</v>
      </c>
      <c r="T79" s="449" t="str">
        <f>'12U_F_Champ-52'!L319&amp;"-"&amp;'12U_F_Champ-52'!N319&amp;"-"&amp;TEXT('12U_F_Champ-52'!B319,"h:mm am/pm")</f>
        <v>12G-168-au_19th-1:00 PM</v>
      </c>
      <c r="U79" s="325">
        <v>0.54166666666666696</v>
      </c>
      <c r="W79" s="450" t="str">
        <f>'14U_F_Classic-39 from 40'!L274&amp;"-"&amp;'14U_F_Classic-39 from 40'!N274&amp;"-"&amp;TEXT('14U_F_Classic-39 from 40'!B274,"h:mm am/pm")</f>
        <v>14GX-190-ag_3rd-1:00 PM</v>
      </c>
      <c r="X79" s="325"/>
      <c r="Y79" s="325"/>
      <c r="Z79" s="325">
        <v>0.54166666666666696</v>
      </c>
      <c r="AA79" s="328" t="str">
        <f>'14U_F_Champ'!L275&amp;"-"&amp;'14U_F_Champ'!N275&amp;"-"&amp;TEXT('14U_F_Champ'!B275,"h:mm am/pm")</f>
        <v>14G-175-au_17th-1:00 PM</v>
      </c>
      <c r="AB79" s="328" t="str">
        <f>'14U_F_Champ'!L265&amp;"-"&amp;'14U_F_Champ'!N265&amp;"-"&amp;TEXT('14U_F_Champ'!B265,"h:mm am/pm")</f>
        <v>14G-169-pt_19th-1:00 PM</v>
      </c>
      <c r="AC79" s="322"/>
      <c r="AF79" s="322"/>
      <c r="AG79" s="339" t="str">
        <f>'16U_F_Classic-45'!L262&amp;"-"&amp;'16U_F_Classic-45'!N262&amp;"-"&amp;TEXT('16U_F_Classic-45'!B262,"h:mm am/pm")</f>
        <v>16GX-190-ag_3rd-1:00 PM</v>
      </c>
      <c r="AK79" s="328" t="str">
        <f>'14U_F_Champ'!L293&amp;"-"&amp;'14U_F_Champ'!N293&amp;"-"&amp;TEXT('14U_F_Champ'!B293,"h:mm am/pm")</f>
        <v>14G-176-au_19th-1:00 PM</v>
      </c>
      <c r="AL79" s="325">
        <v>0.54166666666666696</v>
      </c>
      <c r="AM79" s="322"/>
      <c r="AN79" s="329" t="str">
        <f>'16U_F_Champ'!L298&amp;"-"&amp;'16U_F_Champ'!O298&amp;"-"&amp;TEXT('16U_F_Champ'!B298,"h:mm am/pm")</f>
        <v>16G-190-au_1st-1:00 PM</v>
      </c>
      <c r="AO79" s="322"/>
      <c r="AP79" s="329" t="str">
        <f>'16U_F_Champ'!L280&amp;"-"&amp;'16U_F_Champ'!O280&amp;"-"&amp;TEXT('16U_F_Champ'!B280,"h:mm am/pm")</f>
        <v>16G-167-au_21-24 RR-1:00 PM</v>
      </c>
      <c r="AQ79" s="331" t="str">
        <f>'18U_F_Classic-44'!L298&amp;"-"&amp;'18U_F_Classic-44'!O298&amp;"-"&amp;TEXT('18U_F_Classic-44'!B298,"h:mm am/pm")</f>
        <v>18GX-191-ag 3rd-1:00 PM</v>
      </c>
      <c r="AS79" s="331" t="str">
        <f>'18U_F_Classic-44'!L270&amp;"-"&amp;'18U_F_Classic-44'!O270&amp;"-"&amp;TEXT('18U_F_Classic-44'!B270,"h:mm am/pm")</f>
        <v>18GX-177-ag 15th-1:00 PM</v>
      </c>
      <c r="AU79" s="325">
        <v>0.54166666666666696</v>
      </c>
      <c r="AV79" s="323"/>
      <c r="AX79" s="322"/>
      <c r="AY79" s="330" t="str">
        <f>'18U_F_Champ'!L298&amp;"-"&amp;'18U_F_Champ'!N298&amp;"-"&amp;TEXT('18U_F_Champ'!B298,"h:mm am/pm")</f>
        <v>18G-190-au_1st-1:00 PM</v>
      </c>
      <c r="BA79" s="330" t="str">
        <f>'18U_F_Champ'!L288&amp;"-"&amp;'18U_F_Champ'!N288&amp;"-"&amp;TEXT('18U_F_Champ'!B288,"h:mm am/pm")</f>
        <v>18G-176-au_19th-1:00 PM</v>
      </c>
    </row>
    <row r="80" spans="1:57">
      <c r="A80" s="325">
        <v>0.58333333333333304</v>
      </c>
      <c r="F80" s="322"/>
      <c r="J80" s="325">
        <v>0.58333333333333304</v>
      </c>
      <c r="O80" s="325">
        <v>0.58333333333333304</v>
      </c>
      <c r="P80" s="326"/>
      <c r="R80" s="325"/>
      <c r="S80" s="325"/>
      <c r="T80" s="325"/>
      <c r="U80" s="325">
        <v>0.58333333333333304</v>
      </c>
      <c r="W80" s="450" t="str">
        <f>'14U_F_Classic-39 from 40'!L275&amp;"-"&amp;'14U_F_Classic-39 from 40'!N275&amp;"-"&amp;TEXT('14U_F_Classic-39 from 40'!B275,"h:mm am/pm")</f>
        <v>14GX-189-ag_1st-2:00 PM</v>
      </c>
      <c r="X80" s="325"/>
      <c r="Y80" s="325"/>
      <c r="Z80" s="325">
        <v>0.58333333333333304</v>
      </c>
      <c r="AC80" s="322"/>
      <c r="AF80" s="322"/>
      <c r="AG80" s="339" t="str">
        <f>'16U_F_Classic-45'!L263&amp;"-"&amp;'16U_F_Classic-45'!N263&amp;"-"&amp;TEXT('16U_F_Classic-45'!B263,"h:mm am/pm")</f>
        <v>16GX-189-ag_1st-2:00 PM</v>
      </c>
      <c r="AL80" s="325">
        <v>0.58333333333333304</v>
      </c>
      <c r="AM80" s="322"/>
      <c r="AN80" s="329" t="str">
        <f>'16U_F_Champ'!L299&amp;"-"&amp;'16U_F_Champ'!O299&amp;"-"&amp;TEXT('16U_F_Champ'!B299,"h:mm am/pm")</f>
        <v>16G-183-au_9th-2:00 PM</v>
      </c>
      <c r="AO80" s="322"/>
      <c r="AP80" s="329" t="str">
        <f>'16U_F_Champ'!L281&amp;"-"&amp;'16U_F_Champ'!O281&amp;"-"&amp;TEXT('16U_F_Champ'!B281,"h:mm am/pm")</f>
        <v>16G-168-au_21-24 RR-2:00 PM</v>
      </c>
      <c r="AQ80" s="331" t="str">
        <f>'18U_F_Classic-44'!L299&amp;"-"&amp;'18U_F_Classic-44'!O299&amp;"-"&amp;TEXT('18U_F_Classic-44'!B299,"h:mm am/pm")</f>
        <v>18GX-192-ag 1st-2:00 PM</v>
      </c>
      <c r="AU80" s="325">
        <v>0.58333333333333304</v>
      </c>
      <c r="AV80" s="323"/>
    </row>
    <row r="81" spans="1:48">
      <c r="A81" s="325">
        <v>0.624999999999997</v>
      </c>
      <c r="F81" s="322"/>
      <c r="J81" s="325">
        <v>0.624999999999997</v>
      </c>
      <c r="O81" s="325">
        <v>0.624999999999997</v>
      </c>
      <c r="P81" s="326"/>
      <c r="R81" s="325"/>
      <c r="S81" s="325"/>
      <c r="T81" s="325"/>
      <c r="U81" s="325">
        <v>0.624999999999997</v>
      </c>
      <c r="Y81" s="325"/>
      <c r="Z81" s="325">
        <v>0.624999999999997</v>
      </c>
      <c r="AC81" s="322"/>
      <c r="AF81" s="322"/>
      <c r="AL81" s="325">
        <v>0.624999999999997</v>
      </c>
      <c r="AM81" s="322"/>
      <c r="AO81" s="322"/>
      <c r="AU81" s="325">
        <v>0.624999999999997</v>
      </c>
      <c r="AV81" s="323"/>
    </row>
    <row r="83" spans="1:48">
      <c r="AH83" s="321"/>
    </row>
    <row r="84" spans="1:48">
      <c r="B84" s="320" t="s">
        <v>59</v>
      </c>
      <c r="C84" s="320" t="s">
        <v>60</v>
      </c>
    </row>
    <row r="85" spans="1:48">
      <c r="A85" s="325">
        <v>0.29166666666666669</v>
      </c>
      <c r="B85" s="46" t="str">
        <f>'10U_F_Champ-18 teams'!L137&amp;"-"&amp;'10U_F_Champ-18 teams'!N137&amp;"-"&amp;TEXT('10U_F_Champ-18 teams'!B137,"h:mm am/pm")</f>
        <v>10G-173-pt_semi-7:00 AM</v>
      </c>
      <c r="C85" s="46" t="str">
        <f>'10U_F_Champ-18 teams'!L144&amp;"-"&amp;'10U_F_Champ-18 teams'!N144&amp;"-"&amp;TEXT('10U_F_Champ-18 teams'!B144,"h:mm am/pm")</f>
        <v>10G-174-pt_semi-7:00 AM</v>
      </c>
    </row>
    <row r="86" spans="1:48">
      <c r="A86" s="325">
        <v>0.33333333333333298</v>
      </c>
      <c r="B86" s="80" t="str">
        <f>'10U_Coed_Champ_36'!L233&amp;"-"&amp;'10U_Coed_Champ_36'!O233&amp;"-"&amp;TEXT('10U_Coed_Champ_36'!B233,"h:mm am/pm")</f>
        <v>10C-131-pt_semi-8:00 AM</v>
      </c>
      <c r="C86" s="80" t="str">
        <f>'10U_Coed_Champ_36'!L239&amp;"-"&amp;'10U_Coed_Champ_36'!O239&amp;"-"&amp;TEXT('10U_Coed_Champ_36'!B239,"h:mm am/pm")</f>
        <v>10C-132-pt_semi-8:00 AM</v>
      </c>
    </row>
    <row r="87" spans="1:48">
      <c r="A87" s="325">
        <v>0.375</v>
      </c>
      <c r="B87" s="46" t="str">
        <f>'10U_F_Champ-18 teams'!L139&amp;"-"&amp;'10U_F_Champ-18 teams'!N139&amp;"-"&amp;TEXT('10U_F_Champ-18 teams'!B139,"h:mm am/pm")</f>
        <v>10G-193-pt_5th-9:00 AM</v>
      </c>
      <c r="C87" s="80" t="str">
        <f>'10U_Coed_Champ_36'!L240&amp;"-"&amp;'10U_Coed_Champ_36'!O240&amp;"-"&amp;TEXT('10U_Coed_Champ_36'!B240,"h:mm am/pm")</f>
        <v>10C-141-pt_5th-9:00 AM</v>
      </c>
    </row>
    <row r="88" spans="1:48">
      <c r="A88" s="325">
        <v>0.41666666666666669</v>
      </c>
      <c r="B88" s="46" t="str">
        <f>'10U_F_Champ-18 teams'!L140&amp;"-"&amp;'10U_F_Champ-18 teams'!N140&amp;"-"&amp;TEXT('10U_F_Champ-18 teams'!B140,"h:mm am/pm")</f>
        <v>10G-185-pt_3rd-10:00 AM</v>
      </c>
      <c r="C88" s="46" t="str">
        <f>'10U_F_Champ-18 teams'!L146&amp;"-"&amp;'10U_F_Champ-18 teams'!N146&amp;"-"&amp;TEXT('10U_F_Champ-18 teams'!B146,"h:mm am/pm")</f>
        <v>10G-186-pt_1st-10:00 AM</v>
      </c>
    </row>
    <row r="89" spans="1:48">
      <c r="A89" s="325">
        <v>0.45833333333333331</v>
      </c>
      <c r="B89" s="80" t="str">
        <f>'10U_Coed_Champ_36'!L235&amp;"-"&amp;'10U_Coed_Champ_36'!O235&amp;"-"&amp;TEXT('10U_Coed_Champ_36'!B235,"h:mm am/pm")</f>
        <v>10C-145-pt_3rd-11:00 AM</v>
      </c>
      <c r="C89" s="80" t="str">
        <f>'10U_Coed_Champ_36'!L242&amp;"-"&amp;'10U_Coed_Champ_36'!O242&amp;"-"&amp;TEXT('10U_Coed_Champ_36'!B242,"h:mm am/pm")</f>
        <v>10C-146-pt_1st-11:00 AM</v>
      </c>
    </row>
    <row r="90" spans="1:48">
      <c r="A90" s="325">
        <v>0.5</v>
      </c>
      <c r="B90" s="449" t="str">
        <f>'12U_F_Champ-52'!L353&amp;"-"&amp;'12U_F_Champ-52'!N353&amp;"-"&amp;TEXT('12U_F_Champ-52'!B353,"h:mm am/pm")</f>
        <v>12G-196-pt_3rd-12:00 PM</v>
      </c>
      <c r="C90" s="449" t="str">
        <f>'12U_F_Champ-52'!L357&amp;"-"&amp;'12U_F_Champ-52'!N357&amp;"-"&amp;TEXT('12U_F_Champ-52'!B357,"h:mm am/pm")</f>
        <v>12G-197-pt_1st-12:00 PM</v>
      </c>
    </row>
    <row r="91" spans="1:48">
      <c r="A91" s="325">
        <v>0.54166666666666663</v>
      </c>
      <c r="B91" s="319" t="str">
        <f>'12U_Coed_Champ-45'!L295&amp;"-"&amp;'12U_Coed_Champ-45'!N295&amp;"-"&amp;TEXT('12U_Coed_Champ-45'!B295,"h:mm am/pm")</f>
        <v>12C-190-pt_3rd-1:00 PM</v>
      </c>
      <c r="C91" s="319" t="str">
        <f>'12U_Coed_Champ-45'!L299&amp;"-"&amp;'12U_Coed_Champ-45'!N299&amp;"-"&amp;TEXT('12U_Coed_Champ-45'!B299,"h:mm am/pm")</f>
        <v>12C-189-pt_1st-1:00 PM</v>
      </c>
    </row>
    <row r="92" spans="1:48">
      <c r="A92" s="325">
        <v>0.60416666666666663</v>
      </c>
      <c r="B92" s="328" t="str">
        <f>'14U_F_Champ'!L298&amp;"-"&amp;'14U_F_Champ'!N298&amp;"-"&amp;TEXT('14U_F_Champ'!B298,"h:mm am/pm")</f>
        <v>14G-191-pt_3rd-2:30 PM</v>
      </c>
      <c r="C92" s="328" t="str">
        <f>'14U_F_Champ'!L302&amp;"-"&amp;'14U_F_Champ'!N302&amp;"-"&amp;TEXT('14U_F_Champ'!B302,"h:mm am/pm")</f>
        <v>14G-192-pt_1st-2:30 PM</v>
      </c>
    </row>
    <row r="93" spans="1:48">
      <c r="A93" s="325">
        <v>0.65625</v>
      </c>
      <c r="B93" s="329" t="str">
        <f>'16U_F_Champ'!L303&amp;"-"&amp;'16U_F_Champ'!O303&amp;"-"&amp;TEXT('16U_F_Champ'!B303,"h:mm am/pm")</f>
        <v>16G-191-pt_3rd-3:45 PM</v>
      </c>
      <c r="C93" s="329" t="str">
        <f>'16U_F_Champ'!L307&amp;"-"&amp;'16U_F_Champ'!O307&amp;"-"&amp;TEXT('16U_F_Champ'!B307,"h:mm am/pm")</f>
        <v>16G-192-pt_1st-3:45 PM</v>
      </c>
    </row>
    <row r="94" spans="1:48">
      <c r="A94" s="325">
        <v>0.69791666666666663</v>
      </c>
      <c r="B94" s="330" t="str">
        <f>'18U_F_Champ'!L302&amp;"-"&amp;'18U_F_Champ'!N302&amp;"-"&amp;TEXT('18U_F_Champ'!B302,"h:mm am/pm")</f>
        <v>18G-191-pt_3rd-4:45 PM</v>
      </c>
      <c r="C94" s="330" t="str">
        <f>'18U_F_Champ'!L306&amp;"-"&amp;'18U_F_Champ'!N306&amp;"-"&amp;TEXT('18U_F_Champ'!B306,"h:mm am/pm")</f>
        <v>18G-192-pt_1st-4:45 PM</v>
      </c>
    </row>
    <row r="106" spans="48:48">
      <c r="AV106" s="323"/>
    </row>
    <row r="107" spans="48:48">
      <c r="AV107" s="323"/>
    </row>
    <row r="108" spans="48:48">
      <c r="AV108" s="323"/>
    </row>
    <row r="109" spans="48:48">
      <c r="AV109" s="323"/>
    </row>
    <row r="110" spans="48:48">
      <c r="AV110" s="323"/>
    </row>
    <row r="111" spans="48:48">
      <c r="AV111" s="323"/>
    </row>
    <row r="112" spans="48:48">
      <c r="AV112" s="323"/>
    </row>
    <row r="113" spans="48:48">
      <c r="AV113" s="323"/>
    </row>
    <row r="114" spans="48:48">
      <c r="AV114" s="323"/>
    </row>
    <row r="115" spans="48:48">
      <c r="AV115" s="323"/>
    </row>
    <row r="116" spans="48:48">
      <c r="AV116" s="323"/>
    </row>
    <row r="117" spans="48:48">
      <c r="AV117" s="323"/>
    </row>
    <row r="118" spans="48:48">
      <c r="AV118" s="323"/>
    </row>
    <row r="119" spans="48:48">
      <c r="AV119" s="323"/>
    </row>
    <row r="120" spans="48:48">
      <c r="AV120" s="323"/>
    </row>
  </sheetData>
  <phoneticPr fontId="3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50361-7313-4F2A-A7CD-A55F146D146E}">
  <sheetPr>
    <tabColor rgb="FF38D4D6"/>
  </sheetPr>
  <dimension ref="A1:T164"/>
  <sheetViews>
    <sheetView workbookViewId="0"/>
  </sheetViews>
  <sheetFormatPr defaultColWidth="23.5" defaultRowHeight="13.2"/>
  <cols>
    <col min="1" max="1" width="23.5" style="2"/>
    <col min="2" max="2" width="23.5" style="31"/>
    <col min="3" max="3" width="23.5" style="2"/>
    <col min="4" max="4" width="26.296875" style="2" customWidth="1"/>
    <col min="5" max="5" width="22.796875" style="2" customWidth="1"/>
    <col min="6" max="6" width="23.796875" style="2" customWidth="1"/>
    <col min="7" max="7" width="5.19921875" style="2" bestFit="1" customWidth="1"/>
    <col min="8" max="8" width="22.5" style="2" customWidth="1"/>
    <col min="9" max="9" width="4.5" style="2" bestFit="1" customWidth="1"/>
    <col min="10" max="10" width="5.296875" style="2" bestFit="1" customWidth="1"/>
    <col min="11" max="11" width="4.796875" style="2" bestFit="1" customWidth="1"/>
    <col min="12" max="12" width="23.5" style="2"/>
    <col min="13" max="13" width="10.69921875" style="2" customWidth="1"/>
    <col min="14" max="14" width="14.5" style="2" customWidth="1"/>
    <col min="15" max="16384" width="23.5" style="2"/>
  </cols>
  <sheetData>
    <row r="1" spans="1:20" ht="13.95" customHeight="1" thickTop="1" thickBot="1">
      <c r="A1" s="1" t="s">
        <v>61</v>
      </c>
      <c r="B1" s="2" t="s">
        <v>62</v>
      </c>
      <c r="C1" s="2" t="s">
        <v>63</v>
      </c>
      <c r="D1" s="49" t="s">
        <v>64</v>
      </c>
    </row>
    <row r="2" spans="1:20" ht="13.95" customHeight="1" thickBot="1">
      <c r="A2" s="3">
        <v>46221</v>
      </c>
      <c r="B2" s="2"/>
      <c r="D2" s="51" t="s">
        <v>65</v>
      </c>
      <c r="O2" s="2" t="s">
        <v>66</v>
      </c>
      <c r="P2" s="2" t="s">
        <v>67</v>
      </c>
      <c r="Q2" s="2" t="s">
        <v>68</v>
      </c>
      <c r="R2" s="2" t="s">
        <v>69</v>
      </c>
      <c r="S2" s="2" t="s">
        <v>70</v>
      </c>
      <c r="T2" s="2" t="s">
        <v>71</v>
      </c>
    </row>
    <row r="3" spans="1:20" ht="13.95" customHeight="1" thickBot="1">
      <c r="D3" s="4" t="s">
        <v>72</v>
      </c>
      <c r="O3" s="2" t="s">
        <v>73</v>
      </c>
      <c r="P3" s="2" t="s">
        <v>74</v>
      </c>
      <c r="Q3" s="2" t="s">
        <v>75</v>
      </c>
      <c r="R3" s="2" t="s">
        <v>76</v>
      </c>
      <c r="S3" s="2" t="s">
        <v>77</v>
      </c>
      <c r="T3" s="2" t="s">
        <v>78</v>
      </c>
    </row>
    <row r="4" spans="1:20" ht="13.95" customHeight="1">
      <c r="O4" s="2" t="s">
        <v>79</v>
      </c>
      <c r="P4" s="2" t="s">
        <v>80</v>
      </c>
      <c r="Q4" s="2" t="s">
        <v>81</v>
      </c>
      <c r="R4" s="2" t="s">
        <v>82</v>
      </c>
      <c r="S4" s="2" t="s">
        <v>83</v>
      </c>
      <c r="T4" s="2" t="s">
        <v>84</v>
      </c>
    </row>
    <row r="5" spans="1:20" ht="13.95" customHeight="1">
      <c r="A5" s="46" t="s">
        <v>85</v>
      </c>
      <c r="B5" s="47" t="s">
        <v>86</v>
      </c>
      <c r="C5" s="47" t="s">
        <v>87</v>
      </c>
      <c r="D5" s="47" t="s">
        <v>88</v>
      </c>
      <c r="E5" s="47" t="s">
        <v>89</v>
      </c>
      <c r="F5" s="47" t="s">
        <v>90</v>
      </c>
    </row>
    <row r="6" spans="1:20" ht="13.95" customHeight="1">
      <c r="A6" s="5" t="s">
        <v>91</v>
      </c>
      <c r="B6" s="5" t="s">
        <v>92</v>
      </c>
      <c r="C6" s="5" t="s">
        <v>93</v>
      </c>
      <c r="D6" s="5" t="s">
        <v>94</v>
      </c>
      <c r="E6" s="5" t="s">
        <v>95</v>
      </c>
      <c r="F6" s="5" t="s">
        <v>96</v>
      </c>
    </row>
    <row r="7" spans="1:20" ht="13.95" customHeight="1">
      <c r="A7" s="5" t="s">
        <v>97</v>
      </c>
      <c r="B7" s="5" t="s">
        <v>98</v>
      </c>
      <c r="C7" s="5" t="s">
        <v>99</v>
      </c>
      <c r="D7" s="5" t="s">
        <v>100</v>
      </c>
      <c r="E7" s="5" t="s">
        <v>101</v>
      </c>
      <c r="F7" s="5" t="s">
        <v>102</v>
      </c>
    </row>
    <row r="8" spans="1:20" ht="13.95" customHeight="1">
      <c r="A8" s="5" t="s">
        <v>103</v>
      </c>
      <c r="B8" s="5" t="s">
        <v>104</v>
      </c>
      <c r="C8" s="5" t="s">
        <v>105</v>
      </c>
      <c r="D8" s="5" t="s">
        <v>106</v>
      </c>
      <c r="E8" s="5" t="s">
        <v>107</v>
      </c>
      <c r="F8" s="5" t="s">
        <v>108</v>
      </c>
    </row>
    <row r="9" spans="1:20" ht="13.95" customHeight="1" thickBot="1">
      <c r="L9" s="2" t="s">
        <v>109</v>
      </c>
    </row>
    <row r="10" spans="1:20" ht="13.95" customHeight="1" thickBot="1">
      <c r="C10" s="32"/>
      <c r="D10" s="4" t="str">
        <f>'CHICLETS MASTER S1'!$D$3</f>
        <v>EL TORO HS 3</v>
      </c>
    </row>
    <row r="11" spans="1:20" ht="13.95" customHeight="1">
      <c r="A11" s="46" t="s">
        <v>110</v>
      </c>
      <c r="B11" s="46" t="s">
        <v>111</v>
      </c>
      <c r="C11" s="46" t="s">
        <v>112</v>
      </c>
      <c r="D11" s="46" t="s">
        <v>113</v>
      </c>
      <c r="E11" s="46" t="s">
        <v>114</v>
      </c>
      <c r="F11" s="46" t="s">
        <v>115</v>
      </c>
      <c r="G11" s="46" t="s">
        <v>116</v>
      </c>
      <c r="H11" s="46" t="s">
        <v>117</v>
      </c>
      <c r="I11" s="46" t="s">
        <v>116</v>
      </c>
      <c r="J11" s="46" t="s">
        <v>118</v>
      </c>
      <c r="K11" s="46" t="s">
        <v>119</v>
      </c>
      <c r="L11" s="46" t="s">
        <v>120</v>
      </c>
    </row>
    <row r="12" spans="1:20" ht="13.95" customHeight="1">
      <c r="A12" s="6">
        <f>$A$2</f>
        <v>46221</v>
      </c>
      <c r="B12" s="7">
        <f>'CHICLETS MASTER S1'!A6</f>
        <v>0.36111111111111099</v>
      </c>
      <c r="C12" s="8" t="s">
        <v>121</v>
      </c>
      <c r="D12" s="8" t="str">
        <f t="shared" ref="D12:D24" si="0">$D$10</f>
        <v>EL TORO HS 3</v>
      </c>
      <c r="E12" s="33">
        <v>1</v>
      </c>
      <c r="F12" s="34" t="str">
        <f>A6</f>
        <v>A1(1)-NEWPORT BEACH BLUE</v>
      </c>
      <c r="G12" s="34"/>
      <c r="H12" s="34" t="str">
        <f>A8</f>
        <v>A3(13)-GREENWICH</v>
      </c>
      <c r="I12" s="34"/>
      <c r="J12" s="9" t="s">
        <v>121</v>
      </c>
      <c r="K12" s="8" t="s">
        <v>121</v>
      </c>
      <c r="L12" s="8" t="str">
        <f>IF(E12="","",$L$9&amp;"-"&amp;TEXT(E12,"000"))</f>
        <v>10G-001</v>
      </c>
    </row>
    <row r="13" spans="1:20" ht="13.95" customHeight="1">
      <c r="A13" s="6">
        <f t="shared" ref="A13:A24" si="1">$A$2</f>
        <v>46221</v>
      </c>
      <c r="B13" s="7">
        <f>'CHICLETS MASTER S1'!A7</f>
        <v>0.39583333333333398</v>
      </c>
      <c r="C13" s="8" t="s">
        <v>121</v>
      </c>
      <c r="D13" s="8" t="str">
        <f t="shared" si="0"/>
        <v>EL TORO HS 3</v>
      </c>
      <c r="E13" s="33">
        <v>3</v>
      </c>
      <c r="F13" s="34" t="str">
        <f>B6</f>
        <v>B1(2)-SOCAL</v>
      </c>
      <c r="G13" s="34"/>
      <c r="H13" s="34" t="str">
        <f>B8</f>
        <v>B3(14)-YOLO FLAMINGOS</v>
      </c>
      <c r="I13" s="34"/>
      <c r="J13" s="9" t="s">
        <v>121</v>
      </c>
      <c r="K13" s="8" t="s">
        <v>121</v>
      </c>
      <c r="L13" s="8" t="str">
        <f>IF(E13="","",$L$9&amp;"-"&amp;TEXT(E13,"000"))</f>
        <v>10G-003</v>
      </c>
    </row>
    <row r="14" spans="1:20" ht="13.95" customHeight="1">
      <c r="A14" s="6">
        <f t="shared" si="1"/>
        <v>46221</v>
      </c>
      <c r="B14" s="7">
        <f>'CHICLETS MASTER S1'!A8</f>
        <v>0.43055555555555602</v>
      </c>
      <c r="C14" s="8" t="s">
        <v>121</v>
      </c>
      <c r="D14" s="8" t="str">
        <f t="shared" si="0"/>
        <v>EL TORO HS 3</v>
      </c>
      <c r="E14" s="33">
        <v>5</v>
      </c>
      <c r="F14" s="34" t="str">
        <f>C6</f>
        <v>C1(3)-680 RED</v>
      </c>
      <c r="G14" s="34"/>
      <c r="H14" s="34" t="str">
        <f>C8</f>
        <v>C3(15)-LA JOLLA UNITED</v>
      </c>
      <c r="I14" s="34"/>
      <c r="J14" s="9" t="s">
        <v>121</v>
      </c>
      <c r="K14" s="8" t="s">
        <v>121</v>
      </c>
      <c r="L14" s="8" t="str">
        <f t="shared" ref="L14:L15" si="2">IF(E14="","",$L$9&amp;"-"&amp;TEXT(E14,"000"))</f>
        <v>10G-005</v>
      </c>
    </row>
    <row r="15" spans="1:20" ht="13.95" customHeight="1">
      <c r="A15" s="6">
        <f t="shared" si="1"/>
        <v>46221</v>
      </c>
      <c r="B15" s="7">
        <f>'CHICLETS MASTER S1'!A9</f>
        <v>0.46527777777777801</v>
      </c>
      <c r="C15" s="8" t="s">
        <v>121</v>
      </c>
      <c r="D15" s="8" t="str">
        <f t="shared" si="0"/>
        <v>EL TORO HS 3</v>
      </c>
      <c r="E15" s="33">
        <v>7</v>
      </c>
      <c r="F15" s="34" t="str">
        <f>A7</f>
        <v>A2(12)-STANFORD</v>
      </c>
      <c r="G15" s="34"/>
      <c r="H15" s="34" t="str">
        <f>A8</f>
        <v>A3(13)-GREENWICH</v>
      </c>
      <c r="I15" s="34"/>
      <c r="J15" s="9" t="s">
        <v>121</v>
      </c>
      <c r="K15" s="8" t="s">
        <v>121</v>
      </c>
      <c r="L15" s="8" t="str">
        <f t="shared" si="2"/>
        <v>10G-007</v>
      </c>
    </row>
    <row r="16" spans="1:20" ht="13.95" customHeight="1">
      <c r="A16" s="6">
        <f t="shared" si="1"/>
        <v>46221</v>
      </c>
      <c r="B16" s="7">
        <f>'CHICLETS MASTER S1'!A10</f>
        <v>0.5</v>
      </c>
      <c r="C16" s="8" t="s">
        <v>121</v>
      </c>
      <c r="D16" s="8" t="str">
        <f t="shared" si="0"/>
        <v>EL TORO HS 3</v>
      </c>
      <c r="E16" s="33">
        <v>9</v>
      </c>
      <c r="F16" s="34" t="str">
        <f>B7</f>
        <v>B2(11)-NEWPORT WHITE</v>
      </c>
      <c r="G16" s="34"/>
      <c r="H16" s="34" t="str">
        <f>B8</f>
        <v>B3(14)-YOLO FLAMINGOS</v>
      </c>
      <c r="I16" s="34"/>
      <c r="J16" s="9" t="s">
        <v>121</v>
      </c>
      <c r="K16" s="8" t="s">
        <v>121</v>
      </c>
      <c r="L16" s="8" t="str">
        <f>IF(E16="","",$L$9&amp;"-"&amp;TEXT(E16,"000"))</f>
        <v>10G-009</v>
      </c>
    </row>
    <row r="17" spans="1:12" ht="13.95" customHeight="1">
      <c r="A17" s="6">
        <f t="shared" si="1"/>
        <v>46221</v>
      </c>
      <c r="B17" s="7">
        <f>'CHICLETS MASTER S1'!A11</f>
        <v>0.53472222222222199</v>
      </c>
      <c r="C17" s="8" t="s">
        <v>121</v>
      </c>
      <c r="D17" s="8" t="str">
        <f t="shared" si="0"/>
        <v>EL TORO HS 3</v>
      </c>
      <c r="E17" s="33">
        <v>11</v>
      </c>
      <c r="F17" s="34" t="str">
        <f>C7</f>
        <v>C2(10)-DEL MAR A</v>
      </c>
      <c r="G17" s="34"/>
      <c r="H17" s="34" t="str">
        <f>C8</f>
        <v>C3(15)-LA JOLLA UNITED</v>
      </c>
      <c r="I17" s="34"/>
      <c r="J17" s="9" t="s">
        <v>121</v>
      </c>
      <c r="K17" s="8" t="s">
        <v>121</v>
      </c>
      <c r="L17" s="8" t="str">
        <f>IF(E17="","",$L$9&amp;"-"&amp;TEXT(E17,"000"))</f>
        <v>10G-011</v>
      </c>
    </row>
    <row r="18" spans="1:12" ht="13.95" customHeight="1">
      <c r="A18" s="6">
        <f t="shared" si="1"/>
        <v>46221</v>
      </c>
      <c r="B18" s="7">
        <f>'CHICLETS MASTER S1'!A12</f>
        <v>0.56944444444444497</v>
      </c>
      <c r="C18" s="35" t="s">
        <v>121</v>
      </c>
      <c r="D18" s="8" t="str">
        <f t="shared" si="0"/>
        <v>EL TORO HS 3</v>
      </c>
      <c r="E18" s="33">
        <v>13</v>
      </c>
      <c r="F18" s="10" t="str">
        <f>A6</f>
        <v>A1(1)-NEWPORT BEACH BLUE</v>
      </c>
      <c r="G18" s="10"/>
      <c r="H18" s="10" t="str">
        <f>A7</f>
        <v>A2(12)-STANFORD</v>
      </c>
      <c r="I18" s="34"/>
      <c r="J18" s="9" t="s">
        <v>121</v>
      </c>
      <c r="K18" s="8" t="s">
        <v>121</v>
      </c>
      <c r="L18" s="8" t="str">
        <f>IF(E18="","",$L$9&amp;"-"&amp;TEXT(E18,"000"))</f>
        <v>10G-013</v>
      </c>
    </row>
    <row r="19" spans="1:12" ht="13.95" customHeight="1">
      <c r="A19" s="6">
        <f t="shared" si="1"/>
        <v>46221</v>
      </c>
      <c r="B19" s="7">
        <f>'CHICLETS MASTER S1'!A13</f>
        <v>0.60416666666666696</v>
      </c>
      <c r="C19" s="8" t="s">
        <v>121</v>
      </c>
      <c r="D19" s="8" t="str">
        <f t="shared" si="0"/>
        <v>EL TORO HS 3</v>
      </c>
      <c r="E19" s="33">
        <v>15</v>
      </c>
      <c r="F19" s="34" t="str">
        <f>B6</f>
        <v>B1(2)-SOCAL</v>
      </c>
      <c r="G19" s="34"/>
      <c r="H19" s="34" t="str">
        <f>B7</f>
        <v>B2(11)-NEWPORT WHITE</v>
      </c>
      <c r="I19" s="34"/>
      <c r="J19" s="9" t="s">
        <v>121</v>
      </c>
      <c r="K19" s="8" t="s">
        <v>121</v>
      </c>
      <c r="L19" s="8" t="str">
        <f>IF(E19="","",$L$9&amp;"-"&amp;TEXT(E19,"000"))</f>
        <v>10G-015</v>
      </c>
    </row>
    <row r="20" spans="1:12" ht="13.95" customHeight="1">
      <c r="A20" s="6">
        <f t="shared" si="1"/>
        <v>46221</v>
      </c>
      <c r="B20" s="7">
        <f>'CHICLETS MASTER S1'!A14</f>
        <v>0.63888888888888895</v>
      </c>
      <c r="C20" s="8" t="s">
        <v>121</v>
      </c>
      <c r="D20" s="8" t="str">
        <f t="shared" si="0"/>
        <v>EL TORO HS 3</v>
      </c>
      <c r="E20" s="8">
        <v>17</v>
      </c>
      <c r="F20" s="11" t="str">
        <f>C6</f>
        <v>C1(3)-680 RED</v>
      </c>
      <c r="G20" s="11"/>
      <c r="H20" s="11" t="str">
        <f>C7</f>
        <v>C2(10)-DEL MAR A</v>
      </c>
      <c r="I20" s="11"/>
      <c r="J20" s="8" t="s">
        <v>121</v>
      </c>
      <c r="K20" s="8" t="s">
        <v>121</v>
      </c>
      <c r="L20" s="8" t="str">
        <f>IF(E20="","",$L$9&amp;"-"&amp;TEXT(E20,"000"))</f>
        <v>10G-017</v>
      </c>
    </row>
    <row r="21" spans="1:12" ht="13.95" customHeight="1">
      <c r="A21" s="12"/>
      <c r="B21" s="12"/>
      <c r="C21" s="12"/>
    </row>
    <row r="22" spans="1:12" ht="13.95" customHeight="1">
      <c r="A22" s="6">
        <f t="shared" si="1"/>
        <v>46221</v>
      </c>
      <c r="B22" s="7">
        <f>'CHICLETS MASTER S1'!A16</f>
        <v>0.70833333333333404</v>
      </c>
      <c r="C22" s="8" t="s">
        <v>122</v>
      </c>
      <c r="D22" s="8" t="str">
        <f t="shared" si="0"/>
        <v>EL TORO HS 3</v>
      </c>
      <c r="E22" s="8">
        <v>19</v>
      </c>
      <c r="F22" s="8" t="s">
        <v>123</v>
      </c>
      <c r="G22" s="8"/>
      <c r="H22" s="8" t="s">
        <v>124</v>
      </c>
      <c r="I22" s="8"/>
      <c r="J22" s="8" t="s">
        <v>125</v>
      </c>
      <c r="K22" s="8" t="s">
        <v>126</v>
      </c>
      <c r="L22" s="8" t="str">
        <f>IF(E22="","",$L$9&amp;"-"&amp;TEXT(E22,"000"))</f>
        <v>10G-019</v>
      </c>
    </row>
    <row r="23" spans="1:12" ht="13.95" customHeight="1">
      <c r="A23" s="6">
        <f t="shared" si="1"/>
        <v>46221</v>
      </c>
      <c r="B23" s="7">
        <f>'CHICLETS MASTER S1'!A17</f>
        <v>0.74305555555555602</v>
      </c>
      <c r="C23" s="8" t="s">
        <v>122</v>
      </c>
      <c r="D23" s="8" t="str">
        <f t="shared" si="0"/>
        <v>EL TORO HS 3</v>
      </c>
      <c r="E23" s="8">
        <v>21</v>
      </c>
      <c r="F23" s="41" t="s">
        <v>127</v>
      </c>
      <c r="G23" s="8"/>
      <c r="H23" s="41" t="s">
        <v>128</v>
      </c>
      <c r="I23" s="8"/>
      <c r="J23" s="8" t="s">
        <v>129</v>
      </c>
      <c r="K23" s="8" t="s">
        <v>130</v>
      </c>
      <c r="L23" s="8" t="str">
        <f>IF(E23="","",$L$9&amp;"-"&amp;TEXT(E23,"000"))</f>
        <v>10G-021</v>
      </c>
    </row>
    <row r="24" spans="1:12" ht="13.95" customHeight="1">
      <c r="A24" s="6">
        <f t="shared" si="1"/>
        <v>46221</v>
      </c>
      <c r="B24" s="7">
        <f>'CHICLETS MASTER S1'!A18</f>
        <v>0.77777777777777801</v>
      </c>
      <c r="C24" s="8" t="s">
        <v>122</v>
      </c>
      <c r="D24" s="8" t="str">
        <f t="shared" si="0"/>
        <v>EL TORO HS 3</v>
      </c>
      <c r="E24" s="8">
        <v>23</v>
      </c>
      <c r="F24" s="41" t="s">
        <v>131</v>
      </c>
      <c r="G24" s="13"/>
      <c r="H24" s="14" t="s">
        <v>132</v>
      </c>
      <c r="I24" s="13"/>
      <c r="J24" s="8" t="s">
        <v>133</v>
      </c>
      <c r="K24" s="8" t="s">
        <v>134</v>
      </c>
      <c r="L24" s="8" t="str">
        <f>IF(E24="","",$L$9&amp;"-"&amp;TEXT(E24,"000"))</f>
        <v>10G-023</v>
      </c>
    </row>
    <row r="25" spans="1:12" ht="13.95" customHeight="1" thickBot="1"/>
    <row r="26" spans="1:12" ht="13.95" customHeight="1" thickBot="1">
      <c r="D26" s="4" t="str">
        <f>'CHICLETS MASTER S1'!$G$3</f>
        <v>CAPISTRANO VALLEY HS 2</v>
      </c>
    </row>
    <row r="27" spans="1:12" ht="13.95" customHeight="1">
      <c r="A27" s="46" t="s">
        <v>110</v>
      </c>
      <c r="B27" s="46" t="s">
        <v>111</v>
      </c>
      <c r="C27" s="46" t="s">
        <v>112</v>
      </c>
      <c r="D27" s="46" t="s">
        <v>113</v>
      </c>
      <c r="E27" s="46" t="s">
        <v>114</v>
      </c>
      <c r="F27" s="46" t="s">
        <v>115</v>
      </c>
      <c r="G27" s="46" t="s">
        <v>116</v>
      </c>
      <c r="H27" s="46" t="s">
        <v>117</v>
      </c>
      <c r="I27" s="46" t="s">
        <v>116</v>
      </c>
      <c r="J27" s="46" t="s">
        <v>118</v>
      </c>
      <c r="K27" s="46" t="s">
        <v>119</v>
      </c>
      <c r="L27" s="46" t="s">
        <v>120</v>
      </c>
    </row>
    <row r="28" spans="1:12" ht="13.95" customHeight="1">
      <c r="A28" s="6">
        <f t="shared" ref="A28:A40" si="3">$A$2</f>
        <v>46221</v>
      </c>
      <c r="B28" s="7">
        <f>'CHICLETS MASTER S1'!A6</f>
        <v>0.36111111111111099</v>
      </c>
      <c r="C28" s="8" t="s">
        <v>121</v>
      </c>
      <c r="D28" s="8" t="str">
        <f>$D$26</f>
        <v>CAPISTRANO VALLEY HS 2</v>
      </c>
      <c r="E28" s="8">
        <f t="shared" ref="E28:E36" si="4">E12+1</f>
        <v>2</v>
      </c>
      <c r="F28" s="8" t="str">
        <f>F6</f>
        <v>F1(6)-908 PINK</v>
      </c>
      <c r="G28" s="8"/>
      <c r="H28" s="8" t="str">
        <f>F8</f>
        <v>F3(18)-DEL MAR B</v>
      </c>
      <c r="I28" s="8"/>
      <c r="J28" s="8" t="s">
        <v>121</v>
      </c>
      <c r="K28" s="8" t="s">
        <v>121</v>
      </c>
      <c r="L28" s="8" t="str">
        <f>IF(E28="","",$L$9&amp;"-"&amp;TEXT(E28,"000"))</f>
        <v>10G-002</v>
      </c>
    </row>
    <row r="29" spans="1:12" ht="13.95" customHeight="1">
      <c r="A29" s="6">
        <f t="shared" si="3"/>
        <v>46221</v>
      </c>
      <c r="B29" s="7">
        <f>'CHICLETS MASTER S1'!A7</f>
        <v>0.39583333333333398</v>
      </c>
      <c r="C29" s="8" t="s">
        <v>121</v>
      </c>
      <c r="D29" s="8" t="str">
        <f t="shared" ref="D29:D40" si="5">$D$26</f>
        <v>CAPISTRANO VALLEY HS 2</v>
      </c>
      <c r="E29" s="8">
        <f t="shared" si="4"/>
        <v>4</v>
      </c>
      <c r="F29" s="8" t="str">
        <f>E6</f>
        <v>E1(5)-PATRIOT</v>
      </c>
      <c r="G29" s="8"/>
      <c r="H29" s="8" t="str">
        <f>E8</f>
        <v>E3(17)-LAMORINDA GOLD</v>
      </c>
      <c r="I29" s="8"/>
      <c r="J29" s="8" t="s">
        <v>121</v>
      </c>
      <c r="K29" s="8" t="s">
        <v>121</v>
      </c>
      <c r="L29" s="8" t="str">
        <f>IF(E29="","",$L$9&amp;"-"&amp;TEXT(E29,"000"))</f>
        <v>10G-004</v>
      </c>
    </row>
    <row r="30" spans="1:12" ht="13.95" customHeight="1">
      <c r="A30" s="6">
        <f t="shared" si="3"/>
        <v>46221</v>
      </c>
      <c r="B30" s="7">
        <f>'CHICLETS MASTER S1'!A8</f>
        <v>0.43055555555555602</v>
      </c>
      <c r="C30" s="8" t="s">
        <v>121</v>
      </c>
      <c r="D30" s="8" t="str">
        <f t="shared" si="5"/>
        <v>CAPISTRANO VALLEY HS 2</v>
      </c>
      <c r="E30" s="8">
        <f t="shared" si="4"/>
        <v>6</v>
      </c>
      <c r="F30" s="8" t="str">
        <f>D6</f>
        <v>D1(4)-TEMPLE CITY</v>
      </c>
      <c r="G30" s="8"/>
      <c r="H30" s="8" t="str">
        <f>D8</f>
        <v>D3(16)-DAVIS</v>
      </c>
      <c r="I30" s="8"/>
      <c r="J30" s="8" t="s">
        <v>121</v>
      </c>
      <c r="K30" s="8" t="s">
        <v>121</v>
      </c>
      <c r="L30" s="8" t="str">
        <f t="shared" ref="L30:L31" si="6">IF(E30="","",$L$9&amp;"-"&amp;TEXT(E30,"000"))</f>
        <v>10G-006</v>
      </c>
    </row>
    <row r="31" spans="1:12" ht="13.95" customHeight="1">
      <c r="A31" s="6">
        <f t="shared" si="3"/>
        <v>46221</v>
      </c>
      <c r="B31" s="7">
        <f>'CHICLETS MASTER S1'!A9</f>
        <v>0.46527777777777801</v>
      </c>
      <c r="C31" s="8" t="s">
        <v>121</v>
      </c>
      <c r="D31" s="8" t="str">
        <f t="shared" si="5"/>
        <v>CAPISTRANO VALLEY HS 2</v>
      </c>
      <c r="E31" s="8">
        <f t="shared" si="4"/>
        <v>8</v>
      </c>
      <c r="F31" s="8" t="str">
        <f>F7</f>
        <v>F2(7)-LAMORINDA BLUE</v>
      </c>
      <c r="G31" s="8"/>
      <c r="H31" s="8" t="str">
        <f>F8</f>
        <v>F3(18)-DEL MAR B</v>
      </c>
      <c r="I31" s="8"/>
      <c r="J31" s="8" t="s">
        <v>121</v>
      </c>
      <c r="K31" s="8" t="s">
        <v>121</v>
      </c>
      <c r="L31" s="8" t="str">
        <f t="shared" si="6"/>
        <v>10G-008</v>
      </c>
    </row>
    <row r="32" spans="1:12" ht="13.95" customHeight="1">
      <c r="A32" s="6">
        <f t="shared" si="3"/>
        <v>46221</v>
      </c>
      <c r="B32" s="7">
        <f>'CHICLETS MASTER S1'!A10</f>
        <v>0.5</v>
      </c>
      <c r="C32" s="8" t="s">
        <v>121</v>
      </c>
      <c r="D32" s="8" t="str">
        <f t="shared" si="5"/>
        <v>CAPISTRANO VALLEY HS 2</v>
      </c>
      <c r="E32" s="8">
        <f t="shared" si="4"/>
        <v>10</v>
      </c>
      <c r="F32" s="8" t="str">
        <f>E7</f>
        <v>E2(8)-SAN CLEMENTE</v>
      </c>
      <c r="G32" s="8"/>
      <c r="H32" s="8" t="str">
        <f>E8</f>
        <v>E3(17)-LAMORINDA GOLD</v>
      </c>
      <c r="I32" s="8"/>
      <c r="J32" s="8" t="s">
        <v>121</v>
      </c>
      <c r="K32" s="8" t="s">
        <v>121</v>
      </c>
      <c r="L32" s="8" t="str">
        <f>IF(E32="","",$L$9&amp;"-"&amp;TEXT(E32,"000"))</f>
        <v>10G-010</v>
      </c>
    </row>
    <row r="33" spans="1:12" ht="13.95" customHeight="1">
      <c r="A33" s="6">
        <f t="shared" si="3"/>
        <v>46221</v>
      </c>
      <c r="B33" s="7">
        <f>'CHICLETS MASTER S1'!A11</f>
        <v>0.53472222222222199</v>
      </c>
      <c r="C33" s="8" t="s">
        <v>121</v>
      </c>
      <c r="D33" s="8" t="str">
        <f t="shared" si="5"/>
        <v>CAPISTRANO VALLEY HS 2</v>
      </c>
      <c r="E33" s="8">
        <f t="shared" si="4"/>
        <v>12</v>
      </c>
      <c r="F33" s="8" t="str">
        <f>D7</f>
        <v>D2(9)-COMMERCE</v>
      </c>
      <c r="G33" s="8"/>
      <c r="H33" s="8" t="str">
        <f>D8</f>
        <v>D3(16)-DAVIS</v>
      </c>
      <c r="I33" s="8"/>
      <c r="J33" s="8" t="s">
        <v>121</v>
      </c>
      <c r="K33" s="8" t="s">
        <v>121</v>
      </c>
      <c r="L33" s="8" t="str">
        <f>IF(E33="","",$L$9&amp;"-"&amp;TEXT(E33,"000"))</f>
        <v>10G-012</v>
      </c>
    </row>
    <row r="34" spans="1:12" ht="13.95" customHeight="1">
      <c r="A34" s="6">
        <f t="shared" si="3"/>
        <v>46221</v>
      </c>
      <c r="B34" s="7">
        <f>'CHICLETS MASTER S1'!A12</f>
        <v>0.56944444444444497</v>
      </c>
      <c r="C34" s="35" t="s">
        <v>121</v>
      </c>
      <c r="D34" s="8" t="str">
        <f t="shared" si="5"/>
        <v>CAPISTRANO VALLEY HS 2</v>
      </c>
      <c r="E34" s="8">
        <f t="shared" si="4"/>
        <v>14</v>
      </c>
      <c r="F34" s="2" t="str">
        <f>F6</f>
        <v>F1(6)-908 PINK</v>
      </c>
      <c r="G34" s="15"/>
      <c r="H34" s="2" t="str">
        <f>F7</f>
        <v>F2(7)-LAMORINDA BLUE</v>
      </c>
      <c r="I34" s="15"/>
      <c r="J34" s="8" t="s">
        <v>121</v>
      </c>
      <c r="K34" s="8" t="s">
        <v>121</v>
      </c>
      <c r="L34" s="35" t="str">
        <f>IF(E34="","",$L$9&amp;"-"&amp;TEXT(E34,"000"))</f>
        <v>10G-014</v>
      </c>
    </row>
    <row r="35" spans="1:12" ht="13.95" customHeight="1">
      <c r="A35" s="6">
        <f t="shared" si="3"/>
        <v>46221</v>
      </c>
      <c r="B35" s="7">
        <f>'CHICLETS MASTER S1'!A13</f>
        <v>0.60416666666666696</v>
      </c>
      <c r="C35" s="8" t="s">
        <v>121</v>
      </c>
      <c r="D35" s="8" t="str">
        <f t="shared" si="5"/>
        <v>CAPISTRANO VALLEY HS 2</v>
      </c>
      <c r="E35" s="8">
        <f t="shared" si="4"/>
        <v>16</v>
      </c>
      <c r="F35" s="8" t="str">
        <f>E6</f>
        <v>E1(5)-PATRIOT</v>
      </c>
      <c r="G35" s="8"/>
      <c r="H35" s="8" t="str">
        <f>E7</f>
        <v>E2(8)-SAN CLEMENTE</v>
      </c>
      <c r="I35" s="8"/>
      <c r="J35" s="8" t="s">
        <v>121</v>
      </c>
      <c r="K35" s="8" t="s">
        <v>121</v>
      </c>
      <c r="L35" s="8" t="str">
        <f>IF(E35="","",$L$9&amp;"-"&amp;TEXT(E35,"000"))</f>
        <v>10G-016</v>
      </c>
    </row>
    <row r="36" spans="1:12" ht="13.95" customHeight="1">
      <c r="A36" s="6">
        <f t="shared" si="3"/>
        <v>46221</v>
      </c>
      <c r="B36" s="7">
        <f>'CHICLETS MASTER S1'!A14</f>
        <v>0.63888888888888895</v>
      </c>
      <c r="C36" s="8" t="s">
        <v>121</v>
      </c>
      <c r="D36" s="8" t="str">
        <f t="shared" si="5"/>
        <v>CAPISTRANO VALLEY HS 2</v>
      </c>
      <c r="E36" s="8">
        <f t="shared" si="4"/>
        <v>18</v>
      </c>
      <c r="F36" s="8" t="str">
        <f>D6</f>
        <v>D1(4)-TEMPLE CITY</v>
      </c>
      <c r="G36" s="8"/>
      <c r="H36" s="8" t="str">
        <f>D7</f>
        <v>D2(9)-COMMERCE</v>
      </c>
      <c r="I36" s="8"/>
      <c r="J36" s="8" t="s">
        <v>121</v>
      </c>
      <c r="K36" s="8" t="s">
        <v>121</v>
      </c>
      <c r="L36" s="8" t="str">
        <f>IF(E36="","",$L$9&amp;"-"&amp;TEXT(E36,"000"))</f>
        <v>10G-018</v>
      </c>
    </row>
    <row r="37" spans="1:12" ht="13.95" customHeight="1">
      <c r="A37" s="12"/>
      <c r="B37" s="12"/>
      <c r="C37" s="12"/>
    </row>
    <row r="38" spans="1:12" ht="13.95" customHeight="1">
      <c r="A38" s="6">
        <f t="shared" si="3"/>
        <v>46221</v>
      </c>
      <c r="B38" s="7">
        <f>'CHICLETS MASTER S1'!A16</f>
        <v>0.70833333333333404</v>
      </c>
      <c r="C38" s="8" t="s">
        <v>122</v>
      </c>
      <c r="D38" s="8" t="str">
        <f t="shared" si="5"/>
        <v>CAPISTRANO VALLEY HS 2</v>
      </c>
      <c r="E38" s="8">
        <f>E22+1</f>
        <v>20</v>
      </c>
      <c r="F38" s="41" t="s">
        <v>135</v>
      </c>
      <c r="G38" s="8"/>
      <c r="H38" s="41" t="s">
        <v>136</v>
      </c>
      <c r="I38" s="8"/>
      <c r="J38" s="8" t="s">
        <v>137</v>
      </c>
      <c r="K38" s="8" t="s">
        <v>138</v>
      </c>
      <c r="L38" s="8" t="str">
        <f>IF(E38="","",$L$9&amp;"-"&amp;TEXT(E38,"000"))</f>
        <v>10G-020</v>
      </c>
    </row>
    <row r="39" spans="1:12" ht="13.95" customHeight="1">
      <c r="A39" s="6">
        <f t="shared" si="3"/>
        <v>46221</v>
      </c>
      <c r="B39" s="7">
        <f>'CHICLETS MASTER S1'!A17</f>
        <v>0.74305555555555602</v>
      </c>
      <c r="C39" s="8" t="s">
        <v>122</v>
      </c>
      <c r="D39" s="8" t="str">
        <f t="shared" si="5"/>
        <v>CAPISTRANO VALLEY HS 2</v>
      </c>
      <c r="E39" s="8">
        <f>E23+1</f>
        <v>22</v>
      </c>
      <c r="F39" s="41" t="s">
        <v>139</v>
      </c>
      <c r="G39" s="8"/>
      <c r="H39" s="41" t="s">
        <v>140</v>
      </c>
      <c r="I39" s="8"/>
      <c r="J39" s="8" t="s">
        <v>141</v>
      </c>
      <c r="K39" s="8" t="s">
        <v>142</v>
      </c>
      <c r="L39" s="8" t="str">
        <f>IF(E39="","",$L$9&amp;"-"&amp;TEXT(E39,"000"))</f>
        <v>10G-022</v>
      </c>
    </row>
    <row r="40" spans="1:12" ht="13.95" customHeight="1">
      <c r="A40" s="6">
        <f t="shared" si="3"/>
        <v>46221</v>
      </c>
      <c r="B40" s="7">
        <f>'CHICLETS MASTER S1'!A18</f>
        <v>0.77777777777777801</v>
      </c>
      <c r="C40" s="8" t="s">
        <v>122</v>
      </c>
      <c r="D40" s="8" t="str">
        <f t="shared" si="5"/>
        <v>CAPISTRANO VALLEY HS 2</v>
      </c>
      <c r="E40" s="8">
        <f>E24+1</f>
        <v>24</v>
      </c>
      <c r="F40" s="41" t="s">
        <v>143</v>
      </c>
      <c r="G40" s="8"/>
      <c r="H40" s="14" t="s">
        <v>144</v>
      </c>
      <c r="I40" s="8"/>
      <c r="J40" s="8" t="s">
        <v>145</v>
      </c>
      <c r="K40" s="8" t="s">
        <v>146</v>
      </c>
      <c r="L40" s="8" t="str">
        <f>IF(E40="","",$L$9&amp;"-"&amp;TEXT(E40,"000"))</f>
        <v>10G-024</v>
      </c>
    </row>
    <row r="41" spans="1:12" ht="13.95" customHeight="1"/>
    <row r="42" spans="1:12" ht="13.95" customHeight="1">
      <c r="A42" s="3">
        <v>46222</v>
      </c>
      <c r="B42" s="31" t="s">
        <v>147</v>
      </c>
    </row>
    <row r="43" spans="1:12" ht="13.95" customHeight="1">
      <c r="B43" s="16" t="s">
        <v>148</v>
      </c>
      <c r="G43" s="16"/>
    </row>
    <row r="44" spans="1:12" ht="13.95" customHeight="1">
      <c r="B44" s="36" t="s">
        <v>149</v>
      </c>
      <c r="C44" s="17" t="s">
        <v>150</v>
      </c>
      <c r="D44" s="36" t="s">
        <v>151</v>
      </c>
      <c r="E44" s="36" t="s">
        <v>152</v>
      </c>
    </row>
    <row r="45" spans="1:12" ht="13.95" customHeight="1">
      <c r="A45" s="2">
        <v>1</v>
      </c>
      <c r="B45" s="5" t="s">
        <v>153</v>
      </c>
      <c r="C45" s="5" t="s">
        <v>154</v>
      </c>
      <c r="D45" s="5" t="s">
        <v>155</v>
      </c>
      <c r="E45" s="5" t="s">
        <v>156</v>
      </c>
    </row>
    <row r="46" spans="1:12" ht="13.95" customHeight="1">
      <c r="A46" s="2">
        <v>2</v>
      </c>
      <c r="B46" s="5" t="str">
        <f>IF(G39="","W22",IF(G39&gt;I39,_xlfn.CONCAT("W22-",RIGHT(F39,LEN(F39) - FIND("-",F39))), _xlfn.CONCAT("W22-",RIGHT(H39,LEN(H39) - FIND("-",H39)))))</f>
        <v>W22</v>
      </c>
      <c r="C46" s="5" t="str">
        <f>IF(G38="","W20",IF(G38&gt;I38,_xlfn.CONCAT("W20-",RIGHT(F38,LEN(F38) - FIND("-",F38))), _xlfn.CONCAT("W20-",RIGHT(H38,LEN(H38) - FIND("-",H38)))))</f>
        <v>W20</v>
      </c>
      <c r="D46" s="5" t="s">
        <v>157</v>
      </c>
      <c r="E46" s="5" t="s">
        <v>158</v>
      </c>
    </row>
    <row r="47" spans="1:12" ht="13.95" customHeight="1">
      <c r="A47" s="2">
        <v>3</v>
      </c>
      <c r="B47" s="5" t="str">
        <f>IF(G40="","W24",IF(G40&gt;I40,_xlfn.CONCAT("W24-",RIGHT(F40,LEN(F40) - FIND("-",F40))), _xlfn.CONCAT("W24-",RIGHT(H40,LEN(H40) - FIND("-",H40)))))</f>
        <v>W24</v>
      </c>
      <c r="C47" s="5" t="str">
        <f>IF(G24="","W23",IF(G24&gt;I24,_xlfn.CONCAT("W23-",RIGHT(F24,LEN(F24) - FIND("-",F24))), _xlfn.CONCAT("W23-",RIGHT(H24,LEN(H24) - FIND("-",H24)))))</f>
        <v>W23</v>
      </c>
      <c r="D47" s="5" t="str">
        <f>IF(G23="","W21",IF(G23&gt;I23,_xlfn.CONCAT("W21-",RIGHT(F23,LEN(F23) - FIND("-",F23))), _xlfn.CONCAT("W21-",RIGHT(H23,LEN(H23) - FIND("-",H23)))))</f>
        <v>W21</v>
      </c>
      <c r="E47" s="5" t="str">
        <f>IF(G22="","W19",IF(G22&gt;I22,_xlfn.CONCAT("W19-",RIGHT(F22,LEN(F22) - FIND("-",F22))), _xlfn.CONCAT("W19-",RIGHT(H22,LEN(H22) - FIND("-",H22)))))</f>
        <v>W19</v>
      </c>
    </row>
    <row r="48" spans="1:12" ht="13.95" customHeight="1">
      <c r="B48" s="5"/>
      <c r="C48" s="5"/>
    </row>
    <row r="49" spans="1:14" ht="13.95" customHeight="1">
      <c r="B49" s="36" t="s">
        <v>159</v>
      </c>
      <c r="C49" s="36" t="s">
        <v>116</v>
      </c>
    </row>
    <row r="50" spans="1:14" ht="13.95" customHeight="1">
      <c r="B50" s="5" t="str">
        <f>IF(G22="","L19",IF(G22&lt;I22,_xlfn.CONCAT("L19-",RIGHT(F22,LEN(F22) - FIND("-",F22))), _xlfn.CONCAT("L19-",RIGHT(H22,LEN(H22) - FIND("-",H22)))))</f>
        <v>L19</v>
      </c>
      <c r="C50" s="5" t="str">
        <f>IF(G23="","L21",IF(G23&lt;I23,_xlfn.CONCAT("L21-",RIGHT(F23,LEN(F23) - FIND("-",F23))), _xlfn.CONCAT("L21-",RIGHT(H23,LEN(H23) - FIND("-",H23)))))</f>
        <v>L21</v>
      </c>
    </row>
    <row r="51" spans="1:14" ht="13.95" customHeight="1">
      <c r="B51" s="5" t="str">
        <f>IF(G40="","L24",IF(G40&lt;I40,_xlfn.CONCAT("L24-",RIGHT(F40,LEN(F40) - FIND("-",F40))), _xlfn.CONCAT("L24-",RIGHT(H40,LEN(H40) - FIND("-",H40)))))</f>
        <v>L24</v>
      </c>
      <c r="C51" s="37" t="str">
        <f>IF(G24="","L23",IF(G24&lt;I24,_xlfn.CONCAT("L23-",RIGHT(F24,LEN(F24) - FIND("-",F24))), _xlfn.CONCAT("L23-",RIGHT(H24,LEN(H24) - FIND("-",H24)))))</f>
        <v>L23</v>
      </c>
    </row>
    <row r="52" spans="1:14" ht="13.95" customHeight="1">
      <c r="B52" s="38" t="str">
        <f>IF(G39="","L22",IF(G39&lt;I39,_xlfn.CONCAT("L22-",RIGHT(F39,LEN(F39) - FIND("-",F39))), _xlfn.CONCAT("L22-",RIGHT(H39,LEN(H39) - FIND("-",H39)))))</f>
        <v>L22</v>
      </c>
      <c r="C52" s="39" t="str">
        <f>IF(G38="","L20",IF(G38&lt;I38,_xlfn.CONCAT("L20-",RIGHT(F38,LEN(F38) - FIND("-",F38))), _xlfn.CONCAT("L20-",RIGHT(H38,LEN(H38) - FIND("-",H38)))))</f>
        <v>L20</v>
      </c>
    </row>
    <row r="53" spans="1:14" ht="13.95" customHeight="1" thickBot="1">
      <c r="B53" s="2"/>
      <c r="N53" s="18"/>
    </row>
    <row r="54" spans="1:14" s="18" customFormat="1" ht="13.95" customHeight="1" thickBot="1">
      <c r="B54" s="2"/>
      <c r="C54" s="2"/>
      <c r="D54" s="4" t="str">
        <f>'CHICLETS MASTER S1'!$C$27</f>
        <v>EL TORO HS 2</v>
      </c>
      <c r="F54" s="2" t="s">
        <v>160</v>
      </c>
      <c r="G54" s="19"/>
      <c r="H54" s="2"/>
      <c r="I54" s="2"/>
      <c r="J54" s="2"/>
      <c r="K54" s="2"/>
      <c r="L54" s="2" t="s">
        <v>161</v>
      </c>
      <c r="M54" s="18" t="s">
        <v>162</v>
      </c>
    </row>
    <row r="55" spans="1:14" s="18" customFormat="1" ht="13.95" customHeight="1">
      <c r="A55" s="46" t="s">
        <v>110</v>
      </c>
      <c r="B55" s="46" t="s">
        <v>111</v>
      </c>
      <c r="C55" s="46" t="s">
        <v>112</v>
      </c>
      <c r="D55" s="46" t="s">
        <v>113</v>
      </c>
      <c r="E55" s="46" t="s">
        <v>114</v>
      </c>
      <c r="F55" s="46" t="s">
        <v>115</v>
      </c>
      <c r="G55" s="46"/>
      <c r="H55" s="46" t="s">
        <v>117</v>
      </c>
      <c r="I55" s="46" t="s">
        <v>116</v>
      </c>
      <c r="J55" s="46" t="s">
        <v>118</v>
      </c>
      <c r="K55" s="46" t="s">
        <v>119</v>
      </c>
      <c r="L55" s="46" t="s">
        <v>120</v>
      </c>
    </row>
    <row r="56" spans="1:14" s="18" customFormat="1" ht="13.95" customHeight="1">
      <c r="A56" s="20">
        <f>$A$42</f>
        <v>46222</v>
      </c>
      <c r="B56" s="21">
        <f>'CHICLETS MASTER S1'!A28</f>
        <v>0.29166666666666669</v>
      </c>
      <c r="C56" s="8" t="s">
        <v>163</v>
      </c>
      <c r="D56" s="41" t="str">
        <f>$D$54</f>
        <v>EL TORO HS 2</v>
      </c>
      <c r="E56" s="33">
        <v>65</v>
      </c>
      <c r="F56" s="42" t="str">
        <f>IF(G22="","pt_R1",IF(G22&lt;I22,_xlfn.CONCAT("pt_R1-",RIGHT(F22,LEN(F22) - FIND("-",F22))), _xlfn.CONCAT("pt_R1-",RIGHT(H22,LEN(H22) - FIND("-",H22)))))</f>
        <v>pt_R1</v>
      </c>
      <c r="G56" s="40"/>
      <c r="H56" s="43" t="str">
        <f>IF(G40="","pt_R2",IF(G40&lt;I40,_xlfn.CONCAT("pt_R2-",RIGHT(F40,LEN(F40) - FIND("-",F40))), _xlfn.CONCAT("pt_R2-",RIGHT(H40,LEN(H40) - FIND("-",H40)))))</f>
        <v>pt_R2</v>
      </c>
      <c r="I56" s="22"/>
      <c r="J56" s="22"/>
      <c r="K56" s="22"/>
      <c r="L56" s="22" t="str">
        <f t="shared" ref="L56:L64" si="7">IF(E56="","",$L$9&amp;"-"&amp;TEXT(E56,"000"))</f>
        <v>10G-065</v>
      </c>
      <c r="N56" s="18" t="str">
        <f t="shared" ref="N56:N64" si="8">$L$54&amp;"_"&amp;C56</f>
        <v>pt_Group</v>
      </c>
    </row>
    <row r="57" spans="1:14" s="18" customFormat="1" ht="13.95" customHeight="1">
      <c r="A57" s="20">
        <f t="shared" ref="A57:A68" si="9">$A$42</f>
        <v>46222</v>
      </c>
      <c r="B57" s="21">
        <f>'CHICLETS MASTER S1'!A29</f>
        <v>0.3263888888888889</v>
      </c>
      <c r="C57" s="8" t="s">
        <v>163</v>
      </c>
      <c r="D57" s="41" t="str">
        <f t="shared" ref="D57:D68" si="10">$D$54</f>
        <v>EL TORO HS 2</v>
      </c>
      <c r="E57" s="8">
        <v>69</v>
      </c>
      <c r="F57" s="44" t="s">
        <v>164</v>
      </c>
      <c r="G57" s="22"/>
      <c r="H57" s="43" t="str">
        <f>IF(G40="","pt_M3",IF(G40&gt;I40,_xlfn.CONCAT("pt_M3-",RIGHT(F40,LEN(F40) - FIND("-",F40))), _xlfn.CONCAT("pt_M3-",RIGHT(H40,LEN(H40) - FIND("-",H40)))))</f>
        <v>pt_M3</v>
      </c>
      <c r="I57" s="22"/>
      <c r="J57" s="22"/>
      <c r="K57" s="22"/>
      <c r="L57" s="22" t="str">
        <f t="shared" si="7"/>
        <v>10G-069</v>
      </c>
      <c r="N57" s="18" t="str">
        <f t="shared" si="8"/>
        <v>pt_Group</v>
      </c>
    </row>
    <row r="58" spans="1:14" s="18" customFormat="1" ht="13.95" customHeight="1">
      <c r="A58" s="20">
        <f t="shared" si="9"/>
        <v>46222</v>
      </c>
      <c r="B58" s="21">
        <f>'CHICLETS MASTER S1'!A30</f>
        <v>0.36111111111111099</v>
      </c>
      <c r="C58" s="8" t="s">
        <v>163</v>
      </c>
      <c r="D58" s="41" t="str">
        <f t="shared" si="10"/>
        <v>EL TORO HS 2</v>
      </c>
      <c r="E58" s="8">
        <v>73</v>
      </c>
      <c r="F58" s="43" t="s">
        <v>165</v>
      </c>
      <c r="G58" s="22"/>
      <c r="H58" s="43" t="str">
        <f>IF(G24="","pt_N3",IF(G24&gt;I24,_xlfn.CONCAT("pt_N3-",RIGHT(F24,LEN(F24) - FIND("-",F24))), _xlfn.CONCAT("pt_N3-",RIGHT(H24,LEN(H24) - FIND("-",H24)))))</f>
        <v>pt_N3</v>
      </c>
      <c r="I58" s="22"/>
      <c r="J58" s="22"/>
      <c r="K58" s="22"/>
      <c r="L58" s="22" t="str">
        <f t="shared" si="7"/>
        <v>10G-073</v>
      </c>
      <c r="N58" s="18" t="str">
        <f t="shared" si="8"/>
        <v>pt_Group</v>
      </c>
    </row>
    <row r="59" spans="1:14" s="18" customFormat="1" ht="13.95" customHeight="1">
      <c r="A59" s="20">
        <f t="shared" si="9"/>
        <v>46222</v>
      </c>
      <c r="B59" s="21">
        <f>'CHICLETS MASTER S1'!A31</f>
        <v>0.39583333333333398</v>
      </c>
      <c r="C59" s="8" t="s">
        <v>163</v>
      </c>
      <c r="D59" s="41" t="str">
        <f t="shared" si="10"/>
        <v>EL TORO HS 2</v>
      </c>
      <c r="E59" s="8">
        <v>77</v>
      </c>
      <c r="F59" s="43" t="str">
        <f>IF(G22="","pt_R1",IF(G22&lt;I22,_xlfn.CONCAT("pt_R1-",RIGHT(F22,LEN(F22) - FIND("-",F22))), _xlfn.CONCAT("pt_R1-",RIGHT(H22,LEN(H22) - FIND("-",H22)))))</f>
        <v>pt_R1</v>
      </c>
      <c r="G59" s="22"/>
      <c r="H59" s="43" t="str">
        <f>IF(G39="","pt_R3",IF(G39&lt;I39,_xlfn.CONCAT("pt_R3-",RIGHT(F39,LEN(F39) - FIND("-",F39))), _xlfn.CONCAT("pt_R3-",RIGHT(H39,LEN(H39) - FIND("-",H39)))))</f>
        <v>pt_R3</v>
      </c>
      <c r="I59" s="22"/>
      <c r="J59" s="22"/>
      <c r="K59" s="22"/>
      <c r="L59" s="22" t="str">
        <f t="shared" si="7"/>
        <v>10G-077</v>
      </c>
      <c r="N59" s="18" t="str">
        <f t="shared" si="8"/>
        <v>pt_Group</v>
      </c>
    </row>
    <row r="60" spans="1:14" s="18" customFormat="1" ht="13.95" customHeight="1">
      <c r="A60" s="20">
        <f t="shared" si="9"/>
        <v>46222</v>
      </c>
      <c r="B60" s="21">
        <f>'CHICLETS MASTER S1'!A32</f>
        <v>0.43055555555555602</v>
      </c>
      <c r="C60" s="8" t="s">
        <v>163</v>
      </c>
      <c r="D60" s="41" t="str">
        <f t="shared" si="10"/>
        <v>EL TORO HS 2</v>
      </c>
      <c r="E60" s="8">
        <v>79</v>
      </c>
      <c r="F60" s="43" t="str">
        <f>IF(G39="","pt_M2",IF(G39&gt;I39,_xlfn.CONCAT("pt_M2-",RIGHT(F39,LEN(F39) - FIND("-",F39))), _xlfn.CONCAT("pt_M2-",RIGHT(H39,LEN(H39) - FIND("-",H39)))))</f>
        <v>pt_M2</v>
      </c>
      <c r="G60" s="22"/>
      <c r="H60" s="43" t="str">
        <f>IF(G40="","pt_M3",IF(G40&gt;I40,_xlfn.CONCAT("pt_M3-",RIGHT(F40,LEN(F40) - FIND("-",F40))), _xlfn.CONCAT("pt_M3-",RIGHT(H40,LEN(H40) - FIND("-",H40)))))</f>
        <v>pt_M3</v>
      </c>
      <c r="I60" s="22"/>
      <c r="J60" s="22"/>
      <c r="K60" s="22"/>
      <c r="L60" s="22" t="str">
        <f t="shared" si="7"/>
        <v>10G-079</v>
      </c>
      <c r="N60" s="18" t="str">
        <f t="shared" si="8"/>
        <v>pt_Group</v>
      </c>
    </row>
    <row r="61" spans="1:14" ht="13.95" customHeight="1">
      <c r="A61" s="20">
        <f t="shared" si="9"/>
        <v>46222</v>
      </c>
      <c r="B61" s="21">
        <f>'CHICLETS MASTER S1'!A33</f>
        <v>0.46527777777777801</v>
      </c>
      <c r="C61" s="8" t="s">
        <v>163</v>
      </c>
      <c r="D61" s="41" t="str">
        <f t="shared" si="10"/>
        <v>EL TORO HS 2</v>
      </c>
      <c r="E61" s="41">
        <v>81</v>
      </c>
      <c r="F61" s="43" t="str">
        <f>IF(G38="","pt_N2",IF(G38&gt;I38,_xlfn.CONCAT("pt_N2-",RIGHT(F38,LEN(F38) - FIND("-",F38))), _xlfn.CONCAT("pt_N2-",RIGHT(H38,LEN(H38) - FIND("-",H38)))))</f>
        <v>pt_N2</v>
      </c>
      <c r="G61" s="22"/>
      <c r="H61" s="43" t="str">
        <f>IF(G24="","pt_N3",IF(G24&gt;I24,_xlfn.CONCAT("pt_N3-",RIGHT(F24,LEN(F24) - FIND("-",F24))), _xlfn.CONCAT("pt_N3-",RIGHT(H24,LEN(H24) - FIND("-",H24)))))</f>
        <v>pt_N3</v>
      </c>
      <c r="I61" s="22"/>
      <c r="J61" s="22"/>
      <c r="K61" s="22"/>
      <c r="L61" s="22" t="str">
        <f t="shared" si="7"/>
        <v>10G-081</v>
      </c>
      <c r="N61" s="18" t="str">
        <f t="shared" si="8"/>
        <v>pt_Group</v>
      </c>
    </row>
    <row r="62" spans="1:14" s="18" customFormat="1" ht="13.95" customHeight="1">
      <c r="A62" s="20">
        <f t="shared" si="9"/>
        <v>46222</v>
      </c>
      <c r="B62" s="21">
        <f>'CHICLETS MASTER S1'!A34</f>
        <v>0.5</v>
      </c>
      <c r="C62" s="8" t="s">
        <v>163</v>
      </c>
      <c r="D62" s="41" t="str">
        <f t="shared" si="10"/>
        <v>EL TORO HS 2</v>
      </c>
      <c r="E62" s="8">
        <v>83</v>
      </c>
      <c r="F62" s="43" t="str">
        <f>IF(G40="","pt_R2",IF(G40&lt;I40,_xlfn.CONCAT("pt_R2-",RIGHT(F40,LEN(F40) - FIND("-",F40))), _xlfn.CONCAT("pt_R2-",RIGHT(H40,LEN(H40) - FIND("-",H40)))))</f>
        <v>pt_R2</v>
      </c>
      <c r="G62" s="22"/>
      <c r="H62" s="43" t="str">
        <f>IF(G39="","pt_R3",IF(G39&lt;I39,_xlfn.CONCAT("pt_R3-",RIGHT(F39,LEN(F39) - FIND("-",F39))), _xlfn.CONCAT("pt_R3-",RIGHT(H39,LEN(H39) - FIND("-",H39)))))</f>
        <v>pt_R3</v>
      </c>
      <c r="I62" s="22"/>
      <c r="J62" s="22"/>
      <c r="K62" s="22"/>
      <c r="L62" s="22" t="str">
        <f t="shared" si="7"/>
        <v>10G-083</v>
      </c>
      <c r="N62" s="18" t="str">
        <f t="shared" si="8"/>
        <v>pt_Group</v>
      </c>
    </row>
    <row r="63" spans="1:14" s="18" customFormat="1" ht="13.95" customHeight="1">
      <c r="A63" s="20">
        <f t="shared" si="9"/>
        <v>46222</v>
      </c>
      <c r="B63" s="21">
        <f>'CHICLETS MASTER S1'!A35</f>
        <v>0.53472222222222199</v>
      </c>
      <c r="C63" s="8" t="s">
        <v>163</v>
      </c>
      <c r="D63" s="41" t="str">
        <f t="shared" si="10"/>
        <v>EL TORO HS 2</v>
      </c>
      <c r="E63" s="8">
        <v>85</v>
      </c>
      <c r="F63" s="43" t="s">
        <v>164</v>
      </c>
      <c r="G63" s="22"/>
      <c r="H63" s="43" t="str">
        <f>IF(G39="","pt_M2",IF(G39&gt;I39,_xlfn.CONCAT("pt_M2-",RIGHT(F39,LEN(F39) - FIND("-",F39))), _xlfn.CONCAT("pt_M2-",RIGHT(H39,LEN(H39) - FIND("-",H39)))))</f>
        <v>pt_M2</v>
      </c>
      <c r="I63" s="22"/>
      <c r="J63" s="22"/>
      <c r="K63" s="22"/>
      <c r="L63" s="22" t="str">
        <f t="shared" si="7"/>
        <v>10G-085</v>
      </c>
      <c r="N63" s="18" t="str">
        <f t="shared" si="8"/>
        <v>pt_Group</v>
      </c>
    </row>
    <row r="64" spans="1:14" s="18" customFormat="1" ht="13.95" customHeight="1">
      <c r="A64" s="20">
        <f t="shared" si="9"/>
        <v>46222</v>
      </c>
      <c r="B64" s="21">
        <f>'CHICLETS MASTER S1'!A36</f>
        <v>0.56944444444444497</v>
      </c>
      <c r="C64" s="8" t="s">
        <v>163</v>
      </c>
      <c r="D64" s="41" t="str">
        <f t="shared" si="10"/>
        <v>EL TORO HS 2</v>
      </c>
      <c r="E64" s="8">
        <v>89</v>
      </c>
      <c r="F64" s="43" t="s">
        <v>165</v>
      </c>
      <c r="G64" s="22"/>
      <c r="H64" s="43" t="str">
        <f>IF(G38="","pt_N2",IF(G38&gt;I38,_xlfn.CONCAT("pt_N2-",RIGHT(F38,LEN(F38) - FIND("-",F38))), _xlfn.CONCAT("pt_N2-",RIGHT(H38,LEN(H38) - FIND("-",H38)))))</f>
        <v>pt_N2</v>
      </c>
      <c r="I64" s="22"/>
      <c r="J64" s="22"/>
      <c r="K64" s="22"/>
      <c r="L64" s="22" t="str">
        <f t="shared" si="7"/>
        <v>10G-089</v>
      </c>
      <c r="N64" s="18" t="str">
        <f t="shared" si="8"/>
        <v>pt_Group</v>
      </c>
    </row>
    <row r="65" spans="1:14" ht="13.95" customHeight="1">
      <c r="A65" s="12"/>
      <c r="B65" s="12"/>
      <c r="C65" s="12"/>
    </row>
    <row r="66" spans="1:14" ht="13.95" customHeight="1">
      <c r="A66" s="12"/>
      <c r="B66" s="12"/>
      <c r="C66" s="12"/>
    </row>
    <row r="67" spans="1:14" s="18" customFormat="1" ht="13.95" customHeight="1">
      <c r="A67" s="20">
        <f t="shared" si="9"/>
        <v>46222</v>
      </c>
      <c r="B67" s="21">
        <f>'CHICLETS MASTER S1'!A39</f>
        <v>0.67361111111111105</v>
      </c>
      <c r="C67" s="8" t="s">
        <v>166</v>
      </c>
      <c r="D67" s="41" t="str">
        <f t="shared" si="10"/>
        <v>EL TORO HS 2</v>
      </c>
      <c r="E67" s="8">
        <v>109</v>
      </c>
      <c r="F67" s="43" t="s">
        <v>167</v>
      </c>
      <c r="G67" s="22"/>
      <c r="H67" s="43" t="s">
        <v>168</v>
      </c>
      <c r="I67" s="22"/>
      <c r="J67" s="22">
        <v>133</v>
      </c>
      <c r="K67" s="22" t="s">
        <v>169</v>
      </c>
      <c r="L67" s="22" t="str">
        <f>IF(E67="","",$L$9&amp;"-"&amp;TEXT(E67,"000"))</f>
        <v>10G-109</v>
      </c>
      <c r="N67" s="18" t="str">
        <f>$L$54&amp;"_"&amp;C67</f>
        <v>pt_Play-in</v>
      </c>
    </row>
    <row r="68" spans="1:14" s="18" customFormat="1" ht="13.95" customHeight="1">
      <c r="A68" s="20">
        <f t="shared" si="9"/>
        <v>46222</v>
      </c>
      <c r="B68" s="21">
        <f>'CHICLETS MASTER S1'!A40</f>
        <v>0.70833333333333404</v>
      </c>
      <c r="C68" s="8" t="s">
        <v>166</v>
      </c>
      <c r="D68" s="41" t="str">
        <f t="shared" si="10"/>
        <v>EL TORO HS 2</v>
      </c>
      <c r="E68" s="8">
        <v>113</v>
      </c>
      <c r="F68" s="43" t="s">
        <v>170</v>
      </c>
      <c r="G68" s="22"/>
      <c r="H68" s="43" t="s">
        <v>171</v>
      </c>
      <c r="I68" s="22"/>
      <c r="J68" s="22">
        <v>125</v>
      </c>
      <c r="K68" s="22" t="s">
        <v>172</v>
      </c>
      <c r="L68" s="22" t="str">
        <f>IF(E68="","",$L$9&amp;"-"&amp;TEXT(E68,"000"))</f>
        <v>10G-113</v>
      </c>
      <c r="N68" s="18" t="str">
        <f>$L$54&amp;"_"&amp;C68</f>
        <v>pt_Play-in</v>
      </c>
    </row>
    <row r="69" spans="1:14" s="18" customFormat="1" ht="13.95" customHeight="1" thickBot="1">
      <c r="A69" s="23"/>
      <c r="B69" s="2"/>
      <c r="C69" s="2"/>
      <c r="D69" s="41"/>
      <c r="E69" s="2"/>
      <c r="F69" s="2" t="s">
        <v>173</v>
      </c>
      <c r="G69" s="19" t="s">
        <v>173</v>
      </c>
      <c r="H69" s="2" t="s">
        <v>173</v>
      </c>
      <c r="I69" s="2"/>
      <c r="J69" s="2"/>
      <c r="K69" s="2"/>
    </row>
    <row r="70" spans="1:14" s="18" customFormat="1" ht="13.95" customHeight="1" thickBot="1">
      <c r="A70" s="2"/>
      <c r="B70" s="2"/>
      <c r="C70" s="2"/>
      <c r="D70" s="4" t="str">
        <f>'CHICLETS MASTER S1'!$D$27</f>
        <v>EL TORO HS 3</v>
      </c>
      <c r="F70" s="2"/>
      <c r="G70" s="19"/>
      <c r="H70" s="2"/>
      <c r="I70" s="2"/>
    </row>
    <row r="71" spans="1:14" s="18" customFormat="1" ht="13.95" customHeight="1">
      <c r="A71" s="46" t="s">
        <v>110</v>
      </c>
      <c r="B71" s="46" t="s">
        <v>111</v>
      </c>
      <c r="C71" s="46" t="s">
        <v>112</v>
      </c>
      <c r="D71" s="46" t="s">
        <v>113</v>
      </c>
      <c r="E71" s="46" t="s">
        <v>114</v>
      </c>
      <c r="F71" s="46" t="s">
        <v>115</v>
      </c>
      <c r="G71" s="46" t="s">
        <v>116</v>
      </c>
      <c r="H71" s="46" t="s">
        <v>117</v>
      </c>
      <c r="I71" s="46" t="s">
        <v>116</v>
      </c>
      <c r="J71" s="46" t="s">
        <v>118</v>
      </c>
      <c r="K71" s="46" t="s">
        <v>119</v>
      </c>
      <c r="L71" s="46" t="s">
        <v>120</v>
      </c>
    </row>
    <row r="72" spans="1:14" s="18" customFormat="1" ht="13.95" customHeight="1">
      <c r="A72" s="20">
        <f t="shared" ref="A72:A84" si="11">$A$42</f>
        <v>46222</v>
      </c>
      <c r="B72" s="21">
        <f>'CHICLETS MASTER S1'!A29</f>
        <v>0.3263888888888889</v>
      </c>
      <c r="C72" s="8" t="s">
        <v>163</v>
      </c>
      <c r="D72" s="41" t="str">
        <f>$D$70</f>
        <v>EL TORO HS 3</v>
      </c>
      <c r="E72" s="8">
        <v>66</v>
      </c>
      <c r="F72" s="43" t="str">
        <f>IF(G23="","pt_S1",IF(G23&lt;I23,_xlfn.CONCAT("pt_S1-",RIGHT(F23,LEN(F23) - FIND("-",F23))), _xlfn.CONCAT("pt_S1-",RIGHT(H23,LEN(H23) - FIND("-",H23)))))</f>
        <v>pt_S1</v>
      </c>
      <c r="G72" s="22"/>
      <c r="H72" s="43" t="str">
        <f>IF(G24="","pt_S2",IF(G24&lt;I24,_xlfn.CONCAT("pt_S2-",RIGHT(F24,LEN(F24) - FIND("-",F24))), _xlfn.CONCAT("pt_S2-",RIGHT(H24,LEN(H24) - FIND("-",H24)))))</f>
        <v>pt_S2</v>
      </c>
      <c r="I72" s="22"/>
      <c r="J72" s="22"/>
      <c r="K72" s="22"/>
      <c r="L72" s="22" t="str">
        <f t="shared" ref="L72:L80" si="12">IF(E72="","",$L$9&amp;"-"&amp;TEXT(E72,"000"))</f>
        <v>10G-066</v>
      </c>
      <c r="N72" s="18" t="str">
        <f t="shared" ref="N72:N80" si="13">$L$54&amp;"_"&amp;C72</f>
        <v>pt_Group</v>
      </c>
    </row>
    <row r="73" spans="1:14" s="18" customFormat="1" ht="13.95" customHeight="1">
      <c r="A73" s="20">
        <f t="shared" si="11"/>
        <v>46222</v>
      </c>
      <c r="B73" s="21">
        <f>'CHICLETS MASTER S1'!A30</f>
        <v>0.36111111111111099</v>
      </c>
      <c r="C73" s="8" t="s">
        <v>163</v>
      </c>
      <c r="D73" s="41" t="str">
        <f t="shared" ref="D73:D84" si="14">$D$70</f>
        <v>EL TORO HS 3</v>
      </c>
      <c r="E73" s="8">
        <v>70</v>
      </c>
      <c r="F73" s="43" t="s">
        <v>174</v>
      </c>
      <c r="G73" s="22"/>
      <c r="H73" s="43" t="str">
        <f>IF(G23="","pt_O3",IF(G23&gt;I23,_xlfn.CONCAT("pt_O3-",RIGHT(F23,LEN(F23) - FIND("-",F23))), _xlfn.CONCAT("pt_O3-",RIGHT(H23,LEN(H23) - FIND("-",H23)))))</f>
        <v>pt_O3</v>
      </c>
      <c r="I73" s="22"/>
      <c r="J73" s="22"/>
      <c r="K73" s="22"/>
      <c r="L73" s="22" t="str">
        <f t="shared" si="12"/>
        <v>10G-070</v>
      </c>
      <c r="N73" s="18" t="str">
        <f t="shared" si="13"/>
        <v>pt_Group</v>
      </c>
    </row>
    <row r="74" spans="1:14" s="18" customFormat="1" ht="13.95" customHeight="1">
      <c r="A74" s="20">
        <f t="shared" si="11"/>
        <v>46222</v>
      </c>
      <c r="B74" s="21">
        <f>'CHICLETS MASTER S1'!A31</f>
        <v>0.39583333333333398</v>
      </c>
      <c r="C74" s="8" t="s">
        <v>163</v>
      </c>
      <c r="D74" s="41" t="str">
        <f t="shared" si="14"/>
        <v>EL TORO HS 3</v>
      </c>
      <c r="E74" s="8">
        <v>74</v>
      </c>
      <c r="F74" s="43" t="s">
        <v>175</v>
      </c>
      <c r="G74" s="22"/>
      <c r="H74" s="43" t="str">
        <f>IF(G22="","pt_P3",IF(G22&gt;I22,_xlfn.CONCAT("pt_P3-",RIGHT(F22,LEN(F22) - FIND("-",F22))), _xlfn.CONCAT("pt_P3-",RIGHT(H22,LEN(H22) - FIND("-",H22)))))</f>
        <v>pt_P3</v>
      </c>
      <c r="I74" s="22"/>
      <c r="J74" s="22"/>
      <c r="K74" s="22"/>
      <c r="L74" s="22" t="str">
        <f t="shared" si="12"/>
        <v>10G-074</v>
      </c>
      <c r="N74" s="18" t="str">
        <f t="shared" si="13"/>
        <v>pt_Group</v>
      </c>
    </row>
    <row r="75" spans="1:14" ht="13.95" customHeight="1">
      <c r="A75" s="20">
        <f t="shared" si="11"/>
        <v>46222</v>
      </c>
      <c r="B75" s="21">
        <f>'CHICLETS MASTER S1'!A32</f>
        <v>0.43055555555555602</v>
      </c>
      <c r="C75" s="8" t="s">
        <v>163</v>
      </c>
      <c r="D75" s="41" t="str">
        <f t="shared" si="14"/>
        <v>EL TORO HS 3</v>
      </c>
      <c r="E75" s="8">
        <v>78</v>
      </c>
      <c r="F75" s="43" t="str">
        <f>IF(G23="","pt_S1",IF(G23&lt;I23,_xlfn.CONCAT("pt_S1-",RIGHT(F23,LEN(F23) - FIND("-",F23))), _xlfn.CONCAT("pt_S1-",RIGHT(H23,LEN(H23) - FIND("-",H23)))))</f>
        <v>pt_S1</v>
      </c>
      <c r="G75" s="22"/>
      <c r="H75" s="43" t="str">
        <f>IF(G38="","pt_S3",IF(G38&lt;I38,_xlfn.CONCAT("pt_S3-",RIGHT(F38,LEN(F38) - FIND("-",F38))), _xlfn.CONCAT("pt_S3-",RIGHT(H38,LEN(H38) - FIND("-",H38)))))</f>
        <v>pt_S3</v>
      </c>
      <c r="I75" s="22"/>
      <c r="J75" s="22"/>
      <c r="K75" s="22"/>
      <c r="L75" s="22" t="str">
        <f t="shared" si="12"/>
        <v>10G-078</v>
      </c>
      <c r="N75" s="18" t="str">
        <f t="shared" si="13"/>
        <v>pt_Group</v>
      </c>
    </row>
    <row r="76" spans="1:14" s="18" customFormat="1" ht="13.95" customHeight="1">
      <c r="A76" s="20">
        <f t="shared" si="11"/>
        <v>46222</v>
      </c>
      <c r="B76" s="21">
        <f>'CHICLETS MASTER S1'!A33</f>
        <v>0.46527777777777801</v>
      </c>
      <c r="C76" s="8" t="s">
        <v>163</v>
      </c>
      <c r="D76" s="41" t="str">
        <f t="shared" si="14"/>
        <v>EL TORO HS 3</v>
      </c>
      <c r="E76" s="8">
        <v>80</v>
      </c>
      <c r="F76" s="43" t="s">
        <v>176</v>
      </c>
      <c r="G76" s="22"/>
      <c r="H76" s="43" t="str">
        <f>IF(G23="","pt_O3",IF(G23&gt;I23,_xlfn.CONCAT("pt_O3-",RIGHT(F23,LEN(F23) - FIND("-",F23))), _xlfn.CONCAT("pt_O3-",RIGHT(H23,LEN(H23) - FIND("-",H23)))))</f>
        <v>pt_O3</v>
      </c>
      <c r="I76" s="22"/>
      <c r="J76" s="22"/>
      <c r="K76" s="22"/>
      <c r="L76" s="22" t="str">
        <f t="shared" si="12"/>
        <v>10G-080</v>
      </c>
      <c r="N76" s="18" t="str">
        <f t="shared" si="13"/>
        <v>pt_Group</v>
      </c>
    </row>
    <row r="77" spans="1:14" s="18" customFormat="1" ht="13.95" customHeight="1">
      <c r="A77" s="20">
        <f t="shared" si="11"/>
        <v>46222</v>
      </c>
      <c r="B77" s="21">
        <f>'CHICLETS MASTER S1'!A34</f>
        <v>0.5</v>
      </c>
      <c r="C77" s="8" t="s">
        <v>163</v>
      </c>
      <c r="D77" s="41" t="str">
        <f t="shared" si="14"/>
        <v>EL TORO HS 3</v>
      </c>
      <c r="E77" s="8">
        <v>82</v>
      </c>
      <c r="F77" s="43" t="s">
        <v>177</v>
      </c>
      <c r="G77" s="22"/>
      <c r="H77" s="43" t="str">
        <f>IF(G22="","pt_P3",IF(G22&gt;I22,_xlfn.CONCAT("pt_P3-",RIGHT(F22,LEN(F22) - FIND("-",F22))), _xlfn.CONCAT("pt_P3-",RIGHT(H22,LEN(H22) - FIND("-",H22)))))</f>
        <v>pt_P3</v>
      </c>
      <c r="I77" s="22"/>
      <c r="J77" s="22"/>
      <c r="K77" s="22"/>
      <c r="L77" s="22" t="str">
        <f t="shared" si="12"/>
        <v>10G-082</v>
      </c>
      <c r="N77" s="18" t="str">
        <f t="shared" si="13"/>
        <v>pt_Group</v>
      </c>
    </row>
    <row r="78" spans="1:14" ht="13.95" customHeight="1">
      <c r="A78" s="20">
        <f t="shared" si="11"/>
        <v>46222</v>
      </c>
      <c r="B78" s="21">
        <f>'CHICLETS MASTER S1'!A35</f>
        <v>0.53472222222222199</v>
      </c>
      <c r="C78" s="8" t="s">
        <v>163</v>
      </c>
      <c r="D78" s="41" t="str">
        <f t="shared" si="14"/>
        <v>EL TORO HS 3</v>
      </c>
      <c r="E78" s="8">
        <v>84</v>
      </c>
      <c r="F78" s="43" t="str">
        <f>IF(G24="","pt_S2",IF(G24&lt;I24,_xlfn.CONCAT("pt_S2-",RIGHT(F24,LEN(F24) - FIND("-",F24))), _xlfn.CONCAT("pt_S2-",RIGHT(H24,LEN(H24) - FIND("-",H24)))))</f>
        <v>pt_S2</v>
      </c>
      <c r="G78" s="22"/>
      <c r="H78" s="43" t="str">
        <f>IF(G38="","pt_S3",IF(G38&lt;I38,_xlfn.CONCAT("pt_S3-",RIGHT(F38,LEN(F38) - FIND("-",F38))), _xlfn.CONCAT("pt_S3-",RIGHT(H38,LEN(H38) - FIND("-",H38)))))</f>
        <v>pt_S3</v>
      </c>
      <c r="I78" s="22"/>
      <c r="J78" s="22"/>
      <c r="K78" s="22"/>
      <c r="L78" s="22" t="str">
        <f t="shared" si="12"/>
        <v>10G-084</v>
      </c>
      <c r="N78" s="18" t="str">
        <f t="shared" si="13"/>
        <v>pt_Group</v>
      </c>
    </row>
    <row r="79" spans="1:14" s="18" customFormat="1" ht="13.95" customHeight="1">
      <c r="A79" s="20">
        <f t="shared" si="11"/>
        <v>46222</v>
      </c>
      <c r="B79" s="21">
        <f>'CHICLETS MASTER S1'!A36</f>
        <v>0.56944444444444497</v>
      </c>
      <c r="C79" s="8" t="s">
        <v>163</v>
      </c>
      <c r="D79" s="41" t="str">
        <f t="shared" si="14"/>
        <v>EL TORO HS 3</v>
      </c>
      <c r="E79" s="8">
        <v>86</v>
      </c>
      <c r="F79" s="43" t="s">
        <v>174</v>
      </c>
      <c r="G79" s="22"/>
      <c r="H79" s="43" t="s">
        <v>176</v>
      </c>
      <c r="I79" s="22"/>
      <c r="J79" s="22"/>
      <c r="K79" s="22"/>
      <c r="L79" s="22" t="str">
        <f t="shared" si="12"/>
        <v>10G-086</v>
      </c>
      <c r="N79" s="18" t="str">
        <f t="shared" si="13"/>
        <v>pt_Group</v>
      </c>
    </row>
    <row r="80" spans="1:14" s="18" customFormat="1" ht="13.95" customHeight="1">
      <c r="A80" s="20">
        <f t="shared" si="11"/>
        <v>46222</v>
      </c>
      <c r="B80" s="21">
        <f>'CHICLETS MASTER S1'!A37</f>
        <v>0.60416666666666696</v>
      </c>
      <c r="C80" s="8" t="s">
        <v>163</v>
      </c>
      <c r="D80" s="41" t="str">
        <f t="shared" si="14"/>
        <v>EL TORO HS 3</v>
      </c>
      <c r="E80" s="8">
        <v>90</v>
      </c>
      <c r="F80" s="43" t="s">
        <v>175</v>
      </c>
      <c r="G80" s="22"/>
      <c r="H80" s="43" t="s">
        <v>177</v>
      </c>
      <c r="I80" s="22"/>
      <c r="J80" s="22"/>
      <c r="K80" s="22"/>
      <c r="L80" s="22" t="str">
        <f t="shared" si="12"/>
        <v>10G-090</v>
      </c>
      <c r="N80" s="18" t="str">
        <f t="shared" si="13"/>
        <v>pt_Group</v>
      </c>
    </row>
    <row r="81" spans="1:14" ht="13.95" customHeight="1">
      <c r="A81" s="12"/>
      <c r="B81" s="12"/>
      <c r="C81" s="12"/>
    </row>
    <row r="82" spans="1:14" ht="13.95" customHeight="1">
      <c r="A82" s="12"/>
      <c r="B82" s="12"/>
      <c r="C82" s="12"/>
    </row>
    <row r="83" spans="1:14" s="18" customFormat="1" ht="13.95" customHeight="1">
      <c r="A83" s="20">
        <f t="shared" si="11"/>
        <v>46222</v>
      </c>
      <c r="B83" s="21">
        <f>'CHICLETS MASTER S1'!A40</f>
        <v>0.70833333333333404</v>
      </c>
      <c r="C83" s="8" t="s">
        <v>166</v>
      </c>
      <c r="D83" s="41" t="str">
        <f t="shared" si="14"/>
        <v>EL TORO HS 3</v>
      </c>
      <c r="E83" s="8">
        <v>110</v>
      </c>
      <c r="F83" s="43" t="s">
        <v>178</v>
      </c>
      <c r="G83" s="22"/>
      <c r="H83" s="43" t="s">
        <v>179</v>
      </c>
      <c r="I83" s="22"/>
      <c r="J83" s="22">
        <v>121</v>
      </c>
      <c r="K83" s="22" t="s">
        <v>180</v>
      </c>
      <c r="L83" s="22" t="str">
        <f>IF(E83="","",$L$9&amp;"-"&amp;TEXT(E83,"000"))</f>
        <v>10G-110</v>
      </c>
      <c r="N83" s="18" t="str">
        <f>$L$54&amp;"_"&amp;C83</f>
        <v>pt_Play-in</v>
      </c>
    </row>
    <row r="84" spans="1:14" s="18" customFormat="1" ht="13.95" customHeight="1">
      <c r="A84" s="20">
        <f t="shared" si="11"/>
        <v>46222</v>
      </c>
      <c r="B84" s="21">
        <f>'CHICLETS MASTER S1'!A41</f>
        <v>0.74305555555555602</v>
      </c>
      <c r="C84" s="8" t="s">
        <v>166</v>
      </c>
      <c r="D84" s="41" t="str">
        <f t="shared" si="14"/>
        <v>EL TORO HS 3</v>
      </c>
      <c r="E84" s="8">
        <v>114</v>
      </c>
      <c r="F84" s="43" t="s">
        <v>181</v>
      </c>
      <c r="G84" s="22"/>
      <c r="H84" s="43" t="s">
        <v>182</v>
      </c>
      <c r="I84" s="22"/>
      <c r="J84" s="22">
        <v>129</v>
      </c>
      <c r="K84" s="22" t="s">
        <v>183</v>
      </c>
      <c r="L84" s="22" t="str">
        <f>IF(E84="","",$L$9&amp;"-"&amp;TEXT(E84,"000"))</f>
        <v>10G-114</v>
      </c>
      <c r="N84" s="18" t="str">
        <f>$L$54&amp;"_"&amp;C84</f>
        <v>pt_Play-in</v>
      </c>
    </row>
    <row r="85" spans="1:14" s="18" customFormat="1" ht="13.95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</row>
    <row r="86" spans="1:14" s="18" customFormat="1" ht="13.95" customHeight="1">
      <c r="B86" s="25" t="s">
        <v>184</v>
      </c>
      <c r="C86" s="25" t="s">
        <v>185</v>
      </c>
      <c r="D86" s="24"/>
      <c r="E86" s="24"/>
      <c r="F86" s="24"/>
      <c r="G86" s="24"/>
      <c r="H86" s="24"/>
      <c r="I86" s="24"/>
      <c r="J86" s="24"/>
      <c r="K86" s="24"/>
      <c r="L86" s="24"/>
    </row>
    <row r="87" spans="1:14" s="18" customFormat="1" ht="13.95" customHeight="1">
      <c r="A87" s="18">
        <v>1</v>
      </c>
      <c r="B87" s="5" t="s">
        <v>186</v>
      </c>
      <c r="C87" s="5" t="s">
        <v>187</v>
      </c>
      <c r="D87" s="24"/>
      <c r="E87" s="24"/>
      <c r="F87" s="24"/>
      <c r="G87" s="24"/>
      <c r="H87" s="24"/>
      <c r="I87" s="24"/>
      <c r="J87" s="24"/>
      <c r="K87" s="24"/>
      <c r="L87" s="24"/>
    </row>
    <row r="88" spans="1:14" s="18" customFormat="1" ht="13.95" customHeight="1">
      <c r="A88" s="18">
        <v>2</v>
      </c>
      <c r="B88" s="5" t="str">
        <f>IF(G84="","L114",IF(G84&lt;I84,_xlfn.CONCAT("L114-",RIGHT(F84,LEN(F84) - FIND("-",F84))), _xlfn.CONCAT("L114-",RIGHT(H84,LEN(H84) - FIND("-",H84)))))</f>
        <v>L114</v>
      </c>
      <c r="C88" s="5" t="str">
        <f>IF(G67="","L109",IF(G67&lt;I67,_xlfn.CONCAT("L109-",RIGHT(F67,LEN(F67) - FIND("-",F67))), _xlfn.CONCAT("L109-",RIGHT(H67,LEN(H67) - FIND("-",H67)))))</f>
        <v>L109</v>
      </c>
      <c r="D88" s="24"/>
      <c r="E88" s="24"/>
      <c r="F88" s="24"/>
      <c r="G88" s="24"/>
      <c r="H88" s="24"/>
      <c r="I88" s="24"/>
      <c r="J88" s="24"/>
      <c r="K88" s="24"/>
      <c r="L88" s="24"/>
    </row>
    <row r="89" spans="1:14" s="18" customFormat="1" ht="13.95" customHeight="1">
      <c r="A89" s="18">
        <v>3</v>
      </c>
      <c r="B89" s="5" t="str">
        <f>IF(G68="","L113",IF(G68&lt;I68,_xlfn.CONCAT("L113-",RIGHT(F68,LEN(F68) - FIND("-",F68))), _xlfn.CONCAT("L113-",RIGHT(H68,LEN(H68) - FIND("-",H68)))))</f>
        <v>L113</v>
      </c>
      <c r="C89" s="5" t="str">
        <f>IF(G83="","L110",IF(G83&lt;I83,_xlfn.CONCAT("L110-",RIGHT(F83,LEN(F83) - FIND("-",F83))), _xlfn.CONCAT("L110-",RIGHT(H83,LEN(H83) - FIND("-",H83)))))</f>
        <v>L110</v>
      </c>
      <c r="D89" s="24"/>
      <c r="E89" s="24"/>
      <c r="F89" s="24"/>
      <c r="G89" s="24"/>
      <c r="H89" s="24"/>
      <c r="I89" s="24"/>
      <c r="J89" s="24"/>
      <c r="K89" s="24"/>
      <c r="L89" s="24"/>
    </row>
    <row r="90" spans="1:14" ht="13.95" customHeight="1" thickBot="1"/>
    <row r="91" spans="1:14" ht="13.95" customHeight="1" thickTop="1" thickBot="1">
      <c r="A91" s="1" t="s">
        <v>188</v>
      </c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</row>
    <row r="92" spans="1:14" s="18" customFormat="1" ht="13.95" customHeight="1">
      <c r="A92" s="24">
        <v>46223</v>
      </c>
      <c r="B92" s="31" t="s">
        <v>147</v>
      </c>
    </row>
    <row r="93" spans="1:14" s="18" customFormat="1" ht="13.95" customHeight="1" thickBot="1"/>
    <row r="94" spans="1:14" s="18" customFormat="1" ht="13.95" customHeight="1" thickBot="1">
      <c r="B94" s="2"/>
      <c r="C94" s="2"/>
      <c r="D94" s="4" t="str">
        <f>'CHICLETS MASTER S1'!$E$51</f>
        <v>BECKMAN HS 2</v>
      </c>
      <c r="F94" s="2"/>
      <c r="G94" s="19"/>
      <c r="H94" s="2"/>
      <c r="I94" s="2"/>
      <c r="J94" s="2"/>
      <c r="K94" s="2"/>
      <c r="L94" s="2"/>
    </row>
    <row r="95" spans="1:14" s="18" customFormat="1" ht="13.95" customHeight="1">
      <c r="A95" s="46" t="s">
        <v>110</v>
      </c>
      <c r="B95" s="46" t="s">
        <v>111</v>
      </c>
      <c r="C95" s="46" t="s">
        <v>112</v>
      </c>
      <c r="D95" s="46" t="s">
        <v>113</v>
      </c>
      <c r="E95" s="46" t="s">
        <v>114</v>
      </c>
      <c r="F95" s="46" t="s">
        <v>115</v>
      </c>
      <c r="G95" s="46" t="s">
        <v>116</v>
      </c>
      <c r="H95" s="46" t="s">
        <v>117</v>
      </c>
      <c r="I95" s="46"/>
      <c r="J95" s="46" t="s">
        <v>118</v>
      </c>
      <c r="K95" s="46" t="s">
        <v>119</v>
      </c>
      <c r="L95" s="46" t="s">
        <v>120</v>
      </c>
    </row>
    <row r="96" spans="1:14" s="18" customFormat="1" ht="13.95" customHeight="1">
      <c r="A96" s="6">
        <f t="shared" ref="A96:A107" si="15">$A$92</f>
        <v>46223</v>
      </c>
      <c r="B96" s="454">
        <f>'CHICLETS MASTER S1'!A53</f>
        <v>0.33333333333333331</v>
      </c>
      <c r="C96" s="8" t="s">
        <v>189</v>
      </c>
      <c r="D96" s="41" t="str">
        <f>$D$94</f>
        <v>BECKMAN HS 2</v>
      </c>
      <c r="E96" s="8">
        <v>121</v>
      </c>
      <c r="F96" s="43" t="s">
        <v>190</v>
      </c>
      <c r="G96" s="22"/>
      <c r="H96" s="43" t="str">
        <f>IF(G83="","W110",IF(G83&gt;I83,_xlfn.CONCAT("W110-",RIGHT(F83,LEN(F83) - FIND("-",F83))), _xlfn.CONCAT("W110-",RIGHT(H83,LEN(H83) - FIND("-",H83)))))</f>
        <v>W110</v>
      </c>
      <c r="I96" s="22"/>
      <c r="J96" s="22">
        <v>145</v>
      </c>
      <c r="K96" s="22">
        <v>153</v>
      </c>
      <c r="L96" s="22" t="str">
        <f t="shared" ref="L96:L107" si="16">IF(E96="","",$L$9&amp;"-"&amp;TEXT(E96,"000"))</f>
        <v>10G-121</v>
      </c>
      <c r="N96" s="18" t="str">
        <f t="shared" ref="N96:N107" si="17">$L$54&amp;"_"&amp;C96</f>
        <v>pt_5-8 v 9-12</v>
      </c>
    </row>
    <row r="97" spans="1:14" s="18" customFormat="1" ht="13.95" customHeight="1">
      <c r="A97" s="6">
        <f t="shared" si="15"/>
        <v>46223</v>
      </c>
      <c r="B97" s="21">
        <f>'CHICLETS MASTER S1'!A54</f>
        <v>0.36805555555555558</v>
      </c>
      <c r="C97" s="8" t="s">
        <v>189</v>
      </c>
      <c r="D97" s="41" t="str">
        <f t="shared" ref="D97:D107" si="18">$D$94</f>
        <v>BECKMAN HS 2</v>
      </c>
      <c r="E97" s="8">
        <v>125</v>
      </c>
      <c r="F97" s="43" t="s">
        <v>191</v>
      </c>
      <c r="G97" s="22"/>
      <c r="H97" s="43" t="str">
        <f>IF(G68="","W113",IF(G68&gt;I68,_xlfn.CONCAT("W113-",RIGHT(F68,LEN(F68) - FIND("-",F68))), _xlfn.CONCAT("W113-",RIGHT(H68,LEN(H68) - FIND("-",H68)))))</f>
        <v>W113</v>
      </c>
      <c r="I97" s="22"/>
      <c r="J97" s="22">
        <v>145</v>
      </c>
      <c r="K97" s="22">
        <v>153</v>
      </c>
      <c r="L97" s="22" t="str">
        <f t="shared" si="16"/>
        <v>10G-125</v>
      </c>
      <c r="N97" s="18" t="str">
        <f t="shared" si="17"/>
        <v>pt_5-8 v 9-12</v>
      </c>
    </row>
    <row r="98" spans="1:14" s="18" customFormat="1" ht="13.95" customHeight="1">
      <c r="A98" s="6">
        <f t="shared" si="15"/>
        <v>46223</v>
      </c>
      <c r="B98" s="21">
        <f>'CHICLETS MASTER S1'!A55</f>
        <v>0.40277777777777801</v>
      </c>
      <c r="C98" s="8" t="s">
        <v>189</v>
      </c>
      <c r="D98" s="41" t="str">
        <f t="shared" si="18"/>
        <v>BECKMAN HS 2</v>
      </c>
      <c r="E98" s="8">
        <v>129</v>
      </c>
      <c r="F98" s="43" t="s">
        <v>192</v>
      </c>
      <c r="G98" s="22"/>
      <c r="H98" s="43" t="str">
        <f>IF(G84="","W114",IF(G84&gt;I84,_xlfn.CONCAT("W114-",RIGHT(F84,LEN(F84) - FIND("-",F84))), _xlfn.CONCAT("W114-",RIGHT(H84,LEN(H84) - FIND("-",H84)))))</f>
        <v>W114</v>
      </c>
      <c r="I98" s="22"/>
      <c r="J98" s="22">
        <v>149</v>
      </c>
      <c r="K98" s="22">
        <v>157</v>
      </c>
      <c r="L98" s="22" t="str">
        <f t="shared" si="16"/>
        <v>10G-129</v>
      </c>
      <c r="N98" s="18" t="str">
        <f t="shared" si="17"/>
        <v>pt_5-8 v 9-12</v>
      </c>
    </row>
    <row r="99" spans="1:14" s="18" customFormat="1" ht="13.95" customHeight="1">
      <c r="A99" s="6">
        <f t="shared" si="15"/>
        <v>46223</v>
      </c>
      <c r="B99" s="21">
        <f>'CHICLETS MASTER S1'!A56</f>
        <v>0.4375</v>
      </c>
      <c r="C99" s="8" t="s">
        <v>189</v>
      </c>
      <c r="D99" s="41" t="str">
        <f t="shared" si="18"/>
        <v>BECKMAN HS 2</v>
      </c>
      <c r="E99" s="8">
        <v>133</v>
      </c>
      <c r="F99" s="43" t="s">
        <v>193</v>
      </c>
      <c r="G99" s="22"/>
      <c r="H99" s="43" t="str">
        <f>IF(G67="","W109",IF(G67&gt;I67,_xlfn.CONCAT("W109-",RIGHT(F67,LEN(F67) - FIND("-",F67))), _xlfn.CONCAT("W109-",RIGHT(H67,LEN(H67) - FIND("-",H67)))))</f>
        <v>W109</v>
      </c>
      <c r="I99" s="22"/>
      <c r="J99" s="22">
        <v>149</v>
      </c>
      <c r="K99" s="22">
        <v>157</v>
      </c>
      <c r="L99" s="22" t="str">
        <f t="shared" si="16"/>
        <v>10G-133</v>
      </c>
      <c r="N99" s="18" t="str">
        <f t="shared" si="17"/>
        <v>pt_5-8 v 9-12</v>
      </c>
    </row>
    <row r="100" spans="1:14" s="18" customFormat="1" ht="13.95" customHeight="1">
      <c r="A100" s="6">
        <f t="shared" si="15"/>
        <v>46223</v>
      </c>
      <c r="B100" s="21">
        <f>'CHICLETS MASTER S1'!A57</f>
        <v>0.47222222222222199</v>
      </c>
      <c r="C100" s="8" t="s">
        <v>194</v>
      </c>
      <c r="D100" s="41" t="str">
        <f t="shared" si="18"/>
        <v>BECKMAN HS 2</v>
      </c>
      <c r="E100" s="8">
        <v>137</v>
      </c>
      <c r="F100" s="43" t="s">
        <v>195</v>
      </c>
      <c r="G100" s="22"/>
      <c r="H100" s="43" t="s">
        <v>196</v>
      </c>
      <c r="I100" s="22"/>
      <c r="J100" s="22">
        <v>174</v>
      </c>
      <c r="K100" s="22">
        <v>161</v>
      </c>
      <c r="L100" s="22" t="str">
        <f t="shared" si="16"/>
        <v>10G-137</v>
      </c>
      <c r="N100" s="18" t="str">
        <f t="shared" si="17"/>
        <v>pt_1-2 v 3-4</v>
      </c>
    </row>
    <row r="101" spans="1:14" s="18" customFormat="1" ht="13.95" customHeight="1">
      <c r="A101" s="6">
        <f t="shared" si="15"/>
        <v>46223</v>
      </c>
      <c r="B101" s="21">
        <f>'CHICLETS MASTER S1'!A58</f>
        <v>0.50694444444444398</v>
      </c>
      <c r="C101" s="8" t="s">
        <v>194</v>
      </c>
      <c r="D101" s="41" t="str">
        <f t="shared" si="18"/>
        <v>BECKMAN HS 2</v>
      </c>
      <c r="E101" s="8">
        <v>141</v>
      </c>
      <c r="F101" s="43" t="s">
        <v>197</v>
      </c>
      <c r="G101" s="22"/>
      <c r="H101" s="43" t="s">
        <v>198</v>
      </c>
      <c r="I101" s="22"/>
      <c r="J101" s="22">
        <v>173</v>
      </c>
      <c r="K101" s="22">
        <v>165</v>
      </c>
      <c r="L101" s="22" t="str">
        <f t="shared" si="16"/>
        <v>10G-141</v>
      </c>
      <c r="N101" s="18" t="str">
        <f t="shared" si="17"/>
        <v>pt_1-2 v 3-4</v>
      </c>
    </row>
    <row r="102" spans="1:14" s="18" customFormat="1" ht="13.95" customHeight="1">
      <c r="A102" s="6">
        <f t="shared" si="15"/>
        <v>46223</v>
      </c>
      <c r="B102" s="21">
        <f>'CHICLETS MASTER S1'!A59</f>
        <v>0.54166666666666696</v>
      </c>
      <c r="C102" s="8" t="s">
        <v>199</v>
      </c>
      <c r="D102" s="41" t="str">
        <f t="shared" si="18"/>
        <v>BECKMAN HS 2</v>
      </c>
      <c r="E102" s="8">
        <v>145</v>
      </c>
      <c r="F102" s="43" t="str">
        <f>IF(G96="","W121",IF(G96&gt;I96,_xlfn.CONCAT("W121-",RIGHT(F96,LEN(F96) - FIND("-",F96))), _xlfn.CONCAT("W121-",RIGHT(H96,LEN(H96) - FIND("-",H96)))))</f>
        <v>W121</v>
      </c>
      <c r="G102" s="22"/>
      <c r="H102" s="43" t="str">
        <f>IF(G97="","W125",IF(G97&gt;I97,_xlfn.CONCAT("W125-",RIGHT(F97,LEN(F97) - FIND("-",F97))), _xlfn.CONCAT("W125-",RIGHT(H97,LEN(H97) - FIND("-",H97)))))</f>
        <v>W125</v>
      </c>
      <c r="I102" s="22"/>
      <c r="J102" s="22">
        <v>161</v>
      </c>
      <c r="K102" s="22">
        <v>178</v>
      </c>
      <c r="L102" s="22" t="str">
        <f t="shared" si="16"/>
        <v>10G-145</v>
      </c>
      <c r="N102" s="18" t="str">
        <f t="shared" si="17"/>
        <v>pt_5-6 v 7-8</v>
      </c>
    </row>
    <row r="103" spans="1:14" s="18" customFormat="1" ht="13.95" customHeight="1">
      <c r="A103" s="6">
        <f t="shared" si="15"/>
        <v>46223</v>
      </c>
      <c r="B103" s="21">
        <f>'CHICLETS MASTER S1'!A60</f>
        <v>0.57638888888888895</v>
      </c>
      <c r="C103" s="8" t="s">
        <v>199</v>
      </c>
      <c r="D103" s="41" t="str">
        <f t="shared" si="18"/>
        <v>BECKMAN HS 2</v>
      </c>
      <c r="E103" s="8">
        <v>149</v>
      </c>
      <c r="F103" s="43" t="str">
        <f>IF(G98="","W129",IF(G98&gt;I98,_xlfn.CONCAT("W129-",RIGHT(F98,LEN(F98) - FIND("-",F98))), _xlfn.CONCAT("W129-",RIGHT(H98,LEN(H98) - FIND("-",H98)))))</f>
        <v>W129</v>
      </c>
      <c r="G103" s="22"/>
      <c r="H103" s="43" t="str">
        <f>IF(G99="","W133",IF(G99&gt;I99,_xlfn.CONCAT("W133-",RIGHT(F99,LEN(F99) - FIND("-",F99))), _xlfn.CONCAT("W133-",RIGHT(H99,LEN(H99) - FIND("-",H99)))))</f>
        <v>W133</v>
      </c>
      <c r="I103" s="22"/>
      <c r="J103" s="22">
        <v>165</v>
      </c>
      <c r="K103" s="22">
        <v>178</v>
      </c>
      <c r="L103" s="22" t="str">
        <f t="shared" si="16"/>
        <v>10G-149</v>
      </c>
      <c r="N103" s="18" t="str">
        <f t="shared" si="17"/>
        <v>pt_5-6 v 7-8</v>
      </c>
    </row>
    <row r="104" spans="1:14" s="18" customFormat="1" ht="13.95" customHeight="1">
      <c r="A104" s="6">
        <f t="shared" si="15"/>
        <v>46223</v>
      </c>
      <c r="B104" s="21">
        <f>'CHICLETS MASTER S1'!A61</f>
        <v>0.61111111111111105</v>
      </c>
      <c r="C104" s="8" t="s">
        <v>200</v>
      </c>
      <c r="D104" s="41" t="str">
        <f t="shared" si="18"/>
        <v>BECKMAN HS 2</v>
      </c>
      <c r="E104" s="8">
        <v>153</v>
      </c>
      <c r="F104" s="43" t="str">
        <f>IF(G97="","L125",IF(G97&lt;I97,_xlfn.CONCAT("L125-",RIGHT(F97,LEN(F97) - FIND("-",F97))), _xlfn.CONCAT("L125-",RIGHT(H97,LEN(H97) - FIND("-",H97)))))</f>
        <v>L125</v>
      </c>
      <c r="G104" s="22"/>
      <c r="H104" s="43" t="str">
        <f>IF(G96="","L121",IF(G96&lt;I96,_xlfn.CONCAT("L121-",RIGHT(F96,LEN(F96) - FIND("-",F96))), _xlfn.CONCAT("L121-",RIGHT(H96,LEN(H96) - FIND("-",H96)))))</f>
        <v>L121</v>
      </c>
      <c r="I104" s="22"/>
      <c r="J104" s="22">
        <v>177</v>
      </c>
      <c r="K104" s="22">
        <v>181</v>
      </c>
      <c r="L104" s="22" t="str">
        <f t="shared" si="16"/>
        <v>10G-153</v>
      </c>
      <c r="N104" s="18" t="str">
        <f t="shared" si="17"/>
        <v>pt_9-12 semi</v>
      </c>
    </row>
    <row r="105" spans="1:14" s="18" customFormat="1" ht="13.95" customHeight="1">
      <c r="A105" s="6">
        <f t="shared" si="15"/>
        <v>46223</v>
      </c>
      <c r="B105" s="21">
        <f>'CHICLETS MASTER S1'!A62</f>
        <v>0.64583333333333304</v>
      </c>
      <c r="C105" s="8" t="s">
        <v>200</v>
      </c>
      <c r="D105" s="41" t="str">
        <f t="shared" si="18"/>
        <v>BECKMAN HS 2</v>
      </c>
      <c r="E105" s="8">
        <v>157</v>
      </c>
      <c r="F105" s="43" t="str">
        <f>IF(G99="","L133",IF(G99&lt;I99,_xlfn.CONCAT("L133-",RIGHT(F99,LEN(F99) - FIND("-",F99))), _xlfn.CONCAT("L133-",RIGHT(H99,LEN(H99) - FIND("-",H99)))))</f>
        <v>L133</v>
      </c>
      <c r="G105" s="22"/>
      <c r="H105" s="43" t="str">
        <f>IF(G98="","L129",IF(G98&lt;I98,_xlfn.CONCAT("L129-",RIGHT(F98,LEN(F98) - FIND("-",F98))), _xlfn.CONCAT("L129-",RIGHT(H98,LEN(H98) - FIND("-",H98)))))</f>
        <v>L129</v>
      </c>
      <c r="I105" s="22"/>
      <c r="J105" s="22">
        <v>177</v>
      </c>
      <c r="K105" s="22">
        <v>181</v>
      </c>
      <c r="L105" s="22" t="str">
        <f t="shared" si="16"/>
        <v>10G-157</v>
      </c>
      <c r="N105" s="18" t="str">
        <f t="shared" si="17"/>
        <v>pt_9-12 semi</v>
      </c>
    </row>
    <row r="106" spans="1:14" s="18" customFormat="1" ht="13.95" customHeight="1">
      <c r="A106" s="6">
        <f t="shared" si="15"/>
        <v>46223</v>
      </c>
      <c r="B106" s="21">
        <f>'CHICLETS MASTER S1'!A63</f>
        <v>0.68055555555555602</v>
      </c>
      <c r="C106" s="8" t="s">
        <v>201</v>
      </c>
      <c r="D106" s="41" t="str">
        <f t="shared" si="18"/>
        <v>BECKMAN HS 2</v>
      </c>
      <c r="E106" s="8">
        <v>161</v>
      </c>
      <c r="F106" s="43" t="str">
        <f>IF(G100="","L137",IF(G100&lt;I100,_xlfn.CONCAT("L137-",RIGHT(F100,LEN(F100) - FIND("-",F100))), _xlfn.CONCAT("L137-",RIGHT(H100,LEN(H100) - FIND("-",H100)))))</f>
        <v>L137</v>
      </c>
      <c r="G106" s="22"/>
      <c r="H106" s="43" t="str">
        <f>IF(G102="","W145",IF(G102&gt;I102,_xlfn.CONCAT("W145-",RIGHT(F102,LEN(F102) - FIND("-",F102))), _xlfn.CONCAT("W145-",RIGHT(H102,LEN(H102) - FIND("-",H102)))))</f>
        <v>W145</v>
      </c>
      <c r="I106" s="22"/>
      <c r="J106" s="22">
        <v>173</v>
      </c>
      <c r="K106" s="22">
        <v>193</v>
      </c>
      <c r="L106" s="22" t="str">
        <f t="shared" si="16"/>
        <v>10G-161</v>
      </c>
      <c r="N106" s="18" t="str">
        <f t="shared" si="17"/>
        <v>pt_play to semi</v>
      </c>
    </row>
    <row r="107" spans="1:14" s="18" customFormat="1" ht="13.95" customHeight="1">
      <c r="A107" s="6">
        <f t="shared" si="15"/>
        <v>46223</v>
      </c>
      <c r="B107" s="21">
        <f>'CHICLETS MASTER S1'!A64</f>
        <v>0.71527777777777801</v>
      </c>
      <c r="C107" s="8" t="s">
        <v>201</v>
      </c>
      <c r="D107" s="41" t="str">
        <f t="shared" si="18"/>
        <v>BECKMAN HS 2</v>
      </c>
      <c r="E107" s="8">
        <v>165</v>
      </c>
      <c r="F107" s="43" t="str">
        <f>IF(G101="","L141",IF(G101&lt;I101,_xlfn.CONCAT("L141-",RIGHT(F101,LEN(F101) - FIND("-",F101))), _xlfn.CONCAT("L141-",RIGHT(H101,LEN(H101) - FIND("-",H101)))))</f>
        <v>L141</v>
      </c>
      <c r="G107" s="22"/>
      <c r="H107" s="43" t="str">
        <f>IF(G103="","W149",IF(G103&gt;I103,_xlfn.CONCAT("W149-",RIGHT(F103,LEN(F103) - FIND("-",F103))), _xlfn.CONCAT("W149-",RIGHT(H103,LEN(H103) - FIND("-",H103)))))</f>
        <v>W149</v>
      </c>
      <c r="I107" s="22"/>
      <c r="J107" s="22">
        <v>174</v>
      </c>
      <c r="K107" s="22">
        <v>193</v>
      </c>
      <c r="L107" s="22" t="str">
        <f t="shared" si="16"/>
        <v>10G-165</v>
      </c>
      <c r="N107" s="18" t="str">
        <f t="shared" si="17"/>
        <v>pt_play to semi</v>
      </c>
    </row>
    <row r="108" spans="1:14" s="18" customFormat="1" ht="13.95" customHeight="1" thickBot="1"/>
    <row r="109" spans="1:14" s="18" customFormat="1" ht="13.95" customHeight="1" thickBot="1">
      <c r="A109" s="23"/>
      <c r="B109" s="27"/>
      <c r="C109" s="45"/>
      <c r="D109" s="4" t="str">
        <f>'CHICLETS MASTER S1'!$H$51</f>
        <v>TUSTIN HS 2</v>
      </c>
      <c r="E109" s="2"/>
      <c r="F109" s="2"/>
      <c r="G109" s="19"/>
      <c r="H109" s="2"/>
      <c r="I109" s="2"/>
      <c r="J109" s="2"/>
      <c r="K109" s="2"/>
      <c r="L109" s="2"/>
    </row>
    <row r="110" spans="1:14" s="18" customFormat="1" ht="13.95" customHeight="1">
      <c r="A110" s="46" t="s">
        <v>110</v>
      </c>
      <c r="B110" s="46" t="s">
        <v>111</v>
      </c>
      <c r="C110" s="46" t="s">
        <v>112</v>
      </c>
      <c r="D110" s="46" t="s">
        <v>113</v>
      </c>
      <c r="E110" s="46" t="s">
        <v>114</v>
      </c>
      <c r="F110" s="46" t="s">
        <v>115</v>
      </c>
      <c r="G110" s="46" t="s">
        <v>116</v>
      </c>
      <c r="H110" s="46" t="s">
        <v>117</v>
      </c>
      <c r="I110" s="46" t="s">
        <v>116</v>
      </c>
      <c r="J110" s="46" t="s">
        <v>118</v>
      </c>
      <c r="K110" s="46" t="s">
        <v>119</v>
      </c>
      <c r="L110" s="46" t="s">
        <v>120</v>
      </c>
    </row>
    <row r="111" spans="1:14" s="18" customFormat="1" ht="13.95" customHeight="1">
      <c r="A111" s="6">
        <f t="shared" ref="A111:A118" si="19">$A$92</f>
        <v>46223</v>
      </c>
      <c r="B111" s="21">
        <f>'CHICLETS MASTER S1'!A55</f>
        <v>0.40277777777777801</v>
      </c>
      <c r="C111" s="8" t="s">
        <v>163</v>
      </c>
      <c r="D111" s="41" t="str">
        <f>$D$109</f>
        <v>TUSTIN HS 2</v>
      </c>
      <c r="E111" s="8">
        <v>122</v>
      </c>
      <c r="F111" s="25" t="s">
        <v>202</v>
      </c>
      <c r="G111" s="25"/>
      <c r="H111" s="25" t="str">
        <f>IF(G68="","au_V3",IF(G68&lt;I68,_xlfn.CONCAT("au_V3-",RIGHT(F68,LEN(F68) - FIND("-",F68))), _xlfn.CONCAT("au_V3-",RIGHT(H68,LEN(H68) - FIND("-",H68)))))</f>
        <v>au_V3</v>
      </c>
      <c r="I111" s="25"/>
      <c r="J111" s="25"/>
      <c r="K111" s="25"/>
      <c r="L111" s="25" t="str">
        <f>IF(E111="","",$L$9&amp;"-"&amp;TEXT(E111,"000"))</f>
        <v>10G-122</v>
      </c>
      <c r="N111" s="18" t="str">
        <f>$M$54&amp;"_"&amp;C111</f>
        <v>au_Group</v>
      </c>
    </row>
    <row r="112" spans="1:14" s="18" customFormat="1" ht="13.95" customHeight="1">
      <c r="A112" s="6">
        <f t="shared" si="19"/>
        <v>46223</v>
      </c>
      <c r="B112" s="21">
        <f>'CHICLETS MASTER S1'!A56</f>
        <v>0.4375</v>
      </c>
      <c r="C112" s="8" t="s">
        <v>163</v>
      </c>
      <c r="D112" s="41" t="str">
        <f>$D$109</f>
        <v>TUSTIN HS 2</v>
      </c>
      <c r="E112" s="8">
        <v>126</v>
      </c>
      <c r="F112" s="25" t="s">
        <v>203</v>
      </c>
      <c r="G112" s="25"/>
      <c r="H112" s="25" t="str">
        <f>IF(G83="","au_W3",IF(G83&lt;I83,_xlfn.CONCAT("au_W3-",RIGHT(F83,LEN(F83) - FIND("-",F83))), _xlfn.CONCAT("au_W3-",RIGHT(H83,LEN(H83) - FIND("-",H83)))))</f>
        <v>au_W3</v>
      </c>
      <c r="I112" s="25"/>
      <c r="J112" s="25"/>
      <c r="K112" s="25"/>
      <c r="L112" s="25" t="str">
        <f>IF(E112="","",$L$9&amp;"-"&amp;TEXT(E112,"000"))</f>
        <v>10G-126</v>
      </c>
      <c r="N112" s="18" t="str">
        <f>$M$54&amp;"_"&amp;C112</f>
        <v>au_Group</v>
      </c>
    </row>
    <row r="113" spans="1:14" ht="13.95" customHeight="1">
      <c r="A113" s="12"/>
      <c r="B113" s="2" t="s">
        <v>204</v>
      </c>
      <c r="C113" s="12"/>
    </row>
    <row r="114" spans="1:14" s="18" customFormat="1" ht="13.95" customHeight="1">
      <c r="A114" s="6">
        <f t="shared" si="19"/>
        <v>46223</v>
      </c>
      <c r="B114" s="21">
        <f>'CHICLETS MASTER S1'!A58</f>
        <v>0.50694444444444398</v>
      </c>
      <c r="C114" s="8" t="s">
        <v>163</v>
      </c>
      <c r="D114" s="41" t="str">
        <f>$D$109</f>
        <v>TUSTIN HS 2</v>
      </c>
      <c r="E114" s="8">
        <v>130</v>
      </c>
      <c r="F114" s="25" t="str">
        <f>IF(G84="","au_V2",IF(G84&lt;I84,_xlfn.CONCAT("au_V2-",RIGHT(F84,LEN(F84) - FIND("-",F84))), _xlfn.CONCAT("au_V2-",RIGHT(H84,LEN(H84) - FIND("-",H84)))))</f>
        <v>au_V2</v>
      </c>
      <c r="G114" s="25"/>
      <c r="H114" s="25" t="str">
        <f>IF(G68="","au_V3",IF(G68&lt;I68,_xlfn.CONCAT("au_V3-",RIGHT(F68,LEN(F68) - FIND("-",F68))), _xlfn.CONCAT("au_V3-",RIGHT(H68,LEN(H68) - FIND("-",H68)))))</f>
        <v>au_V3</v>
      </c>
      <c r="I114" s="25"/>
      <c r="J114" s="25"/>
      <c r="K114" s="25"/>
      <c r="L114" s="25" t="str">
        <f>IF(E114="","",$L$9&amp;"-"&amp;TEXT(E114,"000"))</f>
        <v>10G-130</v>
      </c>
      <c r="N114" s="18" t="str">
        <f t="shared" ref="N114:N115" si="20">$M$54&amp;"_"&amp;C114</f>
        <v>au_Group</v>
      </c>
    </row>
    <row r="115" spans="1:14" ht="13.95" customHeight="1">
      <c r="A115" s="6">
        <f t="shared" si="19"/>
        <v>46223</v>
      </c>
      <c r="B115" s="21">
        <f>'CHICLETS MASTER S1'!A59</f>
        <v>0.54166666666666696</v>
      </c>
      <c r="C115" s="8" t="s">
        <v>163</v>
      </c>
      <c r="D115" s="41" t="str">
        <f>$D$109</f>
        <v>TUSTIN HS 2</v>
      </c>
      <c r="E115" s="8">
        <v>134</v>
      </c>
      <c r="F115" s="25" t="str">
        <f>IF(G67="","au_W2",IF(G67&lt;I67,_xlfn.CONCAT("au_W2-",RIGHT(F67,LEN(F67) - FIND("-",F67))), _xlfn.CONCAT("au_W2-",RIGHT(H67,LEN(H67) - FIND("-",H67)))))</f>
        <v>au_W2</v>
      </c>
      <c r="G115" s="25"/>
      <c r="H115" s="25" t="str">
        <f>IF(G83="","au_W3",IF(G83&lt;I83,_xlfn.CONCAT("au_W3-",RIGHT(F83,LEN(F83) - FIND("-",F83))), _xlfn.CONCAT("au_W3-",RIGHT(H83,LEN(H83) - FIND("-",H83)))))</f>
        <v>au_W3</v>
      </c>
      <c r="I115" s="25"/>
      <c r="J115" s="25"/>
      <c r="K115" s="25"/>
      <c r="L115" s="25" t="str">
        <f>IF(E115="","",$L$9&amp;"-"&amp;TEXT(E115,"000"))</f>
        <v>10G-134</v>
      </c>
      <c r="N115" s="18" t="str">
        <f t="shared" si="20"/>
        <v>au_Group</v>
      </c>
    </row>
    <row r="116" spans="1:14" ht="13.95" customHeight="1">
      <c r="A116" s="12"/>
      <c r="B116" s="2" t="s">
        <v>204</v>
      </c>
      <c r="C116" s="12"/>
    </row>
    <row r="117" spans="1:14" s="18" customFormat="1" ht="13.95" customHeight="1">
      <c r="A117" s="6">
        <f t="shared" si="19"/>
        <v>46223</v>
      </c>
      <c r="B117" s="21">
        <f>'CHICLETS MASTER S1'!A61</f>
        <v>0.61111111111111105</v>
      </c>
      <c r="C117" s="8" t="s">
        <v>163</v>
      </c>
      <c r="D117" s="41" t="str">
        <f>$D$109</f>
        <v>TUSTIN HS 2</v>
      </c>
      <c r="E117" s="8">
        <v>138</v>
      </c>
      <c r="F117" s="25" t="s">
        <v>202</v>
      </c>
      <c r="G117" s="25"/>
      <c r="H117" s="25" t="str">
        <f>IF(G84="","au_V2",IF(G84&lt;I84,_xlfn.CONCAT("au_V2-",RIGHT(F84,LEN(F84) - FIND("-",F84))), _xlfn.CONCAT("au_V2-",RIGHT(H84,LEN(H84) - FIND("-",H84)))))</f>
        <v>au_V2</v>
      </c>
      <c r="I117" s="25"/>
      <c r="J117" s="25"/>
      <c r="K117" s="25"/>
      <c r="L117" s="25" t="str">
        <f>IF(E117="","",$L$9&amp;"-"&amp;TEXT(E117,"000"))</f>
        <v>10G-138</v>
      </c>
      <c r="N117" s="18" t="str">
        <f t="shared" ref="N117:N118" si="21">$M$54&amp;"_"&amp;C117</f>
        <v>au_Group</v>
      </c>
    </row>
    <row r="118" spans="1:14" s="18" customFormat="1" ht="13.95" customHeight="1">
      <c r="A118" s="6">
        <f t="shared" si="19"/>
        <v>46223</v>
      </c>
      <c r="B118" s="21">
        <f>'CHICLETS MASTER S1'!A62</f>
        <v>0.64583333333333304</v>
      </c>
      <c r="C118" s="8" t="s">
        <v>163</v>
      </c>
      <c r="D118" s="41" t="str">
        <f>$D$109</f>
        <v>TUSTIN HS 2</v>
      </c>
      <c r="E118" s="8">
        <v>142</v>
      </c>
      <c r="F118" s="25" t="s">
        <v>203</v>
      </c>
      <c r="G118" s="25"/>
      <c r="H118" s="25" t="str">
        <f>IF(G67="","au_W2",IF(G67&lt;I67,_xlfn.CONCAT("au_W2-",RIGHT(F67,LEN(F67) - FIND("-",F67))), _xlfn.CONCAT("au_W2-",RIGHT(H67,LEN(H67) - FIND("-",H67)))))</f>
        <v>au_W2</v>
      </c>
      <c r="I118" s="25"/>
      <c r="J118" s="25"/>
      <c r="K118" s="25"/>
      <c r="L118" s="25" t="str">
        <f>IF(E118="","",$L$9&amp;"-"&amp;TEXT(E118,"000"))</f>
        <v>10G-142</v>
      </c>
      <c r="N118" s="18" t="str">
        <f t="shared" si="21"/>
        <v>au_Group</v>
      </c>
    </row>
    <row r="119" spans="1:14" s="18" customFormat="1" ht="13.95" customHeight="1" thickBot="1">
      <c r="A119" s="23"/>
      <c r="B119" s="2"/>
      <c r="C119" s="2"/>
      <c r="D119" s="2"/>
      <c r="E119" s="2"/>
      <c r="F119" s="2"/>
      <c r="G119" s="19"/>
      <c r="H119" s="2"/>
      <c r="I119" s="2"/>
      <c r="J119" s="2"/>
      <c r="K119" s="2"/>
      <c r="L119" s="2"/>
    </row>
    <row r="120" spans="1:14" ht="13.95" customHeight="1" thickTop="1" thickBot="1">
      <c r="A120" s="1" t="s">
        <v>205</v>
      </c>
      <c r="B120" s="31" t="s">
        <v>147</v>
      </c>
      <c r="C120" s="26"/>
      <c r="D120" s="26"/>
      <c r="E120" s="26"/>
      <c r="F120" s="26"/>
      <c r="G120" s="26"/>
      <c r="H120" s="26"/>
      <c r="I120" s="26"/>
      <c r="J120" s="26"/>
      <c r="K120" s="26"/>
      <c r="L120" s="26"/>
    </row>
    <row r="121" spans="1:14" s="18" customFormat="1" ht="13.95" customHeight="1" thickBot="1">
      <c r="A121" s="23">
        <v>46224</v>
      </c>
      <c r="B121" s="27"/>
      <c r="C121" s="2"/>
      <c r="D121" s="2"/>
      <c r="E121" s="2"/>
      <c r="F121" s="2"/>
      <c r="G121" s="19"/>
      <c r="H121" s="2"/>
      <c r="I121" s="2"/>
      <c r="J121" s="2"/>
      <c r="K121" s="2"/>
      <c r="L121" s="2"/>
    </row>
    <row r="122" spans="1:14" s="18" customFormat="1" ht="13.95" customHeight="1" thickBot="1">
      <c r="A122" s="2"/>
      <c r="B122" s="28"/>
      <c r="C122" s="2"/>
      <c r="D122" s="4" t="str">
        <f>'CHICLETS MASTER S1'!$H$72</f>
        <v>TUSTIN HS 2</v>
      </c>
      <c r="E122" s="2"/>
      <c r="F122" s="2"/>
      <c r="G122" s="19"/>
      <c r="H122" s="2"/>
      <c r="I122" s="19"/>
      <c r="J122" s="2"/>
      <c r="K122" s="2"/>
      <c r="L122" s="2"/>
    </row>
    <row r="123" spans="1:14" s="18" customFormat="1" ht="13.95" customHeight="1">
      <c r="A123" s="46" t="s">
        <v>110</v>
      </c>
      <c r="B123" s="46" t="s">
        <v>111</v>
      </c>
      <c r="C123" s="46" t="s">
        <v>112</v>
      </c>
      <c r="D123" s="46" t="s">
        <v>113</v>
      </c>
      <c r="E123" s="46" t="s">
        <v>114</v>
      </c>
      <c r="F123" s="46" t="s">
        <v>115</v>
      </c>
      <c r="G123" s="46" t="s">
        <v>116</v>
      </c>
      <c r="H123" s="46" t="s">
        <v>117</v>
      </c>
      <c r="I123" s="46" t="s">
        <v>116</v>
      </c>
      <c r="J123" s="46" t="s">
        <v>118</v>
      </c>
      <c r="K123" s="46" t="s">
        <v>119</v>
      </c>
      <c r="L123" s="46" t="s">
        <v>120</v>
      </c>
    </row>
    <row r="124" spans="1:14" s="18" customFormat="1" ht="13.95" customHeight="1">
      <c r="A124" s="6">
        <f t="shared" ref="A124:A146" si="22">$A$121</f>
        <v>46224</v>
      </c>
      <c r="B124" s="29">
        <f>'CHICLETS MASTER S1'!A74</f>
        <v>0.33333333333333298</v>
      </c>
      <c r="C124" s="8" t="s">
        <v>206</v>
      </c>
      <c r="D124" s="41" t="str">
        <f t="shared" ref="D124:D127" si="23">$D$122</f>
        <v>TUSTIN HS 2</v>
      </c>
      <c r="E124" s="8">
        <v>192</v>
      </c>
      <c r="F124" s="25" t="s">
        <v>207</v>
      </c>
      <c r="G124" s="25"/>
      <c r="H124" s="25" t="s">
        <v>208</v>
      </c>
      <c r="I124" s="25"/>
      <c r="J124" s="25" t="s">
        <v>206</v>
      </c>
      <c r="K124" s="25" t="s">
        <v>209</v>
      </c>
      <c r="L124" s="25" t="str">
        <f t="shared" ref="L124:L127" si="24">IF(E124="","",$L$9&amp;"-"&amp;TEXT(E124,"000"))</f>
        <v>10G-192</v>
      </c>
      <c r="M124" s="28"/>
      <c r="N124" s="18" t="str">
        <f t="shared" ref="N124:N126" si="25">$M$54&amp;"_"&amp;C124</f>
        <v>au_5th</v>
      </c>
    </row>
    <row r="125" spans="1:14" s="18" customFormat="1" ht="13.95" customHeight="1">
      <c r="A125" s="6">
        <f t="shared" si="22"/>
        <v>46224</v>
      </c>
      <c r="B125" s="29">
        <f>'CHICLETS MASTER S1'!A75</f>
        <v>0.375</v>
      </c>
      <c r="C125" s="8" t="s">
        <v>210</v>
      </c>
      <c r="D125" s="41" t="str">
        <f t="shared" si="23"/>
        <v>TUSTIN HS 2</v>
      </c>
      <c r="E125" s="8">
        <v>191</v>
      </c>
      <c r="F125" s="25" t="s">
        <v>211</v>
      </c>
      <c r="G125" s="25"/>
      <c r="H125" s="25" t="s">
        <v>212</v>
      </c>
      <c r="I125" s="25"/>
      <c r="J125" s="25" t="s">
        <v>210</v>
      </c>
      <c r="K125" s="25" t="s">
        <v>213</v>
      </c>
      <c r="L125" s="25" t="str">
        <f t="shared" si="24"/>
        <v>10G-191</v>
      </c>
      <c r="N125" s="18" t="str">
        <f t="shared" si="25"/>
        <v>au_3rd</v>
      </c>
    </row>
    <row r="126" spans="1:14" s="18" customFormat="1" ht="13.95" customHeight="1">
      <c r="A126" s="6">
        <f t="shared" si="22"/>
        <v>46224</v>
      </c>
      <c r="B126" s="29">
        <f>'CHICLETS MASTER S1'!A76</f>
        <v>0.41666666666666702</v>
      </c>
      <c r="C126" s="8" t="s">
        <v>214</v>
      </c>
      <c r="D126" s="41" t="str">
        <f t="shared" si="23"/>
        <v>TUSTIN HS 2</v>
      </c>
      <c r="E126" s="8">
        <v>182</v>
      </c>
      <c r="F126" s="25" t="s">
        <v>215</v>
      </c>
      <c r="G126" s="25"/>
      <c r="H126" s="25" t="s">
        <v>216</v>
      </c>
      <c r="I126" s="25"/>
      <c r="J126" s="25" t="s">
        <v>214</v>
      </c>
      <c r="K126" s="25" t="s">
        <v>217</v>
      </c>
      <c r="L126" s="25" t="str">
        <f t="shared" si="24"/>
        <v>10G-182</v>
      </c>
      <c r="N126" s="18" t="str">
        <f t="shared" si="25"/>
        <v>au_1st</v>
      </c>
    </row>
    <row r="127" spans="1:14" s="18" customFormat="1" ht="13.95" customHeight="1">
      <c r="A127" s="6">
        <f t="shared" si="22"/>
        <v>46224</v>
      </c>
      <c r="B127" s="29">
        <f>'CHICLETS MASTER S1'!A77</f>
        <v>0.45833333333333298</v>
      </c>
      <c r="C127" s="8" t="s">
        <v>218</v>
      </c>
      <c r="D127" s="41" t="str">
        <f t="shared" si="23"/>
        <v>TUSTIN HS 2</v>
      </c>
      <c r="E127" s="8">
        <v>181</v>
      </c>
      <c r="F127" s="43" t="str">
        <f>IF(G104="","L153",IF(G104&lt;I104,_xlfn.CONCAT("L153-",RIGHT(F104,LEN(F104) - FIND("-",F104))), _xlfn.CONCAT("L153-",RIGHT(H104,LEN(H104) - FIND("-",H104)))))</f>
        <v>L153</v>
      </c>
      <c r="G127" s="22"/>
      <c r="H127" s="43" t="str">
        <f>IF(G105="","L157",IF(G105&lt;I105,_xlfn.CONCAT("L157-",RIGHT(F105,LEN(F105) - FIND("-",F105))), _xlfn.CONCAT("L157-",RIGHT(H105,LEN(H105) - FIND("-",H105)))))</f>
        <v>L157</v>
      </c>
      <c r="I127" s="22"/>
      <c r="J127" s="22" t="s">
        <v>218</v>
      </c>
      <c r="K127" s="22" t="s">
        <v>219</v>
      </c>
      <c r="L127" s="22" t="str">
        <f t="shared" si="24"/>
        <v>10G-181</v>
      </c>
      <c r="N127" s="18" t="str">
        <f>$L$54&amp;"_"&amp;C127</f>
        <v>pt_11th</v>
      </c>
    </row>
    <row r="128" spans="1:14" s="18" customFormat="1" ht="13.95" customHeight="1" thickBot="1">
      <c r="A128" s="2"/>
      <c r="B128" s="2"/>
      <c r="C128" s="2"/>
      <c r="D128" s="2"/>
      <c r="E128" s="2"/>
      <c r="F128" s="2"/>
      <c r="G128" s="19"/>
      <c r="H128" s="2"/>
      <c r="I128" s="19"/>
      <c r="J128" s="2"/>
      <c r="K128" s="2"/>
      <c r="L128" s="2"/>
    </row>
    <row r="129" spans="1:14" s="18" customFormat="1" ht="13.95" customHeight="1" thickBot="1">
      <c r="A129" s="2"/>
      <c r="B129" s="28"/>
      <c r="C129" s="2"/>
      <c r="D129" s="4" t="str">
        <f>'CHICLETS MASTER S1'!$E$72</f>
        <v>BECKMAN HS 2</v>
      </c>
      <c r="E129" s="2"/>
      <c r="F129" s="2"/>
      <c r="G129" s="19"/>
      <c r="H129" s="2"/>
      <c r="I129" s="19"/>
      <c r="J129" s="2"/>
      <c r="K129" s="2"/>
      <c r="L129" s="2"/>
    </row>
    <row r="130" spans="1:14" s="18" customFormat="1" ht="13.95" customHeight="1">
      <c r="A130" s="46" t="s">
        <v>110</v>
      </c>
      <c r="B130" s="46" t="s">
        <v>111</v>
      </c>
      <c r="C130" s="46" t="s">
        <v>112</v>
      </c>
      <c r="D130" s="46" t="s">
        <v>113</v>
      </c>
      <c r="E130" s="46" t="s">
        <v>114</v>
      </c>
      <c r="F130" s="46" t="s">
        <v>115</v>
      </c>
      <c r="G130" s="46" t="s">
        <v>116</v>
      </c>
      <c r="H130" s="46" t="s">
        <v>117</v>
      </c>
      <c r="I130" s="46" t="s">
        <v>116</v>
      </c>
      <c r="J130" s="46" t="s">
        <v>118</v>
      </c>
      <c r="K130" s="46" t="s">
        <v>119</v>
      </c>
      <c r="L130" s="46" t="s">
        <v>120</v>
      </c>
    </row>
    <row r="131" spans="1:14" s="18" customFormat="1" ht="13.95" customHeight="1">
      <c r="A131" s="6">
        <f t="shared" si="22"/>
        <v>46224</v>
      </c>
      <c r="B131" s="29">
        <f>'CHICLETS MASTER S1'!A75</f>
        <v>0.375</v>
      </c>
      <c r="C131" s="8" t="s">
        <v>220</v>
      </c>
      <c r="D131" s="30" t="str">
        <f>$D$129</f>
        <v>BECKMAN HS 2</v>
      </c>
      <c r="E131" s="8">
        <v>178</v>
      </c>
      <c r="F131" s="43" t="str">
        <f>IF(G102="","L145",IF(G102&lt;I102,_xlfn.CONCAT("L145-",RIGHT(F102,LEN(F102) - FIND("-",F102))), _xlfn.CONCAT("L145-",RIGHT(H102,LEN(H102) - FIND("-",H102)))))</f>
        <v>L145</v>
      </c>
      <c r="G131" s="22"/>
      <c r="H131" s="43" t="str">
        <f>IF(G103="","L149",IF(G103&lt;I103,_xlfn.CONCAT("L149-",RIGHT(F103,LEN(F103) - FIND("-",F103))), _xlfn.CONCAT("L149-",RIGHT(H103,LEN(H103) - FIND("-",H103)))))</f>
        <v>L149</v>
      </c>
      <c r="I131" s="22"/>
      <c r="J131" s="22" t="s">
        <v>220</v>
      </c>
      <c r="K131" s="22" t="s">
        <v>221</v>
      </c>
      <c r="L131" s="22" t="str">
        <f>IF(E131="","",$L$9&amp;"-"&amp;TEXT(E131,"000"))</f>
        <v>10G-178</v>
      </c>
      <c r="N131" s="18" t="str">
        <f>$L$54&amp;"_"&amp;C131</f>
        <v>pt_7th</v>
      </c>
    </row>
    <row r="132" spans="1:14" s="18" customFormat="1" ht="13.95" customHeight="1">
      <c r="A132" s="6">
        <f t="shared" si="22"/>
        <v>46224</v>
      </c>
      <c r="B132" s="29">
        <f>'CHICLETS MASTER S1'!A76</f>
        <v>0.41666666666666702</v>
      </c>
      <c r="C132" s="8" t="s">
        <v>222</v>
      </c>
      <c r="D132" s="30" t="str">
        <f>$D$129</f>
        <v>BECKMAN HS 2</v>
      </c>
      <c r="E132" s="8">
        <v>177</v>
      </c>
      <c r="F132" s="43" t="str">
        <f>IF(G104="","W153",IF(G104&gt;I104,_xlfn.CONCAT("W153-",RIGHT(F104,LEN(F104) - FIND("-",F104))), _xlfn.CONCAT("W153-",RIGHT(H104,LEN(H104) - FIND("-",H104)))))</f>
        <v>W153</v>
      </c>
      <c r="G132" s="22"/>
      <c r="H132" s="43" t="str">
        <f>IF(G105="","W157",IF(G105&gt;I105,_xlfn.CONCAT("W157-",RIGHT(F105,LEN(F105) - FIND("-",F105))), _xlfn.CONCAT("W157-",RIGHT(H105,LEN(H105) - FIND("-",H105)))))</f>
        <v>W157</v>
      </c>
      <c r="I132" s="22"/>
      <c r="J132" s="22" t="s">
        <v>222</v>
      </c>
      <c r="K132" s="22" t="s">
        <v>223</v>
      </c>
      <c r="L132" s="22" t="str">
        <f>IF(E132="","",$L$9&amp;"-"&amp;TEXT(E132,"000"))</f>
        <v>10G-177</v>
      </c>
      <c r="N132" s="18" t="str">
        <f>$L$54&amp;"_"&amp;C132</f>
        <v>pt_9th</v>
      </c>
    </row>
    <row r="133" spans="1:14" s="18" customFormat="1" ht="13.95" customHeight="1">
      <c r="A133" s="2"/>
      <c r="B133" s="2"/>
      <c r="C133" s="2"/>
      <c r="D133" s="2"/>
      <c r="E133" s="2"/>
      <c r="F133" s="2"/>
      <c r="G133" s="19"/>
      <c r="H133" s="2"/>
      <c r="I133" s="19"/>
      <c r="J133" s="2"/>
      <c r="K133" s="2"/>
      <c r="L133" s="2"/>
    </row>
    <row r="134" spans="1:14" s="18" customFormat="1" ht="13.95" customHeight="1" thickBot="1">
      <c r="A134" s="2"/>
      <c r="B134" s="2"/>
      <c r="C134" s="2"/>
      <c r="D134" s="2"/>
      <c r="E134" s="2"/>
      <c r="F134" s="2"/>
      <c r="G134" s="19"/>
      <c r="H134" s="2"/>
      <c r="I134" s="19"/>
      <c r="J134" s="2"/>
      <c r="K134" s="2"/>
      <c r="L134" s="2"/>
    </row>
    <row r="135" spans="1:14" s="18" customFormat="1" ht="13.95" customHeight="1" thickBot="1">
      <c r="A135" s="2"/>
      <c r="B135" s="28"/>
      <c r="C135" s="2"/>
      <c r="D135" s="4" t="str">
        <f>'CHICLETS MASTER S1'!$B$84</f>
        <v>WOOLLETT LEFT</v>
      </c>
      <c r="E135" s="2"/>
      <c r="F135" s="2"/>
      <c r="G135" s="19"/>
      <c r="H135" s="2"/>
      <c r="I135" s="19"/>
      <c r="J135" s="2"/>
      <c r="K135" s="2"/>
      <c r="L135" s="2"/>
      <c r="M135" s="28"/>
    </row>
    <row r="136" spans="1:14" s="18" customFormat="1" ht="13.95" customHeight="1">
      <c r="A136" s="46" t="s">
        <v>110</v>
      </c>
      <c r="B136" s="46" t="s">
        <v>111</v>
      </c>
      <c r="C136" s="46" t="s">
        <v>112</v>
      </c>
      <c r="D136" s="46" t="s">
        <v>113</v>
      </c>
      <c r="E136" s="46" t="s">
        <v>114</v>
      </c>
      <c r="F136" s="46" t="s">
        <v>115</v>
      </c>
      <c r="G136" s="46" t="s">
        <v>116</v>
      </c>
      <c r="H136" s="46" t="s">
        <v>117</v>
      </c>
      <c r="I136" s="46" t="s">
        <v>116</v>
      </c>
      <c r="J136" s="46" t="s">
        <v>118</v>
      </c>
      <c r="K136" s="46" t="s">
        <v>119</v>
      </c>
      <c r="L136" s="46" t="s">
        <v>120</v>
      </c>
      <c r="M136" s="28"/>
    </row>
    <row r="137" spans="1:14" s="18" customFormat="1" ht="13.95" customHeight="1">
      <c r="A137" s="6">
        <f t="shared" si="22"/>
        <v>46224</v>
      </c>
      <c r="B137" s="29">
        <f>'CHICLETS MASTER S1'!A73</f>
        <v>0.29166666666666669</v>
      </c>
      <c r="C137" s="8" t="s">
        <v>224</v>
      </c>
      <c r="D137" s="30" t="str">
        <f>$D$135</f>
        <v>WOOLLETT LEFT</v>
      </c>
      <c r="E137" s="8">
        <v>173</v>
      </c>
      <c r="F137" s="43" t="str">
        <f>IF(G101="","W141",IF(G101&gt;I101,_xlfn.CONCAT("W141-",RIGHT(F101,LEN(F101) - FIND("-",F101))), _xlfn.CONCAT("W141-",RIGHT(H101,LEN(H101) - FIND("-",H101)))))</f>
        <v>W141</v>
      </c>
      <c r="G137" s="22"/>
      <c r="H137" s="43" t="str">
        <f>IF(G106="","W161",IF(G106&gt;I106,_xlfn.CONCAT("W161-",RIGHT(F106,LEN(F106) - FIND("-",F106))), _xlfn.CONCAT("W161-",RIGHT(H106,LEN(H106) - FIND("-",H106)))))</f>
        <v>W161</v>
      </c>
      <c r="I137" s="22"/>
      <c r="J137" s="22">
        <v>186</v>
      </c>
      <c r="K137" s="22">
        <v>185</v>
      </c>
      <c r="L137" s="22" t="str">
        <f>IF(E137="","",$L$9&amp;"-"&amp;TEXT(E137,"000"))</f>
        <v>10G-173</v>
      </c>
      <c r="M137" s="28"/>
      <c r="N137" s="18" t="str">
        <f>$L$54&amp;"_"&amp;C137</f>
        <v>pt_semi</v>
      </c>
    </row>
    <row r="138" spans="1:14" s="18" customFormat="1" ht="13.95" customHeight="1">
      <c r="A138" s="2"/>
      <c r="B138" s="2"/>
      <c r="C138" s="2"/>
      <c r="D138" s="2"/>
      <c r="E138" s="2"/>
      <c r="F138" s="2"/>
      <c r="G138" s="19"/>
      <c r="H138" s="2"/>
      <c r="I138" s="19"/>
      <c r="J138" s="2"/>
      <c r="K138" s="2"/>
      <c r="L138" s="2"/>
    </row>
    <row r="139" spans="1:14" s="18" customFormat="1" ht="13.95" customHeight="1">
      <c r="A139" s="6">
        <f t="shared" si="22"/>
        <v>46224</v>
      </c>
      <c r="B139" s="21">
        <f>'CHICLETS MASTER S1'!A87</f>
        <v>0.375</v>
      </c>
      <c r="C139" s="8" t="s">
        <v>206</v>
      </c>
      <c r="D139" s="30" t="str">
        <f>$D$135</f>
        <v>WOOLLETT LEFT</v>
      </c>
      <c r="E139" s="8">
        <v>193</v>
      </c>
      <c r="F139" s="43" t="str">
        <f>IF(G106="","L161",IF(G106&lt;I106,_xlfn.CONCAT("L161-",RIGHT(F106,LEN(F106) - FIND("-",F106))), _xlfn.CONCAT("L161-",RIGHT(H106,LEN(H106) - FIND("-",H106)))))</f>
        <v>L161</v>
      </c>
      <c r="G139" s="22"/>
      <c r="H139" s="43" t="str">
        <f>IF(G107="","L165",IF(G107&lt;I107,_xlfn.CONCAT("L165-",RIGHT(F107,LEN(F107) - FIND("-",F107))), _xlfn.CONCAT("L165-",RIGHT(H107,LEN(H107) - FIND("-",H107)))))</f>
        <v>L165</v>
      </c>
      <c r="I139" s="22"/>
      <c r="J139" s="22" t="s">
        <v>206</v>
      </c>
      <c r="K139" s="22" t="s">
        <v>209</v>
      </c>
      <c r="L139" s="22" t="str">
        <f>IF(E139="","",$L$9&amp;"-"&amp;TEXT(E139,"000"))</f>
        <v>10G-193</v>
      </c>
      <c r="N139" s="18" t="str">
        <f>$L$54&amp;"_"&amp;C139</f>
        <v>pt_5th</v>
      </c>
    </row>
    <row r="140" spans="1:14" s="18" customFormat="1" ht="13.95" customHeight="1">
      <c r="A140" s="6">
        <f t="shared" si="22"/>
        <v>46224</v>
      </c>
      <c r="B140" s="21">
        <f>'CHICLETS MASTER S1'!A88</f>
        <v>0.41666666666666669</v>
      </c>
      <c r="C140" s="8" t="s">
        <v>210</v>
      </c>
      <c r="D140" s="30" t="str">
        <f>$D$135</f>
        <v>WOOLLETT LEFT</v>
      </c>
      <c r="E140" s="8">
        <v>185</v>
      </c>
      <c r="F140" s="43" t="str">
        <f>IF(G137="","L173",IF(G137&lt;I137,_xlfn.CONCAT("L173-",RIGHT(F137,LEN(F137) - FIND("-",F137))), _xlfn.CONCAT("L173-",RIGHT(H137,LEN(H137) - FIND("-",H137)))))</f>
        <v>L173</v>
      </c>
      <c r="G140" s="22"/>
      <c r="H140" s="43" t="str">
        <f>IF(G144="","L174",IF(G144&lt;I144,_xlfn.CONCAT("L174-",RIGHT(F144,LEN(F144) - FIND("-",F144))), _xlfn.CONCAT("L174-",RIGHT(H144,LEN(H144) - FIND("-",H144)))))</f>
        <v>L174</v>
      </c>
      <c r="I140" s="22"/>
      <c r="J140" s="22" t="s">
        <v>210</v>
      </c>
      <c r="K140" s="22" t="s">
        <v>213</v>
      </c>
      <c r="L140" s="22" t="str">
        <f>IF(E140="","",$L$9&amp;"-"&amp;TEXT(E140,"000"))</f>
        <v>10G-185</v>
      </c>
      <c r="N140" s="18" t="str">
        <f>$L$54&amp;"_"&amp;C140</f>
        <v>pt_3rd</v>
      </c>
    </row>
    <row r="141" spans="1:14" s="18" customFormat="1" ht="13.95" customHeight="1" thickBot="1">
      <c r="A141" s="2"/>
      <c r="B141" s="27"/>
      <c r="C141" s="2"/>
      <c r="D141" s="2"/>
      <c r="E141" s="2"/>
      <c r="F141" s="2"/>
      <c r="G141" s="19"/>
      <c r="H141" s="2"/>
      <c r="I141" s="19"/>
      <c r="J141" s="2"/>
      <c r="K141" s="2"/>
      <c r="L141" s="2"/>
    </row>
    <row r="142" spans="1:14" ht="13.8" thickBot="1">
      <c r="B142" s="28"/>
      <c r="D142" s="4" t="str">
        <f>'CHICLETS MASTER S1'!$C$84</f>
        <v>WOOLLETT RIGHT</v>
      </c>
      <c r="G142" s="19"/>
      <c r="I142" s="19"/>
    </row>
    <row r="143" spans="1:14">
      <c r="A143" s="46" t="s">
        <v>110</v>
      </c>
      <c r="B143" s="46" t="s">
        <v>111</v>
      </c>
      <c r="C143" s="46" t="s">
        <v>112</v>
      </c>
      <c r="D143" s="46" t="s">
        <v>113</v>
      </c>
      <c r="E143" s="46" t="s">
        <v>114</v>
      </c>
      <c r="F143" s="46" t="s">
        <v>115</v>
      </c>
      <c r="G143" s="46" t="s">
        <v>116</v>
      </c>
      <c r="H143" s="46" t="s">
        <v>117</v>
      </c>
      <c r="I143" s="46" t="s">
        <v>116</v>
      </c>
      <c r="J143" s="46" t="s">
        <v>118</v>
      </c>
      <c r="K143" s="46" t="s">
        <v>119</v>
      </c>
      <c r="L143" s="46" t="s">
        <v>120</v>
      </c>
    </row>
    <row r="144" spans="1:14" s="18" customFormat="1" ht="13.95" customHeight="1">
      <c r="A144" s="6">
        <f t="shared" si="22"/>
        <v>46224</v>
      </c>
      <c r="B144" s="29">
        <f>'CHICLETS MASTER S1'!A73</f>
        <v>0.29166666666666669</v>
      </c>
      <c r="C144" s="8" t="s">
        <v>224</v>
      </c>
      <c r="D144" s="30" t="str">
        <f>$D$142</f>
        <v>WOOLLETT RIGHT</v>
      </c>
      <c r="E144" s="8">
        <v>174</v>
      </c>
      <c r="F144" s="43" t="str">
        <f>IF(G100="","W137",IF(G100&gt;I100,_xlfn.CONCAT("W137-",RIGHT(F100,LEN(F100) - FIND("-",F100))), _xlfn.CONCAT("W137-",RIGHT(H100,LEN(H100) - FIND("-",H100)))))</f>
        <v>W137</v>
      </c>
      <c r="G144" s="22"/>
      <c r="H144" s="43" t="str">
        <f>IF(G107="","W165",IF(G107&gt;I107,_xlfn.CONCAT("W165-",RIGHT(F107,LEN(F107) - FIND("-",F107))), _xlfn.CONCAT("W165-",RIGHT(H107,LEN(H107) - FIND("-",H107)))))</f>
        <v>W165</v>
      </c>
      <c r="I144" s="22"/>
      <c r="J144" s="22">
        <v>186</v>
      </c>
      <c r="K144" s="22">
        <v>185</v>
      </c>
      <c r="L144" s="22" t="str">
        <f>IF(E144="","",$L$9&amp;"-"&amp;TEXT(E144,"000"))</f>
        <v>10G-174</v>
      </c>
      <c r="M144" s="28"/>
      <c r="N144" s="18" t="str">
        <f>$L$54&amp;"_"&amp;C144</f>
        <v>pt_semi</v>
      </c>
    </row>
    <row r="145" spans="1:14" s="18" customFormat="1" ht="13.95" customHeight="1">
      <c r="A145" s="2"/>
      <c r="B145" s="2"/>
      <c r="C145" s="2"/>
      <c r="D145" s="2"/>
      <c r="E145" s="2"/>
      <c r="F145" s="2"/>
      <c r="G145" s="19"/>
      <c r="H145" s="2"/>
      <c r="I145" s="19"/>
      <c r="J145" s="2"/>
      <c r="K145" s="2"/>
      <c r="L145" s="2"/>
    </row>
    <row r="146" spans="1:14" s="18" customFormat="1" ht="13.95" customHeight="1">
      <c r="A146" s="6">
        <f t="shared" si="22"/>
        <v>46224</v>
      </c>
      <c r="B146" s="21">
        <f>'CHICLETS MASTER S1'!A88</f>
        <v>0.41666666666666669</v>
      </c>
      <c r="C146" s="8" t="s">
        <v>214</v>
      </c>
      <c r="D146" s="30" t="str">
        <f>$D$142</f>
        <v>WOOLLETT RIGHT</v>
      </c>
      <c r="E146" s="8">
        <v>186</v>
      </c>
      <c r="F146" s="43" t="str">
        <f>IF(G137="","W173",IF(G137&gt;I137,_xlfn.CONCAT("W173-",RIGHT(F137,LEN(F137) - FIND("-",F137))), _xlfn.CONCAT("W173-",RIGHT(H137,LEN(H137) - FIND("-",H137)))))</f>
        <v>W173</v>
      </c>
      <c r="G146" s="22"/>
      <c r="H146" s="43" t="str">
        <f>IF(G144="","W174",IF(G144&gt;I144,_xlfn.CONCAT("W174-",RIGHT(F144,LEN(F144) - FIND("-",F144))), _xlfn.CONCAT("W174-",RIGHT(H144,LEN(H144) - FIND("-",H144)))))</f>
        <v>W174</v>
      </c>
      <c r="I146" s="22"/>
      <c r="J146" s="22" t="s">
        <v>214</v>
      </c>
      <c r="K146" s="22" t="s">
        <v>217</v>
      </c>
      <c r="L146" s="22" t="str">
        <f>IF(E146="","",$L$9&amp;"-"&amp;TEXT(E146,"000"))</f>
        <v>10G-186</v>
      </c>
      <c r="N146" s="18" t="str">
        <f>$L$54&amp;"_"&amp;C146</f>
        <v>pt_1st</v>
      </c>
    </row>
    <row r="147" spans="1:14" s="18" customFormat="1" ht="13.95" customHeight="1">
      <c r="A147" s="2"/>
      <c r="B147" s="3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8"/>
    </row>
    <row r="148" spans="1:14" s="18" customFormat="1" ht="13.9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</row>
    <row r="149" spans="1:14">
      <c r="A149" s="22" t="s">
        <v>225</v>
      </c>
      <c r="B149" s="2"/>
      <c r="C149" s="25" t="s">
        <v>226</v>
      </c>
      <c r="D149" s="28"/>
    </row>
    <row r="150" spans="1:14">
      <c r="A150" s="22" t="s">
        <v>214</v>
      </c>
      <c r="B150" s="22" t="str">
        <f>IF(G146="","W186",IF(G146&gt;I146,_xlfn.CONCAT("W186-",RIGHT(F146,LEN(F146) - FIND("-",F146))), _xlfn.CONCAT("W186-",RIGHT(H146,LEN(H146) - FIND("-",H146)))))</f>
        <v>W186</v>
      </c>
      <c r="C150" s="25" t="s">
        <v>214</v>
      </c>
      <c r="D150" s="25" t="str">
        <f>IF(G126="","W182",IF(G126&gt;I126,_xlfn.CONCAT("W182-",RIGHT(F126,LEN(F126) - FIND("-",F126))), _xlfn.CONCAT("W182-",RIGHT(H126,LEN(H126) - FIND("-",H126)))))</f>
        <v>W182</v>
      </c>
    </row>
    <row r="151" spans="1:14">
      <c r="A151" s="22" t="s">
        <v>217</v>
      </c>
      <c r="B151" s="22" t="str">
        <f>IF(G146="","L186",IF(G146&lt;I146,_xlfn.CONCAT("L186-",RIGHT(F146,LEN(F146) - FIND("-",F146))), _xlfn.CONCAT("L186-",RIGHT(H146,LEN(H146) - FIND("-",H146)))))</f>
        <v>L186</v>
      </c>
      <c r="C151" s="25" t="s">
        <v>217</v>
      </c>
      <c r="D151" s="25" t="str">
        <f>IF(G126="","L182",IF(G126&lt;I126,_xlfn.CONCAT("L182-",RIGHT(F126,LEN(F126) - FIND("-",F126))), _xlfn.CONCAT("L182-",RIGHT(H126,LEN(H126) - FIND("-",H126)))))</f>
        <v>L182</v>
      </c>
    </row>
    <row r="152" spans="1:14">
      <c r="A152" s="22" t="s">
        <v>210</v>
      </c>
      <c r="B152" s="22" t="str">
        <f>IF(G140="","W185",IF(G140&gt;I140,_xlfn.CONCAT("W185-",RIGHT(F140,LEN(F140) - FIND("-",F140))), _xlfn.CONCAT("W185-",RIGHT(H140,LEN(H140) - FIND("-",H140)))))</f>
        <v>W185</v>
      </c>
      <c r="C152" s="25" t="s">
        <v>210</v>
      </c>
      <c r="D152" s="25" t="str">
        <f>IF(G125="","W191",IF(G125&gt;I125,_xlfn.CONCAT("W191-",RIGHT(F125,LEN(F125) - FIND("-",F125))), _xlfn.CONCAT("W191-",RIGHT(H125,LEN(H125) - FIND("-",H125)))))</f>
        <v>W191</v>
      </c>
    </row>
    <row r="153" spans="1:14">
      <c r="A153" s="22" t="s">
        <v>213</v>
      </c>
      <c r="B153" s="22" t="str">
        <f>IF(G140="","L185",IF(G140&lt;I140,_xlfn.CONCAT("L185-",RIGHT(F140,LEN(F140) - FIND("-",F140))), _xlfn.CONCAT("L185-",RIGHT(H140,LEN(H140) - FIND("-",H140)))))</f>
        <v>L185</v>
      </c>
      <c r="C153" s="25" t="s">
        <v>213</v>
      </c>
      <c r="D153" s="25" t="str">
        <f>IF(G125="","L191",IF(G125&lt;I125,_xlfn.CONCAT("L191-",RIGHT(F125,LEN(F125) - FIND("-",F125))), _xlfn.CONCAT("L191-",RIGHT(H125,LEN(H125) - FIND("-",H125)))))</f>
        <v>L191</v>
      </c>
    </row>
    <row r="154" spans="1:14">
      <c r="A154" s="22" t="s">
        <v>206</v>
      </c>
      <c r="B154" s="22" t="str">
        <f>IF(G139="","W193",IF(G139&gt;I139,_xlfn.CONCAT("W193-",RIGHT(F139,LEN(F139) - FIND("-",F139))), _xlfn.CONCAT("W193-",RIGHT(H139,LEN(H139) - FIND("-",H139)))))</f>
        <v>W193</v>
      </c>
      <c r="C154" s="25" t="s">
        <v>206</v>
      </c>
      <c r="D154" s="25" t="str">
        <f>IF(G124="","W192",IF(G124&gt;I124,_xlfn.CONCAT("W192-",RIGHT(F124,LEN(F124) - FIND("-",F124))), _xlfn.CONCAT("W192-",RIGHT(H124,LEN(H124) - FIND("-",H124)))))</f>
        <v>W192</v>
      </c>
    </row>
    <row r="155" spans="1:14">
      <c r="A155" s="22" t="s">
        <v>209</v>
      </c>
      <c r="B155" s="22" t="str">
        <f>IF(G139="","L193",IF(G139&lt;I139,_xlfn.CONCAT("L193-",RIGHT(F139,LEN(F139) - FIND("-",F139))), _xlfn.CONCAT("L193-",RIGHT(H139,LEN(H139) - FIND("-",H139)))))</f>
        <v>L193</v>
      </c>
      <c r="C155" s="25" t="s">
        <v>209</v>
      </c>
      <c r="D155" s="25" t="str">
        <f>IF(G124="","L192",IF(G124&lt;I124,_xlfn.CONCAT("L192-",RIGHT(F124,LEN(F124) - FIND("-",F124))), _xlfn.CONCAT("L192-",RIGHT(H124,LEN(H124) - FIND("-",H124)))))</f>
        <v>L192</v>
      </c>
    </row>
    <row r="156" spans="1:14">
      <c r="A156" s="22" t="s">
        <v>220</v>
      </c>
      <c r="B156" s="22" t="str">
        <f>IF(G131="","W178",IF(G131&gt;I131,_xlfn.CONCAT("W178-",RIGHT(F131,LEN(F131) - FIND("-",F131))), _xlfn.CONCAT("W178-",RIGHT(H131,LEN(H131) - FIND("-",H131)))))</f>
        <v>W178</v>
      </c>
      <c r="C156" s="28"/>
      <c r="D156" s="28"/>
    </row>
    <row r="157" spans="1:14">
      <c r="A157" s="22" t="s">
        <v>221</v>
      </c>
      <c r="B157" s="22" t="str">
        <f>IF(G131="","L178",IF(G131&lt;I131,_xlfn.CONCAT("L178-",RIGHT(F131,LEN(F131) - FIND("-",F131))), _xlfn.CONCAT("L178-",RIGHT(H131,LEN(H131) - FIND("-",H131)))))</f>
        <v>L178</v>
      </c>
      <c r="C157" s="28"/>
      <c r="D157" s="28"/>
    </row>
    <row r="158" spans="1:14">
      <c r="A158" s="22" t="s">
        <v>222</v>
      </c>
      <c r="B158" s="22" t="str">
        <f>IF(G132="","W177",IF(G132&gt;I132,_xlfn.CONCAT("W177-",RIGHT(F132,LEN(F132) - FIND("-",F132))), _xlfn.CONCAT("W177-",RIGHT(H132,LEN(H132) - FIND("-",H132)))))</f>
        <v>W177</v>
      </c>
      <c r="C158" s="28"/>
      <c r="D158" s="28"/>
    </row>
    <row r="159" spans="1:14">
      <c r="A159" s="22" t="s">
        <v>223</v>
      </c>
      <c r="B159" s="22" t="str">
        <f>IF(G132="","L177",IF(G132&lt;I132,_xlfn.CONCAT("L177-",RIGHT(F132,LEN(F132) - FIND("-",F132))), _xlfn.CONCAT("L177-",RIGHT(H132,LEN(H132) - FIND("-",H132)))))</f>
        <v>L177</v>
      </c>
      <c r="C159" s="28"/>
      <c r="D159" s="28"/>
    </row>
    <row r="160" spans="1:14">
      <c r="A160" s="22" t="s">
        <v>218</v>
      </c>
      <c r="B160" s="22" t="str">
        <f>IF(G127="","W181",IF(G127&gt;I127,_xlfn.CONCAT("W181-",RIGHT(F127,LEN(F127) - FIND("-",F127))), _xlfn.CONCAT("W181-",RIGHT(H127,LEN(H127) - FIND("-",H127)))))</f>
        <v>W181</v>
      </c>
      <c r="C160" s="28"/>
      <c r="D160" s="28"/>
    </row>
    <row r="161" spans="1:4">
      <c r="A161" s="22" t="s">
        <v>219</v>
      </c>
      <c r="B161" s="22" t="str">
        <f>IF(G127="","L181",IF(G127&lt;I127,_xlfn.CONCAT("L181-",RIGHT(F127,LEN(F127) - FIND("-",F127))), _xlfn.CONCAT("L181-",RIGHT(H127,LEN(H127) - FIND("-",H127)))))</f>
        <v>L181</v>
      </c>
      <c r="C161" s="28"/>
      <c r="D161" s="28"/>
    </row>
    <row r="162" spans="1:4">
      <c r="C162" s="28"/>
      <c r="D162" s="28"/>
    </row>
    <row r="163" spans="1:4">
      <c r="C163" s="28"/>
      <c r="D163" s="28"/>
    </row>
    <row r="164" spans="1:4">
      <c r="C164" s="28"/>
      <c r="D164" s="28"/>
    </row>
  </sheetData>
  <pageMargins left="0.75" right="0.75" top="1" bottom="1" header="0.5" footer="0.5"/>
  <pageSetup orientation="portrait" horizontalDpi="4294967292" vertic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9F1E2-009D-43BC-92AA-46C1C662B44D}">
  <sheetPr>
    <tabColor rgb="FF0066FF"/>
  </sheetPr>
  <dimension ref="A1:O268"/>
  <sheetViews>
    <sheetView workbookViewId="0"/>
  </sheetViews>
  <sheetFormatPr defaultColWidth="18.19921875" defaultRowHeight="13.95" customHeight="1"/>
  <cols>
    <col min="1" max="1" width="28.69921875" style="2" bestFit="1" customWidth="1"/>
    <col min="2" max="2" width="24.296875" style="2" bestFit="1" customWidth="1"/>
    <col min="3" max="3" width="22.19921875" style="2" bestFit="1" customWidth="1"/>
    <col min="4" max="4" width="27.296875" style="2" bestFit="1" customWidth="1"/>
    <col min="5" max="5" width="22.5" style="2" bestFit="1" customWidth="1"/>
    <col min="6" max="6" width="27.19921875" style="2" bestFit="1" customWidth="1"/>
    <col min="7" max="7" width="4.296875" style="19" bestFit="1" customWidth="1"/>
    <col min="8" max="8" width="25.296875" style="2" bestFit="1" customWidth="1"/>
    <col min="9" max="9" width="4.296875" style="19" bestFit="1" customWidth="1"/>
    <col min="10" max="11" width="5.19921875" style="2" bestFit="1" customWidth="1"/>
    <col min="12" max="12" width="7.19921875" style="2" bestFit="1" customWidth="1"/>
    <col min="13" max="13" width="18.19921875" style="2"/>
    <col min="14" max="14" width="8.796875" style="2" bestFit="1" customWidth="1"/>
    <col min="15" max="15" width="9.296875" style="2" bestFit="1" customWidth="1"/>
    <col min="16" max="16384" width="18.19921875" style="2"/>
  </cols>
  <sheetData>
    <row r="1" spans="1:12" ht="13.95" customHeight="1" thickTop="1" thickBot="1">
      <c r="A1" s="48" t="s">
        <v>61</v>
      </c>
      <c r="B1" s="2" t="s">
        <v>62</v>
      </c>
      <c r="C1" s="2" t="s">
        <v>63</v>
      </c>
      <c r="D1" s="49" t="s">
        <v>64</v>
      </c>
      <c r="E1" s="50"/>
      <c r="F1" s="50"/>
      <c r="G1" s="50"/>
      <c r="H1" s="50"/>
      <c r="I1" s="50"/>
      <c r="J1" s="50"/>
      <c r="K1" s="50"/>
      <c r="L1" s="50"/>
    </row>
    <row r="2" spans="1:12" ht="13.95" customHeight="1" thickBot="1">
      <c r="A2" s="3">
        <v>46221</v>
      </c>
      <c r="D2" s="51" t="s">
        <v>65</v>
      </c>
    </row>
    <row r="3" spans="1:12" ht="13.95" customHeight="1" thickBot="1">
      <c r="D3" s="4" t="s">
        <v>72</v>
      </c>
      <c r="G3" s="2"/>
      <c r="I3" s="2"/>
    </row>
    <row r="4" spans="1:12" ht="13.95" customHeight="1">
      <c r="A4" s="80" t="s">
        <v>85</v>
      </c>
      <c r="B4" s="80" t="s">
        <v>86</v>
      </c>
      <c r="C4" s="80" t="s">
        <v>87</v>
      </c>
      <c r="D4" s="80" t="s">
        <v>88</v>
      </c>
      <c r="E4" s="80" t="s">
        <v>89</v>
      </c>
      <c r="F4" s="80" t="s">
        <v>90</v>
      </c>
      <c r="H4" s="52" t="s">
        <v>227</v>
      </c>
    </row>
    <row r="5" spans="1:12" ht="13.95" customHeight="1">
      <c r="A5" s="5" t="s">
        <v>228</v>
      </c>
      <c r="B5" s="5" t="s">
        <v>229</v>
      </c>
      <c r="C5" s="5" t="s">
        <v>230</v>
      </c>
      <c r="D5" s="5" t="s">
        <v>231</v>
      </c>
      <c r="E5" s="5" t="s">
        <v>232</v>
      </c>
      <c r="F5" s="5" t="s">
        <v>233</v>
      </c>
      <c r="K5" s="19"/>
    </row>
    <row r="6" spans="1:12" ht="13.95" customHeight="1">
      <c r="A6" s="5" t="s">
        <v>234</v>
      </c>
      <c r="B6" s="5" t="s">
        <v>235</v>
      </c>
      <c r="C6" s="5" t="s">
        <v>236</v>
      </c>
      <c r="D6" s="5" t="s">
        <v>237</v>
      </c>
      <c r="E6" s="5" t="s">
        <v>238</v>
      </c>
      <c r="F6" s="5" t="s">
        <v>239</v>
      </c>
      <c r="I6" s="2"/>
    </row>
    <row r="7" spans="1:12" ht="13.95" customHeight="1">
      <c r="A7" s="5" t="s">
        <v>240</v>
      </c>
      <c r="B7" s="5" t="s">
        <v>241</v>
      </c>
      <c r="C7" s="5" t="s">
        <v>242</v>
      </c>
      <c r="D7" s="5" t="s">
        <v>243</v>
      </c>
      <c r="E7" s="5" t="s">
        <v>244</v>
      </c>
      <c r="F7" s="5" t="s">
        <v>245</v>
      </c>
      <c r="K7" s="19"/>
    </row>
    <row r="9" spans="1:12" ht="13.95" customHeight="1">
      <c r="A9" s="81" t="s">
        <v>246</v>
      </c>
      <c r="B9" s="81" t="s">
        <v>247</v>
      </c>
      <c r="C9" s="81" t="s">
        <v>248</v>
      </c>
      <c r="D9" s="81" t="s">
        <v>249</v>
      </c>
      <c r="E9" s="81" t="s">
        <v>250</v>
      </c>
      <c r="F9" s="81" t="s">
        <v>251</v>
      </c>
    </row>
    <row r="10" spans="1:12" ht="13.95" customHeight="1">
      <c r="A10" s="58" t="s">
        <v>252</v>
      </c>
      <c r="B10" s="58" t="s">
        <v>253</v>
      </c>
      <c r="C10" s="58" t="s">
        <v>254</v>
      </c>
      <c r="D10" s="58" t="s">
        <v>255</v>
      </c>
      <c r="E10" s="58" t="s">
        <v>256</v>
      </c>
      <c r="F10" s="58" t="s">
        <v>257</v>
      </c>
    </row>
    <row r="11" spans="1:12" ht="13.95" customHeight="1">
      <c r="A11" s="58" t="s">
        <v>258</v>
      </c>
      <c r="B11" s="58" t="s">
        <v>259</v>
      </c>
      <c r="C11" s="58" t="s">
        <v>260</v>
      </c>
      <c r="D11" s="58" t="s">
        <v>261</v>
      </c>
      <c r="E11" s="58" t="s">
        <v>262</v>
      </c>
      <c r="F11" s="58" t="s">
        <v>263</v>
      </c>
    </row>
    <row r="12" spans="1:12" ht="13.95" customHeight="1">
      <c r="A12" s="58" t="s">
        <v>264</v>
      </c>
      <c r="B12" s="58" t="s">
        <v>265</v>
      </c>
      <c r="C12" s="58" t="s">
        <v>266</v>
      </c>
      <c r="D12" s="58" t="s">
        <v>267</v>
      </c>
      <c r="E12" s="58" t="s">
        <v>268</v>
      </c>
      <c r="F12" s="58" t="s">
        <v>269</v>
      </c>
    </row>
    <row r="13" spans="1:12" ht="13.95" customHeight="1" thickBot="1">
      <c r="L13" s="2" t="s">
        <v>270</v>
      </c>
    </row>
    <row r="14" spans="1:12" ht="13.95" customHeight="1" thickBot="1">
      <c r="D14" s="4" t="str">
        <f>'CHICLETS MASTER S1'!$E$3</f>
        <v>BECKMAN HS 2</v>
      </c>
      <c r="G14" s="2"/>
      <c r="I14" s="2"/>
    </row>
    <row r="15" spans="1:12" ht="13.95" customHeight="1">
      <c r="A15" s="80" t="s">
        <v>110</v>
      </c>
      <c r="B15" s="80" t="s">
        <v>111</v>
      </c>
      <c r="C15" s="80" t="s">
        <v>112</v>
      </c>
      <c r="D15" s="80" t="s">
        <v>113</v>
      </c>
      <c r="E15" s="80" t="s">
        <v>114</v>
      </c>
      <c r="F15" s="80" t="s">
        <v>115</v>
      </c>
      <c r="G15" s="80" t="s">
        <v>116</v>
      </c>
      <c r="H15" s="80" t="s">
        <v>117</v>
      </c>
      <c r="I15" s="80" t="s">
        <v>116</v>
      </c>
      <c r="J15" s="80" t="s">
        <v>118</v>
      </c>
      <c r="K15" s="80" t="s">
        <v>119</v>
      </c>
      <c r="L15" s="80" t="s">
        <v>120</v>
      </c>
    </row>
    <row r="16" spans="1:12" ht="13.95" customHeight="1">
      <c r="A16" s="6">
        <f>$A$2</f>
        <v>46221</v>
      </c>
      <c r="B16" s="21">
        <f>'CHICLETS MASTER S1'!A4</f>
        <v>0.29166666666666669</v>
      </c>
      <c r="C16" s="8" t="s">
        <v>271</v>
      </c>
      <c r="D16" s="41" t="str">
        <f>$D$14</f>
        <v>BECKMAN HS 2</v>
      </c>
      <c r="E16" s="8">
        <v>1</v>
      </c>
      <c r="F16" s="8" t="str">
        <f>A5</f>
        <v>A(1)-CHULA VISTA PREMIER</v>
      </c>
      <c r="G16" s="13"/>
      <c r="H16" s="8" t="str">
        <f>A7</f>
        <v>A(25)-LA PREMIER BLACK</v>
      </c>
      <c r="I16" s="13"/>
      <c r="J16" s="8"/>
      <c r="K16" s="8"/>
      <c r="L16" s="8" t="str">
        <f>IF(E16="","",$L$13&amp;"-"&amp;TEXT(E16,"000"))</f>
        <v>10C-001</v>
      </c>
    </row>
    <row r="17" spans="1:12" ht="13.95" customHeight="1">
      <c r="A17" s="6">
        <f t="shared" ref="A17:A32" si="0">$A$2</f>
        <v>46221</v>
      </c>
      <c r="B17" s="21">
        <f>'CHICLETS MASTER S1'!A5</f>
        <v>0.3263888888888889</v>
      </c>
      <c r="C17" s="8" t="s">
        <v>272</v>
      </c>
      <c r="D17" s="41" t="str">
        <f t="shared" ref="D17:D27" si="1">$D$14</f>
        <v>BECKMAN HS 2</v>
      </c>
      <c r="E17" s="8">
        <v>4</v>
      </c>
      <c r="F17" s="8" t="str">
        <f>B5</f>
        <v>B(2)-PATRIOT NAVY</v>
      </c>
      <c r="G17" s="13"/>
      <c r="H17" s="8" t="str">
        <f>B7</f>
        <v>B(26)-DIABLO ALLIANCE A</v>
      </c>
      <c r="I17" s="13"/>
      <c r="J17" s="8"/>
      <c r="K17" s="8"/>
      <c r="L17" s="8" t="str">
        <f t="shared" ref="L17:L32" si="2">IF(E17="","",$L$13&amp;"-"&amp;TEXT(E17,"000"))</f>
        <v>10C-004</v>
      </c>
    </row>
    <row r="18" spans="1:12" ht="13.95" customHeight="1">
      <c r="A18" s="6">
        <f t="shared" si="0"/>
        <v>46221</v>
      </c>
      <c r="B18" s="21">
        <f>'CHICLETS MASTER S1'!A6</f>
        <v>0.36111111111111099</v>
      </c>
      <c r="C18" s="8" t="s">
        <v>273</v>
      </c>
      <c r="D18" s="41" t="str">
        <f t="shared" si="1"/>
        <v>BECKMAN HS 2</v>
      </c>
      <c r="E18" s="8">
        <v>7</v>
      </c>
      <c r="F18" s="8" t="str">
        <f>C5</f>
        <v>C(3)-SD SHORES BLACK</v>
      </c>
      <c r="G18" s="13"/>
      <c r="H18" s="8" t="str">
        <f>C7</f>
        <v>C(27)-CORONADO</v>
      </c>
      <c r="I18" s="13"/>
      <c r="J18" s="8"/>
      <c r="K18" s="8"/>
      <c r="L18" s="8" t="str">
        <f t="shared" si="2"/>
        <v>10C-007</v>
      </c>
    </row>
    <row r="19" spans="1:12" ht="13.95" customHeight="1">
      <c r="A19" s="6">
        <f t="shared" si="0"/>
        <v>46221</v>
      </c>
      <c r="B19" s="21">
        <f>'CHICLETS MASTER S1'!A7</f>
        <v>0.39583333333333398</v>
      </c>
      <c r="C19" s="8" t="s">
        <v>274</v>
      </c>
      <c r="D19" s="41" t="str">
        <f t="shared" si="1"/>
        <v>BECKMAN HS 2</v>
      </c>
      <c r="E19" s="8">
        <v>10</v>
      </c>
      <c r="F19" s="8" t="str">
        <f>D5</f>
        <v>D(4)-YOLO</v>
      </c>
      <c r="G19" s="13"/>
      <c r="H19" s="8" t="str">
        <f>D7</f>
        <v>D(28)-CMAC</v>
      </c>
      <c r="I19" s="13"/>
      <c r="J19" s="8"/>
      <c r="K19" s="8"/>
      <c r="L19" s="8" t="str">
        <f t="shared" si="2"/>
        <v>10C-010</v>
      </c>
    </row>
    <row r="20" spans="1:12" ht="13.95" customHeight="1">
      <c r="A20" s="6">
        <f t="shared" si="0"/>
        <v>46221</v>
      </c>
      <c r="B20" s="21">
        <f>'CHICLETS MASTER S1'!A8</f>
        <v>0.43055555555555602</v>
      </c>
      <c r="C20" s="8" t="s">
        <v>271</v>
      </c>
      <c r="D20" s="41" t="str">
        <f t="shared" si="1"/>
        <v>BECKMAN HS 2</v>
      </c>
      <c r="E20" s="8">
        <v>13</v>
      </c>
      <c r="F20" s="8" t="str">
        <f>A6</f>
        <v>A(24)-ROSE BOWL RED</v>
      </c>
      <c r="G20" s="13"/>
      <c r="H20" s="8" t="str">
        <f>A7</f>
        <v>A(25)-LA PREMIER BLACK</v>
      </c>
      <c r="I20" s="13"/>
      <c r="J20" s="8"/>
      <c r="K20" s="8"/>
      <c r="L20" s="8" t="str">
        <f t="shared" si="2"/>
        <v>10C-013</v>
      </c>
    </row>
    <row r="21" spans="1:12" ht="13.95" customHeight="1">
      <c r="A21" s="6">
        <f t="shared" si="0"/>
        <v>46221</v>
      </c>
      <c r="B21" s="21">
        <f>'CHICLETS MASTER S1'!A9</f>
        <v>0.46527777777777801</v>
      </c>
      <c r="C21" s="8" t="s">
        <v>272</v>
      </c>
      <c r="D21" s="41" t="str">
        <f t="shared" si="1"/>
        <v>BECKMAN HS 2</v>
      </c>
      <c r="E21" s="8">
        <v>16</v>
      </c>
      <c r="F21" s="8" t="str">
        <f>B6</f>
        <v>B(23)-ASA</v>
      </c>
      <c r="G21" s="13"/>
      <c r="H21" s="8" t="str">
        <f>B7</f>
        <v>B(26)-DIABLO ALLIANCE A</v>
      </c>
      <c r="I21" s="13"/>
      <c r="J21" s="8"/>
      <c r="K21" s="8"/>
      <c r="L21" s="8" t="str">
        <f t="shared" si="2"/>
        <v>10C-016</v>
      </c>
    </row>
    <row r="22" spans="1:12" ht="13.95" customHeight="1">
      <c r="A22" s="6">
        <f t="shared" si="0"/>
        <v>46221</v>
      </c>
      <c r="B22" s="21">
        <f>'CHICLETS MASTER S1'!A10</f>
        <v>0.5</v>
      </c>
      <c r="C22" s="8" t="s">
        <v>273</v>
      </c>
      <c r="D22" s="41" t="str">
        <f t="shared" si="1"/>
        <v>BECKMAN HS 2</v>
      </c>
      <c r="E22" s="8">
        <v>19</v>
      </c>
      <c r="F22" s="8" t="str">
        <f>C6</f>
        <v>C(22)-SOUTH COAST RED</v>
      </c>
      <c r="G22" s="53"/>
      <c r="H22" s="8" t="str">
        <f>C7</f>
        <v>C(27)-CORONADO</v>
      </c>
      <c r="I22" s="53"/>
      <c r="J22" s="8"/>
      <c r="K22" s="8"/>
      <c r="L22" s="8" t="str">
        <f t="shared" si="2"/>
        <v>10C-019</v>
      </c>
    </row>
    <row r="23" spans="1:12" ht="13.95" customHeight="1">
      <c r="A23" s="6">
        <f t="shared" si="0"/>
        <v>46221</v>
      </c>
      <c r="B23" s="21">
        <f>'CHICLETS MASTER S1'!A11</f>
        <v>0.53472222222222199</v>
      </c>
      <c r="C23" s="8" t="s">
        <v>274</v>
      </c>
      <c r="D23" s="41" t="str">
        <f t="shared" si="1"/>
        <v>BECKMAN HS 2</v>
      </c>
      <c r="E23" s="8">
        <v>22</v>
      </c>
      <c r="F23" s="8" t="str">
        <f>D6</f>
        <v>D(21)-CHAWP</v>
      </c>
      <c r="G23" s="13"/>
      <c r="H23" s="8" t="str">
        <f>D7</f>
        <v>D(28)-CMAC</v>
      </c>
      <c r="I23" s="13"/>
      <c r="J23" s="8"/>
      <c r="K23" s="8"/>
      <c r="L23" s="8" t="str">
        <f t="shared" si="2"/>
        <v>10C-022</v>
      </c>
    </row>
    <row r="24" spans="1:12" ht="13.95" customHeight="1">
      <c r="A24" s="6">
        <f t="shared" si="0"/>
        <v>46221</v>
      </c>
      <c r="B24" s="21">
        <f>'CHICLETS MASTER S1'!A12</f>
        <v>0.56944444444444497</v>
      </c>
      <c r="C24" s="8" t="s">
        <v>271</v>
      </c>
      <c r="D24" s="41" t="str">
        <f t="shared" si="1"/>
        <v>BECKMAN HS 2</v>
      </c>
      <c r="E24" s="8">
        <v>25</v>
      </c>
      <c r="F24" s="8" t="str">
        <f>A5</f>
        <v>A(1)-CHULA VISTA PREMIER</v>
      </c>
      <c r="G24" s="13"/>
      <c r="H24" s="8" t="str">
        <f>A6</f>
        <v>A(24)-ROSE BOWL RED</v>
      </c>
      <c r="I24" s="13"/>
      <c r="J24" s="8"/>
      <c r="K24" s="8"/>
      <c r="L24" s="8" t="str">
        <f t="shared" si="2"/>
        <v>10C-025</v>
      </c>
    </row>
    <row r="25" spans="1:12" ht="13.95" customHeight="1">
      <c r="A25" s="6">
        <f t="shared" si="0"/>
        <v>46221</v>
      </c>
      <c r="B25" s="21">
        <f>'CHICLETS MASTER S1'!A13</f>
        <v>0.60416666666666696</v>
      </c>
      <c r="C25" s="8" t="s">
        <v>272</v>
      </c>
      <c r="D25" s="41" t="str">
        <f t="shared" si="1"/>
        <v>BECKMAN HS 2</v>
      </c>
      <c r="E25" s="8">
        <v>28</v>
      </c>
      <c r="F25" s="8" t="str">
        <f>B5</f>
        <v>B(2)-PATRIOT NAVY</v>
      </c>
      <c r="G25" s="13"/>
      <c r="H25" s="8" t="str">
        <f>B6</f>
        <v>B(23)-ASA</v>
      </c>
      <c r="I25" s="13"/>
      <c r="J25" s="8"/>
      <c r="K25" s="8"/>
      <c r="L25" s="8" t="str">
        <f t="shared" si="2"/>
        <v>10C-028</v>
      </c>
    </row>
    <row r="26" spans="1:12" ht="13.95" customHeight="1">
      <c r="A26" s="6">
        <f t="shared" si="0"/>
        <v>46221</v>
      </c>
      <c r="B26" s="21">
        <f>'CHICLETS MASTER S1'!A14</f>
        <v>0.63888888888888895</v>
      </c>
      <c r="C26" s="8" t="s">
        <v>273</v>
      </c>
      <c r="D26" s="41" t="str">
        <f t="shared" si="1"/>
        <v>BECKMAN HS 2</v>
      </c>
      <c r="E26" s="8">
        <v>31</v>
      </c>
      <c r="F26" s="8" t="str">
        <f>C5</f>
        <v>C(3)-SD SHORES BLACK</v>
      </c>
      <c r="G26" s="13"/>
      <c r="H26" s="8" t="str">
        <f>C6</f>
        <v>C(22)-SOUTH COAST RED</v>
      </c>
      <c r="I26" s="13"/>
      <c r="J26" s="8"/>
      <c r="K26" s="8"/>
      <c r="L26" s="8" t="str">
        <f t="shared" si="2"/>
        <v>10C-031</v>
      </c>
    </row>
    <row r="27" spans="1:12" ht="13.95" customHeight="1">
      <c r="A27" s="6">
        <f t="shared" si="0"/>
        <v>46221</v>
      </c>
      <c r="B27" s="21">
        <f>'CHICLETS MASTER S1'!A15</f>
        <v>0.67361111111111105</v>
      </c>
      <c r="C27" s="8" t="s">
        <v>274</v>
      </c>
      <c r="D27" s="41" t="str">
        <f t="shared" si="1"/>
        <v>BECKMAN HS 2</v>
      </c>
      <c r="E27" s="8">
        <v>34</v>
      </c>
      <c r="F27" s="8" t="str">
        <f>D5</f>
        <v>D(4)-YOLO</v>
      </c>
      <c r="G27" s="13"/>
      <c r="H27" s="8" t="str">
        <f>D6</f>
        <v>D(21)-CHAWP</v>
      </c>
      <c r="I27" s="13"/>
      <c r="J27" s="8"/>
      <c r="K27" s="8"/>
      <c r="L27" s="8" t="str">
        <f t="shared" si="2"/>
        <v>10C-034</v>
      </c>
    </row>
    <row r="28" spans="1:12" ht="13.95" customHeight="1">
      <c r="A28" s="6">
        <f t="shared" si="0"/>
        <v>46221</v>
      </c>
      <c r="B28" s="2" t="s">
        <v>204</v>
      </c>
      <c r="G28" s="2"/>
      <c r="I28" s="2"/>
    </row>
    <row r="29" spans="1:12" ht="13.95" customHeight="1">
      <c r="A29" s="6">
        <f t="shared" si="0"/>
        <v>46221</v>
      </c>
      <c r="B29" s="21">
        <f>'CHICLETS MASTER S1'!A17</f>
        <v>0.74305555555555602</v>
      </c>
      <c r="C29" s="8" t="s">
        <v>275</v>
      </c>
      <c r="D29" s="41" t="str">
        <f>$D$14</f>
        <v>BECKMAN HS 2</v>
      </c>
      <c r="E29" s="8">
        <v>37</v>
      </c>
      <c r="F29" s="8" t="s">
        <v>276</v>
      </c>
      <c r="G29" s="13"/>
      <c r="H29" s="8" t="s">
        <v>277</v>
      </c>
      <c r="I29" s="13"/>
      <c r="J29" s="8" t="s">
        <v>278</v>
      </c>
      <c r="K29" s="8" t="s">
        <v>279</v>
      </c>
      <c r="L29" s="8" t="str">
        <f t="shared" si="2"/>
        <v>10C-037</v>
      </c>
    </row>
    <row r="30" spans="1:12" ht="13.95" customHeight="1">
      <c r="A30" s="6">
        <f t="shared" si="0"/>
        <v>46221</v>
      </c>
      <c r="B30" s="21">
        <f>'CHICLETS MASTER S1'!A18</f>
        <v>0.77777777777777801</v>
      </c>
      <c r="C30" s="8" t="s">
        <v>275</v>
      </c>
      <c r="D30" s="41" t="str">
        <f>$D$14</f>
        <v>BECKMAN HS 2</v>
      </c>
      <c r="E30" s="8">
        <v>40</v>
      </c>
      <c r="F30" s="8" t="s">
        <v>280</v>
      </c>
      <c r="G30" s="13"/>
      <c r="H30" s="8" t="s">
        <v>281</v>
      </c>
      <c r="I30" s="13"/>
      <c r="J30" s="8" t="s">
        <v>282</v>
      </c>
      <c r="K30" s="8" t="s">
        <v>283</v>
      </c>
      <c r="L30" s="8" t="str">
        <f t="shared" si="2"/>
        <v>10C-040</v>
      </c>
    </row>
    <row r="31" spans="1:12" ht="13.95" customHeight="1">
      <c r="A31" s="6">
        <f t="shared" si="0"/>
        <v>46221</v>
      </c>
      <c r="B31" s="21">
        <f>'CHICLETS MASTER S1'!A19</f>
        <v>0.8125</v>
      </c>
      <c r="C31" s="8" t="s">
        <v>275</v>
      </c>
      <c r="D31" s="41" t="str">
        <f>$D$14</f>
        <v>BECKMAN HS 2</v>
      </c>
      <c r="E31" s="8">
        <v>43</v>
      </c>
      <c r="F31" s="8" t="s">
        <v>284</v>
      </c>
      <c r="G31" s="13"/>
      <c r="H31" s="8" t="s">
        <v>285</v>
      </c>
      <c r="I31" s="13"/>
      <c r="J31" s="8" t="s">
        <v>138</v>
      </c>
      <c r="K31" s="8" t="s">
        <v>286</v>
      </c>
      <c r="L31" s="8" t="str">
        <f t="shared" si="2"/>
        <v>10C-043</v>
      </c>
    </row>
    <row r="32" spans="1:12" ht="13.95" customHeight="1">
      <c r="A32" s="6">
        <f t="shared" si="0"/>
        <v>46221</v>
      </c>
      <c r="B32" s="21">
        <f>'CHICLETS MASTER S1'!A20</f>
        <v>0.84722222222222199</v>
      </c>
      <c r="C32" s="8" t="s">
        <v>275</v>
      </c>
      <c r="D32" s="41" t="str">
        <f>$D$14</f>
        <v>BECKMAN HS 2</v>
      </c>
      <c r="E32" s="8">
        <v>46</v>
      </c>
      <c r="F32" s="8" t="s">
        <v>287</v>
      </c>
      <c r="G32" s="13"/>
      <c r="H32" s="8" t="s">
        <v>288</v>
      </c>
      <c r="I32" s="13"/>
      <c r="J32" s="8" t="s">
        <v>142</v>
      </c>
      <c r="K32" s="8" t="s">
        <v>289</v>
      </c>
      <c r="L32" s="8" t="str">
        <f t="shared" si="2"/>
        <v>10C-046</v>
      </c>
    </row>
    <row r="34" spans="1:12" ht="13.95" customHeight="1" thickBot="1">
      <c r="D34" s="4" t="str">
        <f>'CHICLETS MASTER S1'!$C$3</f>
        <v>EL TORO HS 2</v>
      </c>
    </row>
    <row r="35" spans="1:12" ht="13.95" customHeight="1">
      <c r="A35" s="80" t="s">
        <v>110</v>
      </c>
      <c r="B35" s="80" t="s">
        <v>111</v>
      </c>
      <c r="C35" s="80" t="s">
        <v>112</v>
      </c>
      <c r="D35" s="80" t="s">
        <v>113</v>
      </c>
      <c r="E35" s="80" t="s">
        <v>114</v>
      </c>
      <c r="F35" s="80" t="s">
        <v>115</v>
      </c>
      <c r="G35" s="80" t="s">
        <v>116</v>
      </c>
      <c r="H35" s="80" t="s">
        <v>117</v>
      </c>
      <c r="I35" s="80" t="s">
        <v>116</v>
      </c>
      <c r="J35" s="80" t="s">
        <v>118</v>
      </c>
      <c r="K35" s="80" t="s">
        <v>119</v>
      </c>
      <c r="L35" s="80" t="s">
        <v>120</v>
      </c>
    </row>
    <row r="36" spans="1:12" ht="13.95" customHeight="1">
      <c r="A36" s="6">
        <f t="shared" ref="A36:A52" si="3">$A$2</f>
        <v>46221</v>
      </c>
      <c r="B36" s="21">
        <f>'CHICLETS MASTER S1'!A4</f>
        <v>0.29166666666666669</v>
      </c>
      <c r="C36" s="8" t="s">
        <v>290</v>
      </c>
      <c r="D36" s="41" t="str">
        <f>$D$34</f>
        <v>EL TORO HS 2</v>
      </c>
      <c r="E36" s="8">
        <v>2</v>
      </c>
      <c r="F36" s="8" t="str">
        <f>B10</f>
        <v>H(8)-ECA</v>
      </c>
      <c r="G36" s="13"/>
      <c r="H36" s="8" t="str">
        <f>B12</f>
        <v>H(32)-A TOWN</v>
      </c>
      <c r="I36" s="13"/>
      <c r="J36" s="8"/>
      <c r="K36" s="8"/>
      <c r="L36" s="8" t="str">
        <f t="shared" ref="L36:L52" si="4">IF(E36="","",$L$13&amp;"-"&amp;TEXT(E36,"000"))</f>
        <v>10C-002</v>
      </c>
    </row>
    <row r="37" spans="1:12" ht="13.95" customHeight="1">
      <c r="A37" s="6">
        <f t="shared" si="3"/>
        <v>46221</v>
      </c>
      <c r="B37" s="21">
        <f>'CHICLETS MASTER S1'!A5</f>
        <v>0.3263888888888889</v>
      </c>
      <c r="C37" s="8" t="s">
        <v>291</v>
      </c>
      <c r="D37" s="41" t="str">
        <f t="shared" ref="D37:D47" si="5">$D$34</f>
        <v>EL TORO HS 2</v>
      </c>
      <c r="E37" s="8">
        <v>5</v>
      </c>
      <c r="F37" s="8" t="str">
        <f>A10</f>
        <v>G(7)-FOOTHILL RED</v>
      </c>
      <c r="G37" s="13"/>
      <c r="H37" s="8" t="str">
        <f>A12</f>
        <v>G(31)-LOWPO</v>
      </c>
      <c r="I37" s="13"/>
      <c r="J37" s="8"/>
      <c r="K37" s="8"/>
      <c r="L37" s="8" t="str">
        <f t="shared" si="4"/>
        <v>10C-005</v>
      </c>
    </row>
    <row r="38" spans="1:12" ht="13.95" customHeight="1">
      <c r="A38" s="6">
        <f t="shared" si="3"/>
        <v>46221</v>
      </c>
      <c r="B38" s="21">
        <f>'CHICLETS MASTER S1'!A6</f>
        <v>0.36111111111111099</v>
      </c>
      <c r="C38" s="8" t="s">
        <v>292</v>
      </c>
      <c r="D38" s="41" t="str">
        <f t="shared" si="5"/>
        <v>EL TORO HS 2</v>
      </c>
      <c r="E38" s="8">
        <v>8</v>
      </c>
      <c r="F38" s="8" t="str">
        <f>F5</f>
        <v>F(6)-SANTA BARBARA WPC</v>
      </c>
      <c r="G38" s="13"/>
      <c r="H38" s="8" t="str">
        <f>F7</f>
        <v>F(30)-SHAQ</v>
      </c>
      <c r="I38" s="13"/>
      <c r="J38" s="8"/>
      <c r="K38" s="8"/>
      <c r="L38" s="8" t="str">
        <f t="shared" si="4"/>
        <v>10C-008</v>
      </c>
    </row>
    <row r="39" spans="1:12" ht="13.95" customHeight="1">
      <c r="A39" s="6">
        <f t="shared" si="3"/>
        <v>46221</v>
      </c>
      <c r="B39" s="21">
        <f>'CHICLETS MASTER S1'!A7</f>
        <v>0.39583333333333398</v>
      </c>
      <c r="C39" s="8" t="s">
        <v>293</v>
      </c>
      <c r="D39" s="41" t="str">
        <f t="shared" si="5"/>
        <v>EL TORO HS 2</v>
      </c>
      <c r="E39" s="8">
        <v>11</v>
      </c>
      <c r="F39" s="8" t="str">
        <f>E5</f>
        <v>E(5)-CHANNEL ISLANDS UNITED</v>
      </c>
      <c r="G39" s="13"/>
      <c r="H39" s="8" t="str">
        <f>E7</f>
        <v>E(29)-ALAMEDA</v>
      </c>
      <c r="I39" s="13"/>
      <c r="J39" s="8"/>
      <c r="K39" s="8"/>
      <c r="L39" s="8" t="str">
        <f t="shared" si="4"/>
        <v>10C-011</v>
      </c>
    </row>
    <row r="40" spans="1:12" ht="13.95" customHeight="1">
      <c r="A40" s="6">
        <f t="shared" si="3"/>
        <v>46221</v>
      </c>
      <c r="B40" s="21">
        <f>'CHICLETS MASTER S1'!A8</f>
        <v>0.43055555555555602</v>
      </c>
      <c r="C40" s="8" t="s">
        <v>290</v>
      </c>
      <c r="D40" s="41" t="str">
        <f t="shared" si="5"/>
        <v>EL TORO HS 2</v>
      </c>
      <c r="E40" s="8">
        <v>14</v>
      </c>
      <c r="F40" s="8" t="str">
        <f>B11</f>
        <v>H(17)-VANGUARD</v>
      </c>
      <c r="G40" s="13"/>
      <c r="H40" s="8" t="str">
        <f>B12</f>
        <v>H(32)-A TOWN</v>
      </c>
      <c r="I40" s="13"/>
      <c r="J40" s="8"/>
      <c r="K40" s="8"/>
      <c r="L40" s="8" t="str">
        <f t="shared" si="4"/>
        <v>10C-014</v>
      </c>
    </row>
    <row r="41" spans="1:12" ht="13.95" customHeight="1">
      <c r="A41" s="6">
        <f t="shared" si="3"/>
        <v>46221</v>
      </c>
      <c r="B41" s="21">
        <f>'CHICLETS MASTER S1'!A9</f>
        <v>0.46527777777777801</v>
      </c>
      <c r="C41" s="8" t="s">
        <v>291</v>
      </c>
      <c r="D41" s="41" t="str">
        <f t="shared" si="5"/>
        <v>EL TORO HS 2</v>
      </c>
      <c r="E41" s="8">
        <v>17</v>
      </c>
      <c r="F41" s="8" t="str">
        <f>A11</f>
        <v>G(18)-WHITTIER</v>
      </c>
      <c r="G41" s="13"/>
      <c r="H41" s="8" t="str">
        <f>A12</f>
        <v>G(31)-LOWPO</v>
      </c>
      <c r="I41" s="13"/>
      <c r="J41" s="8"/>
      <c r="K41" s="8"/>
      <c r="L41" s="8" t="str">
        <f t="shared" si="4"/>
        <v>10C-017</v>
      </c>
    </row>
    <row r="42" spans="1:12" ht="13.95" customHeight="1">
      <c r="A42" s="6">
        <f t="shared" si="3"/>
        <v>46221</v>
      </c>
      <c r="B42" s="21">
        <f>'CHICLETS MASTER S1'!A10</f>
        <v>0.5</v>
      </c>
      <c r="C42" s="8" t="s">
        <v>292</v>
      </c>
      <c r="D42" s="41" t="str">
        <f t="shared" si="5"/>
        <v>EL TORO HS 2</v>
      </c>
      <c r="E42" s="8">
        <v>20</v>
      </c>
      <c r="F42" s="8" t="str">
        <f>F6</f>
        <v>F(19)-LA CITY UNITED</v>
      </c>
      <c r="G42" s="13"/>
      <c r="H42" s="8" t="str">
        <f>F7</f>
        <v>F(30)-SHAQ</v>
      </c>
      <c r="I42" s="13"/>
      <c r="J42" s="8"/>
      <c r="K42" s="8"/>
      <c r="L42" s="8" t="str">
        <f t="shared" si="4"/>
        <v>10C-020</v>
      </c>
    </row>
    <row r="43" spans="1:12" ht="13.95" customHeight="1">
      <c r="A43" s="6">
        <f t="shared" si="3"/>
        <v>46221</v>
      </c>
      <c r="B43" s="21">
        <f>'CHICLETS MASTER S1'!A11</f>
        <v>0.53472222222222199</v>
      </c>
      <c r="C43" s="8" t="s">
        <v>293</v>
      </c>
      <c r="D43" s="41" t="str">
        <f t="shared" si="5"/>
        <v>EL TORO HS 2</v>
      </c>
      <c r="E43" s="8">
        <v>23</v>
      </c>
      <c r="F43" s="8" t="str">
        <f>E6</f>
        <v>E(20)-TPC SHARKS</v>
      </c>
      <c r="G43" s="13"/>
      <c r="H43" s="8" t="str">
        <f>E7</f>
        <v>E(29)-ALAMEDA</v>
      </c>
      <c r="I43" s="13"/>
      <c r="J43" s="8"/>
      <c r="K43" s="8"/>
      <c r="L43" s="8" t="str">
        <f t="shared" si="4"/>
        <v>10C-023</v>
      </c>
    </row>
    <row r="44" spans="1:12" ht="13.95" customHeight="1">
      <c r="A44" s="6">
        <f t="shared" si="3"/>
        <v>46221</v>
      </c>
      <c r="B44" s="21">
        <f>'CHICLETS MASTER S1'!A12</f>
        <v>0.56944444444444497</v>
      </c>
      <c r="C44" s="8" t="s">
        <v>290</v>
      </c>
      <c r="D44" s="41" t="str">
        <f t="shared" si="5"/>
        <v>EL TORO HS 2</v>
      </c>
      <c r="E44" s="8">
        <v>26</v>
      </c>
      <c r="F44" s="8" t="str">
        <f>B10</f>
        <v>H(8)-ECA</v>
      </c>
      <c r="G44" s="13"/>
      <c r="H44" s="8" t="str">
        <f>B11</f>
        <v>H(17)-VANGUARD</v>
      </c>
      <c r="I44" s="13"/>
      <c r="J44" s="8"/>
      <c r="K44" s="8"/>
      <c r="L44" s="8" t="str">
        <f t="shared" si="4"/>
        <v>10C-026</v>
      </c>
    </row>
    <row r="45" spans="1:12" ht="13.95" customHeight="1">
      <c r="A45" s="6">
        <f t="shared" si="3"/>
        <v>46221</v>
      </c>
      <c r="B45" s="21">
        <f>'CHICLETS MASTER S1'!A13</f>
        <v>0.60416666666666696</v>
      </c>
      <c r="C45" s="8" t="s">
        <v>291</v>
      </c>
      <c r="D45" s="41" t="str">
        <f t="shared" si="5"/>
        <v>EL TORO HS 2</v>
      </c>
      <c r="E45" s="8">
        <v>29</v>
      </c>
      <c r="F45" s="8" t="str">
        <f>A10</f>
        <v>G(7)-FOOTHILL RED</v>
      </c>
      <c r="G45" s="13"/>
      <c r="H45" s="8" t="str">
        <f>A11</f>
        <v>G(18)-WHITTIER</v>
      </c>
      <c r="I45" s="13"/>
      <c r="J45" s="8"/>
      <c r="K45" s="8"/>
      <c r="L45" s="8" t="str">
        <f t="shared" si="4"/>
        <v>10C-029</v>
      </c>
    </row>
    <row r="46" spans="1:12" ht="13.95" customHeight="1">
      <c r="A46" s="6">
        <f t="shared" si="3"/>
        <v>46221</v>
      </c>
      <c r="B46" s="21">
        <f>'CHICLETS MASTER S1'!A14</f>
        <v>0.63888888888888895</v>
      </c>
      <c r="C46" s="8" t="s">
        <v>292</v>
      </c>
      <c r="D46" s="41" t="str">
        <f t="shared" si="5"/>
        <v>EL TORO HS 2</v>
      </c>
      <c r="E46" s="8">
        <v>32</v>
      </c>
      <c r="F46" s="8" t="str">
        <f>F5</f>
        <v>F(6)-SANTA BARBARA WPC</v>
      </c>
      <c r="G46" s="13"/>
      <c r="H46" s="8" t="str">
        <f>F6</f>
        <v>F(19)-LA CITY UNITED</v>
      </c>
      <c r="I46" s="13"/>
      <c r="J46" s="8"/>
      <c r="K46" s="8"/>
      <c r="L46" s="8" t="str">
        <f t="shared" si="4"/>
        <v>10C-032</v>
      </c>
    </row>
    <row r="47" spans="1:12" ht="13.95" customHeight="1">
      <c r="A47" s="6">
        <f t="shared" si="3"/>
        <v>46221</v>
      </c>
      <c r="B47" s="21">
        <f>'CHICLETS MASTER S1'!A15</f>
        <v>0.67361111111111105</v>
      </c>
      <c r="C47" s="8" t="s">
        <v>293</v>
      </c>
      <c r="D47" s="41" t="str">
        <f t="shared" si="5"/>
        <v>EL TORO HS 2</v>
      </c>
      <c r="E47" s="8">
        <v>35</v>
      </c>
      <c r="F47" s="8" t="str">
        <f>E5</f>
        <v>E(5)-CHANNEL ISLANDS UNITED</v>
      </c>
      <c r="G47" s="13"/>
      <c r="H47" s="8" t="str">
        <f>E6</f>
        <v>E(20)-TPC SHARKS</v>
      </c>
      <c r="I47" s="13"/>
      <c r="J47" s="8"/>
      <c r="K47" s="8"/>
      <c r="L47" s="8" t="str">
        <f t="shared" si="4"/>
        <v>10C-035</v>
      </c>
    </row>
    <row r="48" spans="1:12" ht="13.95" customHeight="1">
      <c r="A48" s="6"/>
      <c r="B48" s="2" t="s">
        <v>204</v>
      </c>
      <c r="G48" s="2"/>
      <c r="I48" s="2"/>
    </row>
    <row r="49" spans="1:12" ht="13.95" customHeight="1">
      <c r="A49" s="6">
        <f t="shared" si="3"/>
        <v>46221</v>
      </c>
      <c r="B49" s="21">
        <f>'CHICLETS MASTER S1'!A17</f>
        <v>0.74305555555555602</v>
      </c>
      <c r="C49" s="8" t="s">
        <v>275</v>
      </c>
      <c r="D49" s="41" t="str">
        <f>$D$34</f>
        <v>EL TORO HS 2</v>
      </c>
      <c r="E49" s="8">
        <v>38</v>
      </c>
      <c r="F49" s="8" t="s">
        <v>294</v>
      </c>
      <c r="G49" s="13"/>
      <c r="H49" s="8" t="s">
        <v>295</v>
      </c>
      <c r="I49" s="13"/>
      <c r="J49" s="8" t="s">
        <v>296</v>
      </c>
      <c r="K49" s="8" t="s">
        <v>297</v>
      </c>
      <c r="L49" s="8" t="str">
        <f t="shared" si="4"/>
        <v>10C-038</v>
      </c>
    </row>
    <row r="50" spans="1:12" ht="13.95" customHeight="1">
      <c r="A50" s="6">
        <f t="shared" si="3"/>
        <v>46221</v>
      </c>
      <c r="B50" s="21">
        <f>'CHICLETS MASTER S1'!A18</f>
        <v>0.77777777777777801</v>
      </c>
      <c r="C50" s="8" t="s">
        <v>275</v>
      </c>
      <c r="D50" s="41" t="str">
        <f>$D$34</f>
        <v>EL TORO HS 2</v>
      </c>
      <c r="E50" s="8">
        <v>41</v>
      </c>
      <c r="F50" s="8" t="s">
        <v>298</v>
      </c>
      <c r="G50" s="13"/>
      <c r="H50" s="8" t="s">
        <v>299</v>
      </c>
      <c r="I50" s="13"/>
      <c r="J50" s="8" t="s">
        <v>300</v>
      </c>
      <c r="K50" s="8" t="s">
        <v>301</v>
      </c>
      <c r="L50" s="8" t="str">
        <f t="shared" si="4"/>
        <v>10C-041</v>
      </c>
    </row>
    <row r="51" spans="1:12" ht="13.95" customHeight="1">
      <c r="A51" s="6">
        <f t="shared" si="3"/>
        <v>46221</v>
      </c>
      <c r="B51" s="21">
        <f>'CHICLETS MASTER S1'!A19</f>
        <v>0.8125</v>
      </c>
      <c r="C51" s="8" t="s">
        <v>275</v>
      </c>
      <c r="D51" s="41" t="str">
        <f>$D$34</f>
        <v>EL TORO HS 2</v>
      </c>
      <c r="E51" s="8">
        <v>44</v>
      </c>
      <c r="F51" s="8" t="s">
        <v>302</v>
      </c>
      <c r="G51" s="13"/>
      <c r="H51" s="8" t="s">
        <v>303</v>
      </c>
      <c r="I51" s="13"/>
      <c r="J51" s="8" t="s">
        <v>134</v>
      </c>
      <c r="K51" s="8" t="s">
        <v>304</v>
      </c>
      <c r="L51" s="8" t="str">
        <f t="shared" si="4"/>
        <v>10C-044</v>
      </c>
    </row>
    <row r="52" spans="1:12" ht="13.95" customHeight="1">
      <c r="A52" s="6">
        <f t="shared" si="3"/>
        <v>46221</v>
      </c>
      <c r="B52" s="21">
        <f>'CHICLETS MASTER S1'!A20</f>
        <v>0.84722222222222199</v>
      </c>
      <c r="C52" s="8" t="s">
        <v>275</v>
      </c>
      <c r="D52" s="41" t="str">
        <f>$D$34</f>
        <v>EL TORO HS 2</v>
      </c>
      <c r="E52" s="8">
        <v>47</v>
      </c>
      <c r="F52" s="8" t="s">
        <v>305</v>
      </c>
      <c r="G52" s="13"/>
      <c r="H52" s="8" t="s">
        <v>306</v>
      </c>
      <c r="I52" s="13"/>
      <c r="J52" s="8" t="s">
        <v>146</v>
      </c>
      <c r="K52" s="8" t="s">
        <v>307</v>
      </c>
      <c r="L52" s="8" t="str">
        <f t="shared" si="4"/>
        <v>10C-047</v>
      </c>
    </row>
    <row r="53" spans="1:12" ht="13.95" customHeight="1" thickBot="1">
      <c r="A53" s="24"/>
      <c r="B53" s="27"/>
    </row>
    <row r="54" spans="1:12" ht="13.95" customHeight="1" thickBot="1">
      <c r="D54" s="4" t="str">
        <f>'CHICLETS MASTER S1'!$F$3</f>
        <v>SADDLEBACK COLLEGE 2</v>
      </c>
    </row>
    <row r="55" spans="1:12" ht="13.95" customHeight="1">
      <c r="A55" s="80" t="s">
        <v>110</v>
      </c>
      <c r="B55" s="80" t="s">
        <v>111</v>
      </c>
      <c r="C55" s="80" t="s">
        <v>112</v>
      </c>
      <c r="D55" s="80" t="s">
        <v>113</v>
      </c>
      <c r="E55" s="80" t="s">
        <v>114</v>
      </c>
      <c r="F55" s="80" t="s">
        <v>115</v>
      </c>
      <c r="G55" s="80" t="s">
        <v>116</v>
      </c>
      <c r="H55" s="80" t="s">
        <v>117</v>
      </c>
      <c r="I55" s="80" t="s">
        <v>116</v>
      </c>
      <c r="J55" s="80" t="s">
        <v>118</v>
      </c>
      <c r="K55" s="80" t="s">
        <v>119</v>
      </c>
      <c r="L55" s="80" t="s">
        <v>120</v>
      </c>
    </row>
    <row r="56" spans="1:12" ht="13.95" customHeight="1">
      <c r="A56" s="6">
        <f t="shared" ref="A56:A72" si="6">$A$2</f>
        <v>46221</v>
      </c>
      <c r="B56" s="21">
        <f>'CHICLETS MASTER S1'!A4</f>
        <v>0.29166666666666669</v>
      </c>
      <c r="C56" s="8" t="s">
        <v>308</v>
      </c>
      <c r="D56" s="41" t="str">
        <f>$D$54</f>
        <v>SADDLEBACK COLLEGE 2</v>
      </c>
      <c r="E56" s="8">
        <v>3</v>
      </c>
      <c r="F56" s="8" t="str">
        <f>C10</f>
        <v>I(9)-OCWPC BLUE</v>
      </c>
      <c r="G56" s="13"/>
      <c r="H56" s="8" t="str">
        <f>C12</f>
        <v>I(33)-WEST VALLEY</v>
      </c>
      <c r="I56" s="13"/>
      <c r="J56" s="8"/>
      <c r="K56" s="8"/>
      <c r="L56" s="8" t="str">
        <f t="shared" ref="L56:L72" si="7">IF(E56="","",$L$13&amp;"-"&amp;TEXT(E56,"000"))</f>
        <v>10C-003</v>
      </c>
    </row>
    <row r="57" spans="1:12" ht="13.95" customHeight="1">
      <c r="A57" s="6">
        <f t="shared" si="6"/>
        <v>46221</v>
      </c>
      <c r="B57" s="21">
        <f>'CHICLETS MASTER S1'!A5</f>
        <v>0.3263888888888889</v>
      </c>
      <c r="C57" s="8" t="s">
        <v>309</v>
      </c>
      <c r="D57" s="41" t="str">
        <f t="shared" ref="D57:D67" si="8">$D$54</f>
        <v>SADDLEBACK COLLEGE 2</v>
      </c>
      <c r="E57" s="8">
        <v>6</v>
      </c>
      <c r="F57" s="8" t="str">
        <f>D10</f>
        <v>J(10)-NORTH IRVINE</v>
      </c>
      <c r="G57" s="13"/>
      <c r="H57" s="8" t="str">
        <f>D12</f>
        <v>J(34)-AQUATEX</v>
      </c>
      <c r="I57" s="13"/>
      <c r="J57" s="8"/>
      <c r="K57" s="8"/>
      <c r="L57" s="8" t="str">
        <f t="shared" si="7"/>
        <v>10C-006</v>
      </c>
    </row>
    <row r="58" spans="1:12" ht="13.95" customHeight="1">
      <c r="A58" s="6">
        <f t="shared" si="6"/>
        <v>46221</v>
      </c>
      <c r="B58" s="21">
        <f>'CHICLETS MASTER S1'!A6</f>
        <v>0.36111111111111099</v>
      </c>
      <c r="C58" s="8" t="s">
        <v>310</v>
      </c>
      <c r="D58" s="41" t="str">
        <f t="shared" si="8"/>
        <v>SADDLEBACK COLLEGE 2</v>
      </c>
      <c r="E58" s="54">
        <v>9</v>
      </c>
      <c r="F58" s="55" t="str">
        <f>E10</f>
        <v>K(11)-LOS ALAMITOS</v>
      </c>
      <c r="G58" s="56"/>
      <c r="H58" s="8" t="str">
        <f>E12</f>
        <v>K(35)-CHICAGO PARK</v>
      </c>
      <c r="I58" s="13"/>
      <c r="J58" s="8"/>
      <c r="K58" s="8"/>
      <c r="L58" s="8" t="str">
        <f t="shared" si="7"/>
        <v>10C-009</v>
      </c>
    </row>
    <row r="59" spans="1:12" ht="13.95" customHeight="1">
      <c r="A59" s="6">
        <f t="shared" si="6"/>
        <v>46221</v>
      </c>
      <c r="B59" s="21">
        <f>'CHICLETS MASTER S1'!A7</f>
        <v>0.39583333333333398</v>
      </c>
      <c r="C59" s="8" t="s">
        <v>311</v>
      </c>
      <c r="D59" s="41" t="str">
        <f t="shared" si="8"/>
        <v>SADDLEBACK COLLEGE 2</v>
      </c>
      <c r="E59" s="8">
        <v>12</v>
      </c>
      <c r="F59" s="55" t="str">
        <f>F10</f>
        <v>L(12)-AMERICAN RIVER</v>
      </c>
      <c r="G59" s="13"/>
      <c r="H59" s="8" t="str">
        <f>F12</f>
        <v>L(36)-CARMEL</v>
      </c>
      <c r="I59" s="13"/>
      <c r="J59" s="8"/>
      <c r="K59" s="8"/>
      <c r="L59" s="8" t="str">
        <f t="shared" si="7"/>
        <v>10C-012</v>
      </c>
    </row>
    <row r="60" spans="1:12" ht="13.95" customHeight="1">
      <c r="A60" s="6">
        <f t="shared" si="6"/>
        <v>46221</v>
      </c>
      <c r="B60" s="21">
        <f>'CHICLETS MASTER S1'!A8</f>
        <v>0.43055555555555602</v>
      </c>
      <c r="C60" s="8" t="s">
        <v>308</v>
      </c>
      <c r="D60" s="41" t="str">
        <f t="shared" si="8"/>
        <v>SADDLEBACK COLLEGE 2</v>
      </c>
      <c r="E60" s="8">
        <v>15</v>
      </c>
      <c r="F60" s="55" t="str">
        <f>C11</f>
        <v>I(16)-PRAETORIAN</v>
      </c>
      <c r="G60" s="13"/>
      <c r="H60" s="8" t="str">
        <f>C12</f>
        <v>I(33)-WEST VALLEY</v>
      </c>
      <c r="I60" s="13"/>
      <c r="J60" s="8"/>
      <c r="K60" s="8"/>
      <c r="L60" s="8" t="str">
        <f t="shared" si="7"/>
        <v>10C-015</v>
      </c>
    </row>
    <row r="61" spans="1:12" ht="13.95" customHeight="1">
      <c r="A61" s="6">
        <f t="shared" si="6"/>
        <v>46221</v>
      </c>
      <c r="B61" s="21">
        <f>'CHICLETS MASTER S1'!A9</f>
        <v>0.46527777777777801</v>
      </c>
      <c r="C61" s="8" t="s">
        <v>309</v>
      </c>
      <c r="D61" s="41" t="str">
        <f t="shared" si="8"/>
        <v>SADDLEBACK COLLEGE 2</v>
      </c>
      <c r="E61" s="8">
        <v>18</v>
      </c>
      <c r="F61" s="55" t="str">
        <f>D11</f>
        <v>J(15)-LAGUNA BLACK</v>
      </c>
      <c r="G61" s="13"/>
      <c r="H61" s="8" t="str">
        <f>D12</f>
        <v>J(34)-AQUATEX</v>
      </c>
      <c r="I61" s="13"/>
      <c r="J61" s="8"/>
      <c r="K61" s="8"/>
      <c r="L61" s="8" t="str">
        <f t="shared" si="7"/>
        <v>10C-018</v>
      </c>
    </row>
    <row r="62" spans="1:12" ht="13.95" customHeight="1">
      <c r="A62" s="6">
        <f t="shared" si="6"/>
        <v>46221</v>
      </c>
      <c r="B62" s="21">
        <f>'CHICLETS MASTER S1'!A10</f>
        <v>0.5</v>
      </c>
      <c r="C62" s="8" t="s">
        <v>310</v>
      </c>
      <c r="D62" s="41" t="str">
        <f t="shared" si="8"/>
        <v>SADDLEBACK COLLEGE 2</v>
      </c>
      <c r="E62" s="54">
        <v>21</v>
      </c>
      <c r="F62" s="55" t="str">
        <f>E11</f>
        <v>K(14)-SAN JOSE EXPRESS</v>
      </c>
      <c r="G62" s="56"/>
      <c r="H62" s="8" t="str">
        <f>E12</f>
        <v>K(35)-CHICAGO PARK</v>
      </c>
      <c r="I62" s="13"/>
      <c r="J62" s="8"/>
      <c r="K62" s="8"/>
      <c r="L62" s="8" t="str">
        <f t="shared" si="7"/>
        <v>10C-021</v>
      </c>
    </row>
    <row r="63" spans="1:12" ht="13.95" customHeight="1">
      <c r="A63" s="6">
        <f t="shared" si="6"/>
        <v>46221</v>
      </c>
      <c r="B63" s="21">
        <f>'CHICLETS MASTER S1'!A11</f>
        <v>0.53472222222222199</v>
      </c>
      <c r="C63" s="8" t="s">
        <v>311</v>
      </c>
      <c r="D63" s="41" t="str">
        <f t="shared" si="8"/>
        <v>SADDLEBACK COLLEGE 2</v>
      </c>
      <c r="E63" s="8">
        <v>24</v>
      </c>
      <c r="F63" s="8" t="str">
        <f>F11</f>
        <v>L(13)-LYONS AQUATICS</v>
      </c>
      <c r="G63" s="13"/>
      <c r="H63" s="8" t="str">
        <f>F12</f>
        <v>L(36)-CARMEL</v>
      </c>
      <c r="I63" s="13"/>
      <c r="J63" s="8"/>
      <c r="K63" s="8"/>
      <c r="L63" s="8" t="str">
        <f t="shared" si="7"/>
        <v>10C-024</v>
      </c>
    </row>
    <row r="64" spans="1:12" ht="13.95" customHeight="1">
      <c r="A64" s="6">
        <f t="shared" si="6"/>
        <v>46221</v>
      </c>
      <c r="B64" s="21">
        <f>'CHICLETS MASTER S1'!A12</f>
        <v>0.56944444444444497</v>
      </c>
      <c r="C64" s="8" t="s">
        <v>308</v>
      </c>
      <c r="D64" s="41" t="str">
        <f t="shared" si="8"/>
        <v>SADDLEBACK COLLEGE 2</v>
      </c>
      <c r="E64" s="8">
        <v>27</v>
      </c>
      <c r="F64" s="8" t="str">
        <f>C10</f>
        <v>I(9)-OCWPC BLUE</v>
      </c>
      <c r="G64" s="13"/>
      <c r="H64" s="8" t="str">
        <f>C11</f>
        <v>I(16)-PRAETORIAN</v>
      </c>
      <c r="I64" s="13"/>
      <c r="J64" s="8"/>
      <c r="K64" s="8"/>
      <c r="L64" s="8" t="str">
        <f t="shared" si="7"/>
        <v>10C-027</v>
      </c>
    </row>
    <row r="65" spans="1:12" ht="13.95" customHeight="1">
      <c r="A65" s="6">
        <f t="shared" si="6"/>
        <v>46221</v>
      </c>
      <c r="B65" s="21">
        <f>'CHICLETS MASTER S1'!A13</f>
        <v>0.60416666666666696</v>
      </c>
      <c r="C65" s="8" t="s">
        <v>309</v>
      </c>
      <c r="D65" s="41" t="str">
        <f t="shared" si="8"/>
        <v>SADDLEBACK COLLEGE 2</v>
      </c>
      <c r="E65" s="8">
        <v>30</v>
      </c>
      <c r="F65" s="8" t="str">
        <f>D10</f>
        <v>J(10)-NORTH IRVINE</v>
      </c>
      <c r="G65" s="13"/>
      <c r="H65" s="8" t="str">
        <f>D11</f>
        <v>J(15)-LAGUNA BLACK</v>
      </c>
      <c r="I65" s="13"/>
      <c r="J65" s="8"/>
      <c r="K65" s="8"/>
      <c r="L65" s="8" t="str">
        <f t="shared" si="7"/>
        <v>10C-030</v>
      </c>
    </row>
    <row r="66" spans="1:12" ht="13.95" customHeight="1">
      <c r="A66" s="6">
        <f t="shared" si="6"/>
        <v>46221</v>
      </c>
      <c r="B66" s="21">
        <f>'CHICLETS MASTER S1'!A14</f>
        <v>0.63888888888888895</v>
      </c>
      <c r="C66" s="8" t="s">
        <v>310</v>
      </c>
      <c r="D66" s="41" t="str">
        <f t="shared" si="8"/>
        <v>SADDLEBACK COLLEGE 2</v>
      </c>
      <c r="E66" s="8">
        <v>33</v>
      </c>
      <c r="F66" s="8" t="str">
        <f>E10</f>
        <v>K(11)-LOS ALAMITOS</v>
      </c>
      <c r="G66" s="13"/>
      <c r="H66" s="8" t="str">
        <f>E11</f>
        <v>K(14)-SAN JOSE EXPRESS</v>
      </c>
      <c r="I66" s="13"/>
      <c r="J66" s="8"/>
      <c r="K66" s="8"/>
      <c r="L66" s="8" t="str">
        <f t="shared" si="7"/>
        <v>10C-033</v>
      </c>
    </row>
    <row r="67" spans="1:12" ht="13.95" customHeight="1">
      <c r="A67" s="6">
        <f t="shared" si="6"/>
        <v>46221</v>
      </c>
      <c r="B67" s="21">
        <f>'CHICLETS MASTER S1'!A15</f>
        <v>0.67361111111111105</v>
      </c>
      <c r="C67" s="8" t="s">
        <v>311</v>
      </c>
      <c r="D67" s="41" t="str">
        <f t="shared" si="8"/>
        <v>SADDLEBACK COLLEGE 2</v>
      </c>
      <c r="E67" s="8">
        <v>36</v>
      </c>
      <c r="F67" s="8" t="str">
        <f>F10</f>
        <v>L(12)-AMERICAN RIVER</v>
      </c>
      <c r="G67" s="13"/>
      <c r="H67" s="8" t="str">
        <f>F11</f>
        <v>L(13)-LYONS AQUATICS</v>
      </c>
      <c r="I67" s="13"/>
      <c r="J67" s="8"/>
      <c r="K67" s="8"/>
      <c r="L67" s="8" t="str">
        <f t="shared" si="7"/>
        <v>10C-036</v>
      </c>
    </row>
    <row r="68" spans="1:12" ht="13.95" customHeight="1">
      <c r="A68" s="6"/>
      <c r="B68" s="2" t="s">
        <v>204</v>
      </c>
      <c r="G68" s="2"/>
      <c r="I68" s="2"/>
    </row>
    <row r="69" spans="1:12" ht="13.95" customHeight="1">
      <c r="A69" s="6">
        <f t="shared" si="6"/>
        <v>46221</v>
      </c>
      <c r="B69" s="21">
        <f>'CHICLETS MASTER S1'!A17</f>
        <v>0.74305555555555602</v>
      </c>
      <c r="C69" s="8" t="s">
        <v>275</v>
      </c>
      <c r="D69" s="41" t="str">
        <f>$D$54</f>
        <v>SADDLEBACK COLLEGE 2</v>
      </c>
      <c r="E69" s="8">
        <v>39</v>
      </c>
      <c r="F69" s="8" t="s">
        <v>312</v>
      </c>
      <c r="G69" s="13"/>
      <c r="H69" s="8" t="s">
        <v>313</v>
      </c>
      <c r="I69" s="13"/>
      <c r="J69" s="8" t="s">
        <v>314</v>
      </c>
      <c r="K69" s="8" t="s">
        <v>315</v>
      </c>
      <c r="L69" s="8" t="str">
        <f t="shared" si="7"/>
        <v>10C-039</v>
      </c>
    </row>
    <row r="70" spans="1:12" ht="13.95" customHeight="1">
      <c r="A70" s="6">
        <f t="shared" si="6"/>
        <v>46221</v>
      </c>
      <c r="B70" s="21">
        <f>'CHICLETS MASTER S1'!A18</f>
        <v>0.77777777777777801</v>
      </c>
      <c r="C70" s="8" t="s">
        <v>275</v>
      </c>
      <c r="D70" s="41" t="str">
        <f>$D$54</f>
        <v>SADDLEBACK COLLEGE 2</v>
      </c>
      <c r="E70" s="8">
        <v>42</v>
      </c>
      <c r="F70" s="8" t="s">
        <v>316</v>
      </c>
      <c r="G70" s="13"/>
      <c r="H70" s="8" t="s">
        <v>317</v>
      </c>
      <c r="I70" s="13"/>
      <c r="J70" s="8" t="s">
        <v>318</v>
      </c>
      <c r="K70" s="8" t="s">
        <v>319</v>
      </c>
      <c r="L70" s="8" t="str">
        <f t="shared" si="7"/>
        <v>10C-042</v>
      </c>
    </row>
    <row r="71" spans="1:12" ht="13.95" customHeight="1">
      <c r="A71" s="6">
        <f t="shared" si="6"/>
        <v>46221</v>
      </c>
      <c r="B71" s="21">
        <f>'CHICLETS MASTER S1'!A19</f>
        <v>0.8125</v>
      </c>
      <c r="C71" s="8" t="s">
        <v>275</v>
      </c>
      <c r="D71" s="41" t="str">
        <f>$D$54</f>
        <v>SADDLEBACK COLLEGE 2</v>
      </c>
      <c r="E71" s="8">
        <v>45</v>
      </c>
      <c r="F71" s="8" t="s">
        <v>320</v>
      </c>
      <c r="G71" s="13"/>
      <c r="H71" s="8" t="s">
        <v>321</v>
      </c>
      <c r="I71" s="13"/>
      <c r="J71" s="8" t="s">
        <v>130</v>
      </c>
      <c r="K71" s="8" t="s">
        <v>322</v>
      </c>
      <c r="L71" s="8" t="str">
        <f t="shared" si="7"/>
        <v>10C-045</v>
      </c>
    </row>
    <row r="72" spans="1:12" ht="13.95" customHeight="1">
      <c r="A72" s="6">
        <f t="shared" si="6"/>
        <v>46221</v>
      </c>
      <c r="B72" s="21">
        <f>'CHICLETS MASTER S1'!A20</f>
        <v>0.84722222222222199</v>
      </c>
      <c r="C72" s="8" t="s">
        <v>275</v>
      </c>
      <c r="D72" s="41" t="str">
        <f>$D$54</f>
        <v>SADDLEBACK COLLEGE 2</v>
      </c>
      <c r="E72" s="54">
        <v>48</v>
      </c>
      <c r="F72" s="8" t="s">
        <v>323</v>
      </c>
      <c r="G72" s="13"/>
      <c r="H72" s="8" t="s">
        <v>324</v>
      </c>
      <c r="I72" s="13"/>
      <c r="J72" s="8" t="s">
        <v>126</v>
      </c>
      <c r="K72" s="8" t="s">
        <v>325</v>
      </c>
      <c r="L72" s="8" t="str">
        <f t="shared" si="7"/>
        <v>10C-048</v>
      </c>
    </row>
    <row r="74" spans="1:12" ht="13.95" customHeight="1" thickTop="1" thickBot="1">
      <c r="A74" s="48" t="s">
        <v>326</v>
      </c>
      <c r="B74" s="50"/>
      <c r="C74" s="50"/>
      <c r="D74" s="50"/>
      <c r="E74" s="50"/>
      <c r="F74" s="50"/>
      <c r="G74" s="57"/>
      <c r="H74" s="50"/>
      <c r="I74" s="57"/>
      <c r="J74" s="50"/>
      <c r="K74" s="50"/>
      <c r="L74" s="50"/>
    </row>
    <row r="75" spans="1:12" ht="13.95" customHeight="1">
      <c r="A75" s="3">
        <v>46222</v>
      </c>
      <c r="G75" s="2"/>
      <c r="I75" s="2"/>
    </row>
    <row r="76" spans="1:12" ht="13.95" customHeight="1">
      <c r="B76" s="16" t="s">
        <v>148</v>
      </c>
    </row>
    <row r="77" spans="1:12" ht="13.95" customHeight="1">
      <c r="B77" s="36" t="s">
        <v>327</v>
      </c>
      <c r="C77" s="36" t="s">
        <v>328</v>
      </c>
      <c r="D77" s="36" t="s">
        <v>329</v>
      </c>
      <c r="E77" s="36" t="s">
        <v>330</v>
      </c>
    </row>
    <row r="78" spans="1:12" ht="13.95" customHeight="1">
      <c r="A78" s="2">
        <v>1</v>
      </c>
      <c r="B78" s="58" t="s">
        <v>331</v>
      </c>
      <c r="C78" s="58" t="s">
        <v>332</v>
      </c>
      <c r="D78" s="58" t="s">
        <v>333</v>
      </c>
      <c r="E78" s="58" t="s">
        <v>334</v>
      </c>
    </row>
    <row r="79" spans="1:12" ht="13.95" customHeight="1">
      <c r="A79" s="2">
        <v>2</v>
      </c>
      <c r="B79" s="58" t="s">
        <v>335</v>
      </c>
      <c r="C79" s="58" t="s">
        <v>336</v>
      </c>
      <c r="D79" s="58" t="s">
        <v>337</v>
      </c>
      <c r="E79" s="58" t="s">
        <v>338</v>
      </c>
    </row>
    <row r="80" spans="1:12" ht="13.95" customHeight="1">
      <c r="A80" s="2">
        <v>3</v>
      </c>
      <c r="B80" s="58" t="s">
        <v>339</v>
      </c>
      <c r="C80" s="58" t="s">
        <v>340</v>
      </c>
      <c r="D80" s="86" t="s">
        <v>341</v>
      </c>
      <c r="E80" s="58" t="s">
        <v>342</v>
      </c>
    </row>
    <row r="82" spans="1:15" ht="13.95" customHeight="1">
      <c r="B82" s="36" t="s">
        <v>343</v>
      </c>
      <c r="C82" s="36" t="s">
        <v>344</v>
      </c>
      <c r="D82" s="36" t="s">
        <v>345</v>
      </c>
      <c r="E82" s="36" t="s">
        <v>346</v>
      </c>
    </row>
    <row r="83" spans="1:15" ht="13.95" customHeight="1">
      <c r="A83" s="2">
        <v>1</v>
      </c>
      <c r="B83" s="85" t="s">
        <v>347</v>
      </c>
      <c r="C83" s="59" t="str">
        <f>IF(G71="","W45",IF(G71&gt;I71,_xlfn.CONCAT("W45-",RIGHT(F71,LEN(F71) - FIND("-",F71))), _xlfn.CONCAT("W45-",RIGHT(H71,LEN(H71) - FIND("-",H71)))))</f>
        <v>W45</v>
      </c>
      <c r="D83" s="59" t="str">
        <f>IF(G70="","W42",IF(G70&gt;I70,_xlfn.CONCAT("W42-",RIGHT(F70,LEN(F70) - FIND("-",F70))), _xlfn.CONCAT("W42-",RIGHT(H70,LEN(H70) - FIND("-",H70)))))</f>
        <v>W42</v>
      </c>
      <c r="E83" s="59" t="str">
        <f>IF(G69="","W39",IF(G69&gt;I69,_xlfn.CONCAT("W39-",RIGHT(F69,LEN(F69) - FIND("-",F69))), _xlfn.CONCAT("W39-",RIGHT(H69,LEN(H69) - FIND("-",H69)))))</f>
        <v>W39</v>
      </c>
    </row>
    <row r="84" spans="1:15" ht="13.95" customHeight="1">
      <c r="A84" s="2">
        <v>2</v>
      </c>
      <c r="B84" s="60" t="str">
        <f>IF(G52="","W47",IF(G52&gt;I52,_xlfn.CONCAT("W47-",RIGHT(F52,LEN(F52) - FIND("-",F52))), _xlfn.CONCAT("W47-",RIGHT(H52,LEN(H52) - FIND("-",H52)))))</f>
        <v>W47</v>
      </c>
      <c r="C84" s="61" t="str">
        <f>IF(G51="","W44",IF(G51&gt;I51,_xlfn.CONCAT("W44-",RIGHT(F51,LEN(F51) - FIND("-",F51))), _xlfn.CONCAT("W44-",RIGHT(H51,LEN(H51) - FIND("-",H51)))))</f>
        <v>W44</v>
      </c>
      <c r="D84" s="62" t="str">
        <f>IF(G50="","W41",IF(G50&gt;I50,_xlfn.CONCAT("W41-",RIGHT(F50,LEN(F50) - FIND("-",F50))), _xlfn.CONCAT("W41-",RIGHT(H50,LEN(H50) - FIND("-",H50)))))</f>
        <v>W41</v>
      </c>
      <c r="E84" s="61" t="str">
        <f>IF(G49="","W38",IF(G49&gt;I49,_xlfn.CONCAT("W38-",RIGHT(F49,LEN(F49) - FIND("-",F49))), _xlfn.CONCAT("W38-",RIGHT(H49,LEN(H49) - FIND("-",H49)))))</f>
        <v>W38</v>
      </c>
    </row>
    <row r="85" spans="1:15" ht="13.95" customHeight="1">
      <c r="A85" s="2">
        <v>3</v>
      </c>
      <c r="B85" s="63" t="str">
        <f>IF(G32="","W46",IF(G32&gt;I32,_xlfn.CONCAT("W46-",RIGHT(F32,LEN(F32) - FIND("-",F32))), _xlfn.CONCAT("W46-",RIGHT(H32,LEN(H32) - FIND("-",H32)))))</f>
        <v>W46</v>
      </c>
      <c r="C85" s="64" t="str">
        <f>IF(G31="","W43",IF(G31&gt;I31,_xlfn.CONCAT("W43-",RIGHT(F31,LEN(F31) - FIND("-",F31))), _xlfn.CONCAT("W43-",RIGHT(H31,LEN(H31) - FIND("-",H31)))))</f>
        <v>W43</v>
      </c>
      <c r="D85" s="64" t="str">
        <f>IF(G30="","W40",IF(G30&gt;I30,_xlfn.CONCAT("W40-",RIGHT(F30,LEN(F30) - FIND("-",F30))), _xlfn.CONCAT("W40-",RIGHT(H30,LEN(H30) - FIND("-",H30)))))</f>
        <v>W40</v>
      </c>
      <c r="E85" s="64" t="str">
        <f>IF(G29="","W37",IF(G29&gt;I29,_xlfn.CONCAT("W37-",RIGHT(F29,LEN(F29) - FIND("-",F29))), _xlfn.CONCAT("W37-",RIGHT(H29,LEN(H29) - FIND("-",H29)))))</f>
        <v>W37</v>
      </c>
    </row>
    <row r="88" spans="1:15" ht="13.95" customHeight="1" thickBot="1">
      <c r="D88" s="4" t="str">
        <f>'CHICLETS MASTER S1'!$E$27</f>
        <v>BECKMAN HS 2</v>
      </c>
      <c r="G88" s="2"/>
      <c r="I88" s="2"/>
    </row>
    <row r="89" spans="1:15" ht="13.95" customHeight="1">
      <c r="A89" s="80" t="s">
        <v>110</v>
      </c>
      <c r="B89" s="80" t="s">
        <v>111</v>
      </c>
      <c r="C89" s="80" t="s">
        <v>112</v>
      </c>
      <c r="D89" s="80" t="s">
        <v>113</v>
      </c>
      <c r="E89" s="80" t="s">
        <v>114</v>
      </c>
      <c r="F89" s="80" t="s">
        <v>115</v>
      </c>
      <c r="G89" s="80" t="s">
        <v>116</v>
      </c>
      <c r="H89" s="80" t="s">
        <v>117</v>
      </c>
      <c r="I89" s="80" t="s">
        <v>116</v>
      </c>
      <c r="J89" s="80" t="s">
        <v>118</v>
      </c>
      <c r="K89" s="80" t="s">
        <v>119</v>
      </c>
      <c r="L89" s="80" t="s">
        <v>120</v>
      </c>
    </row>
    <row r="90" spans="1:15" ht="13.95" customHeight="1">
      <c r="A90" s="6">
        <f>$A$75</f>
        <v>46222</v>
      </c>
      <c r="B90" s="21">
        <f>'CHICLETS MASTER S1'!A28</f>
        <v>0.29166666666666669</v>
      </c>
      <c r="C90" s="8" t="s">
        <v>163</v>
      </c>
      <c r="D90" s="41" t="str">
        <f>$D$88</f>
        <v>BECKMAN HS 2</v>
      </c>
      <c r="E90" s="8">
        <v>49</v>
      </c>
      <c r="F90" s="22" t="s">
        <v>348</v>
      </c>
      <c r="G90" s="65"/>
      <c r="H90" s="22" t="s">
        <v>349</v>
      </c>
      <c r="I90" s="65"/>
      <c r="J90" s="22"/>
      <c r="K90" s="22"/>
      <c r="L90" s="22" t="str">
        <f t="shared" ref="L90:L105" si="9">IF(E90="","",$L$13&amp;"-"&amp;TEXT(E90,"000"))</f>
        <v>10C-049</v>
      </c>
      <c r="O90" s="2" t="str">
        <f>$K$130&amp;C90</f>
        <v>pt_Group</v>
      </c>
    </row>
    <row r="91" spans="1:15" ht="13.95" customHeight="1">
      <c r="A91" s="6">
        <f t="shared" ref="A91:A105" si="10">$A$75</f>
        <v>46222</v>
      </c>
      <c r="B91" s="21">
        <f>'CHICLETS MASTER S1'!A29</f>
        <v>0.3263888888888889</v>
      </c>
      <c r="C91" s="8" t="s">
        <v>163</v>
      </c>
      <c r="D91" s="41" t="str">
        <f t="shared" ref="D91:D101" si="11">$D$88</f>
        <v>BECKMAN HS 2</v>
      </c>
      <c r="E91" s="8">
        <v>51</v>
      </c>
      <c r="F91" s="22" t="str">
        <f>IF(G69="","pt_U1",IF(G69&gt;I69,_xlfn.CONCAT("pt_U1-",RIGHT(F69,LEN(F69) - FIND("-",F69))), _xlfn.CONCAT("pt_U1-",RIGHT(H69,LEN(H69) - FIND("-",H69)))))</f>
        <v>pt_U1</v>
      </c>
      <c r="G91" s="65"/>
      <c r="H91" s="22" t="str">
        <f>IF(G49="","pt_U2",IF(G49&gt;I49,_xlfn.CONCAT("pt_U2-",RIGHT(F49,LEN(F49) - FIND("-",F49))), _xlfn.CONCAT("pt_U2-",RIGHT(H49,LEN(H49) - FIND("-",H49)))))</f>
        <v>pt_U2</v>
      </c>
      <c r="I91" s="65"/>
      <c r="J91" s="22"/>
      <c r="K91" s="22"/>
      <c r="L91" s="22" t="str">
        <f t="shared" si="9"/>
        <v>10C-051</v>
      </c>
      <c r="O91" s="2" t="str">
        <f t="shared" ref="O91:O101" si="12">$K$130&amp;C91</f>
        <v>pt_Group</v>
      </c>
    </row>
    <row r="92" spans="1:15" ht="13.95" customHeight="1">
      <c r="A92" s="6">
        <f t="shared" si="10"/>
        <v>46222</v>
      </c>
      <c r="B92" s="21">
        <f>'CHICLETS MASTER S1'!A30</f>
        <v>0.36111111111111099</v>
      </c>
      <c r="C92" s="8" t="s">
        <v>163</v>
      </c>
      <c r="D92" s="41" t="str">
        <f t="shared" si="11"/>
        <v>BECKMAN HS 2</v>
      </c>
      <c r="E92" s="8">
        <v>54</v>
      </c>
      <c r="F92" s="22" t="s">
        <v>350</v>
      </c>
      <c r="G92" s="65"/>
      <c r="H92" s="22" t="s">
        <v>351</v>
      </c>
      <c r="I92" s="65"/>
      <c r="J92" s="22"/>
      <c r="K92" s="22"/>
      <c r="L92" s="22" t="str">
        <f t="shared" si="9"/>
        <v>10C-054</v>
      </c>
      <c r="O92" s="2" t="str">
        <f t="shared" si="12"/>
        <v>pt_Group</v>
      </c>
    </row>
    <row r="93" spans="1:15" ht="13.95" customHeight="1">
      <c r="A93" s="6">
        <f t="shared" si="10"/>
        <v>46222</v>
      </c>
      <c r="B93" s="21">
        <f>'CHICLETS MASTER S1'!A31</f>
        <v>0.39583333333333398</v>
      </c>
      <c r="C93" s="8" t="s">
        <v>163</v>
      </c>
      <c r="D93" s="41" t="str">
        <f t="shared" si="11"/>
        <v>BECKMAN HS 2</v>
      </c>
      <c r="E93" s="8">
        <v>57</v>
      </c>
      <c r="F93" s="22" t="str">
        <f>IF(G71="","pt_S1",IF(G71&gt;I71,_xlfn.CONCAT("pt_S1-",RIGHT(F71,LEN(F71) - FIND("-",F71))), _xlfn.CONCAT("pt_S1-",RIGHT(H71,LEN(H71) - FIND("-",H71)))))</f>
        <v>pt_S1</v>
      </c>
      <c r="G93" s="65"/>
      <c r="H93" s="22" t="str">
        <f>IF(G51="","pt_S2",IF(G51&gt;I51,_xlfn.CONCAT("pt_S2-",RIGHT(F51,LEN(F51) - FIND("-",F51))), _xlfn.CONCAT("pt_S2-",RIGHT(H51,LEN(H51) - FIND("-",H51)))))</f>
        <v>pt_S2</v>
      </c>
      <c r="I93" s="65"/>
      <c r="J93" s="22"/>
      <c r="K93" s="22"/>
      <c r="L93" s="22" t="str">
        <f t="shared" si="9"/>
        <v>10C-057</v>
      </c>
      <c r="O93" s="2" t="str">
        <f t="shared" si="12"/>
        <v>pt_Group</v>
      </c>
    </row>
    <row r="94" spans="1:15" ht="13.95" customHeight="1">
      <c r="A94" s="6">
        <f t="shared" si="10"/>
        <v>46222</v>
      </c>
      <c r="B94" s="21">
        <f>'CHICLETS MASTER S1'!A32</f>
        <v>0.43055555555555602</v>
      </c>
      <c r="C94" s="8" t="s">
        <v>163</v>
      </c>
      <c r="D94" s="41" t="str">
        <f t="shared" si="11"/>
        <v>BECKMAN HS 2</v>
      </c>
      <c r="E94" s="8">
        <v>60</v>
      </c>
      <c r="F94" s="22" t="s">
        <v>352</v>
      </c>
      <c r="G94" s="65"/>
      <c r="H94" s="22" t="s">
        <v>349</v>
      </c>
      <c r="I94" s="65"/>
      <c r="J94" s="22"/>
      <c r="K94" s="22"/>
      <c r="L94" s="22" t="str">
        <f t="shared" si="9"/>
        <v>10C-060</v>
      </c>
      <c r="O94" s="2" t="str">
        <f t="shared" si="12"/>
        <v>pt_Group</v>
      </c>
    </row>
    <row r="95" spans="1:15" ht="13.95" customHeight="1">
      <c r="A95" s="6">
        <f t="shared" si="10"/>
        <v>46222</v>
      </c>
      <c r="B95" s="21">
        <f>'CHICLETS MASTER S1'!A33</f>
        <v>0.46527777777777801</v>
      </c>
      <c r="C95" s="8" t="s">
        <v>163</v>
      </c>
      <c r="D95" s="41" t="str">
        <f t="shared" si="11"/>
        <v>BECKMAN HS 2</v>
      </c>
      <c r="E95" s="8">
        <v>63</v>
      </c>
      <c r="F95" s="22" t="str">
        <f>IF(G69="","pt_U1",IF(G69&gt;I69,_xlfn.CONCAT("pt_U1-",RIGHT(F69,LEN(F69) - FIND("-",F69))), _xlfn.CONCAT("pt_U1-",RIGHT(H69,LEN(H69) - FIND("-",H69)))))</f>
        <v>pt_U1</v>
      </c>
      <c r="G95" s="65"/>
      <c r="H95" s="22" t="str">
        <f>IF(G29="","pt_U3",IF(G29&gt;I29,_xlfn.CONCAT("pt_U3-",RIGHT(F29,LEN(F29) - FIND("-",F29))), _xlfn.CONCAT("pt_U3-",RIGHT(H29,LEN(H29) - FIND("-",H29)))))</f>
        <v>pt_U3</v>
      </c>
      <c r="I95" s="65"/>
      <c r="J95" s="22"/>
      <c r="K95" s="22"/>
      <c r="L95" s="22" t="str">
        <f t="shared" si="9"/>
        <v>10C-063</v>
      </c>
      <c r="O95" s="2" t="str">
        <f t="shared" si="12"/>
        <v>pt_Group</v>
      </c>
    </row>
    <row r="96" spans="1:15" ht="13.95" customHeight="1">
      <c r="A96" s="6">
        <f t="shared" si="10"/>
        <v>46222</v>
      </c>
      <c r="B96" s="21">
        <f>'CHICLETS MASTER S1'!A34</f>
        <v>0.5</v>
      </c>
      <c r="C96" s="8" t="s">
        <v>163</v>
      </c>
      <c r="D96" s="41" t="str">
        <f t="shared" si="11"/>
        <v>BECKMAN HS 2</v>
      </c>
      <c r="E96" s="8">
        <v>66</v>
      </c>
      <c r="F96" s="22" t="s">
        <v>353</v>
      </c>
      <c r="G96" s="65"/>
      <c r="H96" s="22" t="s">
        <v>351</v>
      </c>
      <c r="I96" s="65"/>
      <c r="J96" s="22"/>
      <c r="K96" s="22"/>
      <c r="L96" s="22" t="str">
        <f t="shared" si="9"/>
        <v>10C-066</v>
      </c>
      <c r="O96" s="2" t="str">
        <f t="shared" si="12"/>
        <v>pt_Group</v>
      </c>
    </row>
    <row r="97" spans="1:15" ht="13.95" customHeight="1">
      <c r="A97" s="6">
        <f t="shared" si="10"/>
        <v>46222</v>
      </c>
      <c r="B97" s="21">
        <f>'CHICLETS MASTER S1'!A35</f>
        <v>0.53472222222222199</v>
      </c>
      <c r="C97" s="8" t="s">
        <v>163</v>
      </c>
      <c r="D97" s="41" t="str">
        <f t="shared" si="11"/>
        <v>BECKMAN HS 2</v>
      </c>
      <c r="E97" s="8">
        <v>69</v>
      </c>
      <c r="F97" s="22" t="str">
        <f>IF(G71="","pt_S1",IF(G71&gt;I71,_xlfn.CONCAT("pt_S1-",RIGHT(F71,LEN(F71) - FIND("-",F71))), _xlfn.CONCAT("pt_S1-",RIGHT(H71,LEN(H71) - FIND("-",H71)))))</f>
        <v>pt_S1</v>
      </c>
      <c r="G97" s="65"/>
      <c r="H97" s="22" t="str">
        <f>IF(G31="","pt_S3",IF(G31&gt;I31,_xlfn.CONCAT("pt_S3-",RIGHT(F31,LEN(F31) - FIND("-",F31))), _xlfn.CONCAT("pt_S3-",RIGHT(H31,LEN(H31) - FIND("-",H31)))))</f>
        <v>pt_S3</v>
      </c>
      <c r="I97" s="65"/>
      <c r="J97" s="22"/>
      <c r="K97" s="22"/>
      <c r="L97" s="22" t="str">
        <f t="shared" si="9"/>
        <v>10C-069</v>
      </c>
      <c r="O97" s="2" t="str">
        <f t="shared" si="12"/>
        <v>pt_Group</v>
      </c>
    </row>
    <row r="98" spans="1:15" ht="13.95" customHeight="1">
      <c r="A98" s="6">
        <f t="shared" si="10"/>
        <v>46222</v>
      </c>
      <c r="B98" s="21">
        <f>'CHICLETS MASTER S1'!A36</f>
        <v>0.56944444444444497</v>
      </c>
      <c r="C98" s="8" t="s">
        <v>163</v>
      </c>
      <c r="D98" s="41" t="str">
        <f t="shared" si="11"/>
        <v>BECKMAN HS 2</v>
      </c>
      <c r="E98" s="8">
        <v>72</v>
      </c>
      <c r="F98" s="22" t="s">
        <v>352</v>
      </c>
      <c r="G98" s="65"/>
      <c r="H98" s="22" t="s">
        <v>348</v>
      </c>
      <c r="I98" s="65"/>
      <c r="J98" s="22"/>
      <c r="K98" s="22"/>
      <c r="L98" s="22" t="str">
        <f t="shared" si="9"/>
        <v>10C-072</v>
      </c>
      <c r="O98" s="2" t="str">
        <f t="shared" si="12"/>
        <v>pt_Group</v>
      </c>
    </row>
    <row r="99" spans="1:15" ht="13.95" customHeight="1">
      <c r="A99" s="6">
        <f t="shared" si="10"/>
        <v>46222</v>
      </c>
      <c r="B99" s="21">
        <f>'CHICLETS MASTER S1'!A37</f>
        <v>0.60416666666666696</v>
      </c>
      <c r="C99" s="8" t="s">
        <v>163</v>
      </c>
      <c r="D99" s="41" t="str">
        <f t="shared" si="11"/>
        <v>BECKMAN HS 2</v>
      </c>
      <c r="E99" s="8">
        <v>75</v>
      </c>
      <c r="F99" s="22" t="str">
        <f>IF(G49="","pt_U2",IF(G49&gt;I49,_xlfn.CONCAT("pt_U2-",RIGHT(F49,LEN(F49) - FIND("-",F49))), _xlfn.CONCAT("pt_U2-",RIGHT(H49,LEN(H49) - FIND("-",H49)))))</f>
        <v>pt_U2</v>
      </c>
      <c r="G99" s="65"/>
      <c r="H99" s="22" t="str">
        <f>IF(G29="","pt_U3",IF(G29&gt;I29,_xlfn.CONCAT("pt_U3-",RIGHT(F29,LEN(F29) - FIND("-",F29))), _xlfn.CONCAT("pt_U3-",RIGHT(H29,LEN(H29) - FIND("-",H29)))))</f>
        <v>pt_U3</v>
      </c>
      <c r="I99" s="65"/>
      <c r="J99" s="22"/>
      <c r="K99" s="22"/>
      <c r="L99" s="22" t="str">
        <f t="shared" si="9"/>
        <v>10C-075</v>
      </c>
      <c r="O99" s="2" t="str">
        <f t="shared" si="12"/>
        <v>pt_Group</v>
      </c>
    </row>
    <row r="100" spans="1:15" ht="13.95" customHeight="1">
      <c r="A100" s="6">
        <f t="shared" si="10"/>
        <v>46222</v>
      </c>
      <c r="B100" s="21">
        <f>'CHICLETS MASTER S1'!A38</f>
        <v>0.63888888888888895</v>
      </c>
      <c r="C100" s="8" t="s">
        <v>163</v>
      </c>
      <c r="D100" s="41" t="str">
        <f t="shared" si="11"/>
        <v>BECKMAN HS 2</v>
      </c>
      <c r="E100" s="8">
        <v>78</v>
      </c>
      <c r="F100" s="22" t="s">
        <v>353</v>
      </c>
      <c r="G100" s="65"/>
      <c r="H100" s="22" t="s">
        <v>350</v>
      </c>
      <c r="I100" s="65"/>
      <c r="J100" s="22"/>
      <c r="K100" s="22"/>
      <c r="L100" s="22" t="str">
        <f t="shared" si="9"/>
        <v>10C-078</v>
      </c>
      <c r="O100" s="2" t="str">
        <f t="shared" si="12"/>
        <v>pt_Group</v>
      </c>
    </row>
    <row r="101" spans="1:15" ht="13.95" customHeight="1">
      <c r="A101" s="6">
        <f t="shared" si="10"/>
        <v>46222</v>
      </c>
      <c r="B101" s="21">
        <f>'CHICLETS MASTER S1'!A39</f>
        <v>0.67361111111111105</v>
      </c>
      <c r="C101" s="8" t="s">
        <v>163</v>
      </c>
      <c r="D101" s="41" t="str">
        <f t="shared" si="11"/>
        <v>BECKMAN HS 2</v>
      </c>
      <c r="E101" s="8">
        <v>81</v>
      </c>
      <c r="F101" s="22" t="str">
        <f>IF(G51="","pt_S2",IF(G51&gt;I51,_xlfn.CONCAT("pt_S2-",RIGHT(F51,LEN(F51) - FIND("-",F51))), _xlfn.CONCAT("pt_S2-",RIGHT(H51,LEN(H51) - FIND("-",H51)))))</f>
        <v>pt_S2</v>
      </c>
      <c r="G101" s="65"/>
      <c r="H101" s="22" t="str">
        <f>IF(G31="","pt_S3",IF(G31&gt;I31,_xlfn.CONCAT("pt_S3-",RIGHT(F31,LEN(F31) - FIND("-",F31))), _xlfn.CONCAT("pt_S3-",RIGHT(H31,LEN(H31) - FIND("-",H31)))))</f>
        <v>pt_S3</v>
      </c>
      <c r="I101" s="65"/>
      <c r="J101" s="22"/>
      <c r="K101" s="22"/>
      <c r="L101" s="22" t="str">
        <f t="shared" si="9"/>
        <v>10C-081</v>
      </c>
      <c r="O101" s="2" t="str">
        <f t="shared" si="12"/>
        <v>pt_Group</v>
      </c>
    </row>
    <row r="102" spans="1:15" ht="13.95" customHeight="1">
      <c r="A102" s="6"/>
      <c r="B102" s="6"/>
      <c r="G102" s="2"/>
      <c r="I102" s="2"/>
    </row>
    <row r="103" spans="1:15" ht="13.95" customHeight="1">
      <c r="A103" s="6"/>
      <c r="B103" s="6"/>
      <c r="G103" s="2"/>
      <c r="I103" s="2"/>
    </row>
    <row r="104" spans="1:15" ht="13.95" customHeight="1">
      <c r="A104" s="6">
        <f t="shared" si="10"/>
        <v>46222</v>
      </c>
      <c r="B104" s="21">
        <f>'CHICLETS MASTER S1'!A42</f>
        <v>0.77777777777777801</v>
      </c>
      <c r="C104" s="8" t="s">
        <v>166</v>
      </c>
      <c r="D104" s="41" t="str">
        <f>$D$88</f>
        <v>BECKMAN HS 2</v>
      </c>
      <c r="E104" s="8">
        <v>85</v>
      </c>
      <c r="F104" s="22" t="s">
        <v>354</v>
      </c>
      <c r="G104" s="65"/>
      <c r="H104" s="43" t="s">
        <v>355</v>
      </c>
      <c r="I104" s="65"/>
      <c r="J104" s="22">
        <v>89</v>
      </c>
      <c r="K104" s="22">
        <v>105</v>
      </c>
      <c r="L104" s="22" t="str">
        <f t="shared" si="9"/>
        <v>10C-085</v>
      </c>
      <c r="O104" s="2" t="str">
        <f t="shared" ref="O104:O105" si="13">$K$130&amp;C104</f>
        <v>pt_Play-in</v>
      </c>
    </row>
    <row r="105" spans="1:15" ht="13.95" customHeight="1">
      <c r="A105" s="6">
        <f t="shared" si="10"/>
        <v>46222</v>
      </c>
      <c r="B105" s="21">
        <f>'CHICLETS MASTER S1'!A43</f>
        <v>0.8125</v>
      </c>
      <c r="C105" s="8" t="s">
        <v>166</v>
      </c>
      <c r="D105" s="41" t="str">
        <f>$D$88</f>
        <v>BECKMAN HS 2</v>
      </c>
      <c r="E105" s="8">
        <v>87</v>
      </c>
      <c r="F105" s="43" t="s">
        <v>356</v>
      </c>
      <c r="G105" s="65"/>
      <c r="H105" s="22" t="s">
        <v>357</v>
      </c>
      <c r="I105" s="65"/>
      <c r="J105" s="22">
        <v>98</v>
      </c>
      <c r="K105" s="22">
        <v>102</v>
      </c>
      <c r="L105" s="22" t="str">
        <f t="shared" si="9"/>
        <v>10C-087</v>
      </c>
      <c r="O105" s="2" t="str">
        <f t="shared" si="13"/>
        <v>pt_Play-in</v>
      </c>
    </row>
    <row r="106" spans="1:15" ht="13.95" customHeight="1" thickBot="1">
      <c r="A106" s="24"/>
      <c r="B106" s="27"/>
    </row>
    <row r="107" spans="1:15" ht="13.95" customHeight="1" thickBot="1">
      <c r="D107" s="4" t="str">
        <f>'CHICLETS MASTER S1'!$G$27</f>
        <v>CAPISTRANO VALLEY HS 2</v>
      </c>
    </row>
    <row r="108" spans="1:15" ht="13.95" customHeight="1">
      <c r="A108" s="80" t="s">
        <v>110</v>
      </c>
      <c r="B108" s="80" t="s">
        <v>111</v>
      </c>
      <c r="C108" s="80" t="s">
        <v>112</v>
      </c>
      <c r="D108" s="80" t="s">
        <v>113</v>
      </c>
      <c r="E108" s="80" t="s">
        <v>114</v>
      </c>
      <c r="F108" s="80" t="s">
        <v>115</v>
      </c>
      <c r="G108" s="80" t="s">
        <v>116</v>
      </c>
      <c r="H108" s="80" t="s">
        <v>117</v>
      </c>
      <c r="I108" s="80" t="s">
        <v>116</v>
      </c>
      <c r="J108" s="80" t="s">
        <v>118</v>
      </c>
      <c r="K108" s="80" t="s">
        <v>119</v>
      </c>
      <c r="L108" s="80" t="s">
        <v>120</v>
      </c>
    </row>
    <row r="109" spans="1:15" ht="13.95" customHeight="1">
      <c r="A109" s="6">
        <f t="shared" ref="A109:A120" si="14">$A$75</f>
        <v>46222</v>
      </c>
      <c r="B109" s="21">
        <f>'CHICLETS MASTER S1'!A28</f>
        <v>0.29166666666666669</v>
      </c>
      <c r="C109" s="8" t="s">
        <v>163</v>
      </c>
      <c r="D109" s="41" t="str">
        <f>$D$107</f>
        <v>CAPISTRANO VALLEY HS 2</v>
      </c>
      <c r="E109" s="8">
        <v>50</v>
      </c>
      <c r="F109" s="22" t="s">
        <v>358</v>
      </c>
      <c r="G109" s="65"/>
      <c r="H109" s="22" t="s">
        <v>359</v>
      </c>
      <c r="I109" s="65"/>
      <c r="J109" s="22"/>
      <c r="K109" s="22"/>
      <c r="L109" s="22" t="str">
        <f t="shared" ref="L109:L124" si="15">IF(E109="","",$L$13&amp;"-"&amp;TEXT(E109,"000"))</f>
        <v>10C-050</v>
      </c>
      <c r="O109" s="2" t="str">
        <f t="shared" ref="O109:O120" si="16">$K$130&amp;C109</f>
        <v>pt_Group</v>
      </c>
    </row>
    <row r="110" spans="1:15" ht="13.95" customHeight="1">
      <c r="A110" s="6">
        <f t="shared" si="14"/>
        <v>46222</v>
      </c>
      <c r="B110" s="21">
        <f>'CHICLETS MASTER S1'!A29</f>
        <v>0.3263888888888889</v>
      </c>
      <c r="C110" s="8" t="s">
        <v>163</v>
      </c>
      <c r="D110" s="41" t="str">
        <f t="shared" ref="D110:D120" si="17">$D$107</f>
        <v>CAPISTRANO VALLEY HS 2</v>
      </c>
      <c r="E110" s="8">
        <v>52</v>
      </c>
      <c r="F110" s="22" t="str">
        <f>IF(G70="","pt_T1",IF(G70&gt;I70,_xlfn.CONCAT("pt_T1-",RIGHT(F70,LEN(F70) - FIND("-",F70))), _xlfn.CONCAT("pt_T1-",RIGHT(H70,LEN(H70) - FIND("-",H70)))))</f>
        <v>pt_T1</v>
      </c>
      <c r="G110" s="65"/>
      <c r="H110" s="22" t="str">
        <f>IF(G50="","pt_T2",IF(G50&gt;I50,_xlfn.CONCAT("pt_T2-",RIGHT(F50,LEN(F50) - FIND("-",F50))), _xlfn.CONCAT("pt_T2-",RIGHT(H50,LEN(H50) - FIND("-",H50)))))</f>
        <v>pt_T2</v>
      </c>
      <c r="I110" s="65"/>
      <c r="J110" s="22"/>
      <c r="K110" s="22"/>
      <c r="L110" s="22" t="str">
        <f t="shared" si="15"/>
        <v>10C-052</v>
      </c>
      <c r="O110" s="2" t="str">
        <f t="shared" si="16"/>
        <v>pt_Group</v>
      </c>
    </row>
    <row r="111" spans="1:15" ht="13.95" customHeight="1">
      <c r="A111" s="6">
        <f t="shared" si="14"/>
        <v>46222</v>
      </c>
      <c r="B111" s="21">
        <f>'CHICLETS MASTER S1'!A30</f>
        <v>0.36111111111111099</v>
      </c>
      <c r="C111" s="8" t="s">
        <v>163</v>
      </c>
      <c r="D111" s="41" t="str">
        <f t="shared" si="17"/>
        <v>CAPISTRANO VALLEY HS 2</v>
      </c>
      <c r="E111" s="8">
        <v>55</v>
      </c>
      <c r="F111" s="22" t="s">
        <v>360</v>
      </c>
      <c r="G111" s="65"/>
      <c r="H111" s="22" t="s">
        <v>361</v>
      </c>
      <c r="I111" s="65"/>
      <c r="J111" s="22"/>
      <c r="K111" s="22"/>
      <c r="L111" s="22" t="str">
        <f t="shared" si="15"/>
        <v>10C-055</v>
      </c>
      <c r="O111" s="2" t="str">
        <f t="shared" si="16"/>
        <v>pt_Group</v>
      </c>
    </row>
    <row r="112" spans="1:15" ht="13.95" customHeight="1">
      <c r="A112" s="6">
        <f t="shared" si="14"/>
        <v>46222</v>
      </c>
      <c r="B112" s="21">
        <f>'CHICLETS MASTER S1'!A31</f>
        <v>0.39583333333333398</v>
      </c>
      <c r="C112" s="8" t="s">
        <v>163</v>
      </c>
      <c r="D112" s="41" t="str">
        <f t="shared" si="17"/>
        <v>CAPISTRANO VALLEY HS 2</v>
      </c>
      <c r="E112" s="8">
        <v>58</v>
      </c>
      <c r="F112" s="22" t="str">
        <f>IF(G72="","pt_R1",IF(G72&gt;I72,_xlfn.CONCAT("pt_R1-",RIGHT(F72,LEN(F72) - FIND("-",F72))), _xlfn.CONCAT("pt_R1-",RIGHT(H72,LEN(H72) - FIND("-",H72)))))</f>
        <v>pt_R1</v>
      </c>
      <c r="G112" s="65"/>
      <c r="H112" s="22" t="str">
        <f>IF(G52="","pt_R2",IF(G52&gt;I52,_xlfn.CONCAT("pt_R2-",RIGHT(F52,LEN(F52) - FIND("-",F52))), _xlfn.CONCAT("pt_R2-",RIGHT(H52,LEN(H52) - FIND("-",H52)))))</f>
        <v>pt_R2</v>
      </c>
      <c r="I112" s="65"/>
      <c r="J112" s="22"/>
      <c r="K112" s="22"/>
      <c r="L112" s="22" t="str">
        <f t="shared" si="15"/>
        <v>10C-058</v>
      </c>
      <c r="O112" s="2" t="str">
        <f t="shared" si="16"/>
        <v>pt_Group</v>
      </c>
    </row>
    <row r="113" spans="1:15" ht="13.95" customHeight="1">
      <c r="A113" s="6">
        <f t="shared" si="14"/>
        <v>46222</v>
      </c>
      <c r="B113" s="21">
        <f>'CHICLETS MASTER S1'!A32</f>
        <v>0.43055555555555602</v>
      </c>
      <c r="C113" s="8" t="s">
        <v>163</v>
      </c>
      <c r="D113" s="41" t="str">
        <f t="shared" si="17"/>
        <v>CAPISTRANO VALLEY HS 2</v>
      </c>
      <c r="E113" s="8">
        <v>61</v>
      </c>
      <c r="F113" s="22" t="s">
        <v>362</v>
      </c>
      <c r="G113" s="65"/>
      <c r="H113" s="22" t="s">
        <v>359</v>
      </c>
      <c r="I113" s="65"/>
      <c r="J113" s="22"/>
      <c r="K113" s="22"/>
      <c r="L113" s="22" t="str">
        <f t="shared" si="15"/>
        <v>10C-061</v>
      </c>
      <c r="O113" s="2" t="str">
        <f t="shared" si="16"/>
        <v>pt_Group</v>
      </c>
    </row>
    <row r="114" spans="1:15" ht="13.95" customHeight="1">
      <c r="A114" s="6">
        <f t="shared" si="14"/>
        <v>46222</v>
      </c>
      <c r="B114" s="21">
        <f>'CHICLETS MASTER S1'!A33</f>
        <v>0.46527777777777801</v>
      </c>
      <c r="C114" s="8" t="s">
        <v>163</v>
      </c>
      <c r="D114" s="41" t="str">
        <f t="shared" si="17"/>
        <v>CAPISTRANO VALLEY HS 2</v>
      </c>
      <c r="E114" s="8">
        <v>64</v>
      </c>
      <c r="F114" s="22" t="str">
        <f>IF(G70="","pt_T1",IF(G70&gt;I70,_xlfn.CONCAT("pt_T1-",RIGHT(F70,LEN(F70) - FIND("-",F70))), _xlfn.CONCAT("pt_T1-",RIGHT(H70,LEN(H70) - FIND("-",H70)))))</f>
        <v>pt_T1</v>
      </c>
      <c r="G114" s="65"/>
      <c r="H114" s="22" t="str">
        <f>IF(G30="","pt_T3",IF(G30&gt;I30,_xlfn.CONCAT("pt_T3-",RIGHT(F30,LEN(F30) - FIND("-",F30))), _xlfn.CONCAT("pt_T3-",RIGHT(H30,LEN(H30) - FIND("-",H30)))))</f>
        <v>pt_T3</v>
      </c>
      <c r="I114" s="65"/>
      <c r="J114" s="22"/>
      <c r="K114" s="22"/>
      <c r="L114" s="22" t="str">
        <f t="shared" si="15"/>
        <v>10C-064</v>
      </c>
      <c r="O114" s="2" t="str">
        <f t="shared" si="16"/>
        <v>pt_Group</v>
      </c>
    </row>
    <row r="115" spans="1:15" ht="13.95" customHeight="1">
      <c r="A115" s="6">
        <f t="shared" si="14"/>
        <v>46222</v>
      </c>
      <c r="B115" s="21">
        <f>'CHICLETS MASTER S1'!A34</f>
        <v>0.5</v>
      </c>
      <c r="C115" s="8" t="s">
        <v>163</v>
      </c>
      <c r="D115" s="41" t="str">
        <f t="shared" si="17"/>
        <v>CAPISTRANO VALLEY HS 2</v>
      </c>
      <c r="E115" s="8">
        <v>67</v>
      </c>
      <c r="F115" s="22" t="s">
        <v>363</v>
      </c>
      <c r="G115" s="65"/>
      <c r="H115" s="22" t="s">
        <v>361</v>
      </c>
      <c r="I115" s="65"/>
      <c r="J115" s="22"/>
      <c r="K115" s="22"/>
      <c r="L115" s="22" t="str">
        <f t="shared" si="15"/>
        <v>10C-067</v>
      </c>
      <c r="O115" s="2" t="str">
        <f t="shared" si="16"/>
        <v>pt_Group</v>
      </c>
    </row>
    <row r="116" spans="1:15" ht="13.95" customHeight="1">
      <c r="A116" s="6">
        <f t="shared" si="14"/>
        <v>46222</v>
      </c>
      <c r="B116" s="21">
        <f>'CHICLETS MASTER S1'!A35</f>
        <v>0.53472222222222199</v>
      </c>
      <c r="C116" s="8" t="s">
        <v>163</v>
      </c>
      <c r="D116" s="41" t="str">
        <f t="shared" si="17"/>
        <v>CAPISTRANO VALLEY HS 2</v>
      </c>
      <c r="E116" s="8">
        <v>70</v>
      </c>
      <c r="F116" s="22" t="str">
        <f>IF(G72="","pt_R1",IF(G72&gt;I72,_xlfn.CONCAT("pt_R1-",RIGHT(F72,LEN(F72) - FIND("-",F72))), _xlfn.CONCAT("pt_R1-",RIGHT(H72,LEN(H72) - FIND("-",H72)))))</f>
        <v>pt_R1</v>
      </c>
      <c r="G116" s="65"/>
      <c r="H116" s="22" t="str">
        <f>IF(G32="","pt_R3",IF(G32&gt;I32,_xlfn.CONCAT("pt_R3-",RIGHT(F32,LEN(F32) - FIND("-",F32))), _xlfn.CONCAT("pt_R3-",RIGHT(H32,LEN(H32) - FIND("-",H32)))))</f>
        <v>pt_R3</v>
      </c>
      <c r="I116" s="65"/>
      <c r="J116" s="22"/>
      <c r="K116" s="22"/>
      <c r="L116" s="22" t="str">
        <f t="shared" si="15"/>
        <v>10C-070</v>
      </c>
      <c r="O116" s="2" t="str">
        <f t="shared" si="16"/>
        <v>pt_Group</v>
      </c>
    </row>
    <row r="117" spans="1:15" ht="13.95" customHeight="1">
      <c r="A117" s="6">
        <f t="shared" si="14"/>
        <v>46222</v>
      </c>
      <c r="B117" s="21">
        <f>'CHICLETS MASTER S1'!A36</f>
        <v>0.56944444444444497</v>
      </c>
      <c r="C117" s="8" t="s">
        <v>163</v>
      </c>
      <c r="D117" s="41" t="str">
        <f t="shared" si="17"/>
        <v>CAPISTRANO VALLEY HS 2</v>
      </c>
      <c r="E117" s="8">
        <v>73</v>
      </c>
      <c r="F117" s="22" t="s">
        <v>362</v>
      </c>
      <c r="G117" s="65"/>
      <c r="H117" s="22" t="s">
        <v>358</v>
      </c>
      <c r="I117" s="65"/>
      <c r="J117" s="22"/>
      <c r="K117" s="22"/>
      <c r="L117" s="22" t="str">
        <f t="shared" si="15"/>
        <v>10C-073</v>
      </c>
      <c r="O117" s="2" t="str">
        <f t="shared" si="16"/>
        <v>pt_Group</v>
      </c>
    </row>
    <row r="118" spans="1:15" ht="13.95" customHeight="1">
      <c r="A118" s="6">
        <f t="shared" si="14"/>
        <v>46222</v>
      </c>
      <c r="B118" s="21">
        <f>'CHICLETS MASTER S1'!A37</f>
        <v>0.60416666666666696</v>
      </c>
      <c r="C118" s="8" t="s">
        <v>163</v>
      </c>
      <c r="D118" s="41" t="str">
        <f t="shared" si="17"/>
        <v>CAPISTRANO VALLEY HS 2</v>
      </c>
      <c r="E118" s="8">
        <v>76</v>
      </c>
      <c r="F118" s="22" t="str">
        <f>IF(G50="","pt_T2",IF(G50&gt;I50,_xlfn.CONCAT("pt_T2-",RIGHT(F50,LEN(F50) - FIND("-",F50))), _xlfn.CONCAT("pt_T2-",RIGHT(H50,LEN(H50) - FIND("-",H50)))))</f>
        <v>pt_T2</v>
      </c>
      <c r="G118" s="65"/>
      <c r="H118" s="22" t="str">
        <f>IF(G30="","pt_T3",IF(G30&gt;I30,_xlfn.CONCAT("pt_T3-",RIGHT(F30,LEN(F30) - FIND("-",F30))), _xlfn.CONCAT("pt_T3-",RIGHT(H30,LEN(H30) - FIND("-",H30)))))</f>
        <v>pt_T3</v>
      </c>
      <c r="I118" s="65"/>
      <c r="J118" s="22"/>
      <c r="K118" s="22"/>
      <c r="L118" s="22" t="str">
        <f t="shared" si="15"/>
        <v>10C-076</v>
      </c>
      <c r="O118" s="2" t="str">
        <f t="shared" si="16"/>
        <v>pt_Group</v>
      </c>
    </row>
    <row r="119" spans="1:15" ht="13.95" customHeight="1">
      <c r="A119" s="6">
        <f t="shared" si="14"/>
        <v>46222</v>
      </c>
      <c r="B119" s="21">
        <f>'CHICLETS MASTER S1'!A38</f>
        <v>0.63888888888888895</v>
      </c>
      <c r="C119" s="8" t="s">
        <v>163</v>
      </c>
      <c r="D119" s="41" t="str">
        <f t="shared" si="17"/>
        <v>CAPISTRANO VALLEY HS 2</v>
      </c>
      <c r="E119" s="8">
        <v>79</v>
      </c>
      <c r="F119" s="22" t="s">
        <v>363</v>
      </c>
      <c r="G119" s="65"/>
      <c r="H119" s="22" t="s">
        <v>360</v>
      </c>
      <c r="I119" s="65"/>
      <c r="J119" s="22"/>
      <c r="K119" s="22"/>
      <c r="L119" s="22" t="str">
        <f t="shared" si="15"/>
        <v>10C-079</v>
      </c>
      <c r="O119" s="2" t="str">
        <f t="shared" si="16"/>
        <v>pt_Group</v>
      </c>
    </row>
    <row r="120" spans="1:15" ht="13.95" customHeight="1">
      <c r="A120" s="6">
        <f t="shared" si="14"/>
        <v>46222</v>
      </c>
      <c r="B120" s="21">
        <f>'CHICLETS MASTER S1'!A39</f>
        <v>0.67361111111111105</v>
      </c>
      <c r="C120" s="8" t="s">
        <v>163</v>
      </c>
      <c r="D120" s="41" t="str">
        <f t="shared" si="17"/>
        <v>CAPISTRANO VALLEY HS 2</v>
      </c>
      <c r="E120" s="8">
        <v>82</v>
      </c>
      <c r="F120" s="22" t="str">
        <f>IF(G52="","pt_R2",IF(G52&gt;I52,_xlfn.CONCAT("pt_R2-",RIGHT(F52,LEN(F52) - FIND("-",F52))), _xlfn.CONCAT("pt_R2-",RIGHT(H52,LEN(H52) - FIND("-",H52)))))</f>
        <v>pt_R2</v>
      </c>
      <c r="G120" s="65"/>
      <c r="H120" s="22" t="str">
        <f>IF(G32="","pt_R3",IF(G32&gt;I32,_xlfn.CONCAT("pt_R3-",RIGHT(F32,LEN(F32) - FIND("-",F32))), _xlfn.CONCAT("pt_R3-",RIGHT(H32,LEN(H32) - FIND("-",H32)))))</f>
        <v>pt_R3</v>
      </c>
      <c r="I120" s="65"/>
      <c r="J120" s="22"/>
      <c r="K120" s="22"/>
      <c r="L120" s="22" t="str">
        <f t="shared" si="15"/>
        <v>10C-082</v>
      </c>
      <c r="O120" s="2" t="str">
        <f t="shared" si="16"/>
        <v>pt_Group</v>
      </c>
    </row>
    <row r="121" spans="1:15" ht="13.95" customHeight="1">
      <c r="A121" s="6"/>
      <c r="B121" s="6"/>
      <c r="G121" s="2"/>
      <c r="I121" s="2"/>
    </row>
    <row r="122" spans="1:15" ht="13.95" customHeight="1">
      <c r="A122" s="6"/>
      <c r="B122" s="6"/>
      <c r="G122" s="2"/>
      <c r="I122" s="2"/>
    </row>
    <row r="123" spans="1:15" ht="13.95" customHeight="1">
      <c r="A123" s="6">
        <f t="shared" ref="A123:A124" si="18">$A$75</f>
        <v>46222</v>
      </c>
      <c r="B123" s="21">
        <f>'CHICLETS MASTER S1'!A42</f>
        <v>0.77777777777777801</v>
      </c>
      <c r="C123" s="8" t="s">
        <v>166</v>
      </c>
      <c r="D123" s="41" t="str">
        <f>$D$107</f>
        <v>CAPISTRANO VALLEY HS 2</v>
      </c>
      <c r="E123" s="8">
        <v>86</v>
      </c>
      <c r="F123" s="43" t="s">
        <v>364</v>
      </c>
      <c r="G123" s="65"/>
      <c r="H123" s="43" t="s">
        <v>365</v>
      </c>
      <c r="I123" s="65"/>
      <c r="J123" s="22">
        <v>95</v>
      </c>
      <c r="K123" s="22">
        <v>99</v>
      </c>
      <c r="L123" s="22" t="str">
        <f t="shared" si="15"/>
        <v>10C-086</v>
      </c>
      <c r="O123" s="2" t="str">
        <f t="shared" ref="O123:O124" si="19">$K$130&amp;C123</f>
        <v>pt_Play-in</v>
      </c>
    </row>
    <row r="124" spans="1:15" ht="13.95" customHeight="1">
      <c r="A124" s="6">
        <f t="shared" si="18"/>
        <v>46222</v>
      </c>
      <c r="B124" s="21">
        <f>'CHICLETS MASTER S1'!A43</f>
        <v>0.8125</v>
      </c>
      <c r="C124" s="8" t="s">
        <v>166</v>
      </c>
      <c r="D124" s="41" t="str">
        <f>$D$107</f>
        <v>CAPISTRANO VALLEY HS 2</v>
      </c>
      <c r="E124" s="8">
        <v>88</v>
      </c>
      <c r="F124" s="22" t="s">
        <v>366</v>
      </c>
      <c r="G124" s="65"/>
      <c r="H124" s="22" t="s">
        <v>367</v>
      </c>
      <c r="I124" s="65"/>
      <c r="J124" s="22">
        <v>92</v>
      </c>
      <c r="K124" s="22">
        <v>96</v>
      </c>
      <c r="L124" s="22" t="str">
        <f t="shared" si="15"/>
        <v>10C-088</v>
      </c>
      <c r="O124" s="2" t="str">
        <f t="shared" si="19"/>
        <v>pt_Play-in</v>
      </c>
    </row>
    <row r="125" spans="1:15" ht="13.95" customHeight="1">
      <c r="A125" s="24"/>
      <c r="B125" s="27"/>
    </row>
    <row r="126" spans="1:15" ht="13.95" customHeight="1">
      <c r="A126" s="24"/>
      <c r="B126" s="66" t="s">
        <v>368</v>
      </c>
      <c r="C126" s="27"/>
    </row>
    <row r="127" spans="1:15" ht="13.95" customHeight="1">
      <c r="A127" s="24"/>
      <c r="B127" s="25" t="s">
        <v>369</v>
      </c>
      <c r="C127" s="25" t="s">
        <v>370</v>
      </c>
      <c r="D127" s="25" t="s">
        <v>371</v>
      </c>
      <c r="E127" s="25" t="s">
        <v>372</v>
      </c>
    </row>
    <row r="128" spans="1:15" ht="13.95" customHeight="1">
      <c r="A128" s="2">
        <v>1</v>
      </c>
      <c r="B128" s="58" t="str">
        <f>IF(G30="","L40",IF(G30&lt;I30,_xlfn.CONCAT("L40-",RIGHT(F30,LEN(F30) - FIND("-",F30))), _xlfn.CONCAT("L40-",RIGHT(H30,LEN(H30) - FIND("-",H30)))))</f>
        <v>L40</v>
      </c>
      <c r="C128" s="58" t="str">
        <f>IF(G29="","L37",IF(G29&lt;I29,_xlfn.CONCAT("L37-",RIGHT(F29,LEN(F29) - FIND("-",F29))), _xlfn.CONCAT("L37-",RIGHT(H29,LEN(H29) - FIND("-",H29)))))</f>
        <v>L37</v>
      </c>
      <c r="D128" s="58" t="str">
        <f>IF(G32="","L46",IF(G32&lt;I32,_xlfn.CONCAT("L46-",RIGHT(F32,LEN(F32) - FIND("-",F32))), _xlfn.CONCAT("L46-",RIGHT(H32,LEN(H32) - FIND("-",H32)))))</f>
        <v>L46</v>
      </c>
      <c r="E128" s="58" t="str">
        <f>IF(G31="","L43",IF(G31&lt;I31,_xlfn.CONCAT("L43-",RIGHT(F31,LEN(F31) - FIND("-",F31))), _xlfn.CONCAT("L43-",RIGHT(H31,LEN(H31) - FIND("-",H31)))))</f>
        <v>L43</v>
      </c>
    </row>
    <row r="129" spans="1:15" ht="13.95" customHeight="1">
      <c r="A129" s="2">
        <v>2</v>
      </c>
      <c r="B129" s="58" t="str">
        <f>IF(G50="","L41",IF(G50&lt;I50,_xlfn.CONCAT("L41-",RIGHT(F50,LEN(F50) - FIND("-",F50))), _xlfn.CONCAT("L41-",RIGHT(H50,LEN(H50) - FIND("-",H50)))))</f>
        <v>L41</v>
      </c>
      <c r="C129" s="58" t="str">
        <f>IF(G49="","L38",IF(G49&lt;I49,_xlfn.CONCAT("L38-",RIGHT(F49,LEN(F49) - FIND("-",F49))), _xlfn.CONCAT("L38-",RIGHT(H49,LEN(H49) - FIND("-",H49)))))</f>
        <v>L38</v>
      </c>
      <c r="D129" s="58" t="str">
        <f>IF(G52="","L47",IF(G52&lt;I52,_xlfn.CONCAT("L47-",RIGHT(F52,LEN(F52) - FIND("-",F52))), _xlfn.CONCAT("L47-",RIGHT(H52,LEN(H52) - FIND("-",H52)))))</f>
        <v>L47</v>
      </c>
      <c r="E129" s="58" t="str">
        <f>IF(G51="","L44",IF(G51&lt;I51,_xlfn.CONCAT("L44-",RIGHT(F51,LEN(F51) - FIND("-",F51))), _xlfn.CONCAT("L44-",RIGHT(H51,LEN(H51) - FIND("-",H51)))))</f>
        <v>L44</v>
      </c>
    </row>
    <row r="130" spans="1:15" ht="13.95" customHeight="1">
      <c r="A130" s="2">
        <v>3</v>
      </c>
      <c r="B130" s="58" t="str">
        <f>IF(G70="","L42",IF(G70&lt;I70,_xlfn.CONCAT("L42-",RIGHT(F70,LEN(F70) - FIND("-",F70))), _xlfn.CONCAT("L42-",RIGHT(H70,LEN(H70) - FIND("-",H70)))))</f>
        <v>L42</v>
      </c>
      <c r="C130" s="58" t="str">
        <f>IF(G69="","L39",IF(G69&lt;I69,_xlfn.CONCAT("L39-",RIGHT(F69,LEN(F69) - FIND("-",F69))), _xlfn.CONCAT("L39-",RIGHT(H69,LEN(H69) - FIND("-",H69)))))</f>
        <v>L39</v>
      </c>
      <c r="D130" s="58" t="str">
        <f>IF(G72="","L48",IF(G72&lt;I72,_xlfn.CONCAT("L48-",RIGHT(F72,LEN(F72) - FIND("-",F72))), _xlfn.CONCAT("L48-",RIGHT(H72,LEN(H72) - FIND("-",H72)))))</f>
        <v>L48</v>
      </c>
      <c r="E130" s="58" t="str">
        <f>IF(G71="","L45",IF(G71&lt;I71,_xlfn.CONCAT("L45-",RIGHT(F71,LEN(F71) - FIND("-",F71))), _xlfn.CONCAT("L45-",RIGHT(H71,LEN(H71) - FIND("-",H71)))))</f>
        <v>L45</v>
      </c>
      <c r="K130" s="2" t="s">
        <v>373</v>
      </c>
    </row>
    <row r="131" spans="1:15" ht="13.95" customHeight="1" thickBot="1">
      <c r="B131" s="27"/>
      <c r="K131" s="2" t="s">
        <v>374</v>
      </c>
    </row>
    <row r="132" spans="1:15" ht="13.95" customHeight="1" thickBot="1">
      <c r="D132" s="4" t="str">
        <f>'CHICLETS MASTER S1'!$F$27</f>
        <v>SADDLEBACK COLLEGE 2</v>
      </c>
    </row>
    <row r="133" spans="1:15" ht="13.95" customHeight="1">
      <c r="A133" s="80" t="s">
        <v>110</v>
      </c>
      <c r="B133" s="80" t="s">
        <v>111</v>
      </c>
      <c r="C133" s="80" t="s">
        <v>112</v>
      </c>
      <c r="D133" s="80" t="s">
        <v>113</v>
      </c>
      <c r="E133" s="80" t="s">
        <v>114</v>
      </c>
      <c r="F133" s="80" t="s">
        <v>115</v>
      </c>
      <c r="G133" s="80" t="s">
        <v>116</v>
      </c>
      <c r="H133" s="80" t="s">
        <v>117</v>
      </c>
      <c r="I133" s="80" t="s">
        <v>116</v>
      </c>
      <c r="J133" s="80" t="s">
        <v>118</v>
      </c>
      <c r="K133" s="80" t="s">
        <v>119</v>
      </c>
      <c r="L133" s="80" t="s">
        <v>120</v>
      </c>
    </row>
    <row r="134" spans="1:15" ht="13.95" customHeight="1">
      <c r="A134" s="6">
        <f t="shared" ref="A134:A145" si="20">$A$75</f>
        <v>46222</v>
      </c>
      <c r="B134" s="21">
        <f>'CHICLETS MASTER S1'!A28</f>
        <v>0.29166666666666669</v>
      </c>
      <c r="C134" s="8" t="s">
        <v>163</v>
      </c>
      <c r="D134" s="41" t="str">
        <f>$D$132</f>
        <v>SADDLEBACK COLLEGE 2</v>
      </c>
      <c r="E134" s="8">
        <v>53</v>
      </c>
      <c r="F134" s="25" t="str">
        <f>IF(G50="","au_M2",IF(G50&lt;I50,_xlfn.CONCAT("au_M2-",RIGHT(F50,LEN(F50) - FIND("-",F50))), _xlfn.CONCAT("au_M2-",RIGHT(H50,LEN(H50) - FIND("-",H50)))))</f>
        <v>au_M2</v>
      </c>
      <c r="G134" s="25"/>
      <c r="H134" s="25" t="str">
        <f>IF(G70="","au_M3",IF(G70&lt;I70,_xlfn.CONCAT("au_M3-",RIGHT(F70,LEN(F70) - FIND("-",F70))), _xlfn.CONCAT("au_M3-",RIGHT(H70,LEN(H70) - FIND("-",H70)))))</f>
        <v>au_M3</v>
      </c>
      <c r="I134" s="25"/>
      <c r="J134" s="25"/>
      <c r="K134" s="25"/>
      <c r="L134" s="25" t="str">
        <f t="shared" ref="L134:L145" si="21">IF(E134="","",$L$13&amp;"-"&amp;TEXT(E134,"000"))</f>
        <v>10C-053</v>
      </c>
      <c r="O134" s="2" t="str">
        <f>$K$131&amp;C134</f>
        <v>au_Group</v>
      </c>
    </row>
    <row r="135" spans="1:15" ht="13.95" customHeight="1">
      <c r="A135" s="6">
        <f t="shared" si="20"/>
        <v>46222</v>
      </c>
      <c r="B135" s="21">
        <f>'CHICLETS MASTER S1'!A29</f>
        <v>0.3263888888888889</v>
      </c>
      <c r="C135" s="8" t="s">
        <v>163</v>
      </c>
      <c r="D135" s="41" t="str">
        <f t="shared" ref="D135:D145" si="22">$D$132</f>
        <v>SADDLEBACK COLLEGE 2</v>
      </c>
      <c r="E135" s="8">
        <v>56</v>
      </c>
      <c r="F135" s="25" t="str">
        <f>IF(G49="","au_N2",IF(G49&lt;I49,_xlfn.CONCAT("au_N2-",RIGHT(F49,LEN(F49) - FIND("-",F49))), _xlfn.CONCAT("au_N2-",RIGHT(H49,LEN(H49) - FIND("-",H49)))))</f>
        <v>au_N2</v>
      </c>
      <c r="G135" s="25"/>
      <c r="H135" s="25" t="str">
        <f>IF(G69="","au_N3",IF(G69&lt;I69,_xlfn.CONCAT("au_N3-",RIGHT(F69,LEN(F69) - FIND("-",F69))), _xlfn.CONCAT("au_N3-",RIGHT(H69,LEN(H69) - FIND("-",H69)))))</f>
        <v>au_N3</v>
      </c>
      <c r="I135" s="25"/>
      <c r="J135" s="25"/>
      <c r="K135" s="25"/>
      <c r="L135" s="25" t="str">
        <f t="shared" si="21"/>
        <v>10C-056</v>
      </c>
      <c r="O135" s="2" t="str">
        <f t="shared" ref="O135:O145" si="23">$K$131&amp;C135</f>
        <v>au_Group</v>
      </c>
    </row>
    <row r="136" spans="1:15" ht="13.95" customHeight="1">
      <c r="A136" s="6">
        <f t="shared" si="20"/>
        <v>46222</v>
      </c>
      <c r="B136" s="21">
        <f>'CHICLETS MASTER S1'!A30</f>
        <v>0.36111111111111099</v>
      </c>
      <c r="C136" s="8" t="s">
        <v>163</v>
      </c>
      <c r="D136" s="41" t="str">
        <f t="shared" si="22"/>
        <v>SADDLEBACK COLLEGE 2</v>
      </c>
      <c r="E136" s="8">
        <v>59</v>
      </c>
      <c r="F136" s="25" t="str">
        <f>IF(G52="","au_O2",IF(G52&lt;I52,_xlfn.CONCAT("au_O2-",RIGHT(F52,LEN(F52) - FIND("-",F52))), _xlfn.CONCAT("au_O2-",RIGHT(H52,LEN(H52) - FIND("-",H52)))))</f>
        <v>au_O2</v>
      </c>
      <c r="G136" s="25"/>
      <c r="H136" s="25" t="str">
        <f>IF(G72="","au_O3",IF(G72&lt;I72,_xlfn.CONCAT("au_O3-",RIGHT(F72,LEN(F72) - FIND("-",F72))), _xlfn.CONCAT("au_O3-",RIGHT(H72,LEN(H72) - FIND("-",H72)))))</f>
        <v>au_O3</v>
      </c>
      <c r="I136" s="25"/>
      <c r="J136" s="25"/>
      <c r="K136" s="25"/>
      <c r="L136" s="25" t="str">
        <f t="shared" si="21"/>
        <v>10C-059</v>
      </c>
      <c r="O136" s="2" t="str">
        <f t="shared" si="23"/>
        <v>au_Group</v>
      </c>
    </row>
    <row r="137" spans="1:15" ht="13.95" customHeight="1">
      <c r="A137" s="6">
        <f t="shared" si="20"/>
        <v>46222</v>
      </c>
      <c r="B137" s="21">
        <f>'CHICLETS MASTER S1'!A31</f>
        <v>0.39583333333333398</v>
      </c>
      <c r="C137" s="8" t="s">
        <v>163</v>
      </c>
      <c r="D137" s="41" t="str">
        <f t="shared" si="22"/>
        <v>SADDLEBACK COLLEGE 2</v>
      </c>
      <c r="E137" s="8">
        <v>62</v>
      </c>
      <c r="F137" s="25" t="str">
        <f>IF(G51="","au_P2",IF(G51&lt;I51,_xlfn.CONCAT("au_P2-",RIGHT(F51,LEN(F51) - FIND("-",F51))), _xlfn.CONCAT("au_P2-",RIGHT(H51,LEN(H51) - FIND("-",H51)))))</f>
        <v>au_P2</v>
      </c>
      <c r="G137" s="25"/>
      <c r="H137" s="25" t="str">
        <f>IF(G71="","au_P3",IF(G71&lt;I71,_xlfn.CONCAT("au_P3-",RIGHT(F71,LEN(F71) - FIND("-",F71))), _xlfn.CONCAT("au_P3-",RIGHT(H71,LEN(H71) - FIND("-",H71)))))</f>
        <v>au_P3</v>
      </c>
      <c r="I137" s="25"/>
      <c r="J137" s="25"/>
      <c r="K137" s="25"/>
      <c r="L137" s="25" t="str">
        <f t="shared" si="21"/>
        <v>10C-062</v>
      </c>
      <c r="O137" s="2" t="str">
        <f t="shared" si="23"/>
        <v>au_Group</v>
      </c>
    </row>
    <row r="138" spans="1:15" ht="13.95" customHeight="1">
      <c r="A138" s="6">
        <f t="shared" si="20"/>
        <v>46222</v>
      </c>
      <c r="B138" s="21">
        <f>'CHICLETS MASTER S1'!A32</f>
        <v>0.43055555555555602</v>
      </c>
      <c r="C138" s="8" t="s">
        <v>163</v>
      </c>
      <c r="D138" s="41" t="str">
        <f t="shared" si="22"/>
        <v>SADDLEBACK COLLEGE 2</v>
      </c>
      <c r="E138" s="8">
        <v>65</v>
      </c>
      <c r="F138" s="25" t="str">
        <f>IF(G30="","au_M1",IF(G30&lt;I30,_xlfn.CONCAT("au_M1-",RIGHT(F30,LEN(F30) - FIND("-",F30))), _xlfn.CONCAT("au_M1-",RIGHT(H30,LEN(H30) - FIND("-",H30)))))</f>
        <v>au_M1</v>
      </c>
      <c r="G138" s="25"/>
      <c r="H138" s="25" t="str">
        <f>IF(G70="","au_M3",IF(G70&lt;I70,_xlfn.CONCAT("au_M3-",RIGHT(F70,LEN(F70) - FIND("-",F70))), _xlfn.CONCAT("au_M3-",RIGHT(H70,LEN(H70) - FIND("-",H70)))))</f>
        <v>au_M3</v>
      </c>
      <c r="I138" s="25"/>
      <c r="J138" s="25"/>
      <c r="K138" s="25"/>
      <c r="L138" s="25" t="str">
        <f t="shared" si="21"/>
        <v>10C-065</v>
      </c>
      <c r="O138" s="2" t="str">
        <f t="shared" si="23"/>
        <v>au_Group</v>
      </c>
    </row>
    <row r="139" spans="1:15" ht="13.95" customHeight="1">
      <c r="A139" s="6">
        <f t="shared" si="20"/>
        <v>46222</v>
      </c>
      <c r="B139" s="21">
        <f>'CHICLETS MASTER S1'!A33</f>
        <v>0.46527777777777801</v>
      </c>
      <c r="C139" s="8" t="s">
        <v>163</v>
      </c>
      <c r="D139" s="41" t="str">
        <f t="shared" si="22"/>
        <v>SADDLEBACK COLLEGE 2</v>
      </c>
      <c r="E139" s="8">
        <v>68</v>
      </c>
      <c r="F139" s="25" t="str">
        <f>IF(G29="","au_N1",IF(G29&lt;I29,_xlfn.CONCAT("au_N1-",RIGHT(F29,LEN(F29) - FIND("-",F29))), _xlfn.CONCAT("au_N1-",RIGHT(H29,LEN(H29) - FIND("-",H29)))))</f>
        <v>au_N1</v>
      </c>
      <c r="G139" s="25"/>
      <c r="H139" s="25" t="str">
        <f>IF(G69="","au_N3",IF(G69&lt;I69,_xlfn.CONCAT("au_N3-",RIGHT(F69,LEN(F69) - FIND("-",F69))), _xlfn.CONCAT("au_N3-",RIGHT(H69,LEN(H69) - FIND("-",H69)))))</f>
        <v>au_N3</v>
      </c>
      <c r="I139" s="25"/>
      <c r="J139" s="25"/>
      <c r="K139" s="25"/>
      <c r="L139" s="25" t="str">
        <f t="shared" si="21"/>
        <v>10C-068</v>
      </c>
      <c r="O139" s="2" t="str">
        <f t="shared" si="23"/>
        <v>au_Group</v>
      </c>
    </row>
    <row r="140" spans="1:15" ht="13.95" customHeight="1">
      <c r="A140" s="6">
        <f t="shared" si="20"/>
        <v>46222</v>
      </c>
      <c r="B140" s="21">
        <f>'CHICLETS MASTER S1'!A34</f>
        <v>0.5</v>
      </c>
      <c r="C140" s="8" t="s">
        <v>163</v>
      </c>
      <c r="D140" s="41" t="str">
        <f t="shared" si="22"/>
        <v>SADDLEBACK COLLEGE 2</v>
      </c>
      <c r="E140" s="8">
        <v>71</v>
      </c>
      <c r="F140" s="25" t="str">
        <f>IF(G32="","au_O1",IF(G32&lt;I32,_xlfn.CONCAT("au_O1-",RIGHT(F32,LEN(F32) - FIND("-",F32))), _xlfn.CONCAT("au_O1-",RIGHT(H32,LEN(H32) - FIND("-",H32)))))</f>
        <v>au_O1</v>
      </c>
      <c r="G140" s="25"/>
      <c r="H140" s="25" t="str">
        <f>IF(G72="","au_O3",IF(G72&lt;I72,_xlfn.CONCAT("au_O3-",RIGHT(F72,LEN(F72) - FIND("-",F72))), _xlfn.CONCAT("au_O3-",RIGHT(H72,LEN(H72) - FIND("-",H72)))))</f>
        <v>au_O3</v>
      </c>
      <c r="I140" s="25"/>
      <c r="J140" s="25"/>
      <c r="K140" s="25"/>
      <c r="L140" s="25" t="str">
        <f t="shared" si="21"/>
        <v>10C-071</v>
      </c>
      <c r="O140" s="2" t="str">
        <f t="shared" si="23"/>
        <v>au_Group</v>
      </c>
    </row>
    <row r="141" spans="1:15" ht="13.95" customHeight="1">
      <c r="A141" s="6">
        <f t="shared" si="20"/>
        <v>46222</v>
      </c>
      <c r="B141" s="21">
        <f>'CHICLETS MASTER S1'!A35</f>
        <v>0.53472222222222199</v>
      </c>
      <c r="C141" s="8" t="s">
        <v>163</v>
      </c>
      <c r="D141" s="41" t="str">
        <f t="shared" si="22"/>
        <v>SADDLEBACK COLLEGE 2</v>
      </c>
      <c r="E141" s="8">
        <v>74</v>
      </c>
      <c r="F141" s="25" t="str">
        <f>IF(G31="","au_P1",IF(G31&lt;I31,_xlfn.CONCAT("au_P1-",RIGHT(F31,LEN(F31) - FIND("-",F31))), _xlfn.CONCAT("au_P1-",RIGHT(H31,LEN(H31) - FIND("-",H31)))))</f>
        <v>au_P1</v>
      </c>
      <c r="G141" s="25"/>
      <c r="H141" s="25" t="str">
        <f>IF(G71="","au_P3",IF(G71&lt;I71,_xlfn.CONCAT("au_P3-",RIGHT(F71,LEN(F71) - FIND("-",F71))), _xlfn.CONCAT("au_P3-",RIGHT(H71,LEN(H71) - FIND("-",H71)))))</f>
        <v>au_P3</v>
      </c>
      <c r="I141" s="25"/>
      <c r="J141" s="25"/>
      <c r="K141" s="25"/>
      <c r="L141" s="25" t="str">
        <f t="shared" si="21"/>
        <v>10C-074</v>
      </c>
      <c r="O141" s="2" t="str">
        <f t="shared" si="23"/>
        <v>au_Group</v>
      </c>
    </row>
    <row r="142" spans="1:15" ht="13.95" customHeight="1">
      <c r="A142" s="6">
        <f t="shared" si="20"/>
        <v>46222</v>
      </c>
      <c r="B142" s="21">
        <f>'CHICLETS MASTER S1'!A36</f>
        <v>0.56944444444444497</v>
      </c>
      <c r="C142" s="8" t="s">
        <v>163</v>
      </c>
      <c r="D142" s="41" t="str">
        <f t="shared" si="22"/>
        <v>SADDLEBACK COLLEGE 2</v>
      </c>
      <c r="E142" s="8">
        <v>77</v>
      </c>
      <c r="F142" s="25" t="str">
        <f>IF(G30="","au_M1",IF(G30&lt;I30,_xlfn.CONCAT("au_M1-",RIGHT(F30,LEN(F30) - FIND("-",F30))), _xlfn.CONCAT("au_M1-",RIGHT(H30,LEN(H30) - FIND("-",H30)))))</f>
        <v>au_M1</v>
      </c>
      <c r="G142" s="25"/>
      <c r="H142" s="25" t="str">
        <f>IF(G50="","au_M2",IF(G50&lt;I50,_xlfn.CONCAT("au_M2-",RIGHT(F50,LEN(F50) - FIND("-",F50))), _xlfn.CONCAT("au_M2-",RIGHT(H50,LEN(H50) - FIND("-",H50)))))</f>
        <v>au_M2</v>
      </c>
      <c r="I142" s="25"/>
      <c r="J142" s="25"/>
      <c r="K142" s="25"/>
      <c r="L142" s="25" t="str">
        <f t="shared" si="21"/>
        <v>10C-077</v>
      </c>
      <c r="O142" s="2" t="str">
        <f t="shared" si="23"/>
        <v>au_Group</v>
      </c>
    </row>
    <row r="143" spans="1:15" ht="13.95" customHeight="1">
      <c r="A143" s="6">
        <f t="shared" si="20"/>
        <v>46222</v>
      </c>
      <c r="B143" s="21">
        <f>'CHICLETS MASTER S1'!A37</f>
        <v>0.60416666666666696</v>
      </c>
      <c r="C143" s="8" t="s">
        <v>163</v>
      </c>
      <c r="D143" s="41" t="str">
        <f t="shared" si="22"/>
        <v>SADDLEBACK COLLEGE 2</v>
      </c>
      <c r="E143" s="8">
        <v>80</v>
      </c>
      <c r="F143" s="25" t="str">
        <f>IF(G29="","au_N1",IF(G29&lt;I29,_xlfn.CONCAT("au_N1-",RIGHT(F29,LEN(F29) - FIND("-",F29))), _xlfn.CONCAT("au_N1-",RIGHT(H29,LEN(H29) - FIND("-",H29)))))</f>
        <v>au_N1</v>
      </c>
      <c r="G143" s="25"/>
      <c r="H143" s="25" t="str">
        <f>IF(G49="","au_N2",IF(G49&lt;I49,_xlfn.CONCAT("au_N2-",RIGHT(F49,LEN(F49) - FIND("-",F49))), _xlfn.CONCAT("au_N2-",RIGHT(H49,LEN(H49) - FIND("-",H49)))))</f>
        <v>au_N2</v>
      </c>
      <c r="I143" s="25"/>
      <c r="J143" s="25"/>
      <c r="K143" s="25"/>
      <c r="L143" s="25" t="str">
        <f t="shared" si="21"/>
        <v>10C-080</v>
      </c>
      <c r="O143" s="2" t="str">
        <f t="shared" si="23"/>
        <v>au_Group</v>
      </c>
    </row>
    <row r="144" spans="1:15" ht="13.95" customHeight="1">
      <c r="A144" s="6">
        <f t="shared" si="20"/>
        <v>46222</v>
      </c>
      <c r="B144" s="21">
        <f>'CHICLETS MASTER S1'!A38</f>
        <v>0.63888888888888895</v>
      </c>
      <c r="C144" s="8" t="s">
        <v>163</v>
      </c>
      <c r="D144" s="41" t="str">
        <f t="shared" si="22"/>
        <v>SADDLEBACK COLLEGE 2</v>
      </c>
      <c r="E144" s="8">
        <v>83</v>
      </c>
      <c r="F144" s="25" t="str">
        <f>IF(G32="","au_O1",IF(G32&lt;I32,_xlfn.CONCAT("au_O1-",RIGHT(F32,LEN(F32) - FIND("-",F32))), _xlfn.CONCAT("au_O1-",RIGHT(H32,LEN(H32) - FIND("-",H32)))))</f>
        <v>au_O1</v>
      </c>
      <c r="G144" s="25"/>
      <c r="H144" s="25" t="str">
        <f>IF(G52="","au_O2",IF(G52&lt;I52,_xlfn.CONCAT("au_O2-",RIGHT(F52,LEN(F52) - FIND("-",F52))), _xlfn.CONCAT("au_O2-",RIGHT(H52,LEN(H52) - FIND("-",H52)))))</f>
        <v>au_O2</v>
      </c>
      <c r="I144" s="25"/>
      <c r="J144" s="25"/>
      <c r="K144" s="25"/>
      <c r="L144" s="25" t="str">
        <f t="shared" si="21"/>
        <v>10C-083</v>
      </c>
      <c r="O144" s="2" t="str">
        <f t="shared" si="23"/>
        <v>au_Group</v>
      </c>
    </row>
    <row r="145" spans="1:15" ht="13.95" customHeight="1">
      <c r="A145" s="6">
        <f t="shared" si="20"/>
        <v>46222</v>
      </c>
      <c r="B145" s="21">
        <f>'CHICLETS MASTER S1'!A39</f>
        <v>0.67361111111111105</v>
      </c>
      <c r="C145" s="8" t="s">
        <v>163</v>
      </c>
      <c r="D145" s="41" t="str">
        <f t="shared" si="22"/>
        <v>SADDLEBACK COLLEGE 2</v>
      </c>
      <c r="E145" s="8">
        <v>84</v>
      </c>
      <c r="F145" s="25" t="str">
        <f>IF(G31="","au_P1",IF(G31&lt;I31,_xlfn.CONCAT("au_P1-",RIGHT(F31,LEN(F31) - FIND("-",F31))), _xlfn.CONCAT("au_P1-",RIGHT(H31,LEN(H31) - FIND("-",H31)))))</f>
        <v>au_P1</v>
      </c>
      <c r="G145" s="25"/>
      <c r="H145" s="25" t="str">
        <f>IF(G51="","au_P2",IF(G51&lt;I51,_xlfn.CONCAT("au_P2-",RIGHT(F51,LEN(F51) - FIND("-",F51))), _xlfn.CONCAT("au_P2-",RIGHT(H51,LEN(H51) - FIND("-",H51)))))</f>
        <v>au_P2</v>
      </c>
      <c r="I145" s="25"/>
      <c r="J145" s="25"/>
      <c r="K145" s="25"/>
      <c r="L145" s="25" t="str">
        <f t="shared" si="21"/>
        <v>10C-084</v>
      </c>
      <c r="O145" s="2" t="str">
        <f t="shared" si="23"/>
        <v>au_Group</v>
      </c>
    </row>
    <row r="146" spans="1:15" ht="13.95" customHeight="1" thickBot="1">
      <c r="A146" s="24"/>
    </row>
    <row r="147" spans="1:15" ht="13.95" customHeight="1" thickTop="1" thickBot="1">
      <c r="A147" s="48" t="s">
        <v>188</v>
      </c>
      <c r="B147" s="50"/>
      <c r="C147" s="50"/>
      <c r="D147" s="50"/>
      <c r="E147" s="50"/>
      <c r="F147" s="50"/>
      <c r="G147" s="57"/>
      <c r="H147" s="50"/>
      <c r="I147" s="57"/>
      <c r="J147" s="50"/>
      <c r="K147" s="50"/>
      <c r="L147" s="50"/>
    </row>
    <row r="148" spans="1:15" ht="13.95" customHeight="1" thickBot="1">
      <c r="A148" s="3">
        <v>46223</v>
      </c>
    </row>
    <row r="149" spans="1:15" ht="13.95" customHeight="1" thickBot="1">
      <c r="D149" s="4" t="str">
        <f>'CHICLETS MASTER S1'!$C$51</f>
        <v>EL TORO HS 2</v>
      </c>
    </row>
    <row r="150" spans="1:15" ht="13.95" customHeight="1">
      <c r="A150" s="80" t="s">
        <v>110</v>
      </c>
      <c r="B150" s="80" t="s">
        <v>111</v>
      </c>
      <c r="C150" s="80" t="s">
        <v>112</v>
      </c>
      <c r="D150" s="80" t="s">
        <v>113</v>
      </c>
      <c r="E150" s="80" t="s">
        <v>114</v>
      </c>
      <c r="F150" s="80" t="s">
        <v>115</v>
      </c>
      <c r="G150" s="80" t="s">
        <v>116</v>
      </c>
      <c r="H150" s="80" t="s">
        <v>117</v>
      </c>
      <c r="I150" s="80" t="s">
        <v>116</v>
      </c>
      <c r="J150" s="80" t="s">
        <v>118</v>
      </c>
      <c r="K150" s="80" t="s">
        <v>119</v>
      </c>
      <c r="L150" s="80" t="s">
        <v>120</v>
      </c>
    </row>
    <row r="151" spans="1:15" ht="13.95" customHeight="1">
      <c r="A151" s="6">
        <f>$A$148</f>
        <v>46223</v>
      </c>
      <c r="B151" s="21">
        <f>'CHICLETS MASTER S1'!A53</f>
        <v>0.33333333333333331</v>
      </c>
      <c r="C151" s="8" t="s">
        <v>189</v>
      </c>
      <c r="D151" s="41" t="str">
        <f>$D$149</f>
        <v>EL TORO HS 2</v>
      </c>
      <c r="E151" s="8">
        <v>89</v>
      </c>
      <c r="F151" s="22" t="s">
        <v>375</v>
      </c>
      <c r="G151" s="65"/>
      <c r="H151" s="22" t="str">
        <f>IF(G104="","W85",IF(G104&gt;I104,_xlfn.CONCAT("W85-",RIGHT(F104,LEN(F104) - FIND("-",F104))), _xlfn.CONCAT("W85-",RIGHT(H104,LEN(H104) - FIND("-",H104)))))</f>
        <v>W85</v>
      </c>
      <c r="I151" s="65"/>
      <c r="J151" s="22">
        <v>107</v>
      </c>
      <c r="K151" s="22">
        <v>113</v>
      </c>
      <c r="L151" s="22" t="str">
        <f t="shared" ref="L151:L162" si="24">IF(E151="","",$L$13&amp;"-"&amp;TEXT(E151,"000"))</f>
        <v>10C-089</v>
      </c>
      <c r="O151" s="2" t="str">
        <f t="shared" ref="O151:O162" si="25">$K$130&amp;C151</f>
        <v>pt_5-8 v 9-12</v>
      </c>
    </row>
    <row r="152" spans="1:15" ht="13.95" customHeight="1">
      <c r="A152" s="6">
        <f t="shared" ref="A152:A192" si="26">$A$148</f>
        <v>46223</v>
      </c>
      <c r="B152" s="21">
        <f>'CHICLETS MASTER S1'!A54</f>
        <v>0.36805555555555558</v>
      </c>
      <c r="C152" s="8" t="s">
        <v>189</v>
      </c>
      <c r="D152" s="41" t="str">
        <f t="shared" ref="D152:D162" si="27">$D$149</f>
        <v>EL TORO HS 2</v>
      </c>
      <c r="E152" s="8">
        <v>92</v>
      </c>
      <c r="F152" s="22" t="s">
        <v>376</v>
      </c>
      <c r="G152" s="65"/>
      <c r="H152" s="22" t="str">
        <f>IF(G124="","W88",IF(G124&gt;I124,_xlfn.CONCAT("W88-",RIGHT(F124,LEN(F124) - FIND("-",F124))), _xlfn.CONCAT("W88-",RIGHT(H124,LEN(H124) - FIND("-",H124)))))</f>
        <v>W88</v>
      </c>
      <c r="I152" s="65"/>
      <c r="J152" s="22">
        <v>107</v>
      </c>
      <c r="K152" s="22">
        <v>113</v>
      </c>
      <c r="L152" s="22" t="str">
        <f t="shared" si="24"/>
        <v>10C-092</v>
      </c>
      <c r="O152" s="2" t="str">
        <f t="shared" si="25"/>
        <v>pt_5-8 v 9-12</v>
      </c>
    </row>
    <row r="153" spans="1:15" ht="13.95" customHeight="1">
      <c r="A153" s="6">
        <f t="shared" si="26"/>
        <v>46223</v>
      </c>
      <c r="B153" s="21">
        <f>'CHICLETS MASTER S1'!A55</f>
        <v>0.40277777777777801</v>
      </c>
      <c r="C153" s="8" t="s">
        <v>189</v>
      </c>
      <c r="D153" s="41" t="str">
        <f t="shared" si="27"/>
        <v>EL TORO HS 2</v>
      </c>
      <c r="E153" s="8">
        <v>95</v>
      </c>
      <c r="F153" s="22" t="s">
        <v>377</v>
      </c>
      <c r="G153" s="65"/>
      <c r="H153" s="22" t="str">
        <f>IF(G123="","W86",IF(G123&gt;I123,_xlfn.CONCAT("W86-",RIGHT(F123,LEN(F123) - FIND("-",F123))), _xlfn.CONCAT("W86-",RIGHT(H123,LEN(H123) - FIND("-",H123)))))</f>
        <v>W86</v>
      </c>
      <c r="I153" s="65"/>
      <c r="J153" s="22">
        <v>110</v>
      </c>
      <c r="K153" s="22">
        <v>116</v>
      </c>
      <c r="L153" s="22" t="str">
        <f t="shared" si="24"/>
        <v>10C-095</v>
      </c>
      <c r="O153" s="2" t="str">
        <f t="shared" si="25"/>
        <v>pt_5-8 v 9-12</v>
      </c>
    </row>
    <row r="154" spans="1:15" ht="13.95" customHeight="1">
      <c r="A154" s="6">
        <f t="shared" si="26"/>
        <v>46223</v>
      </c>
      <c r="B154" s="21">
        <f>'CHICLETS MASTER S1'!A56</f>
        <v>0.4375</v>
      </c>
      <c r="C154" s="8" t="s">
        <v>189</v>
      </c>
      <c r="D154" s="41" t="str">
        <f t="shared" si="27"/>
        <v>EL TORO HS 2</v>
      </c>
      <c r="E154" s="8">
        <v>98</v>
      </c>
      <c r="F154" s="22" t="s">
        <v>378</v>
      </c>
      <c r="G154" s="65"/>
      <c r="H154" s="22" t="str">
        <f>IF(G105="","W87",IF(G105&gt;I105,_xlfn.CONCAT("W87-",RIGHT(F105,LEN(F105) - FIND("-",F105))), _xlfn.CONCAT("W87-",RIGHT(H105,LEN(H105) - FIND("-",H105)))))</f>
        <v>W87</v>
      </c>
      <c r="I154" s="65"/>
      <c r="J154" s="22">
        <v>110</v>
      </c>
      <c r="K154" s="22">
        <v>116</v>
      </c>
      <c r="L154" s="22" t="str">
        <f t="shared" si="24"/>
        <v>10C-098</v>
      </c>
      <c r="O154" s="2" t="str">
        <f t="shared" si="25"/>
        <v>pt_5-8 v 9-12</v>
      </c>
    </row>
    <row r="155" spans="1:15" ht="13.95" customHeight="1">
      <c r="A155" s="6">
        <f t="shared" si="26"/>
        <v>46223</v>
      </c>
      <c r="B155" s="21">
        <f>'CHICLETS MASTER S1'!A57</f>
        <v>0.47222222222222199</v>
      </c>
      <c r="C155" s="8" t="s">
        <v>194</v>
      </c>
      <c r="D155" s="41" t="str">
        <f t="shared" si="27"/>
        <v>EL TORO HS 2</v>
      </c>
      <c r="E155" s="8">
        <v>101</v>
      </c>
      <c r="F155" s="22" t="s">
        <v>379</v>
      </c>
      <c r="G155" s="65"/>
      <c r="H155" s="22" t="s">
        <v>380</v>
      </c>
      <c r="I155" s="65"/>
      <c r="J155" s="22">
        <v>132</v>
      </c>
      <c r="K155" s="22">
        <v>119</v>
      </c>
      <c r="L155" s="22" t="str">
        <f t="shared" si="24"/>
        <v>10C-101</v>
      </c>
      <c r="O155" s="2" t="str">
        <f t="shared" si="25"/>
        <v>pt_1-2 v 3-4</v>
      </c>
    </row>
    <row r="156" spans="1:15" ht="13.95" customHeight="1">
      <c r="A156" s="6">
        <f t="shared" si="26"/>
        <v>46223</v>
      </c>
      <c r="B156" s="21">
        <f>'CHICLETS MASTER S1'!A58</f>
        <v>0.50694444444444398</v>
      </c>
      <c r="C156" s="8" t="s">
        <v>194</v>
      </c>
      <c r="D156" s="41" t="str">
        <f t="shared" si="27"/>
        <v>EL TORO HS 2</v>
      </c>
      <c r="E156" s="8">
        <v>104</v>
      </c>
      <c r="F156" s="22" t="s">
        <v>381</v>
      </c>
      <c r="G156" s="65"/>
      <c r="H156" s="22" t="s">
        <v>382</v>
      </c>
      <c r="I156" s="65"/>
      <c r="J156" s="22">
        <v>131</v>
      </c>
      <c r="K156" s="22">
        <v>122</v>
      </c>
      <c r="L156" s="22" t="str">
        <f t="shared" si="24"/>
        <v>10C-104</v>
      </c>
      <c r="O156" s="2" t="str">
        <f t="shared" si="25"/>
        <v>pt_1-2 v 3-4</v>
      </c>
    </row>
    <row r="157" spans="1:15" ht="13.95" customHeight="1">
      <c r="A157" s="6">
        <f t="shared" si="26"/>
        <v>46223</v>
      </c>
      <c r="B157" s="21">
        <f>'CHICLETS MASTER S1'!A59</f>
        <v>0.54166666666666696</v>
      </c>
      <c r="C157" s="8" t="s">
        <v>199</v>
      </c>
      <c r="D157" s="41" t="str">
        <f t="shared" si="27"/>
        <v>EL TORO HS 2</v>
      </c>
      <c r="E157" s="8">
        <v>107</v>
      </c>
      <c r="F157" s="22" t="str">
        <f>IF(G151="","W89",IF(G151&gt;I151,_xlfn.CONCAT("W89-",RIGHT(F151,LEN(F151) - FIND("-",F151))), _xlfn.CONCAT("W89-",RIGHT(H151,LEN(H151) - FIND("-",H151)))))</f>
        <v>W89</v>
      </c>
      <c r="G157" s="65"/>
      <c r="H157" s="22" t="str">
        <f>IF(G152="","W92",IF(G152&gt;I152,_xlfn.CONCAT("W92-",RIGHT(F152,LEN(F152) - FIND("-",F152))), _xlfn.CONCAT("W92-",RIGHT(H152,LEN(H152) - FIND("-",H152)))))</f>
        <v>W92</v>
      </c>
      <c r="I157" s="65"/>
      <c r="J157" s="22">
        <v>119</v>
      </c>
      <c r="K157" s="22">
        <v>140</v>
      </c>
      <c r="L157" s="22" t="str">
        <f t="shared" si="24"/>
        <v>10C-107</v>
      </c>
      <c r="O157" s="2" t="str">
        <f t="shared" si="25"/>
        <v>pt_5-6 v 7-8</v>
      </c>
    </row>
    <row r="158" spans="1:15" ht="13.95" customHeight="1">
      <c r="A158" s="6">
        <f t="shared" si="26"/>
        <v>46223</v>
      </c>
      <c r="B158" s="21">
        <f>'CHICLETS MASTER S1'!A60</f>
        <v>0.57638888888888895</v>
      </c>
      <c r="C158" s="8" t="s">
        <v>199</v>
      </c>
      <c r="D158" s="41" t="str">
        <f t="shared" si="27"/>
        <v>EL TORO HS 2</v>
      </c>
      <c r="E158" s="8">
        <v>110</v>
      </c>
      <c r="F158" s="22" t="str">
        <f>IF(G153="","W95",IF(G153&gt;I153,_xlfn.CONCAT("W95-",RIGHT(F153,LEN(F153) - FIND("-",F153))), _xlfn.CONCAT("W95-",RIGHT(H153,LEN(H153) - FIND("-",H153)))))</f>
        <v>W95</v>
      </c>
      <c r="G158" s="65"/>
      <c r="H158" s="22" t="str">
        <f>IF(G154="","W98",IF(G154&gt;I154,_xlfn.CONCAT("W98-",RIGHT(F154,LEN(F154) - FIND("-",F154))), _xlfn.CONCAT("W98-",RIGHT(H154,LEN(H154) - FIND("-",H154)))))</f>
        <v>W98</v>
      </c>
      <c r="I158" s="65"/>
      <c r="J158" s="22">
        <v>122</v>
      </c>
      <c r="K158" s="22">
        <v>140</v>
      </c>
      <c r="L158" s="22" t="str">
        <f t="shared" si="24"/>
        <v>10C-110</v>
      </c>
      <c r="O158" s="2" t="str">
        <f t="shared" si="25"/>
        <v>pt_5-6 v 7-8</v>
      </c>
    </row>
    <row r="159" spans="1:15" ht="13.95" customHeight="1">
      <c r="A159" s="6">
        <f t="shared" si="26"/>
        <v>46223</v>
      </c>
      <c r="B159" s="21">
        <f>'CHICLETS MASTER S1'!A61</f>
        <v>0.61111111111111105</v>
      </c>
      <c r="C159" s="8" t="s">
        <v>200</v>
      </c>
      <c r="D159" s="41" t="str">
        <f t="shared" si="27"/>
        <v>EL TORO HS 2</v>
      </c>
      <c r="E159" s="8">
        <v>113</v>
      </c>
      <c r="F159" s="22" t="str">
        <f>IF(G152="","L92",IF(G152&lt;I152,_xlfn.CONCAT("L92-",RIGHT(F152,LEN(F152) - FIND("-",F152))), _xlfn.CONCAT("L92-",RIGHT(H152,LEN(H152) - FIND("-",H152)))))</f>
        <v>L92</v>
      </c>
      <c r="G159" s="65"/>
      <c r="H159" s="22" t="str">
        <f>IF(G151="","L89",IF(G151&lt;I151,_xlfn.CONCAT("L89-",RIGHT(F151,LEN(F151) - FIND("-",F151))), _xlfn.CONCAT("L89-",RIGHT(H151,LEN(H151) - FIND("-",H151)))))</f>
        <v>L89</v>
      </c>
      <c r="I159" s="65"/>
      <c r="J159" s="22">
        <v>138</v>
      </c>
      <c r="K159" s="22">
        <v>137</v>
      </c>
      <c r="L159" s="22" t="str">
        <f t="shared" si="24"/>
        <v>10C-113</v>
      </c>
      <c r="O159" s="2" t="str">
        <f t="shared" si="25"/>
        <v>pt_9-12 semi</v>
      </c>
    </row>
    <row r="160" spans="1:15" ht="13.95" customHeight="1">
      <c r="A160" s="6">
        <f t="shared" si="26"/>
        <v>46223</v>
      </c>
      <c r="B160" s="21">
        <f>'CHICLETS MASTER S1'!A62</f>
        <v>0.64583333333333304</v>
      </c>
      <c r="C160" s="8" t="s">
        <v>200</v>
      </c>
      <c r="D160" s="41" t="str">
        <f t="shared" si="27"/>
        <v>EL TORO HS 2</v>
      </c>
      <c r="E160" s="8">
        <v>116</v>
      </c>
      <c r="F160" s="22" t="str">
        <f>IF(G154="","L98",IF(G154&lt;I154,_xlfn.CONCAT("L98-",RIGHT(F154,LEN(F154) - FIND("-",F154))), _xlfn.CONCAT("L98-",RIGHT(H154,LEN(H154) - FIND("-",H154)))))</f>
        <v>L98</v>
      </c>
      <c r="G160" s="65"/>
      <c r="H160" s="22" t="str">
        <f>IF(G153="","L95",IF(G153&lt;I153,_xlfn.CONCAT("L95-",RIGHT(F153,LEN(F153) - FIND("-",F153))), _xlfn.CONCAT("L95-",RIGHT(H153,LEN(H153) - FIND("-",H153)))))</f>
        <v>L95</v>
      </c>
      <c r="I160" s="65"/>
      <c r="J160" s="22">
        <v>138</v>
      </c>
      <c r="K160" s="22">
        <v>137</v>
      </c>
      <c r="L160" s="22" t="str">
        <f t="shared" si="24"/>
        <v>10C-116</v>
      </c>
      <c r="O160" s="2" t="str">
        <f t="shared" si="25"/>
        <v>pt_9-12 semi</v>
      </c>
    </row>
    <row r="161" spans="1:15" ht="13.95" customHeight="1">
      <c r="A161" s="6">
        <f t="shared" si="26"/>
        <v>46223</v>
      </c>
      <c r="B161" s="21">
        <f>'CHICLETS MASTER S1'!A63</f>
        <v>0.68055555555555602</v>
      </c>
      <c r="C161" s="8" t="s">
        <v>166</v>
      </c>
      <c r="D161" s="41" t="str">
        <f t="shared" si="27"/>
        <v>EL TORO HS 2</v>
      </c>
      <c r="E161" s="8">
        <v>119</v>
      </c>
      <c r="F161" s="22" t="str">
        <f>IF(G155="","L101",IF(G155&lt;I155,_xlfn.CONCAT("L101-",RIGHT(F155,LEN(F155) - FIND("-",F155))), _xlfn.CONCAT("L101-",RIGHT(H155,LEN(H155) - FIND("-",H155)))))</f>
        <v>L101</v>
      </c>
      <c r="G161" s="65"/>
      <c r="H161" s="22" t="str">
        <f>IF(G157="","W107",IF(G157&gt;I157,_xlfn.CONCAT("W107-",RIGHT(F157,LEN(F157) - FIND("-",F157))), _xlfn.CONCAT("W107-",RIGHT(H157,LEN(H157) - FIND("-",H157)))))</f>
        <v>W107</v>
      </c>
      <c r="I161" s="65"/>
      <c r="J161" s="22">
        <v>131</v>
      </c>
      <c r="K161" s="22">
        <v>141</v>
      </c>
      <c r="L161" s="22" t="str">
        <f t="shared" si="24"/>
        <v>10C-119</v>
      </c>
      <c r="O161" s="2" t="str">
        <f t="shared" si="25"/>
        <v>pt_Play-in</v>
      </c>
    </row>
    <row r="162" spans="1:15" ht="13.95" customHeight="1">
      <c r="A162" s="6">
        <f t="shared" si="26"/>
        <v>46223</v>
      </c>
      <c r="B162" s="21">
        <f>'CHICLETS MASTER S1'!A64</f>
        <v>0.71527777777777801</v>
      </c>
      <c r="C162" s="8" t="s">
        <v>166</v>
      </c>
      <c r="D162" s="41" t="str">
        <f t="shared" si="27"/>
        <v>EL TORO HS 2</v>
      </c>
      <c r="E162" s="8">
        <v>122</v>
      </c>
      <c r="F162" s="22" t="str">
        <f>IF(G156="","L104",IF(G156&lt;I156,_xlfn.CONCAT("L104-",RIGHT(F156,LEN(F156) - FIND("-",F156))), _xlfn.CONCAT("L104-",RIGHT(H156,LEN(H156) - FIND("-",H156)))))</f>
        <v>L104</v>
      </c>
      <c r="G162" s="65"/>
      <c r="H162" s="22" t="str">
        <f>IF(G158="","W110",IF(G158&gt;I158,_xlfn.CONCAT("W110-",RIGHT(F158,LEN(F158) - FIND("-",F158))), _xlfn.CONCAT("W110-",RIGHT(H158,LEN(H158) - FIND("-",H158)))))</f>
        <v>W110</v>
      </c>
      <c r="I162" s="65"/>
      <c r="J162" s="22">
        <v>132</v>
      </c>
      <c r="K162" s="22">
        <v>141</v>
      </c>
      <c r="L162" s="22" t="str">
        <f t="shared" si="24"/>
        <v>10C-122</v>
      </c>
      <c r="O162" s="2" t="str">
        <f t="shared" si="25"/>
        <v>pt_Play-in</v>
      </c>
    </row>
    <row r="163" spans="1:15" ht="13.95" customHeight="1" thickBot="1">
      <c r="A163" s="24"/>
      <c r="B163" s="27"/>
    </row>
    <row r="164" spans="1:15" ht="13.95" customHeight="1" thickBot="1">
      <c r="D164" s="4" t="str">
        <f>'CHICLETS MASTER S1'!$D$51</f>
        <v>EL TORO HS 3</v>
      </c>
    </row>
    <row r="165" spans="1:15" ht="13.95" customHeight="1">
      <c r="A165" s="80" t="s">
        <v>110</v>
      </c>
      <c r="B165" s="80" t="s">
        <v>111</v>
      </c>
      <c r="C165" s="80" t="s">
        <v>112</v>
      </c>
      <c r="D165" s="80" t="s">
        <v>113</v>
      </c>
      <c r="E165" s="80" t="s">
        <v>114</v>
      </c>
      <c r="F165" s="80" t="s">
        <v>115</v>
      </c>
      <c r="G165" s="80" t="s">
        <v>116</v>
      </c>
      <c r="H165" s="80" t="s">
        <v>117</v>
      </c>
      <c r="I165" s="80" t="s">
        <v>116</v>
      </c>
      <c r="J165" s="80" t="s">
        <v>118</v>
      </c>
      <c r="K165" s="80" t="s">
        <v>119</v>
      </c>
      <c r="L165" s="80" t="s">
        <v>120</v>
      </c>
    </row>
    <row r="166" spans="1:15" ht="13.95" customHeight="1">
      <c r="A166" s="6">
        <f t="shared" ref="A166:A177" si="28">$A$148</f>
        <v>46223</v>
      </c>
      <c r="B166" s="21">
        <f>'CHICLETS MASTER S1'!A53</f>
        <v>0.33333333333333331</v>
      </c>
      <c r="C166" s="8" t="s">
        <v>383</v>
      </c>
      <c r="D166" s="41" t="str">
        <f>$D$164</f>
        <v>EL TORO HS 3</v>
      </c>
      <c r="E166" s="8">
        <v>90</v>
      </c>
      <c r="F166" s="22" t="s">
        <v>384</v>
      </c>
      <c r="G166" s="65"/>
      <c r="H166" s="22" t="s">
        <v>385</v>
      </c>
      <c r="I166" s="65"/>
      <c r="J166" s="22"/>
      <c r="K166" s="22"/>
      <c r="L166" s="22" t="str">
        <f t="shared" ref="L166:L177" si="29">IF(E166="","",$L$13&amp;"-"&amp;TEXT(E166,"000"))</f>
        <v>10C-090</v>
      </c>
      <c r="O166" s="2" t="str">
        <f t="shared" ref="O166:O177" si="30">$K$130&amp;C166</f>
        <v>pt_21-24 RR</v>
      </c>
    </row>
    <row r="167" spans="1:15" ht="13.95" customHeight="1">
      <c r="A167" s="6">
        <f t="shared" si="28"/>
        <v>46223</v>
      </c>
      <c r="B167" s="21">
        <f>'CHICLETS MASTER S1'!A54</f>
        <v>0.36805555555555558</v>
      </c>
      <c r="C167" s="8" t="s">
        <v>383</v>
      </c>
      <c r="D167" s="41" t="str">
        <f t="shared" ref="D167:D177" si="31">$D$164</f>
        <v>EL TORO HS 3</v>
      </c>
      <c r="E167" s="8">
        <v>93</v>
      </c>
      <c r="F167" s="22" t="s">
        <v>386</v>
      </c>
      <c r="G167" s="65"/>
      <c r="H167" s="22" t="s">
        <v>387</v>
      </c>
      <c r="I167" s="65"/>
      <c r="J167" s="22"/>
      <c r="K167" s="22"/>
      <c r="L167" s="22" t="str">
        <f t="shared" si="29"/>
        <v>10C-093</v>
      </c>
      <c r="O167" s="2" t="str">
        <f t="shared" si="30"/>
        <v>pt_21-24 RR</v>
      </c>
    </row>
    <row r="168" spans="1:15" ht="13.95" customHeight="1">
      <c r="A168" s="6">
        <f t="shared" si="28"/>
        <v>46223</v>
      </c>
      <c r="B168" s="21">
        <f>'CHICLETS MASTER S1'!A55</f>
        <v>0.40277777777777801</v>
      </c>
      <c r="C168" s="8" t="s">
        <v>388</v>
      </c>
      <c r="D168" s="41" t="str">
        <f t="shared" si="31"/>
        <v>EL TORO HS 3</v>
      </c>
      <c r="E168" s="8">
        <v>96</v>
      </c>
      <c r="F168" s="22" t="str">
        <f>IF(G124="","L88",IF(G124&lt;I124,_xlfn.CONCAT("L88-",RIGHT(F124,LEN(F124) - FIND("-",F124))), _xlfn.CONCAT("L88-",RIGHT(H124,LEN(H124) - FIND("-",H124)))))</f>
        <v>L88</v>
      </c>
      <c r="G168" s="65"/>
      <c r="H168" s="22" t="s">
        <v>389</v>
      </c>
      <c r="I168" s="65"/>
      <c r="J168" s="22">
        <v>114</v>
      </c>
      <c r="K168" s="22">
        <v>117</v>
      </c>
      <c r="L168" s="22" t="str">
        <f t="shared" si="29"/>
        <v>10C-096</v>
      </c>
      <c r="O168" s="2" t="str">
        <f t="shared" si="30"/>
        <v>pt_13-20 qtr</v>
      </c>
    </row>
    <row r="169" spans="1:15" ht="13.95" customHeight="1">
      <c r="A169" s="6">
        <f t="shared" si="28"/>
        <v>46223</v>
      </c>
      <c r="B169" s="21">
        <f>'CHICLETS MASTER S1'!A56</f>
        <v>0.4375</v>
      </c>
      <c r="C169" s="8" t="s">
        <v>388</v>
      </c>
      <c r="D169" s="41" t="str">
        <f t="shared" si="31"/>
        <v>EL TORO HS 3</v>
      </c>
      <c r="E169" s="8">
        <v>99</v>
      </c>
      <c r="F169" s="22" t="str">
        <f>IF(G123="","L86",IF(G123&lt;I123,_xlfn.CONCAT("L86-",RIGHT(F123,LEN(F123) - FIND("-",F123))), _xlfn.CONCAT("L86-",RIGHT(H123,LEN(H123) - FIND("-",H123)))))</f>
        <v>L86</v>
      </c>
      <c r="G169" s="65"/>
      <c r="H169" s="22" t="s">
        <v>390</v>
      </c>
      <c r="I169" s="65"/>
      <c r="J169" s="22">
        <v>114</v>
      </c>
      <c r="K169" s="22">
        <v>117</v>
      </c>
      <c r="L169" s="22" t="str">
        <f t="shared" si="29"/>
        <v>10C-099</v>
      </c>
      <c r="O169" s="2" t="str">
        <f t="shared" si="30"/>
        <v>pt_13-20 qtr</v>
      </c>
    </row>
    <row r="170" spans="1:15" ht="13.95" customHeight="1">
      <c r="A170" s="6">
        <f t="shared" si="28"/>
        <v>46223</v>
      </c>
      <c r="B170" s="21">
        <f>'CHICLETS MASTER S1'!A57</f>
        <v>0.47222222222222199</v>
      </c>
      <c r="C170" s="8" t="s">
        <v>388</v>
      </c>
      <c r="D170" s="41" t="str">
        <f t="shared" si="31"/>
        <v>EL TORO HS 3</v>
      </c>
      <c r="E170" s="8">
        <v>102</v>
      </c>
      <c r="F170" s="22" t="str">
        <f>IF(G105="","L87",IF(G105&lt;I105,_xlfn.CONCAT("L87-",RIGHT(F105,LEN(F105) - FIND("-",F105))), _xlfn.CONCAT("L87-",RIGHT(H105,LEN(H105) - FIND("-",H105)))))</f>
        <v>L87</v>
      </c>
      <c r="G170" s="65"/>
      <c r="H170" s="22" t="s">
        <v>391</v>
      </c>
      <c r="I170" s="65"/>
      <c r="J170" s="22">
        <v>120</v>
      </c>
      <c r="K170" s="22">
        <v>123</v>
      </c>
      <c r="L170" s="22" t="str">
        <f t="shared" si="29"/>
        <v>10C-102</v>
      </c>
      <c r="O170" s="2" t="str">
        <f t="shared" si="30"/>
        <v>pt_13-20 qtr</v>
      </c>
    </row>
    <row r="171" spans="1:15" ht="13.95" customHeight="1">
      <c r="A171" s="6">
        <f t="shared" si="28"/>
        <v>46223</v>
      </c>
      <c r="B171" s="21">
        <f>'CHICLETS MASTER S1'!A58</f>
        <v>0.50694444444444398</v>
      </c>
      <c r="C171" s="8" t="s">
        <v>388</v>
      </c>
      <c r="D171" s="41" t="str">
        <f t="shared" si="31"/>
        <v>EL TORO HS 3</v>
      </c>
      <c r="E171" s="8">
        <v>105</v>
      </c>
      <c r="F171" s="22" t="str">
        <f>IF(G104="","L85",IF(G104&lt;I104,_xlfn.CONCAT("L85-",RIGHT(F104,LEN(F104) - FIND("-",F104))), _xlfn.CONCAT("L85-",RIGHT(H104,LEN(H104) - FIND("-",H104)))))</f>
        <v>L85</v>
      </c>
      <c r="G171" s="65"/>
      <c r="H171" s="22" t="s">
        <v>392</v>
      </c>
      <c r="I171" s="65"/>
      <c r="J171" s="22">
        <v>120</v>
      </c>
      <c r="K171" s="22">
        <v>123</v>
      </c>
      <c r="L171" s="22" t="str">
        <f t="shared" si="29"/>
        <v>10C-105</v>
      </c>
      <c r="O171" s="2" t="str">
        <f t="shared" si="30"/>
        <v>pt_13-20 qtr</v>
      </c>
    </row>
    <row r="172" spans="1:15" ht="13.95" customHeight="1">
      <c r="A172" s="6">
        <f t="shared" si="28"/>
        <v>46223</v>
      </c>
      <c r="B172" s="21">
        <f>'CHICLETS MASTER S1'!A59</f>
        <v>0.54166666666666696</v>
      </c>
      <c r="C172" s="8" t="s">
        <v>383</v>
      </c>
      <c r="D172" s="41" t="str">
        <f t="shared" si="31"/>
        <v>EL TORO HS 3</v>
      </c>
      <c r="E172" s="8">
        <v>108</v>
      </c>
      <c r="F172" s="22" t="s">
        <v>386</v>
      </c>
      <c r="G172" s="65"/>
      <c r="H172" s="22" t="s">
        <v>385</v>
      </c>
      <c r="I172" s="65"/>
      <c r="J172" s="22"/>
      <c r="K172" s="22"/>
      <c r="L172" s="22" t="str">
        <f t="shared" si="29"/>
        <v>10C-108</v>
      </c>
      <c r="O172" s="2" t="str">
        <f t="shared" si="30"/>
        <v>pt_21-24 RR</v>
      </c>
    </row>
    <row r="173" spans="1:15" ht="13.95" customHeight="1">
      <c r="A173" s="6">
        <f t="shared" si="28"/>
        <v>46223</v>
      </c>
      <c r="B173" s="21">
        <f>'CHICLETS MASTER S1'!A60</f>
        <v>0.57638888888888895</v>
      </c>
      <c r="C173" s="8" t="s">
        <v>383</v>
      </c>
      <c r="D173" s="41" t="str">
        <f t="shared" si="31"/>
        <v>EL TORO HS 3</v>
      </c>
      <c r="E173" s="8">
        <v>111</v>
      </c>
      <c r="F173" s="22" t="s">
        <v>384</v>
      </c>
      <c r="G173" s="65"/>
      <c r="H173" s="22" t="s">
        <v>387</v>
      </c>
      <c r="I173" s="65"/>
      <c r="J173" s="22"/>
      <c r="K173" s="22"/>
      <c r="L173" s="22" t="str">
        <f t="shared" si="29"/>
        <v>10C-111</v>
      </c>
      <c r="O173" s="2" t="str">
        <f t="shared" si="30"/>
        <v>pt_21-24 RR</v>
      </c>
    </row>
    <row r="174" spans="1:15" ht="13.95" customHeight="1">
      <c r="A174" s="6">
        <f t="shared" si="28"/>
        <v>46223</v>
      </c>
      <c r="B174" s="21">
        <f>'CHICLETS MASTER S1'!A61</f>
        <v>0.61111111111111105</v>
      </c>
      <c r="C174" s="8" t="s">
        <v>393</v>
      </c>
      <c r="D174" s="41" t="str">
        <f t="shared" si="31"/>
        <v>EL TORO HS 3</v>
      </c>
      <c r="E174" s="8">
        <v>114</v>
      </c>
      <c r="F174" s="22" t="str">
        <f>IF(G168="","W96",IF(G168&gt;I168,_xlfn.CONCAT("W96-",RIGHT(F168,LEN(F168) - FIND("-",F168))), _xlfn.CONCAT("W96-",RIGHT(H168,LEN(H168) - FIND("-",H168)))))</f>
        <v>W96</v>
      </c>
      <c r="G174" s="65"/>
      <c r="H174" s="22" t="str">
        <f>IF(G169="","W99",IF(G169&gt;I169,_xlfn.CONCAT("W99-",RIGHT(F169,LEN(F169) - FIND("-",F169))), _xlfn.CONCAT("W99-",RIGHT(H169,LEN(H169) - FIND("-",H169)))))</f>
        <v>W99</v>
      </c>
      <c r="I174" s="65"/>
      <c r="J174" s="22">
        <v>135</v>
      </c>
      <c r="K174" s="22">
        <v>134</v>
      </c>
      <c r="L174" s="22" t="str">
        <f t="shared" si="29"/>
        <v>10C-114</v>
      </c>
      <c r="O174" s="2" t="str">
        <f t="shared" si="30"/>
        <v>pt_13-16 semi</v>
      </c>
    </row>
    <row r="175" spans="1:15" ht="13.95" customHeight="1">
      <c r="A175" s="6">
        <f t="shared" si="28"/>
        <v>46223</v>
      </c>
      <c r="B175" s="21">
        <f>'CHICLETS MASTER S1'!A62</f>
        <v>0.64583333333333304</v>
      </c>
      <c r="C175" s="8" t="s">
        <v>394</v>
      </c>
      <c r="D175" s="41" t="str">
        <f t="shared" si="31"/>
        <v>EL TORO HS 3</v>
      </c>
      <c r="E175" s="8">
        <v>117</v>
      </c>
      <c r="F175" s="22" t="str">
        <f>IF(G169="","L99",IF(G169&lt;I169,_xlfn.CONCAT("L99-",RIGHT(F169,LEN(F169) - FIND("-",F169))), _xlfn.CONCAT("L99-",RIGHT(H169,LEN(H169) - FIND("-",H169)))))</f>
        <v>L99</v>
      </c>
      <c r="G175" s="65"/>
      <c r="H175" s="22" t="str">
        <f>IF(G168="","L96",IF(G168&lt;I168,_xlfn.CONCAT("L96-",RIGHT(F168,LEN(F168) - FIND("-",F168))), _xlfn.CONCAT("L96-",RIGHT(H168,LEN(H168) - FIND("-",H168)))))</f>
        <v>L96</v>
      </c>
      <c r="I175" s="65"/>
      <c r="J175" s="22">
        <v>129</v>
      </c>
      <c r="K175" s="22">
        <v>128</v>
      </c>
      <c r="L175" s="22" t="str">
        <f t="shared" si="29"/>
        <v>10C-117</v>
      </c>
      <c r="O175" s="2" t="str">
        <f t="shared" si="30"/>
        <v>pt_17-20 semi</v>
      </c>
    </row>
    <row r="176" spans="1:15" ht="13.95" customHeight="1">
      <c r="A176" s="6">
        <f t="shared" si="28"/>
        <v>46223</v>
      </c>
      <c r="B176" s="21">
        <f>'CHICLETS MASTER S1'!A63</f>
        <v>0.68055555555555602</v>
      </c>
      <c r="C176" s="8" t="s">
        <v>393</v>
      </c>
      <c r="D176" s="41" t="str">
        <f t="shared" si="31"/>
        <v>EL TORO HS 3</v>
      </c>
      <c r="E176" s="8">
        <v>120</v>
      </c>
      <c r="F176" s="22" t="str">
        <f>IF(G170="","W102",IF(G170&gt;I170,_xlfn.CONCAT("W102-",RIGHT(F170,LEN(F170) - FIND("-",F170))), _xlfn.CONCAT("W102-",RIGHT(H170,LEN(H170) - FIND("-",H170)))))</f>
        <v>W102</v>
      </c>
      <c r="G176" s="65"/>
      <c r="H176" s="22" t="str">
        <f>IF(G171="","W105",IF(G171&gt;I171,_xlfn.CONCAT("W105-",RIGHT(F171,LEN(F171) - FIND("-",F171))), _xlfn.CONCAT("W105-",RIGHT(H171,LEN(H171) - FIND("-",H171)))))</f>
        <v>W105</v>
      </c>
      <c r="I176" s="65"/>
      <c r="J176" s="22">
        <v>135</v>
      </c>
      <c r="K176" s="22">
        <v>134</v>
      </c>
      <c r="L176" s="22" t="str">
        <f t="shared" si="29"/>
        <v>10C-120</v>
      </c>
      <c r="O176" s="2" t="str">
        <f t="shared" si="30"/>
        <v>pt_13-16 semi</v>
      </c>
    </row>
    <row r="177" spans="1:15" ht="13.95" customHeight="1">
      <c r="A177" s="6">
        <f t="shared" si="28"/>
        <v>46223</v>
      </c>
      <c r="B177" s="21">
        <f>'CHICLETS MASTER S1'!A64</f>
        <v>0.71527777777777801</v>
      </c>
      <c r="C177" s="8" t="s">
        <v>394</v>
      </c>
      <c r="D177" s="41" t="str">
        <f t="shared" si="31"/>
        <v>EL TORO HS 3</v>
      </c>
      <c r="E177" s="8">
        <v>123</v>
      </c>
      <c r="F177" s="22" t="str">
        <f>IF(G171="","L105",IF(G171&lt;I171,_xlfn.CONCAT("L105-",RIGHT(F171,LEN(F171) - FIND("-",F171))), _xlfn.CONCAT("L105-",RIGHT(H171,LEN(H171) - FIND("-",H171)))))</f>
        <v>L105</v>
      </c>
      <c r="G177" s="67"/>
      <c r="H177" s="22" t="str">
        <f>IF(G170="","L102",IF(G170&lt;I170,_xlfn.CONCAT("L102-",RIGHT(F170,LEN(F170) - FIND("-",F170))), _xlfn.CONCAT("L102-",RIGHT(H170,LEN(H170) - FIND("-",H170)))))</f>
        <v>L102</v>
      </c>
      <c r="I177" s="67"/>
      <c r="J177" s="22">
        <v>129</v>
      </c>
      <c r="K177" s="22">
        <v>128</v>
      </c>
      <c r="L177" s="22" t="str">
        <f t="shared" si="29"/>
        <v>10C-123</v>
      </c>
      <c r="O177" s="2" t="str">
        <f t="shared" si="30"/>
        <v>pt_17-20 semi</v>
      </c>
    </row>
    <row r="178" spans="1:15" ht="13.95" customHeight="1" thickBot="1">
      <c r="A178" s="24"/>
      <c r="B178" s="27"/>
    </row>
    <row r="179" spans="1:15" ht="13.95" customHeight="1" thickBot="1">
      <c r="D179" s="4" t="str">
        <f>'CHICLETS MASTER S1'!$G$51</f>
        <v>CAPISTRANO VALLEY HS 2</v>
      </c>
    </row>
    <row r="180" spans="1:15" ht="13.95" customHeight="1">
      <c r="A180" s="80" t="s">
        <v>110</v>
      </c>
      <c r="B180" s="80" t="s">
        <v>111</v>
      </c>
      <c r="C180" s="80" t="s">
        <v>112</v>
      </c>
      <c r="D180" s="80" t="s">
        <v>113</v>
      </c>
      <c r="E180" s="80" t="s">
        <v>114</v>
      </c>
      <c r="F180" s="80" t="s">
        <v>115</v>
      </c>
      <c r="G180" s="80" t="s">
        <v>116</v>
      </c>
      <c r="H180" s="80" t="s">
        <v>117</v>
      </c>
      <c r="I180" s="80" t="s">
        <v>116</v>
      </c>
      <c r="J180" s="80" t="s">
        <v>118</v>
      </c>
      <c r="K180" s="80" t="s">
        <v>119</v>
      </c>
      <c r="L180" s="80" t="s">
        <v>120</v>
      </c>
    </row>
    <row r="181" spans="1:15" ht="13.95" customHeight="1">
      <c r="A181" s="6">
        <f t="shared" si="26"/>
        <v>46223</v>
      </c>
      <c r="B181" s="21">
        <f>'CHICLETS MASTER S1'!A53</f>
        <v>0.33333333333333331</v>
      </c>
      <c r="C181" s="8" t="s">
        <v>189</v>
      </c>
      <c r="D181" s="41" t="str">
        <f>$D$179</f>
        <v>CAPISTRANO VALLEY HS 2</v>
      </c>
      <c r="E181" s="8">
        <v>91</v>
      </c>
      <c r="F181" s="25" t="s">
        <v>395</v>
      </c>
      <c r="G181" s="25"/>
      <c r="H181" s="25" t="s">
        <v>396</v>
      </c>
      <c r="I181" s="25"/>
      <c r="J181" s="25">
        <v>109</v>
      </c>
      <c r="K181" s="25">
        <v>115</v>
      </c>
      <c r="L181" s="25" t="str">
        <f t="shared" ref="L181:L188" si="32">IF(E181="","",$L$13&amp;"-"&amp;TEXT(E181,"000"))</f>
        <v>10C-091</v>
      </c>
      <c r="O181" s="2" t="str">
        <f t="shared" ref="O181:O188" si="33">$K$131&amp;C181</f>
        <v>au_5-8 v 9-12</v>
      </c>
    </row>
    <row r="182" spans="1:15" ht="13.95" customHeight="1">
      <c r="A182" s="6">
        <f t="shared" si="26"/>
        <v>46223</v>
      </c>
      <c r="B182" s="21">
        <f>'CHICLETS MASTER S1'!A54</f>
        <v>0.36805555555555558</v>
      </c>
      <c r="C182" s="8" t="s">
        <v>189</v>
      </c>
      <c r="D182" s="41" t="str">
        <f t="shared" ref="D182:D192" si="34">$D$179</f>
        <v>CAPISTRANO VALLEY HS 2</v>
      </c>
      <c r="E182" s="8">
        <v>94</v>
      </c>
      <c r="F182" s="25" t="s">
        <v>397</v>
      </c>
      <c r="G182" s="25"/>
      <c r="H182" s="25" t="s">
        <v>398</v>
      </c>
      <c r="I182" s="25"/>
      <c r="J182" s="25">
        <v>112</v>
      </c>
      <c r="K182" s="25">
        <v>118</v>
      </c>
      <c r="L182" s="25" t="str">
        <f t="shared" si="32"/>
        <v>10C-094</v>
      </c>
      <c r="O182" s="2" t="str">
        <f t="shared" si="33"/>
        <v>au_5-8 v 9-12</v>
      </c>
    </row>
    <row r="183" spans="1:15" ht="13.95" customHeight="1">
      <c r="A183" s="6">
        <f t="shared" si="26"/>
        <v>46223</v>
      </c>
      <c r="B183" s="21">
        <f>'CHICLETS MASTER S1'!A55</f>
        <v>0.40277777777777801</v>
      </c>
      <c r="C183" s="8" t="s">
        <v>189</v>
      </c>
      <c r="D183" s="41" t="str">
        <f t="shared" si="34"/>
        <v>CAPISTRANO VALLEY HS 2</v>
      </c>
      <c r="E183" s="8">
        <v>97</v>
      </c>
      <c r="F183" s="25" t="s">
        <v>399</v>
      </c>
      <c r="G183" s="25"/>
      <c r="H183" s="25" t="s">
        <v>400</v>
      </c>
      <c r="I183" s="25"/>
      <c r="J183" s="25">
        <v>109</v>
      </c>
      <c r="K183" s="25">
        <v>115</v>
      </c>
      <c r="L183" s="25" t="str">
        <f t="shared" si="32"/>
        <v>10C-097</v>
      </c>
      <c r="O183" s="2" t="str">
        <f t="shared" si="33"/>
        <v>au_5-8 v 9-12</v>
      </c>
    </row>
    <row r="184" spans="1:15" ht="13.95" customHeight="1">
      <c r="A184" s="6">
        <f t="shared" si="26"/>
        <v>46223</v>
      </c>
      <c r="B184" s="21">
        <f>'CHICLETS MASTER S1'!A56</f>
        <v>0.4375</v>
      </c>
      <c r="C184" s="8" t="s">
        <v>189</v>
      </c>
      <c r="D184" s="41" t="str">
        <f t="shared" si="34"/>
        <v>CAPISTRANO VALLEY HS 2</v>
      </c>
      <c r="E184" s="8">
        <v>100</v>
      </c>
      <c r="F184" s="25" t="s">
        <v>401</v>
      </c>
      <c r="G184" s="25"/>
      <c r="H184" s="25" t="s">
        <v>402</v>
      </c>
      <c r="I184" s="25"/>
      <c r="J184" s="25">
        <v>112</v>
      </c>
      <c r="K184" s="25">
        <v>118</v>
      </c>
      <c r="L184" s="25" t="str">
        <f t="shared" si="32"/>
        <v>10C-100</v>
      </c>
      <c r="O184" s="2" t="str">
        <f t="shared" si="33"/>
        <v>au_5-8 v 9-12</v>
      </c>
    </row>
    <row r="185" spans="1:15" ht="13.95" customHeight="1">
      <c r="A185" s="6">
        <f t="shared" si="26"/>
        <v>46223</v>
      </c>
      <c r="B185" s="21">
        <f>'CHICLETS MASTER S1'!A57</f>
        <v>0.47222222222222199</v>
      </c>
      <c r="C185" s="8" t="s">
        <v>194</v>
      </c>
      <c r="D185" s="41" t="str">
        <f t="shared" si="34"/>
        <v>CAPISTRANO VALLEY HS 2</v>
      </c>
      <c r="E185" s="8">
        <v>103</v>
      </c>
      <c r="F185" s="25" t="s">
        <v>403</v>
      </c>
      <c r="G185" s="25"/>
      <c r="H185" s="25" t="s">
        <v>404</v>
      </c>
      <c r="I185" s="25"/>
      <c r="J185" s="25">
        <v>130</v>
      </c>
      <c r="K185" s="25">
        <v>121</v>
      </c>
      <c r="L185" s="25" t="str">
        <f t="shared" si="32"/>
        <v>10C-103</v>
      </c>
      <c r="O185" s="2" t="str">
        <f t="shared" si="33"/>
        <v>au_1-2 v 3-4</v>
      </c>
    </row>
    <row r="186" spans="1:15" ht="13.95" customHeight="1">
      <c r="A186" s="6">
        <f t="shared" si="26"/>
        <v>46223</v>
      </c>
      <c r="B186" s="21">
        <f>'CHICLETS MASTER S1'!A58</f>
        <v>0.50694444444444398</v>
      </c>
      <c r="C186" s="8" t="s">
        <v>194</v>
      </c>
      <c r="D186" s="41" t="str">
        <f t="shared" si="34"/>
        <v>CAPISTRANO VALLEY HS 2</v>
      </c>
      <c r="E186" s="8">
        <v>106</v>
      </c>
      <c r="F186" s="25" t="s">
        <v>405</v>
      </c>
      <c r="G186" s="25"/>
      <c r="H186" s="25" t="s">
        <v>406</v>
      </c>
      <c r="I186" s="25"/>
      <c r="J186" s="25">
        <v>127</v>
      </c>
      <c r="K186" s="25">
        <v>124</v>
      </c>
      <c r="L186" s="25" t="str">
        <f t="shared" si="32"/>
        <v>10C-106</v>
      </c>
      <c r="O186" s="2" t="str">
        <f t="shared" si="33"/>
        <v>au_1-2 v 3-4</v>
      </c>
    </row>
    <row r="187" spans="1:15" ht="13.95" customHeight="1">
      <c r="A187" s="6">
        <f t="shared" si="26"/>
        <v>46223</v>
      </c>
      <c r="B187" s="21">
        <f>'CHICLETS MASTER S1'!A59</f>
        <v>0.54166666666666696</v>
      </c>
      <c r="C187" s="8" t="s">
        <v>199</v>
      </c>
      <c r="D187" s="41" t="str">
        <f t="shared" si="34"/>
        <v>CAPISTRANO VALLEY HS 2</v>
      </c>
      <c r="E187" s="8">
        <v>109</v>
      </c>
      <c r="F187" s="25" t="str">
        <f>IF(G181="","W91",IF(G181&gt;I181,_xlfn.CONCAT("W91-",RIGHT(F181,LEN(F181) - FIND("-",F181))), _xlfn.CONCAT("W91-",RIGHT(H181,LEN(H181) - FIND("-",H181)))))</f>
        <v>W91</v>
      </c>
      <c r="G187" s="25"/>
      <c r="H187" s="25" t="str">
        <f>IF(G183="","W97",IF(G183&gt;I183,_xlfn.CONCAT("W97-",RIGHT(F183,LEN(F183) - FIND("-",F183))), _xlfn.CONCAT("W97-",RIGHT(H183,LEN(H183) - FIND("-",H183)))))</f>
        <v>W97</v>
      </c>
      <c r="I187" s="25"/>
      <c r="J187" s="25">
        <v>121</v>
      </c>
      <c r="K187" s="25">
        <v>142</v>
      </c>
      <c r="L187" s="25" t="str">
        <f t="shared" si="32"/>
        <v>10C-109</v>
      </c>
      <c r="O187" s="2" t="str">
        <f t="shared" si="33"/>
        <v>au_5-6 v 7-8</v>
      </c>
    </row>
    <row r="188" spans="1:15" ht="13.95" customHeight="1">
      <c r="A188" s="6">
        <f t="shared" si="26"/>
        <v>46223</v>
      </c>
      <c r="B188" s="21">
        <f>'CHICLETS MASTER S1'!A60</f>
        <v>0.57638888888888895</v>
      </c>
      <c r="C188" s="8" t="s">
        <v>199</v>
      </c>
      <c r="D188" s="41" t="str">
        <f t="shared" si="34"/>
        <v>CAPISTRANO VALLEY HS 2</v>
      </c>
      <c r="E188" s="8">
        <v>112</v>
      </c>
      <c r="F188" s="25" t="str">
        <f>IF(G182="","W94",IF(G182&gt;I182,_xlfn.CONCAT("W94-",RIGHT(F182,LEN(F182) - FIND("-",F182))), _xlfn.CONCAT("W94-",RIGHT(H182,LEN(H182) - FIND("-",H182)))))</f>
        <v>W94</v>
      </c>
      <c r="G188" s="25"/>
      <c r="H188" s="25" t="str">
        <f>IF(G184="","W100",IF(G184&gt;I184,_xlfn.CONCAT("W100-",RIGHT(F184,LEN(F184) - FIND("-",F184))), _xlfn.CONCAT("W100-",RIGHT(H184,LEN(H184) - FIND("-",H184)))))</f>
        <v>W100</v>
      </c>
      <c r="I188" s="25"/>
      <c r="J188" s="25">
        <v>124</v>
      </c>
      <c r="K188" s="25">
        <v>142</v>
      </c>
      <c r="L188" s="25" t="str">
        <f t="shared" si="32"/>
        <v>10C-112</v>
      </c>
      <c r="O188" s="2" t="str">
        <f t="shared" si="33"/>
        <v>au_5-6 v 7-8</v>
      </c>
    </row>
    <row r="189" spans="1:15" ht="13.95" customHeight="1">
      <c r="A189" s="6">
        <f t="shared" si="26"/>
        <v>46223</v>
      </c>
      <c r="B189" s="21">
        <f>'CHICLETS MASTER S1'!A61</f>
        <v>0.61111111111111105</v>
      </c>
      <c r="C189" s="8" t="s">
        <v>200</v>
      </c>
      <c r="D189" s="41" t="str">
        <f t="shared" si="34"/>
        <v>CAPISTRANO VALLEY HS 2</v>
      </c>
      <c r="E189" s="8">
        <v>115</v>
      </c>
      <c r="F189" s="25" t="str">
        <f>IF(G183="","L97",IF(G183&lt;I183,_xlfn.CONCAT("L97-",RIGHT(F183,LEN(F183) - FIND("-",F183))), _xlfn.CONCAT("L97-",RIGHT(H183,LEN(H183) - FIND("-",H183)))))</f>
        <v>L97</v>
      </c>
      <c r="G189" s="25"/>
      <c r="H189" s="25" t="str">
        <f>IF(G181="","L91",IF(G181&lt;I181,_xlfn.CONCAT("L91-",RIGHT(F181,LEN(F181) - FIND("-",F181))), _xlfn.CONCAT("L91-",RIGHT(H181,LEN(H181) - FIND("-",H181)))))</f>
        <v>L91</v>
      </c>
      <c r="I189" s="25"/>
      <c r="J189" s="25">
        <v>133</v>
      </c>
      <c r="K189" s="25">
        <v>136</v>
      </c>
      <c r="L189" s="25" t="str">
        <f>IF(E189="","",$L$13&amp;"-"&amp;TEXT(E189,"000"))</f>
        <v>10C-115</v>
      </c>
      <c r="O189" s="2" t="str">
        <f>$K$131&amp;C189</f>
        <v>au_9-12 semi</v>
      </c>
    </row>
    <row r="190" spans="1:15" ht="13.95" customHeight="1">
      <c r="A190" s="6">
        <f t="shared" si="26"/>
        <v>46223</v>
      </c>
      <c r="B190" s="21">
        <f>'CHICLETS MASTER S1'!A62</f>
        <v>0.64583333333333304</v>
      </c>
      <c r="C190" s="8" t="s">
        <v>200</v>
      </c>
      <c r="D190" s="41" t="str">
        <f t="shared" si="34"/>
        <v>CAPISTRANO VALLEY HS 2</v>
      </c>
      <c r="E190" s="8">
        <v>118</v>
      </c>
      <c r="F190" s="25" t="str">
        <f>IF(G184="","L100",IF(G184&lt;I184,_xlfn.CONCAT("L100-",RIGHT(F184,LEN(F184) - FIND("-",F184))), _xlfn.CONCAT("L100-",RIGHT(H184,LEN(H184) - FIND("-",H184)))))</f>
        <v>L100</v>
      </c>
      <c r="G190" s="25"/>
      <c r="H190" s="25" t="str">
        <f>IF(G182="","L94",IF(G182&lt;I182,_xlfn.CONCAT("L94-",RIGHT(F182,LEN(F182) - FIND("-",F182))), _xlfn.CONCAT("L94-",RIGHT(H182,LEN(H182) - FIND("-",H182)))))</f>
        <v>L94</v>
      </c>
      <c r="I190" s="25"/>
      <c r="J190" s="25">
        <v>133</v>
      </c>
      <c r="K190" s="25">
        <v>136</v>
      </c>
      <c r="L190" s="25" t="str">
        <f>IF(E190="","",$L$13&amp;"-"&amp;TEXT(E190,"000"))</f>
        <v>10C-118</v>
      </c>
      <c r="O190" s="2" t="str">
        <f>$K$131&amp;C190</f>
        <v>au_9-12 semi</v>
      </c>
    </row>
    <row r="191" spans="1:15" ht="13.95" customHeight="1">
      <c r="A191" s="6">
        <f t="shared" si="26"/>
        <v>46223</v>
      </c>
      <c r="B191" s="21">
        <f>'CHICLETS MASTER S1'!A63</f>
        <v>0.68055555555555602</v>
      </c>
      <c r="C191" s="8" t="s">
        <v>166</v>
      </c>
      <c r="D191" s="41" t="str">
        <f t="shared" si="34"/>
        <v>CAPISTRANO VALLEY HS 2</v>
      </c>
      <c r="E191" s="8">
        <v>121</v>
      </c>
      <c r="F191" s="25" t="str">
        <f>IF(G185="","L103",IF(G185&lt;I185,_xlfn.CONCAT("L103-",RIGHT(F185,LEN(F185) - FIND("-",F185))), _xlfn.CONCAT("L103-",RIGHT(H185,LEN(H185) - FIND("-",H185)))))</f>
        <v>L103</v>
      </c>
      <c r="G191" s="25"/>
      <c r="H191" s="25" t="str">
        <f>IF(G187="","W109",IF(G187&gt;I187,_xlfn.CONCAT("W109-",RIGHT(F187,LEN(F187) - FIND("-",F187))), _xlfn.CONCAT("W109-",RIGHT(H187,LEN(H187) - FIND("-",H187)))))</f>
        <v>W109</v>
      </c>
      <c r="I191" s="25"/>
      <c r="J191" s="25">
        <v>127</v>
      </c>
      <c r="K191" s="25">
        <v>139</v>
      </c>
      <c r="L191" s="25" t="str">
        <f>IF(E191="","",$L$13&amp;"-"&amp;TEXT(E191,"000"))</f>
        <v>10C-121</v>
      </c>
      <c r="O191" s="2" t="str">
        <f>$K$131&amp;C191</f>
        <v>au_Play-in</v>
      </c>
    </row>
    <row r="192" spans="1:15" ht="13.95" customHeight="1">
      <c r="A192" s="6">
        <f t="shared" si="26"/>
        <v>46223</v>
      </c>
      <c r="B192" s="21">
        <f>'CHICLETS MASTER S1'!A64</f>
        <v>0.71527777777777801</v>
      </c>
      <c r="C192" s="8" t="s">
        <v>166</v>
      </c>
      <c r="D192" s="41" t="str">
        <f t="shared" si="34"/>
        <v>CAPISTRANO VALLEY HS 2</v>
      </c>
      <c r="E192" s="8">
        <v>124</v>
      </c>
      <c r="F192" s="25" t="str">
        <f>IF(G186="","L106",IF(G186&lt;I186,_xlfn.CONCAT("L106-",RIGHT(F186,LEN(F186) - FIND("-",F186))), _xlfn.CONCAT("L106-",RIGHT(H186,LEN(H186) - FIND("-",H186)))))</f>
        <v>L106</v>
      </c>
      <c r="G192" s="25"/>
      <c r="H192" s="25" t="str">
        <f>IF(G188="","W112",IF(G188&gt;I188,_xlfn.CONCAT("W112-",RIGHT(F188,LEN(F188) - FIND("-",F188))), _xlfn.CONCAT("W112-",RIGHT(H188,LEN(H188) - FIND("-",H188)))))</f>
        <v>W112</v>
      </c>
      <c r="I192" s="25"/>
      <c r="J192" s="25">
        <v>130</v>
      </c>
      <c r="K192" s="25">
        <v>139</v>
      </c>
      <c r="L192" s="25" t="str">
        <f>IF(E192="","",$L$13&amp;"-"&amp;TEXT(E192,"000"))</f>
        <v>10C-124</v>
      </c>
      <c r="O192" s="2" t="str">
        <f>$K$131&amp;C192</f>
        <v>au_Play-in</v>
      </c>
    </row>
    <row r="194" spans="1:15" ht="13.95" customHeight="1" thickTop="1" thickBot="1">
      <c r="A194" s="48" t="s">
        <v>205</v>
      </c>
      <c r="B194" s="50"/>
      <c r="C194" s="50"/>
      <c r="D194" s="50"/>
      <c r="E194" s="50"/>
      <c r="F194" s="50"/>
      <c r="G194" s="57"/>
      <c r="H194" s="50"/>
      <c r="I194" s="57"/>
      <c r="J194" s="50"/>
      <c r="K194" s="50"/>
      <c r="L194" s="50"/>
    </row>
    <row r="195" spans="1:15" ht="13.95" customHeight="1">
      <c r="A195" s="3">
        <v>46224</v>
      </c>
    </row>
    <row r="196" spans="1:15" ht="13.95" customHeight="1" thickBot="1"/>
    <row r="197" spans="1:15" ht="13.95" customHeight="1" thickBot="1">
      <c r="D197" s="4" t="str">
        <f>'CHICLETS MASTER S1'!$E$72</f>
        <v>BECKMAN HS 2</v>
      </c>
    </row>
    <row r="198" spans="1:15" ht="13.95" customHeight="1">
      <c r="A198" s="80" t="s">
        <v>110</v>
      </c>
      <c r="B198" s="80" t="s">
        <v>111</v>
      </c>
      <c r="C198" s="80" t="s">
        <v>112</v>
      </c>
      <c r="D198" s="80" t="s">
        <v>113</v>
      </c>
      <c r="E198" s="80" t="s">
        <v>114</v>
      </c>
      <c r="F198" s="80" t="s">
        <v>115</v>
      </c>
      <c r="G198" s="80" t="s">
        <v>116</v>
      </c>
      <c r="H198" s="80" t="s">
        <v>117</v>
      </c>
      <c r="I198" s="80" t="s">
        <v>116</v>
      </c>
      <c r="J198" s="80" t="s">
        <v>118</v>
      </c>
      <c r="K198" s="80" t="s">
        <v>119</v>
      </c>
      <c r="L198" s="80" t="s">
        <v>120</v>
      </c>
    </row>
    <row r="199" spans="1:15" ht="13.95" customHeight="1">
      <c r="A199" s="6">
        <f t="shared" ref="A199:A240" si="35">$A$195</f>
        <v>46224</v>
      </c>
      <c r="B199" s="82">
        <f>'CHICLETS MASTER S1'!A74</f>
        <v>0.33333333333333298</v>
      </c>
      <c r="C199" s="41" t="s">
        <v>218</v>
      </c>
      <c r="D199" s="41" t="str">
        <f>$D$197</f>
        <v>BECKMAN HS 2</v>
      </c>
      <c r="E199" s="8">
        <v>136</v>
      </c>
      <c r="F199" s="25" t="str">
        <f>IF(G189="","L115",IF(G189&lt;I189,_xlfn.CONCAT("L115-",RIGHT(F189,LEN(F189) - FIND("-",F189))), _xlfn.CONCAT("L115-",RIGHT(H189,LEN(H189) - FIND("-",H189)))))</f>
        <v>L115</v>
      </c>
      <c r="G199" s="25"/>
      <c r="H199" s="25" t="str">
        <f>IF(G190="","L118",IF(G190&lt;I190,_xlfn.CONCAT("L118-",RIGHT(F190,LEN(F190) - FIND("-",F190))), _xlfn.CONCAT("L118-",RIGHT(H190,LEN(H190) - FIND("-",H190)))))</f>
        <v>L118</v>
      </c>
      <c r="I199" s="25"/>
      <c r="J199" s="25" t="s">
        <v>218</v>
      </c>
      <c r="K199" s="25" t="s">
        <v>219</v>
      </c>
      <c r="L199" s="25" t="str">
        <f>IF(E199="","",$L$13&amp;"-"&amp;TEXT(E199,"000"))</f>
        <v>10C-136</v>
      </c>
      <c r="O199" s="2" t="str">
        <f>$K$131&amp;C199</f>
        <v>au_11th</v>
      </c>
    </row>
    <row r="201" spans="1:15" ht="13.95" customHeight="1">
      <c r="A201" s="6">
        <f t="shared" si="35"/>
        <v>46224</v>
      </c>
      <c r="B201" s="82">
        <f>'CHICLETS MASTER S1'!A77</f>
        <v>0.45833333333333298</v>
      </c>
      <c r="C201" s="8" t="s">
        <v>407</v>
      </c>
      <c r="D201" s="41" t="str">
        <f>$D$212</f>
        <v>EL TORO HS 3</v>
      </c>
      <c r="E201" s="8">
        <v>134</v>
      </c>
      <c r="F201" s="22" t="str">
        <f>IF(G174="","L114",IF(G174&lt;I174,_xlfn.CONCAT("L114-",RIGHT(F174,LEN(F174) - FIND("-",F174))), _xlfn.CONCAT("L114-",RIGHT(H174,LEN(H174) - FIND("-",H174)))))</f>
        <v>L114</v>
      </c>
      <c r="G201" s="67"/>
      <c r="H201" s="22" t="str">
        <f>IF(G176="","L120",IF(G176&lt;I176,_xlfn.CONCAT("L120-",RIGHT(F176,LEN(F176) - FIND("-",F176))), _xlfn.CONCAT("L120-",RIGHT(H176,LEN(H176) - FIND("-",H176)))))</f>
        <v>L120</v>
      </c>
      <c r="I201" s="67"/>
      <c r="J201" s="22" t="s">
        <v>407</v>
      </c>
      <c r="K201" s="22" t="s">
        <v>408</v>
      </c>
      <c r="L201" s="22" t="str">
        <f>IF(E201="","",$L$13&amp;"-"&amp;TEXT(E201,"000"))</f>
        <v>10C-134</v>
      </c>
      <c r="O201" s="2" t="str">
        <f>$K$130&amp;C201</f>
        <v>pt_15th</v>
      </c>
    </row>
    <row r="202" spans="1:15" ht="13.95" customHeight="1">
      <c r="A202" s="6">
        <f t="shared" si="35"/>
        <v>46224</v>
      </c>
      <c r="B202" s="82">
        <f>'CHICLETS MASTER S1'!A78</f>
        <v>0.5</v>
      </c>
      <c r="C202" s="41" t="s">
        <v>409</v>
      </c>
      <c r="D202" s="41" t="str">
        <f t="shared" ref="D202:D210" si="36">$D$204</f>
        <v>EL TORO HS 2</v>
      </c>
      <c r="E202" s="8">
        <v>128</v>
      </c>
      <c r="F202" s="22" t="str">
        <f>IF(G175="","L117",IF(G175&lt;I175,_xlfn.CONCAT("L117-",RIGHT(F175,LEN(F175) - FIND("-",F175))), _xlfn.CONCAT("L117-",RIGHT(H175,LEN(H175) - FIND("-",H175)))))</f>
        <v>L117</v>
      </c>
      <c r="G202" s="65"/>
      <c r="H202" s="22" t="str">
        <f>IF(G177="","L123",IF(G177&lt;I177,_xlfn.CONCAT("L123-",RIGHT(F177,LEN(F177) - FIND("-",F177))), _xlfn.CONCAT("L123-",RIGHT(H177,LEN(H177) - FIND("-",H177)))))</f>
        <v>L123</v>
      </c>
      <c r="I202" s="65"/>
      <c r="J202" s="22" t="s">
        <v>409</v>
      </c>
      <c r="K202" s="22" t="s">
        <v>410</v>
      </c>
      <c r="L202" s="22" t="str">
        <f>IF(E202="","",$L$13&amp;"-"&amp;TEXT(E202,"000"))</f>
        <v>10C-128</v>
      </c>
      <c r="O202" s="2" t="str">
        <f>$K$130&amp;C202</f>
        <v>pt_19th</v>
      </c>
    </row>
    <row r="203" spans="1:15" ht="13.95" customHeight="1" thickBot="1"/>
    <row r="204" spans="1:15" ht="13.95" customHeight="1" thickBot="1">
      <c r="D204" s="4" t="str">
        <f>'CHICLETS MASTER S1'!$C$72</f>
        <v>EL TORO HS 2</v>
      </c>
    </row>
    <row r="205" spans="1:15" ht="13.95" customHeight="1">
      <c r="A205" s="80" t="s">
        <v>110</v>
      </c>
      <c r="B205" s="80" t="s">
        <v>111</v>
      </c>
      <c r="C205" s="80" t="s">
        <v>112</v>
      </c>
      <c r="D205" s="80" t="s">
        <v>113</v>
      </c>
      <c r="E205" s="80" t="s">
        <v>114</v>
      </c>
      <c r="F205" s="80" t="s">
        <v>115</v>
      </c>
      <c r="G205" s="80" t="s">
        <v>116</v>
      </c>
      <c r="H205" s="80" t="s">
        <v>117</v>
      </c>
      <c r="I205" s="80" t="s">
        <v>116</v>
      </c>
      <c r="J205" s="80" t="s">
        <v>118</v>
      </c>
      <c r="K205" s="80" t="s">
        <v>119</v>
      </c>
      <c r="L205" s="80" t="s">
        <v>120</v>
      </c>
    </row>
    <row r="206" spans="1:15" ht="13.95" customHeight="1">
      <c r="A206" s="6">
        <f>$A$195</f>
        <v>46224</v>
      </c>
      <c r="B206" s="82">
        <f>'CHICLETS MASTER S1'!A74</f>
        <v>0.33333333333333298</v>
      </c>
      <c r="C206" s="8" t="s">
        <v>224</v>
      </c>
      <c r="D206" s="41" t="str">
        <f t="shared" si="36"/>
        <v>EL TORO HS 2</v>
      </c>
      <c r="E206" s="8">
        <v>127</v>
      </c>
      <c r="F206" s="25" t="str">
        <f>IF(G186="","W106",IF(G186&gt;I186,_xlfn.CONCAT("W106-",RIGHT(F186,LEN(F186) - FIND("-",F186))), _xlfn.CONCAT("W106-",RIGHT(H186,LEN(H186) - FIND("-",H186)))))</f>
        <v>W106</v>
      </c>
      <c r="G206" s="25"/>
      <c r="H206" s="25" t="str">
        <f>IF(G191="","W121",IF(G191&gt;I191,_xlfn.CONCAT("W121-",RIGHT(F191,LEN(F191) - FIND("-",F191))), _xlfn.CONCAT("W121-",RIGHT(H191,LEN(H191) - FIND("-",H191)))))</f>
        <v>W121</v>
      </c>
      <c r="I206" s="25"/>
      <c r="J206" s="25">
        <v>144</v>
      </c>
      <c r="K206" s="25">
        <v>143</v>
      </c>
      <c r="L206" s="25" t="str">
        <f>IF(E206="","",$L$13&amp;"-"&amp;TEXT(E206,"000"))</f>
        <v>10C-127</v>
      </c>
      <c r="O206" s="2" t="str">
        <f t="shared" ref="O206" si="37">$K$131&amp;C206</f>
        <v>au_semi</v>
      </c>
    </row>
    <row r="207" spans="1:15" ht="13.95" customHeight="1">
      <c r="A207" s="83">
        <f t="shared" si="35"/>
        <v>46224</v>
      </c>
      <c r="B207" s="82">
        <f>'CHICLETS MASTER S1'!A75</f>
        <v>0.375</v>
      </c>
      <c r="C207" s="41" t="s">
        <v>411</v>
      </c>
      <c r="D207" s="41" t="str">
        <f t="shared" si="36"/>
        <v>EL TORO HS 2</v>
      </c>
      <c r="E207" s="41">
        <v>129</v>
      </c>
      <c r="F207" s="22" t="str">
        <f>IF(G175="","W117",IF(G175&gt;I175,_xlfn.CONCAT("W117-",RIGHT(F175,LEN(F175) - FIND("-",F175))), _xlfn.CONCAT("W117-",RIGHT(H175,LEN(H175) - FIND("-",H175)))))</f>
        <v>W117</v>
      </c>
      <c r="G207" s="84"/>
      <c r="H207" s="43" t="str">
        <f>IF(G177="","W123",IF(G177&gt;I177,_xlfn.CONCAT("W123-",RIGHT(F177,LEN(F177) - FIND("-",F177))), _xlfn.CONCAT("W123-",RIGHT(H177,LEN(H177) - FIND("-",H177)))))</f>
        <v>W123</v>
      </c>
      <c r="I207" s="84"/>
      <c r="J207" s="43" t="s">
        <v>411</v>
      </c>
      <c r="K207" s="43" t="s">
        <v>412</v>
      </c>
      <c r="L207" s="43" t="str">
        <f>IF(E207="","",$L$13&amp;"-"&amp;TEXT(E207,"000"))</f>
        <v>10C-129</v>
      </c>
      <c r="O207" s="2" t="str">
        <f t="shared" ref="O207" si="38">$K$130&amp;C207</f>
        <v>pt_17th</v>
      </c>
    </row>
    <row r="209" spans="1:15" ht="13.95" customHeight="1">
      <c r="A209" s="6">
        <f t="shared" ref="A209:A242" si="39">$A$195</f>
        <v>46224</v>
      </c>
      <c r="B209" s="82">
        <f>'CHICLETS MASTER S1'!A78</f>
        <v>0.5</v>
      </c>
      <c r="C209" s="8" t="s">
        <v>210</v>
      </c>
      <c r="D209" s="41" t="str">
        <f t="shared" si="36"/>
        <v>EL TORO HS 2</v>
      </c>
      <c r="E209" s="8">
        <v>143</v>
      </c>
      <c r="F209" s="25" t="str">
        <f>IF(G206="","L127",IF(G206&lt;I206,_xlfn.CONCAT("L127-",RIGHT(F206,LEN(F206) - FIND("-",F206))), _xlfn.CONCAT("L127-",RIGHT(H206,LEN(H206) - FIND("-",H206)))))</f>
        <v>L127</v>
      </c>
      <c r="G209" s="25"/>
      <c r="H209" s="25" t="str">
        <f>IF(G214="","L130",IF(G214&lt;I214,_xlfn.CONCAT("L130-",RIGHT(F214,LEN(F214) - FIND("-",F214))), _xlfn.CONCAT("L130-",RIGHT(H214,LEN(H214) - FIND("-",H214)))))</f>
        <v>L130</v>
      </c>
      <c r="I209" s="25"/>
      <c r="J209" s="25" t="s">
        <v>210</v>
      </c>
      <c r="K209" s="25" t="s">
        <v>213</v>
      </c>
      <c r="L209" s="25" t="str">
        <f>IF(E209="","",$L$13&amp;"-"&amp;TEXT(E209,"000"))</f>
        <v>10C-143</v>
      </c>
      <c r="O209" s="2" t="str">
        <f>$K$131&amp;C209</f>
        <v>au_3rd</v>
      </c>
    </row>
    <row r="210" spans="1:15" ht="13.95" customHeight="1">
      <c r="A210" s="6">
        <f t="shared" si="39"/>
        <v>46224</v>
      </c>
      <c r="B210" s="82">
        <f>'CHICLETS MASTER S1'!A79</f>
        <v>0.54166666666666696</v>
      </c>
      <c r="C210" s="8" t="s">
        <v>214</v>
      </c>
      <c r="D210" s="41" t="str">
        <f t="shared" si="36"/>
        <v>EL TORO HS 2</v>
      </c>
      <c r="E210" s="8">
        <v>144</v>
      </c>
      <c r="F210" s="25" t="str">
        <f>IF(G206="","W127",IF(G206&gt;I206,_xlfn.CONCAT("W127-",RIGHT(F206,LEN(F206) - FIND("-",F206))), _xlfn.CONCAT("W127-",RIGHT(H206,LEN(H206) - FIND("-",H206)))))</f>
        <v>W127</v>
      </c>
      <c r="G210" s="25"/>
      <c r="H210" s="25" t="str">
        <f>IF(G214="","W130",IF(G214&gt;I214,_xlfn.CONCAT("W130-",RIGHT(F214,LEN(F214) - FIND("-",F214))), _xlfn.CONCAT("W130-",RIGHT(H214,LEN(H214) - FIND("-",H214)))))</f>
        <v>W130</v>
      </c>
      <c r="I210" s="25"/>
      <c r="J210" s="25" t="s">
        <v>214</v>
      </c>
      <c r="K210" s="25" t="s">
        <v>217</v>
      </c>
      <c r="L210" s="25" t="str">
        <f t="shared" ref="L210" si="40">IF(E210="","",$L$13&amp;"-"&amp;TEXT(E210,"000"))</f>
        <v>10C-144</v>
      </c>
      <c r="O210" s="2" t="str">
        <f t="shared" ref="O210" si="41">$K$131&amp;C210</f>
        <v>au_1st</v>
      </c>
    </row>
    <row r="211" spans="1:15" ht="13.95" customHeight="1" thickBot="1"/>
    <row r="212" spans="1:15" ht="13.95" customHeight="1" thickBot="1">
      <c r="D212" s="4" t="str">
        <f>'CHICLETS MASTER S1'!$D$72</f>
        <v>EL TORO HS 3</v>
      </c>
    </row>
    <row r="213" spans="1:15" ht="13.95" customHeight="1">
      <c r="A213" s="80" t="s">
        <v>110</v>
      </c>
      <c r="B213" s="80" t="s">
        <v>111</v>
      </c>
      <c r="C213" s="80" t="s">
        <v>112</v>
      </c>
      <c r="D213" s="80" t="s">
        <v>113</v>
      </c>
      <c r="E213" s="80" t="s">
        <v>114</v>
      </c>
      <c r="F213" s="80" t="s">
        <v>115</v>
      </c>
      <c r="G213" s="80" t="s">
        <v>116</v>
      </c>
      <c r="H213" s="80" t="s">
        <v>117</v>
      </c>
      <c r="I213" s="80" t="s">
        <v>116</v>
      </c>
      <c r="J213" s="80" t="s">
        <v>118</v>
      </c>
      <c r="K213" s="80" t="s">
        <v>119</v>
      </c>
      <c r="L213" s="80" t="s">
        <v>120</v>
      </c>
    </row>
    <row r="214" spans="1:15" ht="13.95" customHeight="1">
      <c r="A214" s="6">
        <f t="shared" si="39"/>
        <v>46224</v>
      </c>
      <c r="B214" s="82">
        <f>'CHICLETS MASTER S1'!A74</f>
        <v>0.33333333333333298</v>
      </c>
      <c r="C214" s="8" t="s">
        <v>224</v>
      </c>
      <c r="D214" s="41" t="str">
        <f>$D$212</f>
        <v>EL TORO HS 3</v>
      </c>
      <c r="E214" s="8">
        <v>130</v>
      </c>
      <c r="F214" s="25" t="str">
        <f>IF(G185="","W103",IF(G185&gt;I185,_xlfn.CONCAT("W103-",RIGHT(F185,LEN(F185) - FIND("-",F185))), _xlfn.CONCAT("W103-",RIGHT(H185,LEN(H185) - FIND("-",H185)))))</f>
        <v>W103</v>
      </c>
      <c r="G214" s="25"/>
      <c r="H214" s="25" t="str">
        <f>IF(G192="","W124",IF(G192&gt;I192,_xlfn.CONCAT("W124-",RIGHT(F192,LEN(F192) - FIND("-",F192))), _xlfn.CONCAT("W124-",RIGHT(H192,LEN(H192) - FIND("-",H192)))))</f>
        <v>W124</v>
      </c>
      <c r="I214" s="25"/>
      <c r="J214" s="25">
        <v>144</v>
      </c>
      <c r="K214" s="25">
        <v>143</v>
      </c>
      <c r="L214" s="25" t="str">
        <f>IF(E214="","",$L$13&amp;"-"&amp;TEXT(E214,"000"))</f>
        <v>10C-130</v>
      </c>
      <c r="O214" s="2" t="str">
        <f>$K$131&amp;C214</f>
        <v>au_semi</v>
      </c>
    </row>
    <row r="215" spans="1:15" ht="13.95" customHeight="1">
      <c r="A215" s="6">
        <f t="shared" si="35"/>
        <v>46224</v>
      </c>
      <c r="B215" s="82">
        <f>'CHICLETS MASTER S1'!A75</f>
        <v>0.375</v>
      </c>
      <c r="C215" s="8" t="s">
        <v>220</v>
      </c>
      <c r="D215" s="41" t="str">
        <f>$D$212</f>
        <v>EL TORO HS 3</v>
      </c>
      <c r="E215" s="8">
        <v>140</v>
      </c>
      <c r="F215" s="22" t="str">
        <f>IF(G157="","L107",IF(G157&lt;I157,_xlfn.CONCAT("L107-",RIGHT(F157,LEN(F157) - FIND("-",F157))), _xlfn.CONCAT("L107-",RIGHT(H157,LEN(H157) - FIND("-",H157)))))</f>
        <v>L107</v>
      </c>
      <c r="G215" s="65"/>
      <c r="H215" s="22" t="str">
        <f>IF(G158="","L110",IF(G158&lt;I158,_xlfn.CONCAT("L110-",RIGHT(F158,LEN(F158) - FIND("-",F158))), _xlfn.CONCAT("L110-",RIGHT(H158,LEN(H158) - FIND("-",H158)))))</f>
        <v>L110</v>
      </c>
      <c r="I215" s="65"/>
      <c r="J215" s="22" t="s">
        <v>220</v>
      </c>
      <c r="K215" s="22" t="s">
        <v>221</v>
      </c>
      <c r="L215" s="22" t="str">
        <f>IF(E215="","",$L$13&amp;"-"&amp;TEXT(E215,"000"))</f>
        <v>10C-140</v>
      </c>
      <c r="O215" s="2" t="str">
        <f>$K$130&amp;C215</f>
        <v>pt_7th</v>
      </c>
    </row>
    <row r="216" spans="1:15" ht="13.95" customHeight="1">
      <c r="A216" s="6">
        <f t="shared" si="35"/>
        <v>46224</v>
      </c>
      <c r="B216" s="82">
        <f>'CHICLETS MASTER S1'!A76</f>
        <v>0.41666666666666702</v>
      </c>
      <c r="C216" s="8" t="s">
        <v>222</v>
      </c>
      <c r="D216" s="41" t="str">
        <f>$D$212</f>
        <v>EL TORO HS 3</v>
      </c>
      <c r="E216" s="8">
        <v>138</v>
      </c>
      <c r="F216" s="22" t="str">
        <f>IF(G159="","W113",IF(G159&gt;I159,_xlfn.CONCAT("W113-",RIGHT(F159,LEN(F159) - FIND("-",F159))), _xlfn.CONCAT("W113-",RIGHT(H159,LEN(H159) - FIND("-",H159)))))</f>
        <v>W113</v>
      </c>
      <c r="G216" s="65"/>
      <c r="H216" s="22" t="str">
        <f>IF(G160="","W116",IF(G160&gt;I160,_xlfn.CONCAT("W116-",RIGHT(F160,LEN(F160) - FIND("-",F160))), _xlfn.CONCAT("W116-",RIGHT(H160,LEN(H160) - FIND("-",H160)))))</f>
        <v>W116</v>
      </c>
      <c r="I216" s="65"/>
      <c r="J216" s="22" t="s">
        <v>222</v>
      </c>
      <c r="K216" s="22" t="s">
        <v>223</v>
      </c>
      <c r="L216" s="22" t="str">
        <f>IF(E216="","",$L$13&amp;"-"&amp;TEXT(E216,"000"))</f>
        <v>10C-138</v>
      </c>
      <c r="O216" s="2" t="str">
        <f>$K$130&amp;C216</f>
        <v>pt_9th</v>
      </c>
    </row>
    <row r="217" spans="1:15" ht="13.95" customHeight="1">
      <c r="A217" s="6">
        <f t="shared" si="35"/>
        <v>46224</v>
      </c>
      <c r="B217" s="82">
        <f>'CHICLETS MASTER S1'!A77</f>
        <v>0.45833333333333298</v>
      </c>
      <c r="C217" s="8" t="s">
        <v>218</v>
      </c>
      <c r="D217" s="41" t="str">
        <f>$D$212</f>
        <v>EL TORO HS 3</v>
      </c>
      <c r="E217" s="8">
        <v>137</v>
      </c>
      <c r="F217" s="22" t="str">
        <f>IF(G159="","L113",IF(G159&lt;I159,_xlfn.CONCAT("L113-",RIGHT(F159,LEN(F159) - FIND("-",F159))), _xlfn.CONCAT("L113-",RIGHT(H159,LEN(H159) - FIND("-",H159)))))</f>
        <v>L113</v>
      </c>
      <c r="G217" s="65"/>
      <c r="H217" s="22" t="str">
        <f>IF(G160="","L116",IF(G160&lt;I160,_xlfn.CONCAT("L116-",RIGHT(F160,LEN(F160) - FIND("-",F160))), _xlfn.CONCAT("L116-",RIGHT(H160,LEN(H160) - FIND("-",H160)))))</f>
        <v>L116</v>
      </c>
      <c r="I217" s="65"/>
      <c r="J217" s="22" t="s">
        <v>218</v>
      </c>
      <c r="K217" s="22" t="s">
        <v>219</v>
      </c>
      <c r="L217" s="22" t="str">
        <f>IF(E217="","",$L$13&amp;"-"&amp;TEXT(E217,"000"))</f>
        <v>10C-137</v>
      </c>
      <c r="O217" s="2" t="str">
        <f>$K$130&amp;C217</f>
        <v>pt_11th</v>
      </c>
    </row>
    <row r="218" spans="1:15" ht="13.95" customHeight="1" thickBot="1"/>
    <row r="219" spans="1:15" ht="13.95" customHeight="1" thickBot="1">
      <c r="D219" s="4" t="str">
        <f>'CHICLETS MASTER S1'!$H$72</f>
        <v>TUSTIN HS 2</v>
      </c>
    </row>
    <row r="220" spans="1:15" ht="13.95" customHeight="1">
      <c r="A220" s="80" t="s">
        <v>110</v>
      </c>
      <c r="B220" s="80" t="s">
        <v>111</v>
      </c>
      <c r="C220" s="80" t="s">
        <v>112</v>
      </c>
      <c r="D220" s="80" t="s">
        <v>113</v>
      </c>
      <c r="E220" s="80" t="s">
        <v>114</v>
      </c>
      <c r="F220" s="80" t="s">
        <v>115</v>
      </c>
      <c r="G220" s="80" t="s">
        <v>116</v>
      </c>
      <c r="H220" s="80" t="s">
        <v>117</v>
      </c>
      <c r="I220" s="80" t="s">
        <v>116</v>
      </c>
      <c r="J220" s="80" t="s">
        <v>118</v>
      </c>
      <c r="K220" s="80" t="s">
        <v>119</v>
      </c>
      <c r="L220" s="80" t="s">
        <v>120</v>
      </c>
    </row>
    <row r="221" spans="1:15" ht="13.95" customHeight="1">
      <c r="A221" s="6">
        <f t="shared" si="35"/>
        <v>46224</v>
      </c>
      <c r="B221" s="82">
        <f>'CHICLETS MASTER S1'!A78</f>
        <v>0.5</v>
      </c>
      <c r="C221" s="8" t="s">
        <v>413</v>
      </c>
      <c r="D221" s="41" t="str">
        <f>$D$219</f>
        <v>TUSTIN HS 2</v>
      </c>
      <c r="E221" s="8">
        <v>135</v>
      </c>
      <c r="F221" s="22" t="str">
        <f>IF(G174="","W114",IF(G174&gt;I174,_xlfn.CONCAT("W114-",RIGHT(F174,LEN(F174) - FIND("-",F174))), _xlfn.CONCAT("W114-",RIGHT(H174,LEN(H174) - FIND("-",H174)))))</f>
        <v>W114</v>
      </c>
      <c r="G221" s="65"/>
      <c r="H221" s="43" t="str">
        <f>IF(G176="","W120",IF(G176&gt;I176,_xlfn.CONCAT("W120-",RIGHT(F176,LEN(F176) - FIND("-",F176))), _xlfn.CONCAT("W120-",RIGHT(H176,LEN(H176) - FIND("-",H176)))))</f>
        <v>W120</v>
      </c>
      <c r="I221" s="65"/>
      <c r="J221" s="22" t="s">
        <v>413</v>
      </c>
      <c r="K221" s="22" t="s">
        <v>414</v>
      </c>
      <c r="L221" s="22" t="str">
        <f t="shared" ref="L221" si="42">IF(E221="","",$L$13&amp;"-"&amp;TEXT(E221,"000"))</f>
        <v>10C-135</v>
      </c>
      <c r="O221" s="2" t="str">
        <f>$K$130&amp;C221</f>
        <v>pt_13th</v>
      </c>
    </row>
    <row r="222" spans="1:15" ht="13.95" customHeight="1" thickBot="1"/>
    <row r="223" spans="1:15" ht="13.95" customHeight="1" thickBot="1">
      <c r="B223" s="27"/>
      <c r="D223" s="4" t="str">
        <f>'CHICLETS MASTER S1'!$G$72</f>
        <v>CAPISTRANO VALLEY HS 2</v>
      </c>
    </row>
    <row r="224" spans="1:15" ht="13.95" customHeight="1">
      <c r="A224" s="80" t="s">
        <v>110</v>
      </c>
      <c r="B224" s="80" t="s">
        <v>111</v>
      </c>
      <c r="C224" s="80" t="s">
        <v>112</v>
      </c>
      <c r="D224" s="80" t="s">
        <v>113</v>
      </c>
      <c r="E224" s="80" t="s">
        <v>114</v>
      </c>
      <c r="F224" s="80" t="s">
        <v>115</v>
      </c>
      <c r="G224" s="80" t="s">
        <v>116</v>
      </c>
      <c r="H224" s="80" t="s">
        <v>117</v>
      </c>
      <c r="I224" s="80" t="s">
        <v>116</v>
      </c>
      <c r="J224" s="80" t="s">
        <v>118</v>
      </c>
      <c r="K224" s="80" t="s">
        <v>119</v>
      </c>
      <c r="L224" s="80" t="s">
        <v>120</v>
      </c>
    </row>
    <row r="225" spans="1:15" ht="13.95" customHeight="1">
      <c r="A225" s="83">
        <f t="shared" si="35"/>
        <v>46224</v>
      </c>
      <c r="B225" s="82">
        <f>'CHICLETS MASTER S1'!A74</f>
        <v>0.33333333333333298</v>
      </c>
      <c r="C225" s="41" t="s">
        <v>383</v>
      </c>
      <c r="D225" s="41" t="str">
        <f>$D$223</f>
        <v>CAPISTRANO VALLEY HS 2</v>
      </c>
      <c r="E225" s="41">
        <v>125</v>
      </c>
      <c r="F225" s="43" t="s">
        <v>384</v>
      </c>
      <c r="G225" s="84"/>
      <c r="H225" s="43" t="s">
        <v>386</v>
      </c>
      <c r="I225" s="84"/>
      <c r="J225" s="43"/>
      <c r="K225" s="43"/>
      <c r="L225" s="43" t="str">
        <f>IF(E225="","",$L$13&amp;"-"&amp;TEXT(E225,"000"))</f>
        <v>10C-125</v>
      </c>
      <c r="O225" s="2" t="str">
        <f>$K$130&amp;C225</f>
        <v>pt_21-24 RR</v>
      </c>
    </row>
    <row r="226" spans="1:15" ht="13.95" customHeight="1">
      <c r="A226" s="6">
        <f t="shared" si="35"/>
        <v>46224</v>
      </c>
      <c r="B226" s="82">
        <f>'CHICLETS MASTER S1'!A75</f>
        <v>0.375</v>
      </c>
      <c r="C226" s="8" t="s">
        <v>383</v>
      </c>
      <c r="D226" s="41" t="str">
        <f>$D$223</f>
        <v>CAPISTRANO VALLEY HS 2</v>
      </c>
      <c r="E226" s="8">
        <v>126</v>
      </c>
      <c r="F226" s="22" t="s">
        <v>387</v>
      </c>
      <c r="G226" s="65"/>
      <c r="H226" s="22" t="s">
        <v>385</v>
      </c>
      <c r="I226" s="65"/>
      <c r="J226" s="22"/>
      <c r="K226" s="22"/>
      <c r="L226" s="22" t="str">
        <f>IF(E226="","",$L$13&amp;"-"&amp;TEXT(E226,"000"))</f>
        <v>10C-126</v>
      </c>
      <c r="O226" s="2" t="str">
        <f>$K$130&amp;C226</f>
        <v>pt_21-24 RR</v>
      </c>
    </row>
    <row r="227" spans="1:15" ht="13.95" customHeight="1">
      <c r="A227" s="6">
        <f t="shared" si="35"/>
        <v>46224</v>
      </c>
      <c r="B227" s="82">
        <f>'CHICLETS MASTER S1'!A76</f>
        <v>0.41666666666666702</v>
      </c>
      <c r="C227" s="8" t="s">
        <v>206</v>
      </c>
      <c r="D227" s="41" t="str">
        <f>$D$223</f>
        <v>CAPISTRANO VALLEY HS 2</v>
      </c>
      <c r="E227" s="8">
        <v>139</v>
      </c>
      <c r="F227" s="25" t="str">
        <f>IF(G191="","L121",IF(G191&lt;I191,_xlfn.CONCAT("L121-",RIGHT(F191,LEN(F191) - FIND("-",F191))), _xlfn.CONCAT("L121-",RIGHT(H191,LEN(H191) - FIND("-",H191)))))</f>
        <v>L121</v>
      </c>
      <c r="G227" s="25"/>
      <c r="H227" s="25" t="str">
        <f>IF(G192="","L124",IF(G192&lt;I192,_xlfn.CONCAT("L124-",RIGHT(F192,LEN(F192) - FIND("-",F192))), _xlfn.CONCAT("L124-",RIGHT(H192,LEN(H192) - FIND("-",H192)))))</f>
        <v>L124</v>
      </c>
      <c r="I227" s="25"/>
      <c r="J227" s="25" t="s">
        <v>206</v>
      </c>
      <c r="K227" s="25" t="s">
        <v>209</v>
      </c>
      <c r="L227" s="25" t="str">
        <f t="shared" ref="L227:L229" si="43">IF(E227="","",$L$13&amp;"-"&amp;TEXT(E227,"000"))</f>
        <v>10C-139</v>
      </c>
      <c r="O227" s="2" t="str">
        <f t="shared" ref="O227:O229" si="44">$K$131&amp;C227</f>
        <v>au_5th</v>
      </c>
    </row>
    <row r="228" spans="1:15" ht="13.95" customHeight="1">
      <c r="A228" s="6">
        <f t="shared" si="35"/>
        <v>46224</v>
      </c>
      <c r="B228" s="82">
        <f>'CHICLETS MASTER S1'!A77</f>
        <v>0.45833333333333298</v>
      </c>
      <c r="C228" s="8" t="s">
        <v>220</v>
      </c>
      <c r="D228" s="41" t="str">
        <f>$D$223</f>
        <v>CAPISTRANO VALLEY HS 2</v>
      </c>
      <c r="E228" s="8">
        <v>142</v>
      </c>
      <c r="F228" s="25" t="str">
        <f>IF(G187="","L109",IF(G187&lt;I187,_xlfn.CONCAT("L109-",RIGHT(F187,LEN(F187) - FIND("-",F187))), _xlfn.CONCAT("L109-",RIGHT(H187,LEN(H187) - FIND("-",H187)))))</f>
        <v>L109</v>
      </c>
      <c r="G228" s="25"/>
      <c r="H228" s="25" t="str">
        <f>IF(G188="","L112",IF(G188&lt;I188,_xlfn.CONCAT("L112-",RIGHT(F188,LEN(F188) - FIND("-",F188))), _xlfn.CONCAT("L112-",RIGHT(H188,LEN(H188) - FIND("-",H188)))))</f>
        <v>L112</v>
      </c>
      <c r="I228" s="25"/>
      <c r="J228" s="25" t="s">
        <v>220</v>
      </c>
      <c r="K228" s="25" t="s">
        <v>221</v>
      </c>
      <c r="L228" s="25" t="str">
        <f t="shared" si="43"/>
        <v>10C-142</v>
      </c>
      <c r="O228" s="2" t="str">
        <f t="shared" si="44"/>
        <v>au_7th</v>
      </c>
    </row>
    <row r="229" spans="1:15" ht="13.95" customHeight="1">
      <c r="A229" s="6">
        <f t="shared" si="35"/>
        <v>46224</v>
      </c>
      <c r="B229" s="82">
        <f>'CHICLETS MASTER S1'!A78</f>
        <v>0.5</v>
      </c>
      <c r="C229" s="8" t="s">
        <v>222</v>
      </c>
      <c r="D229" s="41" t="str">
        <f>$D$223</f>
        <v>CAPISTRANO VALLEY HS 2</v>
      </c>
      <c r="E229" s="8">
        <v>133</v>
      </c>
      <c r="F229" s="25" t="str">
        <f>IF(G189="","W115",IF(G189&gt;I189,_xlfn.CONCAT("W115-",RIGHT(F189,LEN(F189) - FIND("-",F189))), _xlfn.CONCAT("W115-",RIGHT(H189,LEN(H189) - FIND("-",H189)))))</f>
        <v>W115</v>
      </c>
      <c r="G229" s="25"/>
      <c r="H229" s="25" t="str">
        <f>IF(G190="","W118",IF(G190&gt;I190,_xlfn.CONCAT("W118-",RIGHT(F190,LEN(F190) - FIND("-",F190))), _xlfn.CONCAT("W118-",RIGHT(H190,LEN(H190) - FIND("-",H190)))))</f>
        <v>W118</v>
      </c>
      <c r="I229" s="25"/>
      <c r="J229" s="25" t="s">
        <v>222</v>
      </c>
      <c r="K229" s="25" t="s">
        <v>223</v>
      </c>
      <c r="L229" s="25" t="str">
        <f t="shared" si="43"/>
        <v>10C-133</v>
      </c>
      <c r="O229" s="2" t="str">
        <f t="shared" si="44"/>
        <v>au_9th</v>
      </c>
    </row>
    <row r="230" spans="1:15" ht="13.95" customHeight="1" thickBot="1"/>
    <row r="231" spans="1:15" ht="13.95" customHeight="1" thickBot="1">
      <c r="D231" s="4" t="str">
        <f>'CHICLETS MASTER S1'!$B$84</f>
        <v>WOOLLETT LEFT</v>
      </c>
    </row>
    <row r="232" spans="1:15" ht="13.95" customHeight="1">
      <c r="A232" s="80" t="s">
        <v>110</v>
      </c>
      <c r="B232" s="80" t="s">
        <v>111</v>
      </c>
      <c r="C232" s="80" t="s">
        <v>112</v>
      </c>
      <c r="D232" s="80" t="s">
        <v>113</v>
      </c>
      <c r="E232" s="80" t="s">
        <v>114</v>
      </c>
      <c r="F232" s="80" t="s">
        <v>115</v>
      </c>
      <c r="G232" s="80" t="s">
        <v>116</v>
      </c>
      <c r="H232" s="80" t="s">
        <v>117</v>
      </c>
      <c r="I232" s="80" t="s">
        <v>116</v>
      </c>
      <c r="J232" s="80" t="s">
        <v>118</v>
      </c>
      <c r="K232" s="80" t="s">
        <v>119</v>
      </c>
      <c r="L232" s="80" t="s">
        <v>120</v>
      </c>
    </row>
    <row r="233" spans="1:15" ht="13.95" customHeight="1">
      <c r="A233" s="6">
        <f t="shared" si="39"/>
        <v>46224</v>
      </c>
      <c r="B233" s="82">
        <f>'CHICLETS MASTER S1'!A86</f>
        <v>0.33333333333333298</v>
      </c>
      <c r="C233" s="8" t="s">
        <v>224</v>
      </c>
      <c r="D233" s="41" t="str">
        <f>$D$231</f>
        <v>WOOLLETT LEFT</v>
      </c>
      <c r="E233" s="8">
        <v>131</v>
      </c>
      <c r="F233" s="22" t="str">
        <f>IF(G156="","W104",IF(G156&gt;I156,_xlfn.CONCAT("W104-",RIGHT(F156,LEN(F156) - FIND("-",F156))), _xlfn.CONCAT("W104-",RIGHT(H156,LEN(H156) - FIND("-",H156)))))</f>
        <v>W104</v>
      </c>
      <c r="G233" s="65"/>
      <c r="H233" s="22" t="str">
        <f>IF(G161="","W119",IF(G161&gt;I161,_xlfn.CONCAT("W119-",RIGHT(F161,LEN(F161) - FIND("-",F161))), _xlfn.CONCAT("W119-",RIGHT(H161,LEN(H161) - FIND("-",H161)))))</f>
        <v>W119</v>
      </c>
      <c r="I233" s="65"/>
      <c r="J233" s="22">
        <v>146</v>
      </c>
      <c r="K233" s="22">
        <v>145</v>
      </c>
      <c r="L233" s="22" t="str">
        <f>IF(E233="","",$L$13&amp;"-"&amp;TEXT(E233,"000"))</f>
        <v>10C-131</v>
      </c>
      <c r="O233" s="2" t="str">
        <f>$K$130&amp;C233</f>
        <v>pt_semi</v>
      </c>
    </row>
    <row r="235" spans="1:15" ht="13.95" customHeight="1">
      <c r="A235" s="6">
        <f t="shared" si="39"/>
        <v>46224</v>
      </c>
      <c r="B235" s="82">
        <f>'CHICLETS MASTER S1'!A89</f>
        <v>0.45833333333333331</v>
      </c>
      <c r="C235" s="8" t="s">
        <v>210</v>
      </c>
      <c r="D235" s="41" t="str">
        <f>$D$231</f>
        <v>WOOLLETT LEFT</v>
      </c>
      <c r="E235" s="8">
        <v>145</v>
      </c>
      <c r="F235" s="22" t="str">
        <f>IF(G233="","L131",IF(G233&lt;I233,_xlfn.CONCAT("L131-",RIGHT(F233,LEN(F233) - FIND("-",F233))), _xlfn.CONCAT("L131-",RIGHT(H233,LEN(H233) - FIND("-",H233)))))</f>
        <v>L131</v>
      </c>
      <c r="G235" s="65"/>
      <c r="H235" s="22" t="str">
        <f>IF(G239="","L132",IF(G239&lt;I239,_xlfn.CONCAT("L132-",RIGHT(F239,LEN(F239) - FIND("-",F239))), _xlfn.CONCAT("L132-",RIGHT(H239,LEN(H239) - FIND("-",H239)))))</f>
        <v>L132</v>
      </c>
      <c r="I235" s="65"/>
      <c r="J235" s="22" t="s">
        <v>210</v>
      </c>
      <c r="K235" s="22" t="s">
        <v>213</v>
      </c>
      <c r="L235" s="22" t="str">
        <f>IF(E235="","",$L$13&amp;"-"&amp;TEXT(E235,"000"))</f>
        <v>10C-145</v>
      </c>
      <c r="O235" s="2" t="str">
        <f>$K$130&amp;C235</f>
        <v>pt_3rd</v>
      </c>
    </row>
    <row r="236" spans="1:15" ht="13.95" customHeight="1" thickBot="1"/>
    <row r="237" spans="1:15" ht="13.95" customHeight="1" thickBot="1">
      <c r="D237" s="4" t="str">
        <f>'CHICLETS MASTER S1'!$C$84</f>
        <v>WOOLLETT RIGHT</v>
      </c>
    </row>
    <row r="238" spans="1:15" ht="13.95" customHeight="1">
      <c r="A238" s="80" t="s">
        <v>110</v>
      </c>
      <c r="B238" s="80" t="s">
        <v>111</v>
      </c>
      <c r="C238" s="80" t="s">
        <v>112</v>
      </c>
      <c r="D238" s="80" t="s">
        <v>113</v>
      </c>
      <c r="E238" s="80" t="s">
        <v>114</v>
      </c>
      <c r="F238" s="80" t="s">
        <v>115</v>
      </c>
      <c r="G238" s="80" t="s">
        <v>116</v>
      </c>
      <c r="H238" s="80" t="s">
        <v>117</v>
      </c>
      <c r="I238" s="80" t="s">
        <v>116</v>
      </c>
      <c r="J238" s="80" t="s">
        <v>118</v>
      </c>
      <c r="K238" s="80" t="s">
        <v>119</v>
      </c>
      <c r="L238" s="80" t="s">
        <v>120</v>
      </c>
    </row>
    <row r="239" spans="1:15" ht="13.95" customHeight="1">
      <c r="A239" s="6">
        <f t="shared" si="39"/>
        <v>46224</v>
      </c>
      <c r="B239" s="82">
        <f>'CHICLETS MASTER S1'!A74</f>
        <v>0.33333333333333298</v>
      </c>
      <c r="C239" s="8" t="s">
        <v>224</v>
      </c>
      <c r="D239" s="41" t="str">
        <f>$D$237</f>
        <v>WOOLLETT RIGHT</v>
      </c>
      <c r="E239" s="8">
        <v>132</v>
      </c>
      <c r="F239" s="22" t="str">
        <f>IF(G155="","W101",IF(G155&gt;I155,_xlfn.CONCAT("W101-",RIGHT(F155,LEN(F155) - FIND("-",F155))), _xlfn.CONCAT("W101-",RIGHT(H155,LEN(H155) - FIND("-",H155)))))</f>
        <v>W101</v>
      </c>
      <c r="G239" s="65"/>
      <c r="H239" s="22" t="str">
        <f>IF(G162="","W122",IF(G162&gt;I162,_xlfn.CONCAT("W122-",RIGHT(F162,LEN(F162) - FIND("-",F162))), _xlfn.CONCAT("W122-",RIGHT(H162,LEN(H162) - FIND("-",H162)))))</f>
        <v>W122</v>
      </c>
      <c r="I239" s="65"/>
      <c r="J239" s="22">
        <v>146</v>
      </c>
      <c r="K239" s="22">
        <v>145</v>
      </c>
      <c r="L239" s="22" t="str">
        <f>IF(E239="","",$L$13&amp;"-"&amp;TEXT(E239,"000"))</f>
        <v>10C-132</v>
      </c>
      <c r="O239" s="2" t="str">
        <f t="shared" ref="O239" si="45">$K$130&amp;C239</f>
        <v>pt_semi</v>
      </c>
    </row>
    <row r="240" spans="1:15" ht="13.95" customHeight="1">
      <c r="A240" s="6">
        <f t="shared" si="35"/>
        <v>46224</v>
      </c>
      <c r="B240" s="82">
        <f>'CHICLETS MASTER S1'!A75</f>
        <v>0.375</v>
      </c>
      <c r="C240" s="8" t="s">
        <v>206</v>
      </c>
      <c r="D240" s="41" t="str">
        <f>$D$237</f>
        <v>WOOLLETT RIGHT</v>
      </c>
      <c r="E240" s="8">
        <v>141</v>
      </c>
      <c r="F240" s="22" t="str">
        <f>IF(G161="","L119",IF(G161&lt;I161,_xlfn.CONCAT("L119-",RIGHT(F161,LEN(F161) - FIND("-",F161))), _xlfn.CONCAT("L119-",RIGHT(H161,LEN(H161) - FIND("-",H161)))))</f>
        <v>L119</v>
      </c>
      <c r="G240" s="65"/>
      <c r="H240" s="22" t="str">
        <f>IF(G162="","L122",IF(G162&lt;I162,_xlfn.CONCAT("L122-",RIGHT(F162,LEN(F162) - FIND("-",F162))), _xlfn.CONCAT("L122-",RIGHT(H162,LEN(H162) - FIND("-",H162)))))</f>
        <v>L122</v>
      </c>
      <c r="I240" s="65"/>
      <c r="J240" s="22" t="s">
        <v>206</v>
      </c>
      <c r="K240" s="22" t="s">
        <v>209</v>
      </c>
      <c r="L240" s="22" t="str">
        <f>IF(E240="","",$L$13&amp;"-"&amp;TEXT(E240,"000"))</f>
        <v>10C-141</v>
      </c>
      <c r="O240" s="2" t="str">
        <f>$K$130&amp;C240</f>
        <v>pt_5th</v>
      </c>
    </row>
    <row r="242" spans="1:15" ht="13.95" customHeight="1">
      <c r="A242" s="6">
        <f t="shared" si="39"/>
        <v>46224</v>
      </c>
      <c r="B242" s="82">
        <f>'CHICLETS MASTER S1'!A89</f>
        <v>0.45833333333333331</v>
      </c>
      <c r="C242" s="8" t="s">
        <v>214</v>
      </c>
      <c r="D242" s="41" t="str">
        <f>$D$237</f>
        <v>WOOLLETT RIGHT</v>
      </c>
      <c r="E242" s="8">
        <v>146</v>
      </c>
      <c r="F242" s="22" t="str">
        <f>IF(G233="","W131",IF(G233&gt;I233,_xlfn.CONCAT("W131-",RIGHT(F233,LEN(F233) - FIND("-",F233))), _xlfn.CONCAT("W131-",RIGHT(H233,LEN(H233) - FIND("-",H233)))))</f>
        <v>W131</v>
      </c>
      <c r="G242" s="65"/>
      <c r="H242" s="22" t="str">
        <f>IF(G239="","W132",IF(G239&gt;I239,_xlfn.CONCAT("W132-",RIGHT(F239,LEN(F239) - FIND("-",F239))), _xlfn.CONCAT("W132-",RIGHT(H239,LEN(H239) - FIND("-",H239)))))</f>
        <v>W132</v>
      </c>
      <c r="I242" s="65"/>
      <c r="J242" s="22" t="s">
        <v>214</v>
      </c>
      <c r="K242" s="22" t="s">
        <v>217</v>
      </c>
      <c r="L242" s="22" t="str">
        <f>IF(E242="","",$L$13&amp;"-"&amp;TEXT(E242,"000"))</f>
        <v>10C-146</v>
      </c>
      <c r="O242" s="2" t="str">
        <f t="shared" ref="O242" si="46">$K$130&amp;C242</f>
        <v>pt_1st</v>
      </c>
    </row>
    <row r="244" spans="1:15" ht="13.95" customHeight="1">
      <c r="A244" s="22" t="s">
        <v>225</v>
      </c>
      <c r="B244" s="18"/>
      <c r="C244" s="25" t="s">
        <v>226</v>
      </c>
      <c r="D244" s="18"/>
    </row>
    <row r="245" spans="1:15" ht="13.95" customHeight="1">
      <c r="A245" s="22" t="s">
        <v>214</v>
      </c>
      <c r="B245" s="72" t="str">
        <f>IF(G242="","W146",IF(G242&gt;I242,_xlfn.CONCAT("W146-",RIGHT(F242,LEN(F242) - FIND("-",F242))), _xlfn.CONCAT("W146-",RIGHT(H242,LEN(H242) - FIND("-",H242)))))</f>
        <v>W146</v>
      </c>
      <c r="C245" s="25" t="s">
        <v>214</v>
      </c>
      <c r="D245" s="72" t="str">
        <f>IF(G210="","W144",IF(G210&gt;I210,_xlfn.CONCAT("W144-",RIGHT(F210,LEN(F210) - FIND("-",F210))), _xlfn.CONCAT("W144-",RIGHT(H210,LEN(H210) - FIND("-",H210)))))</f>
        <v>W144</v>
      </c>
    </row>
    <row r="246" spans="1:15" ht="13.95" customHeight="1">
      <c r="A246" s="22" t="s">
        <v>217</v>
      </c>
      <c r="B246" s="72" t="str">
        <f>IF(G242="","L146",IF(G242&lt;I242,_xlfn.CONCAT("L146-",RIGHT(F242,LEN(F242) - FIND("-",F242))), _xlfn.CONCAT("L146-",RIGHT(H242,LEN(H242) - FIND("-",H242)))))</f>
        <v>L146</v>
      </c>
      <c r="C246" s="25" t="s">
        <v>217</v>
      </c>
      <c r="D246" s="72" t="str">
        <f>IF(G210="","L144",IF(G210&lt;I210,_xlfn.CONCAT("L144-",RIGHT(F210,LEN(F210) - FIND("-",F210))), _xlfn.CONCAT("L144-",RIGHT(H210,LEN(H210) - FIND("-",H210)))))</f>
        <v>L144</v>
      </c>
    </row>
    <row r="247" spans="1:15" ht="13.95" customHeight="1">
      <c r="A247" s="22" t="s">
        <v>210</v>
      </c>
      <c r="B247" s="72" t="str">
        <f>IF(G235="","W145",IF(G235&gt;I235,_xlfn.CONCAT("W145-",RIGHT(F235,LEN(F235) - FIND("-",F235))), _xlfn.CONCAT("W145-",RIGHT(H235,LEN(H235) - FIND("-",H235)))))</f>
        <v>W145</v>
      </c>
      <c r="C247" s="25" t="s">
        <v>210</v>
      </c>
      <c r="D247" s="72" t="str">
        <f>IF(G209="","W143",IF(G209&gt;I209,_xlfn.CONCAT("W143-",RIGHT(F209,LEN(F209) - FIND("-",F209))), _xlfn.CONCAT("W143-",RIGHT(H209,LEN(H209) - FIND("-",H209)))))</f>
        <v>W143</v>
      </c>
    </row>
    <row r="248" spans="1:15" ht="13.95" customHeight="1">
      <c r="A248" s="22" t="s">
        <v>213</v>
      </c>
      <c r="B248" s="72" t="str">
        <f>IF(G235="","L145",IF(G235&lt;I235,_xlfn.CONCAT("L145-",RIGHT(F235,LEN(F235) - FIND("-",F235))), _xlfn.CONCAT("L145-",RIGHT(H235,LEN(H235) - FIND("-",H235)))))</f>
        <v>L145</v>
      </c>
      <c r="C248" s="25" t="s">
        <v>213</v>
      </c>
      <c r="D248" s="72" t="str">
        <f>IF(G209="","L143",IF(G209&lt;I209,_xlfn.CONCAT("L143-",RIGHT(F209,LEN(F209) - FIND("-",F209))), _xlfn.CONCAT("L143-",RIGHT(H209,LEN(H209) - FIND("-",H209)))))</f>
        <v>L143</v>
      </c>
    </row>
    <row r="249" spans="1:15" ht="13.95" customHeight="1">
      <c r="A249" s="22" t="s">
        <v>206</v>
      </c>
      <c r="B249" s="72" t="str">
        <f>IF(G240="","W141",IF(G240&gt;I240,_xlfn.CONCAT("W141-",RIGHT(F240,LEN(F240) - FIND("-",F240))), _xlfn.CONCAT("W141-",RIGHT(H240,LEN(H240) - FIND("-",H240)))))</f>
        <v>W141</v>
      </c>
      <c r="C249" s="25" t="s">
        <v>206</v>
      </c>
      <c r="D249" s="72" t="str">
        <f>IF(G227="","W139",IF(G227&gt;I227,_xlfn.CONCAT("W139-",RIGHT(F227,LEN(F227) - FIND("-",F227))), _xlfn.CONCAT("W139-",RIGHT(H227,LEN(H227) - FIND("-",H227)))))</f>
        <v>W139</v>
      </c>
    </row>
    <row r="250" spans="1:15" ht="13.95" customHeight="1">
      <c r="A250" s="22" t="s">
        <v>209</v>
      </c>
      <c r="B250" s="72" t="str">
        <f>IF(G240="","L141",IF(G240&lt;I240,_xlfn.CONCAT("L141-",RIGHT(F240,LEN(F240) - FIND("-",F240))), _xlfn.CONCAT("L141-",RIGHT(H240,LEN(H240) - FIND("-",H240)))))</f>
        <v>L141</v>
      </c>
      <c r="C250" s="25" t="s">
        <v>209</v>
      </c>
      <c r="D250" s="72" t="str">
        <f>IF(G227="","L139",IF(G227&lt;I227,_xlfn.CONCAT("L139-",RIGHT(F227,LEN(F227) - FIND("-",F227))), _xlfn.CONCAT("L139-",RIGHT(H227,LEN(H227) - FIND("-",H227)))))</f>
        <v>L139</v>
      </c>
    </row>
    <row r="251" spans="1:15" ht="13.95" customHeight="1">
      <c r="A251" s="22" t="s">
        <v>220</v>
      </c>
      <c r="B251" s="72" t="str">
        <f>IF(G215="","W140",IF(G215&gt;I215,_xlfn.CONCAT("W140-",RIGHT(F215,LEN(F215) - FIND("-",F215))), _xlfn.CONCAT("W140-",RIGHT(H215,LEN(H215) - FIND("-",H215)))))</f>
        <v>W140</v>
      </c>
      <c r="C251" s="25" t="s">
        <v>220</v>
      </c>
      <c r="D251" s="72" t="str">
        <f>IF(G228="","W142",IF(G228&gt;I228,_xlfn.CONCAT("W142-",RIGHT(F228,LEN(F228) - FIND("-",F228))), _xlfn.CONCAT("W142-",RIGHT(H228,LEN(H228) - FIND("-",H228)))))</f>
        <v>W142</v>
      </c>
    </row>
    <row r="252" spans="1:15" ht="13.95" customHeight="1">
      <c r="A252" s="22" t="s">
        <v>221</v>
      </c>
      <c r="B252" s="72" t="str">
        <f>IF(G215="","L140",IF(G215&lt;I215,_xlfn.CONCAT("L140-",RIGHT(F215,LEN(F215) - FIND("-",F215))), _xlfn.CONCAT("L140-",RIGHT(H215,LEN(H215) - FIND("-",H215)))))</f>
        <v>L140</v>
      </c>
      <c r="C252" s="25" t="s">
        <v>221</v>
      </c>
      <c r="D252" s="72" t="str">
        <f>IF(G228="","L142",IF(G228&lt;I228,_xlfn.CONCAT("L142-",RIGHT(F228,LEN(F228) - FIND("-",F228))), _xlfn.CONCAT("L142-",RIGHT(H228,LEN(H228) - FIND("-",H228)))))</f>
        <v>L142</v>
      </c>
    </row>
    <row r="253" spans="1:15" ht="13.95" customHeight="1">
      <c r="A253" s="22" t="s">
        <v>222</v>
      </c>
      <c r="B253" s="72" t="str">
        <f>IF(G216="","W138",IF(G216&gt;I216,_xlfn.CONCAT("W138-",RIGHT(F216,LEN(F216) - FIND("-",F216))), _xlfn.CONCAT("W138-",RIGHT(H216,LEN(H216) - FIND("-",H216)))))</f>
        <v>W138</v>
      </c>
      <c r="C253" s="25" t="s">
        <v>222</v>
      </c>
      <c r="D253" s="72" t="str">
        <f>IF(G229="","W133",IF(G229&gt;I229,_xlfn.CONCAT("W133-",RIGHT(F229,LEN(F229) - FIND("-",F229))), _xlfn.CONCAT("W133-",RIGHT(H229,LEN(H229) - FIND("-",H229)))))</f>
        <v>W133</v>
      </c>
    </row>
    <row r="254" spans="1:15" ht="13.95" customHeight="1">
      <c r="A254" s="22" t="s">
        <v>223</v>
      </c>
      <c r="B254" s="72" t="str">
        <f>IF(G216="","L138",IF(G216&lt;I216,_xlfn.CONCAT("L138-",RIGHT(F216,LEN(F216) - FIND("-",F216))), _xlfn.CONCAT("L138-",RIGHT(H216,LEN(H216) - FIND("-",H216)))))</f>
        <v>L138</v>
      </c>
      <c r="C254" s="25" t="s">
        <v>223</v>
      </c>
      <c r="D254" s="73" t="str">
        <f>IF(G229="","L133",IF(G229&lt;I229,_xlfn.CONCAT("L133-",RIGHT(F229,LEN(F229) - FIND("-",F229))), _xlfn.CONCAT("L133-",RIGHT(H229,LEN(H229) - FIND("-",H229)))))</f>
        <v>L133</v>
      </c>
    </row>
    <row r="255" spans="1:15" ht="13.95" customHeight="1">
      <c r="A255" s="22" t="s">
        <v>218</v>
      </c>
      <c r="B255" s="74" t="str">
        <f>IF(G217="","W137",IF(G217&gt;I217,_xlfn.CONCAT("W137-",RIGHT(F217,LEN(F217) - FIND("-",F217))), _xlfn.CONCAT("W137-",RIGHT(H217,LEN(H217) - FIND("-",H217)))))</f>
        <v>W137</v>
      </c>
      <c r="C255" s="25" t="s">
        <v>218</v>
      </c>
      <c r="D255" s="75" t="str">
        <f>IF(G199="","W136",IF(G199&gt;I199,_xlfn.CONCAT("W136-",RIGHT(F199,LEN(F199) - FIND("-",F199))), _xlfn.CONCAT("W136-",RIGHT(H199,LEN(H199) - FIND("-",H199)))))</f>
        <v>W136</v>
      </c>
    </row>
    <row r="256" spans="1:15" ht="13.95" customHeight="1">
      <c r="A256" s="68" t="s">
        <v>219</v>
      </c>
      <c r="B256" s="75" t="str">
        <f>IF(G217="","L137",IF(G217&lt;I217,_xlfn.CONCAT("L137-",RIGHT(F217,LEN(F217) - FIND("-",F217))), _xlfn.CONCAT("L137-",RIGHT(H217,LEN(H217) - FIND("-",H217)))))</f>
        <v>L137</v>
      </c>
      <c r="C256" s="25" t="s">
        <v>219</v>
      </c>
      <c r="D256" s="75" t="str">
        <f>IF(G199="","L136",IF(G199&lt;I199,_xlfn.CONCAT("L136-",RIGHT(F199,LEN(F199) - FIND("-",F199))), _xlfn.CONCAT("L136-",RIGHT(H199,LEN(H199) - FIND("-",H199)))))</f>
        <v>L136</v>
      </c>
    </row>
    <row r="257" spans="1:4" ht="13.95" customHeight="1">
      <c r="A257" s="68" t="s">
        <v>413</v>
      </c>
      <c r="B257" s="75" t="str">
        <f>IF(G221="","W135",IF(G221&gt;I221,_xlfn.CONCAT("W135-",RIGHT(F221,LEN(F221) - FIND("-",F221))), _xlfn.CONCAT("W135-",RIGHT(H221,LEN(H221) - FIND("-",H221)))))</f>
        <v>W135</v>
      </c>
      <c r="C257" s="69"/>
      <c r="D257" s="76"/>
    </row>
    <row r="258" spans="1:4" ht="13.95" customHeight="1">
      <c r="A258" s="68" t="s">
        <v>414</v>
      </c>
      <c r="B258" s="75" t="str">
        <f>IF(G221="","L135",IF(G221&lt;I221,_xlfn.CONCAT("L135-",RIGHT(F221,LEN(F221) - FIND("-",F221))), _xlfn.CONCAT("L135-",RIGHT(H221,LEN(H221) - FIND("-",H221)))))</f>
        <v>L135</v>
      </c>
      <c r="C258" s="69"/>
      <c r="D258" s="76"/>
    </row>
    <row r="259" spans="1:4" ht="13.95" customHeight="1">
      <c r="A259" s="68" t="s">
        <v>407</v>
      </c>
      <c r="B259" s="75" t="str">
        <f>IF(G201="","W134",IF(G201&gt;I201,_xlfn.CONCAT("W134-",RIGHT(F201,LEN(F201) - FIND("-",F201))), _xlfn.CONCAT("W134-",RIGHT(H201,LEN(H201) - FIND("-",H201)))))</f>
        <v>W134</v>
      </c>
      <c r="C259" s="69"/>
      <c r="D259" s="76"/>
    </row>
    <row r="260" spans="1:4" ht="13.95" customHeight="1">
      <c r="A260" s="68" t="s">
        <v>408</v>
      </c>
      <c r="B260" s="75" t="str">
        <f>IF(G201="","L134",IF(G201&lt;I201,_xlfn.CONCAT("L134-",RIGHT(F201,LEN(F201) - FIND("-",F201))), _xlfn.CONCAT("L134-",RIGHT(H201,LEN(H201) - FIND("-",H201)))))</f>
        <v>L134</v>
      </c>
      <c r="C260" s="69"/>
      <c r="D260" s="76"/>
    </row>
    <row r="261" spans="1:4" ht="13.95" customHeight="1">
      <c r="A261" s="68" t="s">
        <v>411</v>
      </c>
      <c r="B261" s="75" t="str">
        <f>IF(G207="","W129",IF(G207&gt;I207,_xlfn.CONCAT("W129-",RIGHT(F207,LEN(F207) - FIND("-",F207))), _xlfn.CONCAT("W129-",RIGHT(H207,LEN(H207) - FIND("-",H207)))))</f>
        <v>W129</v>
      </c>
      <c r="C261" s="69"/>
      <c r="D261" s="76"/>
    </row>
    <row r="262" spans="1:4" ht="13.95" customHeight="1">
      <c r="A262" s="68" t="s">
        <v>412</v>
      </c>
      <c r="B262" s="75" t="str">
        <f>IF(G207="","L129",IF(G207&lt;I207,_xlfn.CONCAT("L129-",RIGHT(F207,LEN(F207) - FIND("-",F207))), _xlfn.CONCAT("L129-",RIGHT(H207,LEN(H207) - FIND("-",H207)))))</f>
        <v>L129</v>
      </c>
      <c r="C262" s="69"/>
      <c r="D262" s="76"/>
    </row>
    <row r="263" spans="1:4" ht="13.95" customHeight="1">
      <c r="A263" s="77" t="s">
        <v>409</v>
      </c>
      <c r="B263" s="75" t="str">
        <f>IF(G202="","W128",IF(G202&gt;I202,_xlfn.CONCAT("W128-",RIGHT(F202,LEN(F202) - FIND("-",F202))), _xlfn.CONCAT("W128-",RIGHT(H202,LEN(H202) - FIND("-",H202)))))</f>
        <v>W128</v>
      </c>
      <c r="C263" s="69"/>
      <c r="D263" s="76"/>
    </row>
    <row r="264" spans="1:4" ht="13.95" customHeight="1">
      <c r="A264" s="78" t="s">
        <v>410</v>
      </c>
      <c r="B264" s="79" t="str">
        <f>IF(G202="","L128",IF(G202&lt;I202,_xlfn.CONCAT("L128-",RIGHT(F202,LEN(F202) - FIND("-",F202))), _xlfn.CONCAT("L128-",RIGHT(H202,LEN(H202) - FIND("-",H202)))))</f>
        <v>L128</v>
      </c>
      <c r="C264" s="69"/>
      <c r="D264" s="76"/>
    </row>
    <row r="265" spans="1:4" ht="13.95" customHeight="1">
      <c r="A265" s="70" t="s">
        <v>415</v>
      </c>
      <c r="B265" s="75"/>
      <c r="C265" s="69"/>
      <c r="D265" s="76"/>
    </row>
    <row r="266" spans="1:4" ht="13.95" customHeight="1">
      <c r="A266" s="70" t="s">
        <v>416</v>
      </c>
      <c r="B266" s="75"/>
      <c r="C266" s="69"/>
      <c r="D266" s="76"/>
    </row>
    <row r="267" spans="1:4" ht="13.95" customHeight="1">
      <c r="A267" s="71" t="s">
        <v>417</v>
      </c>
      <c r="B267" s="75"/>
      <c r="C267" s="69"/>
      <c r="D267" s="76"/>
    </row>
    <row r="268" spans="1:4" ht="13.95" customHeight="1">
      <c r="A268" s="68" t="s">
        <v>418</v>
      </c>
      <c r="B268" s="75"/>
      <c r="C268" s="69"/>
      <c r="D268" s="76"/>
    </row>
  </sheetData>
  <pageMargins left="0.75" right="0.75" top="1" bottom="1" header="0.25" footer="0.5"/>
  <pageSetup orientation="portrait" horizontalDpi="4294967292" verticalDpi="4294967292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B701C-7A41-4A87-BF44-E2CC2C64D16E}">
  <sheetPr>
    <tabColor rgb="FFABC7FF"/>
  </sheetPr>
  <dimension ref="A1:O154"/>
  <sheetViews>
    <sheetView workbookViewId="0">
      <selection activeCell="F62" sqref="F62"/>
    </sheetView>
  </sheetViews>
  <sheetFormatPr defaultColWidth="7.796875" defaultRowHeight="13.95" customHeight="1"/>
  <cols>
    <col min="1" max="1" width="19.19921875" style="2" bestFit="1" customWidth="1"/>
    <col min="2" max="2" width="22.5" style="2" bestFit="1" customWidth="1"/>
    <col min="3" max="3" width="23.5" style="2" bestFit="1" customWidth="1"/>
    <col min="4" max="4" width="24.296875" style="2" bestFit="1" customWidth="1"/>
    <col min="5" max="5" width="23.796875" style="2" bestFit="1" customWidth="1"/>
    <col min="6" max="6" width="24.796875" style="2" bestFit="1" customWidth="1"/>
    <col min="7" max="7" width="7" style="2" customWidth="1"/>
    <col min="8" max="8" width="23.5" style="2" bestFit="1" customWidth="1"/>
    <col min="9" max="9" width="6.296875" style="2" customWidth="1"/>
    <col min="10" max="10" width="7.296875" style="2" customWidth="1"/>
    <col min="11" max="11" width="8.19921875" style="2" customWidth="1"/>
    <col min="12" max="12" width="12.69921875" style="2" bestFit="1" customWidth="1"/>
    <col min="13" max="14" width="7.796875" style="2"/>
    <col min="15" max="15" width="10.69921875" style="2" bestFit="1" customWidth="1"/>
    <col min="16" max="16384" width="7.796875" style="2"/>
  </cols>
  <sheetData>
    <row r="1" spans="1:12" ht="13.95" customHeight="1" thickTop="1" thickBot="1">
      <c r="A1" s="87" t="s">
        <v>61</v>
      </c>
      <c r="B1" s="2" t="s">
        <v>62</v>
      </c>
      <c r="C1" s="2" t="s">
        <v>63</v>
      </c>
      <c r="D1" s="49" t="s">
        <v>64</v>
      </c>
      <c r="E1" s="88"/>
      <c r="F1" s="88"/>
      <c r="G1" s="88"/>
      <c r="H1" s="88"/>
      <c r="I1" s="88"/>
      <c r="J1" s="88"/>
      <c r="K1" s="88"/>
      <c r="L1" s="88"/>
    </row>
    <row r="2" spans="1:12" ht="13.95" customHeight="1" thickBot="1">
      <c r="A2" s="3">
        <v>46221</v>
      </c>
      <c r="D2" s="51" t="s">
        <v>65</v>
      </c>
    </row>
    <row r="3" spans="1:12" ht="13.95" customHeight="1" thickBot="1">
      <c r="A3" s="2" t="s">
        <v>419</v>
      </c>
      <c r="C3" s="89" t="s">
        <v>72</v>
      </c>
    </row>
    <row r="4" spans="1:12" ht="13.95" customHeight="1">
      <c r="A4" s="103" t="s">
        <v>85</v>
      </c>
      <c r="B4" s="103" t="s">
        <v>86</v>
      </c>
      <c r="C4" s="103" t="s">
        <v>87</v>
      </c>
      <c r="D4" s="103" t="s">
        <v>88</v>
      </c>
      <c r="E4" s="103" t="s">
        <v>89</v>
      </c>
      <c r="F4" s="103" t="s">
        <v>90</v>
      </c>
    </row>
    <row r="5" spans="1:12" ht="13.95" customHeight="1">
      <c r="A5" s="90" t="s">
        <v>420</v>
      </c>
      <c r="B5" s="90" t="s">
        <v>421</v>
      </c>
      <c r="C5" s="90" t="s">
        <v>422</v>
      </c>
      <c r="D5" s="90" t="s">
        <v>423</v>
      </c>
      <c r="E5" s="90" t="s">
        <v>424</v>
      </c>
      <c r="F5" s="90" t="s">
        <v>425</v>
      </c>
    </row>
    <row r="6" spans="1:12" ht="13.95" customHeight="1">
      <c r="A6" s="90" t="s">
        <v>426</v>
      </c>
      <c r="B6" s="90" t="s">
        <v>427</v>
      </c>
      <c r="C6" s="90" t="s">
        <v>428</v>
      </c>
      <c r="D6" s="90" t="s">
        <v>429</v>
      </c>
      <c r="E6" s="90" t="s">
        <v>430</v>
      </c>
      <c r="F6" s="90" t="s">
        <v>431</v>
      </c>
    </row>
    <row r="7" spans="1:12" ht="13.95" customHeight="1">
      <c r="A7" s="90" t="s">
        <v>432</v>
      </c>
      <c r="B7" s="90" t="s">
        <v>433</v>
      </c>
      <c r="C7" s="90" t="s">
        <v>434</v>
      </c>
      <c r="D7" s="90" t="s">
        <v>435</v>
      </c>
      <c r="E7" s="90" t="s">
        <v>436</v>
      </c>
      <c r="F7" s="90" t="s">
        <v>437</v>
      </c>
    </row>
    <row r="8" spans="1:12" ht="13.95" customHeight="1">
      <c r="C8" s="90" t="s">
        <v>438</v>
      </c>
      <c r="D8" s="90" t="s">
        <v>439</v>
      </c>
      <c r="E8" s="90" t="s">
        <v>440</v>
      </c>
      <c r="F8" s="90" t="s">
        <v>441</v>
      </c>
    </row>
    <row r="9" spans="1:12" ht="13.95" customHeight="1" thickBot="1">
      <c r="L9" s="2" t="s">
        <v>442</v>
      </c>
    </row>
    <row r="10" spans="1:12" ht="13.95" customHeight="1" thickBot="1">
      <c r="D10" s="89" t="str">
        <f>'CHICLETS MASTER S1'!$I$3</f>
        <v>OCEAN VIEW HS 2</v>
      </c>
    </row>
    <row r="11" spans="1:12" ht="13.95" customHeight="1">
      <c r="A11" s="103" t="s">
        <v>110</v>
      </c>
      <c r="B11" s="103" t="s">
        <v>111</v>
      </c>
      <c r="C11" s="103" t="s">
        <v>112</v>
      </c>
      <c r="D11" s="103" t="s">
        <v>113</v>
      </c>
      <c r="E11" s="103" t="s">
        <v>114</v>
      </c>
      <c r="F11" s="103" t="s">
        <v>115</v>
      </c>
      <c r="G11" s="103" t="s">
        <v>116</v>
      </c>
      <c r="H11" s="103" t="s">
        <v>117</v>
      </c>
      <c r="I11" s="103" t="s">
        <v>116</v>
      </c>
      <c r="J11" s="103" t="s">
        <v>118</v>
      </c>
      <c r="K11" s="103" t="s">
        <v>119</v>
      </c>
      <c r="L11" s="103" t="s">
        <v>120</v>
      </c>
    </row>
    <row r="12" spans="1:12" ht="13.95" customHeight="1">
      <c r="A12" s="6">
        <f t="shared" ref="A12:A24" si="0">$A$2</f>
        <v>46221</v>
      </c>
      <c r="B12" s="21">
        <f>'CHICLETS MASTER S1'!A4</f>
        <v>0.29166666666666669</v>
      </c>
      <c r="C12" s="8" t="s">
        <v>163</v>
      </c>
      <c r="D12" s="8" t="str">
        <f t="shared" ref="D12:D25" si="1">D$10</f>
        <v>OCEAN VIEW HS 2</v>
      </c>
      <c r="E12" s="8">
        <v>1</v>
      </c>
      <c r="F12" s="8" t="str">
        <f>$C$5</f>
        <v>C1(3)-YOLO B</v>
      </c>
      <c r="G12" s="8"/>
      <c r="H12" s="8" t="str">
        <f>$C$8</f>
        <v>C4(22)-TITANS</v>
      </c>
      <c r="I12" s="8"/>
      <c r="J12" s="8">
        <v>13</v>
      </c>
      <c r="K12" s="8">
        <v>15</v>
      </c>
      <c r="L12" s="8" t="str">
        <f t="shared" ref="L12:L27" si="2">IF(E12="","",$L$9&amp;"-"&amp;TEXT(E12,"000"))</f>
        <v>10CX-001</v>
      </c>
    </row>
    <row r="13" spans="1:12" ht="13.95" customHeight="1">
      <c r="A13" s="6">
        <f t="shared" si="0"/>
        <v>46221</v>
      </c>
      <c r="B13" s="21">
        <f>'CHICLETS MASTER S1'!A5</f>
        <v>0.3263888888888889</v>
      </c>
      <c r="C13" s="8" t="s">
        <v>163</v>
      </c>
      <c r="D13" s="8" t="str">
        <f t="shared" si="1"/>
        <v>OCEAN VIEW HS 2</v>
      </c>
      <c r="E13" s="8">
        <v>3</v>
      </c>
      <c r="F13" s="8" t="str">
        <f>$C$6</f>
        <v>C2(10)-NGEN</v>
      </c>
      <c r="G13" s="8"/>
      <c r="H13" s="8" t="str">
        <f>$C$7</f>
        <v>C3(15)-FOOTHILL BLACK B</v>
      </c>
      <c r="I13" s="8"/>
      <c r="J13" s="8">
        <v>13</v>
      </c>
      <c r="K13" s="8">
        <v>15</v>
      </c>
      <c r="L13" s="8" t="str">
        <f t="shared" si="2"/>
        <v>10CX-003</v>
      </c>
    </row>
    <row r="14" spans="1:12" ht="13.95" customHeight="1">
      <c r="A14" s="6">
        <f t="shared" si="0"/>
        <v>46221</v>
      </c>
      <c r="B14" s="21">
        <f>'CHICLETS MASTER S1'!A6</f>
        <v>0.36111111111111099</v>
      </c>
      <c r="C14" s="8" t="s">
        <v>163</v>
      </c>
      <c r="D14" s="8" t="str">
        <f t="shared" si="1"/>
        <v>OCEAN VIEW HS 2</v>
      </c>
      <c r="E14" s="8">
        <v>5</v>
      </c>
      <c r="F14" s="8" t="str">
        <f>$D$5</f>
        <v>D1(4)-680 RED</v>
      </c>
      <c r="G14" s="8"/>
      <c r="H14" s="8" t="str">
        <f>$D$8</f>
        <v>D4(21)-SANTA BARBARA WPC 8U</v>
      </c>
      <c r="I14" s="8"/>
      <c r="J14" s="8">
        <v>17</v>
      </c>
      <c r="K14" s="8">
        <v>19</v>
      </c>
      <c r="L14" s="8" t="str">
        <f t="shared" si="2"/>
        <v>10CX-005</v>
      </c>
    </row>
    <row r="15" spans="1:12" ht="13.95" customHeight="1">
      <c r="A15" s="6">
        <f t="shared" si="0"/>
        <v>46221</v>
      </c>
      <c r="B15" s="21">
        <f>'CHICLETS MASTER S1'!A7</f>
        <v>0.39583333333333398</v>
      </c>
      <c r="C15" s="8" t="s">
        <v>163</v>
      </c>
      <c r="D15" s="8" t="str">
        <f t="shared" si="1"/>
        <v>OCEAN VIEW HS 2</v>
      </c>
      <c r="E15" s="8">
        <v>7</v>
      </c>
      <c r="F15" s="8" t="str">
        <f>$D$6</f>
        <v>D2(9)-VALLEY UNITED</v>
      </c>
      <c r="G15" s="8"/>
      <c r="H15" s="8" t="str">
        <f>$D$7</f>
        <v>D3(16)-TSUNAMI</v>
      </c>
      <c r="I15" s="8"/>
      <c r="J15" s="8">
        <v>17</v>
      </c>
      <c r="K15" s="8">
        <v>19</v>
      </c>
      <c r="L15" s="8" t="str">
        <f t="shared" si="2"/>
        <v>10CX-007</v>
      </c>
    </row>
    <row r="16" spans="1:12" ht="13.95" customHeight="1">
      <c r="A16" s="6">
        <f t="shared" si="0"/>
        <v>46221</v>
      </c>
      <c r="B16" s="21">
        <f>'CHICLETS MASTER S1'!A8</f>
        <v>0.43055555555555602</v>
      </c>
      <c r="C16" s="8" t="s">
        <v>163</v>
      </c>
      <c r="D16" s="8" t="str">
        <f t="shared" si="1"/>
        <v>OCEAN VIEW HS 2</v>
      </c>
      <c r="E16" s="8">
        <v>9</v>
      </c>
      <c r="F16" s="8" t="str">
        <f>$E$5</f>
        <v>E1(5)-TROJAN SOUTH</v>
      </c>
      <c r="G16" s="8"/>
      <c r="H16" s="8" t="str">
        <f>$E$8</f>
        <v>E4(20)-MAC</v>
      </c>
      <c r="I16" s="8"/>
      <c r="J16" s="8">
        <v>21</v>
      </c>
      <c r="K16" s="8">
        <v>23</v>
      </c>
      <c r="L16" s="8" t="str">
        <f t="shared" si="2"/>
        <v>10CX-009</v>
      </c>
    </row>
    <row r="17" spans="1:12" ht="13.95" customHeight="1">
      <c r="A17" s="6">
        <f t="shared" si="0"/>
        <v>46221</v>
      </c>
      <c r="B17" s="21">
        <f>'CHICLETS MASTER S1'!A9</f>
        <v>0.46527777777777801</v>
      </c>
      <c r="C17" s="8" t="s">
        <v>163</v>
      </c>
      <c r="D17" s="8" t="str">
        <f t="shared" si="1"/>
        <v>OCEAN VIEW HS 2</v>
      </c>
      <c r="E17" s="8">
        <v>11</v>
      </c>
      <c r="F17" s="8" t="str">
        <f>$E$6</f>
        <v>E2(8)-OCWPC RED</v>
      </c>
      <c r="G17" s="8"/>
      <c r="H17" s="8" t="str">
        <f>E7</f>
        <v>E3(17)- SANTA BARBARA WPC B</v>
      </c>
      <c r="I17" s="13"/>
      <c r="J17" s="8">
        <v>21</v>
      </c>
      <c r="K17" s="8">
        <v>23</v>
      </c>
      <c r="L17" s="8" t="str">
        <f t="shared" si="2"/>
        <v>10CX-011</v>
      </c>
    </row>
    <row r="18" spans="1:12" ht="13.95" customHeight="1">
      <c r="A18" s="6">
        <f t="shared" si="0"/>
        <v>46221</v>
      </c>
      <c r="B18" s="21">
        <f>'CHICLETS MASTER S1'!A10</f>
        <v>0.5</v>
      </c>
      <c r="C18" s="8" t="s">
        <v>163</v>
      </c>
      <c r="D18" s="8" t="str">
        <f t="shared" si="1"/>
        <v>OCEAN VIEW HS 2</v>
      </c>
      <c r="E18" s="8">
        <v>13</v>
      </c>
      <c r="F18" s="8" t="s">
        <v>443</v>
      </c>
      <c r="G18" s="8"/>
      <c r="H18" s="8" t="s">
        <v>444</v>
      </c>
      <c r="I18" s="8"/>
      <c r="J18" s="8" t="s">
        <v>445</v>
      </c>
      <c r="K18" s="8">
        <v>24</v>
      </c>
      <c r="L18" s="8" t="str">
        <f t="shared" si="2"/>
        <v>10CX-013</v>
      </c>
    </row>
    <row r="19" spans="1:12" ht="13.95" customHeight="1">
      <c r="A19" s="6">
        <f t="shared" si="0"/>
        <v>46221</v>
      </c>
      <c r="B19" s="21">
        <f>'CHICLETS MASTER S1'!A11</f>
        <v>0.53472222222222199</v>
      </c>
      <c r="C19" s="8" t="s">
        <v>163</v>
      </c>
      <c r="D19" s="8" t="str">
        <f t="shared" si="1"/>
        <v>OCEAN VIEW HS 2</v>
      </c>
      <c r="E19" s="8">
        <v>15</v>
      </c>
      <c r="F19" s="8" t="s">
        <v>446</v>
      </c>
      <c r="G19" s="8"/>
      <c r="H19" s="8" t="s">
        <v>447</v>
      </c>
      <c r="I19" s="8"/>
      <c r="J19" s="8">
        <v>99</v>
      </c>
      <c r="K19" s="8" t="s">
        <v>448</v>
      </c>
      <c r="L19" s="8" t="str">
        <f t="shared" si="2"/>
        <v>10CX-015</v>
      </c>
    </row>
    <row r="20" spans="1:12" ht="13.95" customHeight="1">
      <c r="A20" s="6">
        <f t="shared" si="0"/>
        <v>46221</v>
      </c>
      <c r="B20" s="21">
        <f>'CHICLETS MASTER S1'!A12</f>
        <v>0.56944444444444497</v>
      </c>
      <c r="C20" s="8" t="s">
        <v>163</v>
      </c>
      <c r="D20" s="8" t="str">
        <f t="shared" si="1"/>
        <v>OCEAN VIEW HS 2</v>
      </c>
      <c r="E20" s="8">
        <v>17</v>
      </c>
      <c r="F20" s="8" t="s">
        <v>449</v>
      </c>
      <c r="G20" s="8"/>
      <c r="H20" s="8" t="s">
        <v>450</v>
      </c>
      <c r="I20" s="8"/>
      <c r="J20" s="8" t="s">
        <v>451</v>
      </c>
      <c r="K20" s="8">
        <v>99</v>
      </c>
      <c r="L20" s="8" t="str">
        <f t="shared" si="2"/>
        <v>10CX-017</v>
      </c>
    </row>
    <row r="21" spans="1:12" ht="13.95" customHeight="1">
      <c r="A21" s="6">
        <f t="shared" si="0"/>
        <v>46221</v>
      </c>
      <c r="B21" s="21">
        <f>'CHICLETS MASTER S1'!A13</f>
        <v>0.60416666666666696</v>
      </c>
      <c r="C21" s="8" t="s">
        <v>163</v>
      </c>
      <c r="D21" s="8" t="str">
        <f t="shared" si="1"/>
        <v>OCEAN VIEW HS 2</v>
      </c>
      <c r="E21" s="8">
        <v>19</v>
      </c>
      <c r="F21" s="8" t="s">
        <v>452</v>
      </c>
      <c r="G21" s="8"/>
      <c r="H21" s="8" t="s">
        <v>453</v>
      </c>
      <c r="I21" s="8"/>
      <c r="J21" s="8">
        <v>24</v>
      </c>
      <c r="K21" s="8" t="s">
        <v>454</v>
      </c>
      <c r="L21" s="8" t="str">
        <f t="shared" si="2"/>
        <v>10CX-019</v>
      </c>
    </row>
    <row r="22" spans="1:12" ht="13.95" customHeight="1">
      <c r="A22" s="6">
        <f t="shared" si="0"/>
        <v>46221</v>
      </c>
      <c r="B22" s="21">
        <f>'CHICLETS MASTER S1'!A14</f>
        <v>0.63888888888888895</v>
      </c>
      <c r="C22" s="8" t="s">
        <v>163</v>
      </c>
      <c r="D22" s="8" t="str">
        <f t="shared" si="1"/>
        <v>OCEAN VIEW HS 2</v>
      </c>
      <c r="E22" s="8">
        <v>21</v>
      </c>
      <c r="F22" s="8" t="s">
        <v>455</v>
      </c>
      <c r="G22" s="8"/>
      <c r="H22" s="8" t="s">
        <v>456</v>
      </c>
      <c r="I22" s="8"/>
      <c r="J22" s="8" t="s">
        <v>457</v>
      </c>
      <c r="K22" s="8">
        <v>25</v>
      </c>
      <c r="L22" s="8" t="str">
        <f t="shared" si="2"/>
        <v>10CX-021</v>
      </c>
    </row>
    <row r="23" spans="1:12" ht="13.95" customHeight="1">
      <c r="A23" s="6">
        <f t="shared" si="0"/>
        <v>46221</v>
      </c>
      <c r="B23" s="21">
        <f>'CHICLETS MASTER S1'!A15</f>
        <v>0.67361111111111105</v>
      </c>
      <c r="C23" s="8" t="s">
        <v>163</v>
      </c>
      <c r="D23" s="8" t="str">
        <f t="shared" si="1"/>
        <v>OCEAN VIEW HS 2</v>
      </c>
      <c r="E23" s="8">
        <v>23</v>
      </c>
      <c r="F23" s="8" t="s">
        <v>458</v>
      </c>
      <c r="G23" s="8"/>
      <c r="H23" s="8" t="s">
        <v>459</v>
      </c>
      <c r="I23" s="8"/>
      <c r="J23" s="8">
        <v>27</v>
      </c>
      <c r="K23" s="8" t="s">
        <v>460</v>
      </c>
      <c r="L23" s="8" t="str">
        <f t="shared" si="2"/>
        <v>10CX-023</v>
      </c>
    </row>
    <row r="24" spans="1:12" ht="13.95" customHeight="1">
      <c r="A24" s="6">
        <f t="shared" si="0"/>
        <v>46221</v>
      </c>
      <c r="B24" s="21">
        <f>'CHICLETS MASTER S1'!A16</f>
        <v>0.70833333333333404</v>
      </c>
      <c r="C24" s="2" t="s">
        <v>122</v>
      </c>
      <c r="D24" s="8" t="str">
        <f t="shared" si="1"/>
        <v>OCEAN VIEW HS 2</v>
      </c>
      <c r="E24" s="8">
        <v>99</v>
      </c>
      <c r="F24" s="8" t="s">
        <v>461</v>
      </c>
      <c r="G24" s="53"/>
      <c r="H24" s="8" t="s">
        <v>462</v>
      </c>
      <c r="I24" s="53"/>
      <c r="J24" s="8" t="s">
        <v>463</v>
      </c>
      <c r="K24" s="8" t="s">
        <v>464</v>
      </c>
      <c r="L24" s="8" t="str">
        <f t="shared" si="2"/>
        <v>10CX-099</v>
      </c>
    </row>
    <row r="25" spans="1:12" ht="13.95" customHeight="1">
      <c r="A25" s="6">
        <f>$A$2</f>
        <v>46221</v>
      </c>
      <c r="B25" s="21">
        <f>'CHICLETS MASTER S1'!A17</f>
        <v>0.74305555555555602</v>
      </c>
      <c r="C25" s="8" t="s">
        <v>122</v>
      </c>
      <c r="D25" s="8" t="str">
        <f t="shared" si="1"/>
        <v>OCEAN VIEW HS 2</v>
      </c>
      <c r="E25" s="8">
        <v>24</v>
      </c>
      <c r="F25" s="8" t="s">
        <v>465</v>
      </c>
      <c r="G25" s="8"/>
      <c r="H25" s="8" t="s">
        <v>466</v>
      </c>
      <c r="I25" s="8"/>
      <c r="J25" s="8" t="s">
        <v>467</v>
      </c>
      <c r="K25" s="8" t="s">
        <v>468</v>
      </c>
      <c r="L25" s="8" t="str">
        <f t="shared" si="2"/>
        <v>10CX-024</v>
      </c>
    </row>
    <row r="26" spans="1:12" ht="13.95" customHeight="1">
      <c r="A26" s="6">
        <f>$A$2</f>
        <v>46221</v>
      </c>
      <c r="B26" s="21">
        <f>'CHICLETS MASTER S1'!A18</f>
        <v>0.77777777777777801</v>
      </c>
      <c r="C26" s="8" t="s">
        <v>122</v>
      </c>
      <c r="D26" s="8" t="str">
        <f>D$10</f>
        <v>OCEAN VIEW HS 2</v>
      </c>
      <c r="E26" s="8">
        <v>25</v>
      </c>
      <c r="F26" s="8" t="s">
        <v>469</v>
      </c>
      <c r="G26" s="8"/>
      <c r="H26" s="91" t="s">
        <v>470</v>
      </c>
      <c r="I26" s="8"/>
      <c r="J26" s="8" t="s">
        <v>471</v>
      </c>
      <c r="K26" s="8" t="s">
        <v>472</v>
      </c>
      <c r="L26" s="8" t="str">
        <f t="shared" si="2"/>
        <v>10CX-025</v>
      </c>
    </row>
    <row r="27" spans="1:12" ht="13.95" customHeight="1">
      <c r="A27" s="6">
        <f>$A$2</f>
        <v>46221</v>
      </c>
      <c r="B27" s="21">
        <f>'CHICLETS MASTER S1'!A19</f>
        <v>0.8125</v>
      </c>
      <c r="C27" s="8" t="s">
        <v>122</v>
      </c>
      <c r="D27" s="8" t="str">
        <f>D$10</f>
        <v>OCEAN VIEW HS 2</v>
      </c>
      <c r="E27" s="8">
        <v>27</v>
      </c>
      <c r="F27" s="8" t="s">
        <v>473</v>
      </c>
      <c r="G27" s="8"/>
      <c r="H27" s="92" t="s">
        <v>474</v>
      </c>
      <c r="I27" s="8"/>
      <c r="J27" s="8" t="s">
        <v>475</v>
      </c>
      <c r="K27" s="8" t="s">
        <v>476</v>
      </c>
      <c r="L27" s="8" t="str">
        <f t="shared" si="2"/>
        <v>10CX-027</v>
      </c>
    </row>
    <row r="28" spans="1:12" ht="13.95" customHeight="1" thickBot="1">
      <c r="A28" s="24"/>
      <c r="B28" s="27"/>
    </row>
    <row r="29" spans="1:12" ht="13.95" customHeight="1" thickBot="1">
      <c r="D29" s="89" t="str">
        <f>'CHICLETS MASTER S1'!$B$3</f>
        <v>EL TORO HS 1</v>
      </c>
    </row>
    <row r="30" spans="1:12" ht="13.95" customHeight="1">
      <c r="A30" s="103" t="s">
        <v>110</v>
      </c>
      <c r="B30" s="103" t="s">
        <v>111</v>
      </c>
      <c r="C30" s="103" t="s">
        <v>112</v>
      </c>
      <c r="D30" s="103" t="s">
        <v>113</v>
      </c>
      <c r="E30" s="103" t="s">
        <v>114</v>
      </c>
      <c r="F30" s="103" t="s">
        <v>115</v>
      </c>
      <c r="G30" s="103" t="s">
        <v>116</v>
      </c>
      <c r="H30" s="103" t="s">
        <v>117</v>
      </c>
      <c r="I30" s="103" t="s">
        <v>116</v>
      </c>
      <c r="J30" s="103" t="s">
        <v>118</v>
      </c>
      <c r="K30" s="103" t="s">
        <v>119</v>
      </c>
      <c r="L30" s="103" t="s">
        <v>120</v>
      </c>
    </row>
    <row r="31" spans="1:12" ht="13.95" customHeight="1">
      <c r="A31" s="6">
        <f t="shared" ref="A31:A40" si="3">$A$2</f>
        <v>46221</v>
      </c>
      <c r="B31" s="21">
        <f>'CHICLETS MASTER S1'!A29</f>
        <v>0.3263888888888889</v>
      </c>
      <c r="C31" s="8" t="s">
        <v>163</v>
      </c>
      <c r="D31" s="8" t="str">
        <f t="shared" ref="D31:D40" si="4">$D$29</f>
        <v>EL TORO HS 1</v>
      </c>
      <c r="E31" s="8">
        <v>2</v>
      </c>
      <c r="F31" s="8" t="str">
        <f>$A$5</f>
        <v>A1(1)-SD SHORES B</v>
      </c>
      <c r="G31" s="8"/>
      <c r="H31" s="8" t="str">
        <f>$A$7</f>
        <v>A3(13)-NEWPORT BEACH</v>
      </c>
      <c r="I31" s="8"/>
      <c r="J31" s="8"/>
      <c r="K31" s="8"/>
      <c r="L31" s="8" t="str">
        <f t="shared" ref="L31:L40" si="5">IF(E31="","",$L$9&amp;"-"&amp;TEXT(E31,"000"))</f>
        <v>10CX-002</v>
      </c>
    </row>
    <row r="32" spans="1:12" ht="13.95" customHeight="1">
      <c r="A32" s="6">
        <f t="shared" si="3"/>
        <v>46221</v>
      </c>
      <c r="B32" s="21">
        <f>'CHICLETS MASTER S1'!A30</f>
        <v>0.36111111111111099</v>
      </c>
      <c r="C32" s="8" t="s">
        <v>163</v>
      </c>
      <c r="D32" s="8" t="str">
        <f t="shared" si="4"/>
        <v>EL TORO HS 1</v>
      </c>
      <c r="E32" s="8">
        <v>8</v>
      </c>
      <c r="F32" s="54" t="str">
        <f>$B$5</f>
        <v>B1(2)-PATRIOT RED</v>
      </c>
      <c r="G32" s="54"/>
      <c r="H32" s="54" t="str">
        <f>B7</f>
        <v>B3(14)-TROJAN NORTH B</v>
      </c>
      <c r="I32" s="8"/>
      <c r="J32" s="8"/>
      <c r="K32" s="8"/>
      <c r="L32" s="8" t="str">
        <f>IF(E32="","",$L$9&amp;"-"&amp;TEXT(E32,"000"))</f>
        <v>10CX-008</v>
      </c>
    </row>
    <row r="33" spans="1:12" ht="13.95" customHeight="1">
      <c r="A33" s="6">
        <f t="shared" si="3"/>
        <v>46221</v>
      </c>
      <c r="B33" s="21">
        <f>'CHICLETS MASTER S1'!A31</f>
        <v>0.39583333333333398</v>
      </c>
      <c r="C33" s="8" t="s">
        <v>163</v>
      </c>
      <c r="D33" s="8" t="str">
        <f t="shared" si="4"/>
        <v>EL TORO HS 1</v>
      </c>
      <c r="E33" s="8">
        <v>4</v>
      </c>
      <c r="F33" s="8" t="str">
        <f>$F$5</f>
        <v>F1(6)-LB VIKING</v>
      </c>
      <c r="G33" s="8"/>
      <c r="H33" s="8" t="str">
        <f>$F$8</f>
        <v>F4(19)-LAGUNA MAROON</v>
      </c>
      <c r="I33" s="8"/>
      <c r="J33" s="8">
        <v>16</v>
      </c>
      <c r="K33" s="8">
        <v>14</v>
      </c>
      <c r="L33" s="8" t="str">
        <f t="shared" si="5"/>
        <v>10CX-004</v>
      </c>
    </row>
    <row r="34" spans="1:12" ht="13.95" customHeight="1">
      <c r="A34" s="6">
        <f t="shared" si="3"/>
        <v>46221</v>
      </c>
      <c r="B34" s="21">
        <f>'CHICLETS MASTER S1'!A32</f>
        <v>0.43055555555555602</v>
      </c>
      <c r="C34" s="8" t="s">
        <v>163</v>
      </c>
      <c r="D34" s="8" t="str">
        <f t="shared" si="4"/>
        <v>EL TORO HS 1</v>
      </c>
      <c r="E34" s="8">
        <v>6</v>
      </c>
      <c r="F34" s="8" t="str">
        <f>$F$6</f>
        <v>F2(7)-DIABLO ALLIANCE B</v>
      </c>
      <c r="G34" s="8"/>
      <c r="H34" s="8" t="str">
        <f>$F$7</f>
        <v>F3(18)-ROSE BOWL BLACK</v>
      </c>
      <c r="I34" s="8"/>
      <c r="J34" s="8">
        <v>16</v>
      </c>
      <c r="K34" s="8">
        <v>14</v>
      </c>
      <c r="L34" s="8" t="str">
        <f t="shared" si="5"/>
        <v>10CX-006</v>
      </c>
    </row>
    <row r="35" spans="1:12" ht="13.95" customHeight="1">
      <c r="A35" s="6">
        <f t="shared" si="3"/>
        <v>46221</v>
      </c>
      <c r="B35" s="21">
        <f>'CHICLETS MASTER S1'!A33</f>
        <v>0.46527777777777801</v>
      </c>
      <c r="C35" s="8" t="s">
        <v>163</v>
      </c>
      <c r="D35" s="8" t="str">
        <f t="shared" si="4"/>
        <v>EL TORO HS 1</v>
      </c>
      <c r="E35" s="8">
        <v>12</v>
      </c>
      <c r="F35" s="8" t="str">
        <f>$A$6</f>
        <v>A2(12)-BURLINGAME</v>
      </c>
      <c r="G35" s="8"/>
      <c r="H35" s="8" t="str">
        <f>$A$7</f>
        <v>A3(13)-NEWPORT BEACH</v>
      </c>
      <c r="I35" s="8"/>
      <c r="J35" s="8"/>
      <c r="K35" s="8"/>
      <c r="L35" s="8" t="str">
        <f>IF(E35="","",$L$9&amp;"-"&amp;TEXT(E35,"000"))</f>
        <v>10CX-012</v>
      </c>
    </row>
    <row r="36" spans="1:12" ht="13.95" customHeight="1">
      <c r="A36" s="6">
        <f t="shared" si="3"/>
        <v>46221</v>
      </c>
      <c r="B36" s="21">
        <f>'CHICLETS MASTER S1'!A34</f>
        <v>0.5</v>
      </c>
      <c r="C36" s="8" t="s">
        <v>163</v>
      </c>
      <c r="D36" s="8" t="str">
        <f t="shared" si="4"/>
        <v>EL TORO HS 1</v>
      </c>
      <c r="E36" s="8">
        <v>10</v>
      </c>
      <c r="F36" s="54" t="str">
        <f>$B$6</f>
        <v>B2(11)-LOYOLA</v>
      </c>
      <c r="G36" s="54"/>
      <c r="H36" s="54" t="str">
        <f>$B$7</f>
        <v>B3(14)-TROJAN NORTH B</v>
      </c>
      <c r="I36" s="8"/>
      <c r="J36" s="8"/>
      <c r="K36" s="8"/>
      <c r="L36" s="8" t="str">
        <f t="shared" si="5"/>
        <v>10CX-010</v>
      </c>
    </row>
    <row r="37" spans="1:12" ht="13.95" customHeight="1">
      <c r="A37" s="6">
        <f t="shared" si="3"/>
        <v>46221</v>
      </c>
      <c r="B37" s="21">
        <f>'CHICLETS MASTER S1'!A35</f>
        <v>0.53472222222222199</v>
      </c>
      <c r="C37" s="8" t="s">
        <v>163</v>
      </c>
      <c r="D37" s="8" t="str">
        <f t="shared" si="4"/>
        <v>EL TORO HS 1</v>
      </c>
      <c r="E37" s="8">
        <v>14</v>
      </c>
      <c r="F37" s="8" t="s">
        <v>477</v>
      </c>
      <c r="G37" s="8"/>
      <c r="H37" s="8" t="s">
        <v>478</v>
      </c>
      <c r="I37" s="8"/>
      <c r="J37" s="8">
        <v>25</v>
      </c>
      <c r="K37" s="8" t="s">
        <v>479</v>
      </c>
      <c r="L37" s="8" t="str">
        <f>IF(E37="","",$L$9&amp;"-"&amp;TEXT(E37,"000"))</f>
        <v>10CX-014</v>
      </c>
    </row>
    <row r="38" spans="1:12" ht="13.95" customHeight="1">
      <c r="A38" s="6">
        <f t="shared" si="3"/>
        <v>46221</v>
      </c>
      <c r="B38" s="21">
        <f>'CHICLETS MASTER S1'!A36</f>
        <v>0.56944444444444497</v>
      </c>
      <c r="C38" s="8" t="s">
        <v>163</v>
      </c>
      <c r="D38" s="8" t="str">
        <f t="shared" si="4"/>
        <v>EL TORO HS 1</v>
      </c>
      <c r="E38" s="8">
        <v>16</v>
      </c>
      <c r="F38" s="8" t="s">
        <v>480</v>
      </c>
      <c r="G38" s="8"/>
      <c r="H38" s="8" t="s">
        <v>481</v>
      </c>
      <c r="I38" s="8"/>
      <c r="J38" s="8" t="s">
        <v>482</v>
      </c>
      <c r="K38" s="8">
        <v>27</v>
      </c>
      <c r="L38" s="8" t="str">
        <f t="shared" si="5"/>
        <v>10CX-016</v>
      </c>
    </row>
    <row r="39" spans="1:12" ht="13.95" customHeight="1">
      <c r="A39" s="6">
        <f t="shared" si="3"/>
        <v>46221</v>
      </c>
      <c r="B39" s="21">
        <f>'CHICLETS MASTER S1'!A37</f>
        <v>0.60416666666666696</v>
      </c>
      <c r="C39" s="8" t="s">
        <v>163</v>
      </c>
      <c r="D39" s="8" t="str">
        <f t="shared" si="4"/>
        <v>EL TORO HS 1</v>
      </c>
      <c r="E39" s="8">
        <v>20</v>
      </c>
      <c r="F39" s="8" t="str">
        <f>$A$5</f>
        <v>A1(1)-SD SHORES B</v>
      </c>
      <c r="G39" s="8"/>
      <c r="H39" s="8" t="str">
        <f>$A$6</f>
        <v>A2(12)-BURLINGAME</v>
      </c>
      <c r="I39" s="8"/>
      <c r="J39" s="8"/>
      <c r="K39" s="8"/>
      <c r="L39" s="8" t="str">
        <f>IF(E39="","",$L$9&amp;"-"&amp;TEXT(E39,"000"))</f>
        <v>10CX-020</v>
      </c>
    </row>
    <row r="40" spans="1:12" ht="13.95" customHeight="1">
      <c r="A40" s="6">
        <f t="shared" si="3"/>
        <v>46221</v>
      </c>
      <c r="B40" s="21">
        <f>'CHICLETS MASTER S1'!A38</f>
        <v>0.63888888888888895</v>
      </c>
      <c r="C40" s="8" t="s">
        <v>163</v>
      </c>
      <c r="D40" s="8" t="str">
        <f t="shared" si="4"/>
        <v>EL TORO HS 1</v>
      </c>
      <c r="E40" s="8">
        <v>18</v>
      </c>
      <c r="F40" s="54" t="str">
        <f>B5</f>
        <v>B1(2)-PATRIOT RED</v>
      </c>
      <c r="G40" s="54"/>
      <c r="H40" s="54" t="str">
        <f>B6</f>
        <v>B2(11)-LOYOLA</v>
      </c>
      <c r="I40" s="8"/>
      <c r="J40" s="8"/>
      <c r="K40" s="8"/>
      <c r="L40" s="8" t="str">
        <f t="shared" si="5"/>
        <v>10CX-018</v>
      </c>
    </row>
    <row r="43" spans="1:12" ht="13.95" customHeight="1">
      <c r="A43" s="6">
        <f>$A$2</f>
        <v>46221</v>
      </c>
      <c r="B43" s="21">
        <f>'CHICLETS MASTER S1'!A41</f>
        <v>0.74305555555555602</v>
      </c>
      <c r="C43" s="8" t="s">
        <v>122</v>
      </c>
      <c r="D43" s="8" t="str">
        <f t="shared" ref="D43:D44" si="6">$D$29</f>
        <v>EL TORO HS 1</v>
      </c>
      <c r="E43" s="8">
        <v>26</v>
      </c>
      <c r="F43" s="93" t="s">
        <v>483</v>
      </c>
      <c r="G43" s="8"/>
      <c r="H43" s="8" t="s">
        <v>281</v>
      </c>
      <c r="I43" s="8"/>
      <c r="J43" s="8" t="s">
        <v>484</v>
      </c>
      <c r="K43" s="8" t="s">
        <v>485</v>
      </c>
      <c r="L43" s="8" t="str">
        <f>IF(E43="","",$L$9&amp;"-"&amp;TEXT(E43,"000"))</f>
        <v>10CX-026</v>
      </c>
    </row>
    <row r="44" spans="1:12" ht="13.95" customHeight="1">
      <c r="A44" s="6">
        <f>$A$2</f>
        <v>46221</v>
      </c>
      <c r="B44" s="21">
        <f>'CHICLETS MASTER S1'!A42</f>
        <v>0.77777777777777801</v>
      </c>
      <c r="C44" s="8" t="s">
        <v>122</v>
      </c>
      <c r="D44" s="8" t="str">
        <f t="shared" si="6"/>
        <v>EL TORO HS 1</v>
      </c>
      <c r="E44" s="8">
        <v>28</v>
      </c>
      <c r="F44" s="8" t="s">
        <v>276</v>
      </c>
      <c r="G44" s="8"/>
      <c r="H44" s="93" t="s">
        <v>486</v>
      </c>
      <c r="I44" s="8"/>
      <c r="J44" s="8" t="s">
        <v>487</v>
      </c>
      <c r="K44" s="8" t="s">
        <v>488</v>
      </c>
      <c r="L44" s="8" t="str">
        <f>IF(E44="","",$L$9&amp;"-"&amp;TEXT(E44,"000"))</f>
        <v>10CX-028</v>
      </c>
    </row>
    <row r="45" spans="1:12" ht="13.95" customHeight="1" thickBot="1"/>
    <row r="46" spans="1:12" ht="13.95" customHeight="1" thickTop="1" thickBot="1">
      <c r="A46" s="87" t="s">
        <v>326</v>
      </c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/>
    </row>
    <row r="47" spans="1:12" ht="13.95" customHeight="1">
      <c r="A47" s="3">
        <v>46222</v>
      </c>
    </row>
    <row r="48" spans="1:12" ht="13.95" customHeight="1">
      <c r="B48" s="16" t="s">
        <v>148</v>
      </c>
    </row>
    <row r="49" spans="1:15" ht="13.95" customHeight="1">
      <c r="B49" s="94" t="s">
        <v>489</v>
      </c>
      <c r="C49" s="94" t="s">
        <v>490</v>
      </c>
      <c r="D49" s="94" t="s">
        <v>491</v>
      </c>
      <c r="E49" s="94" t="s">
        <v>492</v>
      </c>
    </row>
    <row r="50" spans="1:15" ht="13.95" customHeight="1">
      <c r="A50" s="2">
        <v>1</v>
      </c>
      <c r="B50" s="90" t="s">
        <v>331</v>
      </c>
      <c r="C50" s="93" t="s">
        <v>493</v>
      </c>
      <c r="D50" s="90" t="s">
        <v>494</v>
      </c>
      <c r="E50" s="90" t="s">
        <v>495</v>
      </c>
    </row>
    <row r="51" spans="1:15" ht="13.95" customHeight="1">
      <c r="A51" s="2">
        <v>2</v>
      </c>
      <c r="B51" s="90" t="s">
        <v>496</v>
      </c>
      <c r="C51" s="90" t="s">
        <v>497</v>
      </c>
      <c r="D51" s="90" t="s">
        <v>498</v>
      </c>
      <c r="E51" s="90" t="s">
        <v>499</v>
      </c>
    </row>
    <row r="52" spans="1:15" ht="13.95" customHeight="1">
      <c r="A52" s="2">
        <v>3</v>
      </c>
      <c r="B52" s="90" t="s">
        <v>500</v>
      </c>
      <c r="C52" s="90" t="s">
        <v>501</v>
      </c>
      <c r="D52" s="90" t="s">
        <v>502</v>
      </c>
      <c r="E52" s="90" t="s">
        <v>503</v>
      </c>
    </row>
    <row r="54" spans="1:15" ht="13.95" customHeight="1">
      <c r="B54" s="16" t="s">
        <v>368</v>
      </c>
    </row>
    <row r="55" spans="1:15" ht="13.95" customHeight="1">
      <c r="B55" s="104" t="s">
        <v>504</v>
      </c>
      <c r="C55" s="104" t="s">
        <v>505</v>
      </c>
    </row>
    <row r="56" spans="1:15" ht="13.95" customHeight="1">
      <c r="A56" s="2">
        <v>1</v>
      </c>
      <c r="B56" s="90" t="s">
        <v>506</v>
      </c>
      <c r="C56" s="90" t="s">
        <v>507</v>
      </c>
    </row>
    <row r="57" spans="1:15" ht="13.95" customHeight="1">
      <c r="A57" s="2">
        <v>2</v>
      </c>
      <c r="B57" s="90" t="s">
        <v>508</v>
      </c>
      <c r="C57" s="90" t="s">
        <v>509</v>
      </c>
    </row>
    <row r="58" spans="1:15" ht="13.95" customHeight="1">
      <c r="A58" s="2">
        <v>3</v>
      </c>
      <c r="B58" s="90" t="s">
        <v>510</v>
      </c>
      <c r="C58" s="90" t="s">
        <v>511</v>
      </c>
    </row>
    <row r="59" spans="1:15" ht="13.95" customHeight="1">
      <c r="A59" s="2">
        <v>4</v>
      </c>
      <c r="B59" s="90" t="s">
        <v>512</v>
      </c>
      <c r="C59" s="90" t="s">
        <v>513</v>
      </c>
    </row>
    <row r="60" spans="1:15" ht="13.95" customHeight="1">
      <c r="A60" s="2">
        <v>5</v>
      </c>
      <c r="B60" s="90" t="s">
        <v>514</v>
      </c>
      <c r="C60" s="90" t="s">
        <v>515</v>
      </c>
      <c r="L60" s="2" t="s">
        <v>516</v>
      </c>
    </row>
    <row r="61" spans="1:15" ht="13.95" customHeight="1" thickBot="1">
      <c r="A61" s="2">
        <v>6</v>
      </c>
      <c r="L61" s="2" t="s">
        <v>517</v>
      </c>
    </row>
    <row r="62" spans="1:15" ht="13.95" customHeight="1" thickBot="1">
      <c r="D62" s="89" t="str">
        <f>'CHICLETS MASTER S1'!$B$27</f>
        <v>EL TORO HS 1</v>
      </c>
    </row>
    <row r="63" spans="1:15" ht="13.95" customHeight="1">
      <c r="A63" s="103" t="s">
        <v>110</v>
      </c>
      <c r="B63" s="103" t="s">
        <v>111</v>
      </c>
      <c r="C63" s="103" t="s">
        <v>112</v>
      </c>
      <c r="D63" s="103" t="s">
        <v>113</v>
      </c>
      <c r="E63" s="103" t="s">
        <v>114</v>
      </c>
      <c r="F63" s="103" t="s">
        <v>115</v>
      </c>
      <c r="G63" s="103" t="s">
        <v>116</v>
      </c>
      <c r="H63" s="103" t="s">
        <v>117</v>
      </c>
      <c r="I63" s="103" t="s">
        <v>116</v>
      </c>
      <c r="J63" s="103" t="s">
        <v>118</v>
      </c>
      <c r="K63" s="103" t="s">
        <v>119</v>
      </c>
      <c r="L63" s="103" t="s">
        <v>120</v>
      </c>
    </row>
    <row r="64" spans="1:15" ht="13.95" customHeight="1">
      <c r="A64" s="6">
        <f t="shared" ref="A64:A75" si="7">$A$47</f>
        <v>46222</v>
      </c>
      <c r="B64" s="21">
        <f>'CHICLETS MASTER S1'!A29</f>
        <v>0.3263888888888889</v>
      </c>
      <c r="C64" s="8" t="s">
        <v>163</v>
      </c>
      <c r="D64" s="8" t="str">
        <f t="shared" ref="D64:D75" si="8">$D$62</f>
        <v>EL TORO HS 1</v>
      </c>
      <c r="E64" s="8">
        <v>29</v>
      </c>
      <c r="F64" s="22" t="s">
        <v>518</v>
      </c>
      <c r="G64" s="22"/>
      <c r="H64" s="22" t="s">
        <v>519</v>
      </c>
      <c r="I64" s="22"/>
      <c r="J64" s="22"/>
      <c r="K64" s="22"/>
      <c r="L64" s="22" t="str">
        <f t="shared" ref="L64:L75" si="9">IF(E64="","",$L$9&amp;"-"&amp;TEXT(E64,"000"))</f>
        <v>10CX-029</v>
      </c>
      <c r="O64" s="2" t="str">
        <f>$L$60&amp;C64</f>
        <v>ag_Group</v>
      </c>
    </row>
    <row r="65" spans="1:15" ht="13.95" customHeight="1">
      <c r="A65" s="6">
        <f t="shared" si="7"/>
        <v>46222</v>
      </c>
      <c r="B65" s="21">
        <f>'CHICLETS MASTER S1'!A30</f>
        <v>0.36111111111111099</v>
      </c>
      <c r="C65" s="8" t="s">
        <v>163</v>
      </c>
      <c r="D65" s="8" t="str">
        <f t="shared" si="8"/>
        <v>EL TORO HS 1</v>
      </c>
      <c r="E65" s="8">
        <v>31</v>
      </c>
      <c r="F65" s="22" t="s">
        <v>520</v>
      </c>
      <c r="G65" s="22"/>
      <c r="H65" s="22" t="s">
        <v>521</v>
      </c>
      <c r="I65" s="22"/>
      <c r="J65" s="22"/>
      <c r="K65" s="22"/>
      <c r="L65" s="22" t="str">
        <f t="shared" si="9"/>
        <v>10CX-031</v>
      </c>
      <c r="O65" s="2" t="str">
        <f t="shared" ref="O65:O75" si="10">$L$60&amp;C65</f>
        <v>ag_Group</v>
      </c>
    </row>
    <row r="66" spans="1:15" ht="13.95" customHeight="1">
      <c r="A66" s="6">
        <f t="shared" si="7"/>
        <v>46222</v>
      </c>
      <c r="B66" s="21">
        <f>'CHICLETS MASTER S1'!A31</f>
        <v>0.39583333333333398</v>
      </c>
      <c r="C66" s="8" t="s">
        <v>163</v>
      </c>
      <c r="D66" s="8" t="str">
        <f t="shared" si="8"/>
        <v>EL TORO HS 1</v>
      </c>
      <c r="E66" s="8">
        <v>33</v>
      </c>
      <c r="F66" s="22" t="s">
        <v>522</v>
      </c>
      <c r="G66" s="22"/>
      <c r="H66" s="22" t="s">
        <v>523</v>
      </c>
      <c r="I66" s="22"/>
      <c r="J66" s="22"/>
      <c r="K66" s="22"/>
      <c r="L66" s="22" t="str">
        <f t="shared" si="9"/>
        <v>10CX-033</v>
      </c>
      <c r="O66" s="2" t="str">
        <f t="shared" si="10"/>
        <v>ag_Group</v>
      </c>
    </row>
    <row r="67" spans="1:15" ht="13.95" customHeight="1">
      <c r="A67" s="6">
        <f t="shared" si="7"/>
        <v>46222</v>
      </c>
      <c r="B67" s="21">
        <f>'CHICLETS MASTER S1'!A32</f>
        <v>0.43055555555555602</v>
      </c>
      <c r="C67" s="8" t="s">
        <v>163</v>
      </c>
      <c r="D67" s="8" t="str">
        <f t="shared" si="8"/>
        <v>EL TORO HS 1</v>
      </c>
      <c r="E67" s="8">
        <v>35</v>
      </c>
      <c r="F67" s="22" t="s">
        <v>524</v>
      </c>
      <c r="G67" s="22"/>
      <c r="H67" s="22" t="s">
        <v>525</v>
      </c>
      <c r="I67" s="22"/>
      <c r="J67" s="22"/>
      <c r="K67" s="22"/>
      <c r="L67" s="22" t="str">
        <f t="shared" si="9"/>
        <v>10CX-035</v>
      </c>
      <c r="O67" s="2" t="str">
        <f t="shared" si="10"/>
        <v>ag_Group</v>
      </c>
    </row>
    <row r="68" spans="1:15" ht="13.95" customHeight="1">
      <c r="A68" s="6">
        <f t="shared" si="7"/>
        <v>46222</v>
      </c>
      <c r="B68" s="21">
        <f>'CHICLETS MASTER S1'!A33</f>
        <v>0.46527777777777801</v>
      </c>
      <c r="C68" s="8" t="s">
        <v>163</v>
      </c>
      <c r="D68" s="8" t="str">
        <f t="shared" si="8"/>
        <v>EL TORO HS 1</v>
      </c>
      <c r="E68" s="8">
        <v>37</v>
      </c>
      <c r="F68" s="22" t="s">
        <v>518</v>
      </c>
      <c r="G68" s="22"/>
      <c r="H68" s="22" t="s">
        <v>526</v>
      </c>
      <c r="I68" s="22"/>
      <c r="J68" s="22"/>
      <c r="K68" s="22"/>
      <c r="L68" s="22" t="str">
        <f t="shared" si="9"/>
        <v>10CX-037</v>
      </c>
      <c r="O68" s="2" t="str">
        <f t="shared" si="10"/>
        <v>ag_Group</v>
      </c>
    </row>
    <row r="69" spans="1:15" ht="13.95" customHeight="1">
      <c r="A69" s="6">
        <f t="shared" si="7"/>
        <v>46222</v>
      </c>
      <c r="B69" s="21">
        <f>'CHICLETS MASTER S1'!A34</f>
        <v>0.5</v>
      </c>
      <c r="C69" s="8" t="s">
        <v>163</v>
      </c>
      <c r="D69" s="8" t="str">
        <f t="shared" si="8"/>
        <v>EL TORO HS 1</v>
      </c>
      <c r="E69" s="8">
        <v>39</v>
      </c>
      <c r="F69" s="22" t="s">
        <v>520</v>
      </c>
      <c r="G69" s="22"/>
      <c r="H69" s="22" t="s">
        <v>527</v>
      </c>
      <c r="I69" s="22"/>
      <c r="J69" s="22"/>
      <c r="K69" s="22"/>
      <c r="L69" s="22" t="str">
        <f t="shared" si="9"/>
        <v>10CX-039</v>
      </c>
      <c r="O69" s="2" t="str">
        <f t="shared" si="10"/>
        <v>ag_Group</v>
      </c>
    </row>
    <row r="70" spans="1:15" ht="13.95" customHeight="1">
      <c r="A70" s="6">
        <f t="shared" si="7"/>
        <v>46222</v>
      </c>
      <c r="B70" s="21">
        <f>'CHICLETS MASTER S1'!A35</f>
        <v>0.53472222222222199</v>
      </c>
      <c r="C70" s="8" t="s">
        <v>163</v>
      </c>
      <c r="D70" s="8" t="str">
        <f t="shared" si="8"/>
        <v>EL TORO HS 1</v>
      </c>
      <c r="E70" s="8">
        <v>41</v>
      </c>
      <c r="F70" s="22" t="s">
        <v>522</v>
      </c>
      <c r="G70" s="22"/>
      <c r="H70" s="22" t="s">
        <v>528</v>
      </c>
      <c r="I70" s="22"/>
      <c r="J70" s="22"/>
      <c r="K70" s="22"/>
      <c r="L70" s="22" t="str">
        <f t="shared" si="9"/>
        <v>10CX-041</v>
      </c>
      <c r="O70" s="2" t="str">
        <f t="shared" si="10"/>
        <v>ag_Group</v>
      </c>
    </row>
    <row r="71" spans="1:15" ht="13.95" customHeight="1">
      <c r="A71" s="6">
        <f t="shared" si="7"/>
        <v>46222</v>
      </c>
      <c r="B71" s="21">
        <f>'CHICLETS MASTER S1'!A36</f>
        <v>0.56944444444444497</v>
      </c>
      <c r="C71" s="8" t="s">
        <v>163</v>
      </c>
      <c r="D71" s="8" t="str">
        <f t="shared" si="8"/>
        <v>EL TORO HS 1</v>
      </c>
      <c r="E71" s="8">
        <v>43</v>
      </c>
      <c r="F71" s="22" t="s">
        <v>524</v>
      </c>
      <c r="G71" s="22"/>
      <c r="H71" s="22" t="s">
        <v>529</v>
      </c>
      <c r="I71" s="22"/>
      <c r="J71" s="22"/>
      <c r="K71" s="22"/>
      <c r="L71" s="22" t="str">
        <f t="shared" si="9"/>
        <v>10CX-043</v>
      </c>
      <c r="O71" s="2" t="str">
        <f t="shared" si="10"/>
        <v>ag_Group</v>
      </c>
    </row>
    <row r="72" spans="1:15" ht="13.95" customHeight="1">
      <c r="A72" s="6">
        <f t="shared" si="7"/>
        <v>46222</v>
      </c>
      <c r="B72" s="21">
        <f>'CHICLETS MASTER S1'!A37</f>
        <v>0.60416666666666696</v>
      </c>
      <c r="C72" s="8" t="s">
        <v>163</v>
      </c>
      <c r="D72" s="8" t="str">
        <f t="shared" si="8"/>
        <v>EL TORO HS 1</v>
      </c>
      <c r="E72" s="8">
        <v>45</v>
      </c>
      <c r="F72" s="22" t="s">
        <v>519</v>
      </c>
      <c r="G72" s="22"/>
      <c r="H72" s="22" t="s">
        <v>526</v>
      </c>
      <c r="I72" s="22"/>
      <c r="J72" s="22"/>
      <c r="K72" s="22"/>
      <c r="L72" s="22" t="str">
        <f t="shared" si="9"/>
        <v>10CX-045</v>
      </c>
      <c r="O72" s="2" t="str">
        <f t="shared" si="10"/>
        <v>ag_Group</v>
      </c>
    </row>
    <row r="73" spans="1:15" ht="13.95" customHeight="1">
      <c r="A73" s="6">
        <f t="shared" si="7"/>
        <v>46222</v>
      </c>
      <c r="B73" s="21">
        <f>'CHICLETS MASTER S1'!A38</f>
        <v>0.63888888888888895</v>
      </c>
      <c r="C73" s="8" t="s">
        <v>163</v>
      </c>
      <c r="D73" s="8" t="str">
        <f t="shared" si="8"/>
        <v>EL TORO HS 1</v>
      </c>
      <c r="E73" s="8">
        <v>47</v>
      </c>
      <c r="F73" s="22" t="s">
        <v>521</v>
      </c>
      <c r="G73" s="22"/>
      <c r="H73" s="22" t="s">
        <v>527</v>
      </c>
      <c r="I73" s="22"/>
      <c r="J73" s="22"/>
      <c r="K73" s="22"/>
      <c r="L73" s="22" t="str">
        <f t="shared" si="9"/>
        <v>10CX-047</v>
      </c>
      <c r="O73" s="2" t="str">
        <f t="shared" si="10"/>
        <v>ag_Group</v>
      </c>
    </row>
    <row r="74" spans="1:15" ht="13.95" customHeight="1">
      <c r="A74" s="6">
        <f t="shared" si="7"/>
        <v>46222</v>
      </c>
      <c r="B74" s="21">
        <f>'CHICLETS MASTER S1'!A39</f>
        <v>0.67361111111111105</v>
      </c>
      <c r="C74" s="8" t="s">
        <v>163</v>
      </c>
      <c r="D74" s="8" t="str">
        <f t="shared" si="8"/>
        <v>EL TORO HS 1</v>
      </c>
      <c r="E74" s="8">
        <v>49</v>
      </c>
      <c r="F74" s="22" t="s">
        <v>523</v>
      </c>
      <c r="G74" s="22"/>
      <c r="H74" s="22" t="s">
        <v>528</v>
      </c>
      <c r="I74" s="22"/>
      <c r="J74" s="22"/>
      <c r="K74" s="22"/>
      <c r="L74" s="22" t="str">
        <f t="shared" si="9"/>
        <v>10CX-049</v>
      </c>
      <c r="O74" s="2" t="str">
        <f t="shared" si="10"/>
        <v>ag_Group</v>
      </c>
    </row>
    <row r="75" spans="1:15" ht="13.95" customHeight="1">
      <c r="A75" s="6">
        <f t="shared" si="7"/>
        <v>46222</v>
      </c>
      <c r="B75" s="21">
        <f>'CHICLETS MASTER S1'!A40</f>
        <v>0.70833333333333404</v>
      </c>
      <c r="C75" s="8" t="s">
        <v>163</v>
      </c>
      <c r="D75" s="8" t="str">
        <f t="shared" si="8"/>
        <v>EL TORO HS 1</v>
      </c>
      <c r="E75" s="8">
        <v>51</v>
      </c>
      <c r="F75" s="22" t="s">
        <v>525</v>
      </c>
      <c r="G75" s="22"/>
      <c r="H75" s="22" t="s">
        <v>529</v>
      </c>
      <c r="I75" s="22"/>
      <c r="J75" s="22"/>
      <c r="K75" s="22"/>
      <c r="L75" s="22" t="str">
        <f t="shared" si="9"/>
        <v>10CX-051</v>
      </c>
      <c r="O75" s="2" t="str">
        <f t="shared" si="10"/>
        <v>ag_Group</v>
      </c>
    </row>
    <row r="76" spans="1:15" ht="13.95" customHeight="1" thickBot="1">
      <c r="A76" s="24"/>
      <c r="B76" s="27"/>
    </row>
    <row r="77" spans="1:15" ht="13.95" customHeight="1" thickBot="1">
      <c r="D77" s="89" t="str">
        <f>'CHICLETS MASTER S1'!$I$27</f>
        <v>OCEAN VIEW HS 2</v>
      </c>
    </row>
    <row r="78" spans="1:15" ht="13.95" customHeight="1">
      <c r="A78" s="103" t="s">
        <v>110</v>
      </c>
      <c r="B78" s="103" t="s">
        <v>111</v>
      </c>
      <c r="C78" s="103" t="s">
        <v>112</v>
      </c>
      <c r="D78" s="103" t="s">
        <v>113</v>
      </c>
      <c r="E78" s="103" t="s">
        <v>114</v>
      </c>
      <c r="F78" s="103" t="s">
        <v>115</v>
      </c>
      <c r="G78" s="103" t="s">
        <v>116</v>
      </c>
      <c r="H78" s="103" t="s">
        <v>117</v>
      </c>
      <c r="I78" s="103" t="s">
        <v>116</v>
      </c>
      <c r="J78" s="103" t="s">
        <v>118</v>
      </c>
      <c r="K78" s="103" t="s">
        <v>119</v>
      </c>
      <c r="L78" s="103" t="s">
        <v>120</v>
      </c>
    </row>
    <row r="79" spans="1:15" ht="13.95" customHeight="1">
      <c r="A79" s="6">
        <f t="shared" ref="A79:A89" si="11">$A$47</f>
        <v>46222</v>
      </c>
      <c r="B79" s="21">
        <f>'CHICLETS MASTER S1'!A29</f>
        <v>0.3263888888888889</v>
      </c>
      <c r="C79" s="8" t="s">
        <v>163</v>
      </c>
      <c r="D79" s="8" t="str">
        <f t="shared" ref="D79:D89" si="12">$D$77</f>
        <v>OCEAN VIEW HS 2</v>
      </c>
      <c r="E79" s="8">
        <v>30</v>
      </c>
      <c r="F79" s="95" t="s">
        <v>530</v>
      </c>
      <c r="G79" s="95"/>
      <c r="H79" s="95" t="s">
        <v>531</v>
      </c>
      <c r="I79" s="95"/>
      <c r="J79" s="95"/>
      <c r="K79" s="95"/>
      <c r="L79" s="95" t="str">
        <f t="shared" ref="L79:L89" si="13">IF(E79="","",$L$9&amp;"-"&amp;TEXT(E79,"000"))</f>
        <v>10CX-030</v>
      </c>
      <c r="O79" s="2" t="str">
        <f>$L$61&amp;C79</f>
        <v>bz_Group</v>
      </c>
    </row>
    <row r="80" spans="1:15" ht="13.95" customHeight="1">
      <c r="A80" s="6">
        <f t="shared" si="11"/>
        <v>46222</v>
      </c>
      <c r="B80" s="21">
        <f>'CHICLETS MASTER S1'!A30</f>
        <v>0.36111111111111099</v>
      </c>
      <c r="C80" s="8" t="s">
        <v>163</v>
      </c>
      <c r="D80" s="8" t="str">
        <f t="shared" si="12"/>
        <v>OCEAN VIEW HS 2</v>
      </c>
      <c r="E80" s="8">
        <v>32</v>
      </c>
      <c r="F80" s="95" t="s">
        <v>532</v>
      </c>
      <c r="G80" s="95"/>
      <c r="H80" s="95" t="s">
        <v>533</v>
      </c>
      <c r="I80" s="95"/>
      <c r="J80" s="95"/>
      <c r="K80" s="95"/>
      <c r="L80" s="95" t="str">
        <f t="shared" si="13"/>
        <v>10CX-032</v>
      </c>
      <c r="O80" s="2" t="str">
        <f t="shared" ref="O80:O82" si="14">$L$61&amp;C80</f>
        <v>bz_Group</v>
      </c>
    </row>
    <row r="81" spans="1:15" ht="13.95" customHeight="1">
      <c r="A81" s="6">
        <f t="shared" si="11"/>
        <v>46222</v>
      </c>
      <c r="B81" s="21">
        <f>'CHICLETS MASTER S1'!A31</f>
        <v>0.39583333333333398</v>
      </c>
      <c r="C81" s="8" t="s">
        <v>163</v>
      </c>
      <c r="D81" s="8" t="str">
        <f t="shared" si="12"/>
        <v>OCEAN VIEW HS 2</v>
      </c>
      <c r="E81" s="8">
        <v>34</v>
      </c>
      <c r="F81" s="95" t="s">
        <v>534</v>
      </c>
      <c r="G81" s="95"/>
      <c r="H81" s="95" t="s">
        <v>535</v>
      </c>
      <c r="I81" s="95"/>
      <c r="J81" s="95"/>
      <c r="K81" s="95"/>
      <c r="L81" s="95" t="str">
        <f t="shared" si="13"/>
        <v>10CX-034</v>
      </c>
      <c r="O81" s="2" t="str">
        <f t="shared" si="14"/>
        <v>bz_Group</v>
      </c>
    </row>
    <row r="82" spans="1:15" ht="13.95" customHeight="1">
      <c r="A82" s="6">
        <f t="shared" si="11"/>
        <v>46222</v>
      </c>
      <c r="B82" s="21">
        <f>'CHICLETS MASTER S1'!A32</f>
        <v>0.43055555555555602</v>
      </c>
      <c r="C82" s="8" t="s">
        <v>163</v>
      </c>
      <c r="D82" s="8" t="str">
        <f t="shared" si="12"/>
        <v>OCEAN VIEW HS 2</v>
      </c>
      <c r="E82" s="8">
        <v>36</v>
      </c>
      <c r="F82" s="95" t="s">
        <v>536</v>
      </c>
      <c r="G82" s="95"/>
      <c r="H82" s="95" t="s">
        <v>537</v>
      </c>
      <c r="I82" s="95"/>
      <c r="J82" s="95"/>
      <c r="K82" s="95"/>
      <c r="L82" s="95" t="str">
        <f t="shared" si="13"/>
        <v>10CX-036</v>
      </c>
      <c r="O82" s="2" t="str">
        <f t="shared" si="14"/>
        <v>bz_Group</v>
      </c>
    </row>
    <row r="83" spans="1:15" ht="13.95" customHeight="1">
      <c r="A83" s="6"/>
      <c r="B83" s="6"/>
      <c r="C83" s="8"/>
      <c r="D83" s="8"/>
      <c r="E83" s="8"/>
      <c r="F83" s="15"/>
      <c r="G83" s="15"/>
      <c r="H83" s="15"/>
      <c r="I83" s="15"/>
      <c r="J83" s="15"/>
      <c r="K83" s="15"/>
      <c r="L83" s="15"/>
      <c r="M83" s="2" t="s">
        <v>538</v>
      </c>
    </row>
    <row r="84" spans="1:15" ht="13.95" customHeight="1">
      <c r="A84" s="6">
        <f t="shared" si="11"/>
        <v>46222</v>
      </c>
      <c r="B84" s="21">
        <f>'CHICLETS MASTER S1'!A34</f>
        <v>0.5</v>
      </c>
      <c r="C84" s="8" t="s">
        <v>163</v>
      </c>
      <c r="D84" s="8" t="str">
        <f t="shared" si="12"/>
        <v>OCEAN VIEW HS 2</v>
      </c>
      <c r="E84" s="8">
        <v>40</v>
      </c>
      <c r="F84" s="95" t="s">
        <v>531</v>
      </c>
      <c r="G84" s="95"/>
      <c r="H84" s="95" t="s">
        <v>539</v>
      </c>
      <c r="I84" s="95"/>
      <c r="J84" s="95"/>
      <c r="K84" s="95"/>
      <c r="L84" s="95" t="str">
        <f t="shared" si="13"/>
        <v>10CX-040</v>
      </c>
      <c r="O84" s="2" t="str">
        <f t="shared" ref="O84:O87" si="15">$L$61&amp;C84</f>
        <v>bz_Group</v>
      </c>
    </row>
    <row r="85" spans="1:15" ht="13.95" customHeight="1">
      <c r="A85" s="6">
        <f t="shared" si="11"/>
        <v>46222</v>
      </c>
      <c r="B85" s="21">
        <f>'CHICLETS MASTER S1'!A35</f>
        <v>0.53472222222222199</v>
      </c>
      <c r="C85" s="8" t="s">
        <v>163</v>
      </c>
      <c r="D85" s="8" t="str">
        <f t="shared" si="12"/>
        <v>OCEAN VIEW HS 2</v>
      </c>
      <c r="E85" s="8">
        <v>42</v>
      </c>
      <c r="F85" s="95" t="s">
        <v>533</v>
      </c>
      <c r="G85" s="95"/>
      <c r="H85" s="95" t="s">
        <v>530</v>
      </c>
      <c r="I85" s="95"/>
      <c r="J85" s="95"/>
      <c r="K85" s="95"/>
      <c r="L85" s="95" t="str">
        <f t="shared" si="13"/>
        <v>10CX-042</v>
      </c>
      <c r="O85" s="2" t="str">
        <f t="shared" si="15"/>
        <v>bz_Group</v>
      </c>
    </row>
    <row r="86" spans="1:15" ht="13.95" customHeight="1">
      <c r="A86" s="6">
        <f t="shared" si="11"/>
        <v>46222</v>
      </c>
      <c r="B86" s="21">
        <f>'CHICLETS MASTER S1'!A36</f>
        <v>0.56944444444444497</v>
      </c>
      <c r="C86" s="8" t="s">
        <v>163</v>
      </c>
      <c r="D86" s="8" t="str">
        <f t="shared" si="12"/>
        <v>OCEAN VIEW HS 2</v>
      </c>
      <c r="E86" s="8">
        <v>44</v>
      </c>
      <c r="F86" s="95" t="s">
        <v>535</v>
      </c>
      <c r="G86" s="95"/>
      <c r="H86" s="95" t="s">
        <v>537</v>
      </c>
      <c r="I86" s="95"/>
      <c r="J86" s="95"/>
      <c r="K86" s="95"/>
      <c r="L86" s="95" t="str">
        <f t="shared" si="13"/>
        <v>10CX-044</v>
      </c>
      <c r="O86" s="2" t="str">
        <f t="shared" si="15"/>
        <v>bz_Group</v>
      </c>
    </row>
    <row r="87" spans="1:15" ht="13.95" customHeight="1">
      <c r="A87" s="6">
        <f t="shared" si="11"/>
        <v>46222</v>
      </c>
      <c r="B87" s="21">
        <f>'CHICLETS MASTER S1'!A37</f>
        <v>0.60416666666666696</v>
      </c>
      <c r="C87" s="8" t="s">
        <v>163</v>
      </c>
      <c r="D87" s="8" t="str">
        <f t="shared" si="12"/>
        <v>OCEAN VIEW HS 2</v>
      </c>
      <c r="E87" s="8">
        <v>46</v>
      </c>
      <c r="F87" s="95" t="s">
        <v>534</v>
      </c>
      <c r="G87" s="95"/>
      <c r="H87" s="95" t="s">
        <v>540</v>
      </c>
      <c r="I87" s="95"/>
      <c r="J87" s="95"/>
      <c r="K87" s="95"/>
      <c r="L87" s="95" t="str">
        <f t="shared" si="13"/>
        <v>10CX-046</v>
      </c>
      <c r="O87" s="2" t="str">
        <f t="shared" si="15"/>
        <v>bz_Group</v>
      </c>
    </row>
    <row r="88" spans="1:15" ht="13.95" customHeight="1">
      <c r="A88" s="6"/>
      <c r="B88" s="6"/>
      <c r="C88" s="8"/>
      <c r="D88" s="8"/>
      <c r="E88" s="8"/>
      <c r="F88" s="15"/>
      <c r="G88" s="15"/>
      <c r="H88" s="15"/>
      <c r="I88" s="15"/>
      <c r="J88" s="15"/>
      <c r="K88" s="15"/>
      <c r="L88" s="15"/>
    </row>
    <row r="89" spans="1:15" ht="13.95" customHeight="1">
      <c r="A89" s="6">
        <f t="shared" si="11"/>
        <v>46222</v>
      </c>
      <c r="B89" s="21">
        <f>'CHICLETS MASTER S1'!A39</f>
        <v>0.67361111111111105</v>
      </c>
      <c r="C89" s="8" t="s">
        <v>163</v>
      </c>
      <c r="D89" s="8" t="str">
        <f t="shared" si="12"/>
        <v>OCEAN VIEW HS 2</v>
      </c>
      <c r="E89" s="8">
        <v>50</v>
      </c>
      <c r="F89" s="95" t="s">
        <v>539</v>
      </c>
      <c r="G89" s="95"/>
      <c r="H89" s="95" t="s">
        <v>532</v>
      </c>
      <c r="I89" s="95"/>
      <c r="J89" s="95"/>
      <c r="K89" s="95"/>
      <c r="L89" s="95" t="str">
        <f t="shared" si="13"/>
        <v>10CX-050</v>
      </c>
      <c r="O89" s="2" t="str">
        <f>$L$61&amp;C89</f>
        <v>bz_Group</v>
      </c>
    </row>
    <row r="90" spans="1:15" ht="13.95" customHeight="1">
      <c r="A90" s="6"/>
      <c r="B90" s="21"/>
      <c r="C90" s="8"/>
      <c r="D90" s="8"/>
      <c r="E90" s="8"/>
      <c r="F90" s="15"/>
      <c r="G90" s="15"/>
      <c r="H90" s="15"/>
      <c r="I90" s="15"/>
      <c r="J90" s="15"/>
      <c r="K90" s="15"/>
      <c r="L90" s="15"/>
      <c r="M90" s="2" t="s">
        <v>538</v>
      </c>
    </row>
    <row r="91" spans="1:15" ht="13.95" customHeight="1" thickBot="1">
      <c r="A91" s="24"/>
      <c r="B91" s="27"/>
    </row>
    <row r="92" spans="1:15" ht="13.95" customHeight="1" thickTop="1" thickBot="1">
      <c r="A92" s="87" t="s">
        <v>188</v>
      </c>
      <c r="B92" s="88"/>
      <c r="C92" s="88"/>
      <c r="D92" s="88"/>
      <c r="E92" s="88"/>
      <c r="F92" s="88"/>
      <c r="G92" s="88"/>
      <c r="H92" s="88"/>
      <c r="I92" s="88"/>
      <c r="J92" s="88"/>
      <c r="K92" s="88"/>
      <c r="L92" s="88"/>
    </row>
    <row r="93" spans="1:15" ht="13.95" customHeight="1" thickBot="1">
      <c r="A93" s="3">
        <v>46223</v>
      </c>
    </row>
    <row r="94" spans="1:15" ht="13.95" customHeight="1" thickBot="1">
      <c r="D94" s="89" t="str">
        <f>'CHICLETS MASTER S1'!$I$51</f>
        <v>OCEAN VIEW HS 2</v>
      </c>
    </row>
    <row r="95" spans="1:15" ht="13.95" customHeight="1">
      <c r="A95" s="103" t="s">
        <v>110</v>
      </c>
      <c r="B95" s="103" t="s">
        <v>111</v>
      </c>
      <c r="C95" s="103" t="s">
        <v>112</v>
      </c>
      <c r="D95" s="103" t="s">
        <v>113</v>
      </c>
      <c r="E95" s="103" t="s">
        <v>114</v>
      </c>
      <c r="F95" s="103" t="s">
        <v>115</v>
      </c>
      <c r="G95" s="103" t="s">
        <v>116</v>
      </c>
      <c r="H95" s="103" t="s">
        <v>117</v>
      </c>
      <c r="I95" s="103" t="s">
        <v>116</v>
      </c>
      <c r="J95" s="103" t="s">
        <v>118</v>
      </c>
      <c r="K95" s="103" t="s">
        <v>119</v>
      </c>
      <c r="L95" s="103" t="s">
        <v>120</v>
      </c>
    </row>
    <row r="96" spans="1:15" ht="13.95" customHeight="1">
      <c r="A96" s="6">
        <f t="shared" ref="A96:A107" si="16">$A$93</f>
        <v>46223</v>
      </c>
      <c r="B96" s="21">
        <f>'CHICLETS MASTER S1'!A53</f>
        <v>0.33333333333333331</v>
      </c>
      <c r="C96" s="8" t="s">
        <v>189</v>
      </c>
      <c r="D96" s="8" t="str">
        <f t="shared" ref="D96:D107" si="17">$D$94</f>
        <v>OCEAN VIEW HS 2</v>
      </c>
      <c r="E96" s="8">
        <v>53</v>
      </c>
      <c r="F96" s="22" t="s">
        <v>541</v>
      </c>
      <c r="G96" s="22"/>
      <c r="H96" s="22" t="s">
        <v>542</v>
      </c>
      <c r="I96" s="22"/>
      <c r="J96" s="22">
        <v>63</v>
      </c>
      <c r="K96" s="22">
        <v>69</v>
      </c>
      <c r="L96" s="22" t="str">
        <f t="shared" ref="L96:L107" si="18">IF(E96="","",$L$9&amp;"-"&amp;TEXT(E96,"000"))</f>
        <v>10CX-053</v>
      </c>
      <c r="O96" s="2" t="str">
        <f t="shared" ref="O96:O107" si="19">$L$60&amp;C96</f>
        <v>ag_5-8 v 9-12</v>
      </c>
    </row>
    <row r="97" spans="1:15" ht="13.95" customHeight="1">
      <c r="A97" s="6">
        <f t="shared" si="16"/>
        <v>46223</v>
      </c>
      <c r="B97" s="21">
        <f>'CHICLETS MASTER S1'!A54</f>
        <v>0.36805555555555558</v>
      </c>
      <c r="C97" s="8" t="s">
        <v>189</v>
      </c>
      <c r="D97" s="8" t="str">
        <f t="shared" si="17"/>
        <v>OCEAN VIEW HS 2</v>
      </c>
      <c r="E97" s="8">
        <v>55</v>
      </c>
      <c r="F97" s="22" t="s">
        <v>543</v>
      </c>
      <c r="G97" s="22"/>
      <c r="H97" s="22" t="s">
        <v>544</v>
      </c>
      <c r="I97" s="22"/>
      <c r="J97" s="22">
        <v>63</v>
      </c>
      <c r="K97" s="22">
        <v>69</v>
      </c>
      <c r="L97" s="22" t="str">
        <f t="shared" si="18"/>
        <v>10CX-055</v>
      </c>
      <c r="O97" s="2" t="str">
        <f t="shared" si="19"/>
        <v>ag_5-8 v 9-12</v>
      </c>
    </row>
    <row r="98" spans="1:15" ht="13.95" customHeight="1">
      <c r="A98" s="6">
        <f t="shared" si="16"/>
        <v>46223</v>
      </c>
      <c r="B98" s="21">
        <f>'CHICLETS MASTER S1'!A55</f>
        <v>0.40277777777777801</v>
      </c>
      <c r="C98" s="8" t="s">
        <v>189</v>
      </c>
      <c r="D98" s="8" t="str">
        <f t="shared" si="17"/>
        <v>OCEAN VIEW HS 2</v>
      </c>
      <c r="E98" s="8">
        <v>57</v>
      </c>
      <c r="F98" s="22" t="s">
        <v>545</v>
      </c>
      <c r="G98" s="22"/>
      <c r="H98" s="22" t="s">
        <v>546</v>
      </c>
      <c r="I98" s="22"/>
      <c r="J98" s="22">
        <v>67</v>
      </c>
      <c r="K98" s="22">
        <v>71</v>
      </c>
      <c r="L98" s="22" t="str">
        <f t="shared" si="18"/>
        <v>10CX-057</v>
      </c>
      <c r="O98" s="2" t="str">
        <f t="shared" si="19"/>
        <v>ag_5-8 v 9-12</v>
      </c>
    </row>
    <row r="99" spans="1:15" ht="13.95" customHeight="1">
      <c r="A99" s="6">
        <f t="shared" si="16"/>
        <v>46223</v>
      </c>
      <c r="B99" s="21">
        <f>'CHICLETS MASTER S1'!A56</f>
        <v>0.4375</v>
      </c>
      <c r="C99" s="8" t="s">
        <v>189</v>
      </c>
      <c r="D99" s="8" t="str">
        <f t="shared" si="17"/>
        <v>OCEAN VIEW HS 2</v>
      </c>
      <c r="E99" s="8">
        <v>59</v>
      </c>
      <c r="F99" s="22" t="s">
        <v>547</v>
      </c>
      <c r="G99" s="22"/>
      <c r="H99" s="22" t="s">
        <v>548</v>
      </c>
      <c r="I99" s="22"/>
      <c r="J99" s="22">
        <v>67</v>
      </c>
      <c r="K99" s="22">
        <v>71</v>
      </c>
      <c r="L99" s="22" t="str">
        <f t="shared" si="18"/>
        <v>10CX-059</v>
      </c>
      <c r="O99" s="2" t="str">
        <f t="shared" si="19"/>
        <v>ag_5-8 v 9-12</v>
      </c>
    </row>
    <row r="100" spans="1:15" ht="13.95" customHeight="1">
      <c r="A100" s="6">
        <f t="shared" si="16"/>
        <v>46223</v>
      </c>
      <c r="B100" s="21">
        <f>'CHICLETS MASTER S1'!A57</f>
        <v>0.47222222222222199</v>
      </c>
      <c r="C100" s="8" t="s">
        <v>194</v>
      </c>
      <c r="D100" s="8" t="str">
        <f t="shared" si="17"/>
        <v>OCEAN VIEW HS 2</v>
      </c>
      <c r="E100" s="8">
        <v>61</v>
      </c>
      <c r="F100" s="22" t="s">
        <v>549</v>
      </c>
      <c r="G100" s="22"/>
      <c r="H100" s="22" t="s">
        <v>550</v>
      </c>
      <c r="I100" s="22"/>
      <c r="J100" s="22">
        <v>80</v>
      </c>
      <c r="K100" s="22">
        <v>73</v>
      </c>
      <c r="L100" s="22" t="str">
        <f t="shared" si="18"/>
        <v>10CX-061</v>
      </c>
      <c r="O100" s="2" t="str">
        <f t="shared" si="19"/>
        <v>ag_1-2 v 3-4</v>
      </c>
    </row>
    <row r="101" spans="1:15" ht="13.95" customHeight="1">
      <c r="A101" s="6">
        <f t="shared" si="16"/>
        <v>46223</v>
      </c>
      <c r="B101" s="21">
        <f>'CHICLETS MASTER S1'!A58</f>
        <v>0.50694444444444398</v>
      </c>
      <c r="C101" s="8" t="s">
        <v>199</v>
      </c>
      <c r="D101" s="8" t="str">
        <f t="shared" si="17"/>
        <v>OCEAN VIEW HS 2</v>
      </c>
      <c r="E101" s="8">
        <v>63</v>
      </c>
      <c r="F101" s="22" t="s">
        <v>551</v>
      </c>
      <c r="G101" s="22"/>
      <c r="H101" s="22" t="s">
        <v>552</v>
      </c>
      <c r="I101" s="22"/>
      <c r="J101" s="22">
        <v>73</v>
      </c>
      <c r="K101" s="22">
        <v>85</v>
      </c>
      <c r="L101" s="22" t="str">
        <f t="shared" si="18"/>
        <v>10CX-063</v>
      </c>
      <c r="O101" s="2" t="str">
        <f t="shared" si="19"/>
        <v>ag_5-6 v 7-8</v>
      </c>
    </row>
    <row r="102" spans="1:15" ht="13.95" customHeight="1">
      <c r="A102" s="6">
        <f t="shared" si="16"/>
        <v>46223</v>
      </c>
      <c r="B102" s="21">
        <f>'CHICLETS MASTER S1'!A59</f>
        <v>0.54166666666666696</v>
      </c>
      <c r="C102" s="8" t="s">
        <v>194</v>
      </c>
      <c r="D102" s="8" t="str">
        <f t="shared" si="17"/>
        <v>OCEAN VIEW HS 2</v>
      </c>
      <c r="E102" s="8">
        <v>65</v>
      </c>
      <c r="F102" s="22" t="s">
        <v>553</v>
      </c>
      <c r="G102" s="22"/>
      <c r="H102" s="22" t="s">
        <v>554</v>
      </c>
      <c r="I102" s="22"/>
      <c r="J102" s="22">
        <v>79</v>
      </c>
      <c r="K102" s="22">
        <v>75</v>
      </c>
      <c r="L102" s="22" t="str">
        <f t="shared" si="18"/>
        <v>10CX-065</v>
      </c>
      <c r="O102" s="2" t="str">
        <f t="shared" si="19"/>
        <v>ag_1-2 v 3-4</v>
      </c>
    </row>
    <row r="103" spans="1:15" ht="13.95" customHeight="1">
      <c r="A103" s="6">
        <f t="shared" si="16"/>
        <v>46223</v>
      </c>
      <c r="B103" s="21">
        <f>'CHICLETS MASTER S1'!A60</f>
        <v>0.57638888888888895</v>
      </c>
      <c r="C103" s="8" t="s">
        <v>199</v>
      </c>
      <c r="D103" s="8" t="str">
        <f t="shared" si="17"/>
        <v>OCEAN VIEW HS 2</v>
      </c>
      <c r="E103" s="8">
        <v>67</v>
      </c>
      <c r="F103" s="22" t="s">
        <v>555</v>
      </c>
      <c r="G103" s="22"/>
      <c r="H103" s="22" t="s">
        <v>556</v>
      </c>
      <c r="I103" s="22"/>
      <c r="J103" s="22">
        <v>75</v>
      </c>
      <c r="K103" s="22">
        <v>85</v>
      </c>
      <c r="L103" s="22" t="str">
        <f t="shared" si="18"/>
        <v>10CX-067</v>
      </c>
      <c r="O103" s="2" t="str">
        <f t="shared" si="19"/>
        <v>ag_5-6 v 7-8</v>
      </c>
    </row>
    <row r="104" spans="1:15" ht="13.95" customHeight="1">
      <c r="A104" s="6">
        <f t="shared" si="16"/>
        <v>46223</v>
      </c>
      <c r="B104" s="21">
        <f>'CHICLETS MASTER S1'!A61</f>
        <v>0.61111111111111105</v>
      </c>
      <c r="C104" s="8" t="s">
        <v>200</v>
      </c>
      <c r="D104" s="8" t="str">
        <f t="shared" si="17"/>
        <v>OCEAN VIEW HS 2</v>
      </c>
      <c r="E104" s="8">
        <v>69</v>
      </c>
      <c r="F104" s="22" t="s">
        <v>557</v>
      </c>
      <c r="G104" s="22"/>
      <c r="H104" s="22" t="s">
        <v>558</v>
      </c>
      <c r="I104" s="22"/>
      <c r="J104" s="22">
        <v>82</v>
      </c>
      <c r="K104" s="22">
        <v>81</v>
      </c>
      <c r="L104" s="22" t="str">
        <f t="shared" si="18"/>
        <v>10CX-069</v>
      </c>
      <c r="O104" s="2" t="str">
        <f t="shared" si="19"/>
        <v>ag_9-12 semi</v>
      </c>
    </row>
    <row r="105" spans="1:15" ht="13.95" customHeight="1">
      <c r="A105" s="96">
        <f t="shared" si="16"/>
        <v>46223</v>
      </c>
      <c r="B105" s="21">
        <f>'CHICLETS MASTER S1'!A62</f>
        <v>0.64583333333333304</v>
      </c>
      <c r="C105" s="8" t="s">
        <v>200</v>
      </c>
      <c r="D105" s="8" t="str">
        <f t="shared" si="17"/>
        <v>OCEAN VIEW HS 2</v>
      </c>
      <c r="E105" s="8">
        <v>71</v>
      </c>
      <c r="F105" s="22" t="s">
        <v>559</v>
      </c>
      <c r="G105" s="22"/>
      <c r="H105" s="22" t="s">
        <v>560</v>
      </c>
      <c r="I105" s="22"/>
      <c r="J105" s="22">
        <v>82</v>
      </c>
      <c r="K105" s="22">
        <v>81</v>
      </c>
      <c r="L105" s="22" t="str">
        <f t="shared" si="18"/>
        <v>10CX-071</v>
      </c>
      <c r="O105" s="2" t="str">
        <f t="shared" si="19"/>
        <v>ag_9-12 semi</v>
      </c>
    </row>
    <row r="106" spans="1:15" ht="13.95" customHeight="1">
      <c r="A106" s="97">
        <f t="shared" si="16"/>
        <v>46223</v>
      </c>
      <c r="B106" s="21">
        <f>'CHICLETS MASTER S1'!A63</f>
        <v>0.68055555555555602</v>
      </c>
      <c r="C106" s="8" t="s">
        <v>561</v>
      </c>
      <c r="D106" s="8" t="str">
        <f t="shared" si="17"/>
        <v>OCEAN VIEW HS 2</v>
      </c>
      <c r="E106" s="8">
        <v>73</v>
      </c>
      <c r="F106" s="22" t="s">
        <v>562</v>
      </c>
      <c r="G106" s="22"/>
      <c r="H106" s="22" t="s">
        <v>563</v>
      </c>
      <c r="I106" s="22"/>
      <c r="J106" s="22">
        <v>79</v>
      </c>
      <c r="K106" s="22">
        <v>86</v>
      </c>
      <c r="L106" s="22" t="str">
        <f t="shared" si="18"/>
        <v>10CX-073</v>
      </c>
      <c r="O106" s="2" t="str">
        <f t="shared" si="19"/>
        <v>ag_qtr final</v>
      </c>
    </row>
    <row r="107" spans="1:15" ht="13.95" customHeight="1">
      <c r="A107" s="6">
        <f t="shared" si="16"/>
        <v>46223</v>
      </c>
      <c r="B107" s="21">
        <f>'CHICLETS MASTER S1'!A64</f>
        <v>0.71527777777777801</v>
      </c>
      <c r="C107" s="8" t="s">
        <v>561</v>
      </c>
      <c r="D107" s="8" t="str">
        <f t="shared" si="17"/>
        <v>OCEAN VIEW HS 2</v>
      </c>
      <c r="E107" s="8">
        <v>75</v>
      </c>
      <c r="F107" s="22" t="s">
        <v>564</v>
      </c>
      <c r="G107" s="22"/>
      <c r="H107" s="22" t="s">
        <v>565</v>
      </c>
      <c r="I107" s="22"/>
      <c r="J107" s="22">
        <v>80</v>
      </c>
      <c r="K107" s="22">
        <v>86</v>
      </c>
      <c r="L107" s="22" t="str">
        <f t="shared" si="18"/>
        <v>10CX-075</v>
      </c>
      <c r="O107" s="2" t="str">
        <f t="shared" si="19"/>
        <v>ag_qtr final</v>
      </c>
    </row>
    <row r="108" spans="1:15" ht="13.95" customHeight="1" thickBot="1"/>
    <row r="109" spans="1:15" ht="13.95" customHeight="1" thickBot="1">
      <c r="D109" s="89" t="str">
        <f>'CHICLETS MASTER S1'!$B$51</f>
        <v>EL TORO HS 1</v>
      </c>
    </row>
    <row r="110" spans="1:15" ht="13.95" customHeight="1">
      <c r="A110" s="103" t="s">
        <v>110</v>
      </c>
      <c r="B110" s="103" t="s">
        <v>111</v>
      </c>
      <c r="C110" s="103" t="s">
        <v>112</v>
      </c>
      <c r="D110" s="103" t="s">
        <v>113</v>
      </c>
      <c r="E110" s="103" t="s">
        <v>114</v>
      </c>
      <c r="F110" s="103" t="s">
        <v>115</v>
      </c>
      <c r="G110" s="103" t="s">
        <v>116</v>
      </c>
      <c r="H110" s="103" t="s">
        <v>117</v>
      </c>
      <c r="I110" s="103" t="s">
        <v>116</v>
      </c>
      <c r="J110" s="103" t="s">
        <v>118</v>
      </c>
      <c r="K110" s="103" t="s">
        <v>119</v>
      </c>
      <c r="L110" s="103" t="s">
        <v>120</v>
      </c>
    </row>
    <row r="111" spans="1:15" ht="13.95" customHeight="1">
      <c r="A111" s="6">
        <f t="shared" ref="A111:A123" si="20">$A$93</f>
        <v>46223</v>
      </c>
      <c r="B111" s="21">
        <f>'CHICLETS MASTER S1'!A53</f>
        <v>0.33333333333333331</v>
      </c>
      <c r="C111" s="8" t="s">
        <v>163</v>
      </c>
      <c r="D111" s="8" t="str">
        <f t="shared" ref="D111:D123" si="21">$D$109</f>
        <v>EL TORO HS 1</v>
      </c>
      <c r="E111" s="8">
        <v>54</v>
      </c>
      <c r="F111" s="95" t="s">
        <v>537</v>
      </c>
      <c r="G111" s="95"/>
      <c r="H111" s="95" t="s">
        <v>534</v>
      </c>
      <c r="I111" s="95"/>
      <c r="J111" s="95"/>
      <c r="K111" s="95"/>
      <c r="L111" s="95" t="str">
        <f t="shared" ref="L111:L123" si="22">IF(E111="","",$L$9&amp;"-"&amp;TEXT(E111,"000"))</f>
        <v>10CX-054</v>
      </c>
      <c r="O111" s="2" t="str">
        <f t="shared" ref="O111:O112" si="23">$L$61&amp;C111</f>
        <v>bz_Group</v>
      </c>
    </row>
    <row r="112" spans="1:15" ht="13.95" customHeight="1">
      <c r="A112" s="6">
        <f t="shared" si="20"/>
        <v>46223</v>
      </c>
      <c r="B112" s="21">
        <f>'CHICLETS MASTER S1'!A54</f>
        <v>0.36805555555555558</v>
      </c>
      <c r="C112" s="8" t="s">
        <v>163</v>
      </c>
      <c r="D112" s="8" t="str">
        <f t="shared" si="21"/>
        <v>EL TORO HS 1</v>
      </c>
      <c r="E112" s="8">
        <v>56</v>
      </c>
      <c r="F112" s="95" t="s">
        <v>540</v>
      </c>
      <c r="G112" s="95"/>
      <c r="H112" s="95" t="s">
        <v>536</v>
      </c>
      <c r="I112" s="95"/>
      <c r="J112" s="95"/>
      <c r="K112" s="95"/>
      <c r="L112" s="95" t="str">
        <f t="shared" si="22"/>
        <v>10CX-056</v>
      </c>
      <c r="O112" s="2" t="str">
        <f t="shared" si="23"/>
        <v>bz_Group</v>
      </c>
    </row>
    <row r="113" spans="1:15" ht="13.95" customHeight="1">
      <c r="A113" s="15"/>
      <c r="B113" s="21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2" t="s">
        <v>538</v>
      </c>
    </row>
    <row r="114" spans="1:15" ht="13.95" customHeight="1">
      <c r="A114" s="6">
        <f t="shared" si="20"/>
        <v>46223</v>
      </c>
      <c r="B114" s="21">
        <f>'CHICLETS MASTER S1'!A56</f>
        <v>0.4375</v>
      </c>
      <c r="C114" s="8" t="s">
        <v>163</v>
      </c>
      <c r="D114" s="8" t="str">
        <f t="shared" si="21"/>
        <v>EL TORO HS 1</v>
      </c>
      <c r="E114" s="8">
        <v>60</v>
      </c>
      <c r="F114" s="95" t="s">
        <v>531</v>
      </c>
      <c r="G114" s="95"/>
      <c r="H114" s="95" t="s">
        <v>533</v>
      </c>
      <c r="I114" s="95"/>
      <c r="J114" s="95"/>
      <c r="K114" s="95"/>
      <c r="L114" s="95" t="str">
        <f t="shared" si="22"/>
        <v>10CX-060</v>
      </c>
      <c r="O114" s="2" t="str">
        <f t="shared" ref="O114:O116" si="24">$L$61&amp;C114</f>
        <v>bz_Group</v>
      </c>
    </row>
    <row r="115" spans="1:15" ht="13.95" customHeight="1">
      <c r="A115" s="6">
        <f t="shared" si="20"/>
        <v>46223</v>
      </c>
      <c r="B115" s="21">
        <f>'CHICLETS MASTER S1'!A57</f>
        <v>0.47222222222222199</v>
      </c>
      <c r="C115" s="8" t="s">
        <v>163</v>
      </c>
      <c r="D115" s="8" t="str">
        <f t="shared" si="21"/>
        <v>EL TORO HS 1</v>
      </c>
      <c r="E115" s="8">
        <v>62</v>
      </c>
      <c r="F115" s="95" t="s">
        <v>530</v>
      </c>
      <c r="G115" s="95"/>
      <c r="H115" s="95" t="s">
        <v>532</v>
      </c>
      <c r="I115" s="95"/>
      <c r="J115" s="95"/>
      <c r="K115" s="95"/>
      <c r="L115" s="95" t="str">
        <f t="shared" si="22"/>
        <v>10CX-062</v>
      </c>
      <c r="O115" s="2" t="str">
        <f t="shared" si="24"/>
        <v>bz_Group</v>
      </c>
    </row>
    <row r="116" spans="1:15" ht="13.95" customHeight="1">
      <c r="A116" s="6">
        <f t="shared" si="20"/>
        <v>46223</v>
      </c>
      <c r="B116" s="21">
        <f>'CHICLETS MASTER S1'!A58</f>
        <v>0.50694444444444398</v>
      </c>
      <c r="C116" s="8" t="s">
        <v>163</v>
      </c>
      <c r="D116" s="8" t="str">
        <f t="shared" si="21"/>
        <v>EL TORO HS 1</v>
      </c>
      <c r="E116" s="8">
        <v>64</v>
      </c>
      <c r="F116" s="95" t="s">
        <v>534</v>
      </c>
      <c r="G116" s="95"/>
      <c r="H116" s="95" t="s">
        <v>536</v>
      </c>
      <c r="I116" s="95"/>
      <c r="J116" s="95"/>
      <c r="K116" s="95"/>
      <c r="L116" s="95" t="str">
        <f t="shared" si="22"/>
        <v>10CX-064</v>
      </c>
      <c r="O116" s="2" t="str">
        <f t="shared" si="24"/>
        <v>bz_Group</v>
      </c>
    </row>
    <row r="117" spans="1:15" ht="13.95" customHeight="1">
      <c r="A117" s="6">
        <f t="shared" si="20"/>
        <v>46223</v>
      </c>
      <c r="B117" s="21">
        <f>'CHICLETS MASTER S1'!A59</f>
        <v>0.54166666666666696</v>
      </c>
      <c r="C117" s="8" t="s">
        <v>163</v>
      </c>
      <c r="D117" s="8" t="str">
        <f t="shared" si="21"/>
        <v>EL TORO HS 1</v>
      </c>
      <c r="E117" s="8">
        <v>66</v>
      </c>
      <c r="F117" s="95" t="s">
        <v>535</v>
      </c>
      <c r="G117" s="95"/>
      <c r="H117" s="95" t="s">
        <v>540</v>
      </c>
      <c r="I117" s="95"/>
      <c r="J117" s="95"/>
      <c r="K117" s="95"/>
      <c r="L117" s="95" t="str">
        <f t="shared" si="22"/>
        <v>10CX-066</v>
      </c>
      <c r="O117" s="2" t="str">
        <f>$L$61&amp;C117</f>
        <v>bz_Group</v>
      </c>
    </row>
    <row r="118" spans="1:15" ht="13.95" customHeight="1">
      <c r="A118" s="15"/>
      <c r="B118" s="21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2" t="s">
        <v>538</v>
      </c>
    </row>
    <row r="119" spans="1:15" ht="13.95" customHeight="1">
      <c r="A119" s="6">
        <f t="shared" si="20"/>
        <v>46223</v>
      </c>
      <c r="B119" s="21">
        <f>'CHICLETS MASTER S1'!A61</f>
        <v>0.61111111111111105</v>
      </c>
      <c r="C119" s="8" t="s">
        <v>163</v>
      </c>
      <c r="D119" s="8" t="str">
        <f t="shared" si="21"/>
        <v>EL TORO HS 1</v>
      </c>
      <c r="E119" s="8">
        <v>70</v>
      </c>
      <c r="F119" s="95" t="s">
        <v>533</v>
      </c>
      <c r="G119" s="95"/>
      <c r="H119" s="95" t="s">
        <v>539</v>
      </c>
      <c r="I119" s="95"/>
      <c r="J119" s="95"/>
      <c r="K119" s="95"/>
      <c r="L119" s="95" t="str">
        <f t="shared" si="22"/>
        <v>10CX-070</v>
      </c>
      <c r="O119" s="2" t="str">
        <f t="shared" ref="O119:O122" si="25">$L$61&amp;C119</f>
        <v>bz_Group</v>
      </c>
    </row>
    <row r="120" spans="1:15" ht="13.95" customHeight="1">
      <c r="A120" s="6">
        <f t="shared" si="20"/>
        <v>46223</v>
      </c>
      <c r="B120" s="21">
        <f>'CHICLETS MASTER S1'!A62</f>
        <v>0.64583333333333304</v>
      </c>
      <c r="C120" s="8" t="s">
        <v>163</v>
      </c>
      <c r="D120" s="8" t="str">
        <f t="shared" si="21"/>
        <v>EL TORO HS 1</v>
      </c>
      <c r="E120" s="8">
        <v>72</v>
      </c>
      <c r="F120" s="95" t="s">
        <v>532</v>
      </c>
      <c r="G120" s="95"/>
      <c r="H120" s="95" t="s">
        <v>531</v>
      </c>
      <c r="I120" s="95"/>
      <c r="J120" s="95"/>
      <c r="K120" s="95"/>
      <c r="L120" s="95" t="str">
        <f t="shared" si="22"/>
        <v>10CX-072</v>
      </c>
      <c r="O120" s="2" t="str">
        <f t="shared" si="25"/>
        <v>bz_Group</v>
      </c>
    </row>
    <row r="121" spans="1:15" ht="13.95" customHeight="1">
      <c r="A121" s="6">
        <f t="shared" si="20"/>
        <v>46223</v>
      </c>
      <c r="B121" s="21">
        <f>'CHICLETS MASTER S1'!A63</f>
        <v>0.68055555555555602</v>
      </c>
      <c r="C121" s="8" t="s">
        <v>163</v>
      </c>
      <c r="D121" s="8" t="str">
        <f t="shared" si="21"/>
        <v>EL TORO HS 1</v>
      </c>
      <c r="E121" s="8">
        <v>74</v>
      </c>
      <c r="F121" s="95" t="s">
        <v>535</v>
      </c>
      <c r="G121" s="95"/>
      <c r="H121" s="95" t="s">
        <v>536</v>
      </c>
      <c r="I121" s="95"/>
      <c r="J121" s="95"/>
      <c r="K121" s="95"/>
      <c r="L121" s="95" t="str">
        <f t="shared" si="22"/>
        <v>10CX-074</v>
      </c>
      <c r="O121" s="2" t="str">
        <f t="shared" si="25"/>
        <v>bz_Group</v>
      </c>
    </row>
    <row r="122" spans="1:15" ht="13.95" customHeight="1">
      <c r="A122" s="6">
        <f t="shared" si="20"/>
        <v>46223</v>
      </c>
      <c r="B122" s="21">
        <f>'CHICLETS MASTER S1'!A64</f>
        <v>0.71527777777777801</v>
      </c>
      <c r="C122" s="8" t="s">
        <v>163</v>
      </c>
      <c r="D122" s="8" t="str">
        <f t="shared" si="21"/>
        <v>EL TORO HS 1</v>
      </c>
      <c r="E122" s="8">
        <v>76</v>
      </c>
      <c r="F122" s="95" t="s">
        <v>537</v>
      </c>
      <c r="G122" s="95"/>
      <c r="H122" s="95" t="s">
        <v>540</v>
      </c>
      <c r="I122" s="95"/>
      <c r="J122" s="95"/>
      <c r="K122" s="95"/>
      <c r="L122" s="95" t="str">
        <f t="shared" si="22"/>
        <v>10CX-076</v>
      </c>
      <c r="O122" s="2" t="str">
        <f t="shared" si="25"/>
        <v>bz_Group</v>
      </c>
    </row>
    <row r="123" spans="1:15" ht="13.95" customHeight="1">
      <c r="A123" s="6">
        <f t="shared" si="20"/>
        <v>46223</v>
      </c>
      <c r="B123" s="21">
        <f>'CHICLETS MASTER S1'!A65</f>
        <v>0.75</v>
      </c>
      <c r="C123" s="8" t="s">
        <v>163</v>
      </c>
      <c r="D123" s="8" t="str">
        <f t="shared" si="21"/>
        <v>EL TORO HS 1</v>
      </c>
      <c r="E123" s="8">
        <v>98</v>
      </c>
      <c r="F123" s="95" t="s">
        <v>539</v>
      </c>
      <c r="G123" s="95"/>
      <c r="H123" s="95" t="s">
        <v>530</v>
      </c>
      <c r="I123" s="95"/>
      <c r="J123" s="95"/>
      <c r="K123" s="95"/>
      <c r="L123" s="95" t="str">
        <f t="shared" si="22"/>
        <v>10CX-098</v>
      </c>
      <c r="O123" s="2" t="str">
        <f>$L$61&amp;C123</f>
        <v>bz_Group</v>
      </c>
    </row>
    <row r="124" spans="1:15" ht="13.95" customHeight="1" thickBot="1">
      <c r="A124" s="24"/>
      <c r="B124" s="27"/>
    </row>
    <row r="125" spans="1:15" ht="13.95" customHeight="1" thickTop="1" thickBot="1">
      <c r="A125" s="87" t="s">
        <v>205</v>
      </c>
      <c r="B125" s="88"/>
      <c r="C125" s="88"/>
      <c r="D125" s="88"/>
      <c r="E125" s="88"/>
      <c r="F125" s="88"/>
      <c r="G125" s="88"/>
      <c r="H125" s="88"/>
      <c r="I125" s="88"/>
      <c r="J125" s="88"/>
      <c r="K125" s="88"/>
      <c r="L125" s="88"/>
    </row>
    <row r="126" spans="1:15" ht="13.95" customHeight="1" thickBot="1">
      <c r="A126" s="3">
        <v>46224</v>
      </c>
    </row>
    <row r="127" spans="1:15" ht="13.95" customHeight="1" thickBot="1">
      <c r="D127" s="89" t="str">
        <f>'CHICLETS MASTER S1'!$I$72</f>
        <v>OCEAN VIEW HS 2</v>
      </c>
    </row>
    <row r="128" spans="1:15" ht="13.95" customHeight="1">
      <c r="A128" s="103" t="s">
        <v>110</v>
      </c>
      <c r="B128" s="103" t="s">
        <v>111</v>
      </c>
      <c r="C128" s="103" t="s">
        <v>112</v>
      </c>
      <c r="D128" s="103" t="s">
        <v>113</v>
      </c>
      <c r="E128" s="103" t="s">
        <v>114</v>
      </c>
      <c r="F128" s="103" t="s">
        <v>115</v>
      </c>
      <c r="G128" s="103" t="s">
        <v>116</v>
      </c>
      <c r="H128" s="103" t="s">
        <v>117</v>
      </c>
      <c r="I128" s="103" t="s">
        <v>116</v>
      </c>
      <c r="J128" s="103" t="s">
        <v>118</v>
      </c>
      <c r="K128" s="103" t="s">
        <v>119</v>
      </c>
      <c r="L128" s="103" t="s">
        <v>120</v>
      </c>
    </row>
    <row r="129" spans="1:15" ht="13.95" customHeight="1">
      <c r="A129" s="6">
        <f t="shared" ref="A129:A135" si="26">$A$126</f>
        <v>46224</v>
      </c>
      <c r="B129" s="21">
        <f>'CHICLETS MASTER S1'!A73</f>
        <v>0.29166666666666669</v>
      </c>
      <c r="C129" s="8" t="s">
        <v>566</v>
      </c>
      <c r="D129" s="8" t="str">
        <f t="shared" ref="D129:D135" si="27">$D$127</f>
        <v>OCEAN VIEW HS 2</v>
      </c>
      <c r="E129" s="8">
        <v>85</v>
      </c>
      <c r="F129" s="22" t="s">
        <v>567</v>
      </c>
      <c r="G129" s="22"/>
      <c r="H129" s="22" t="s">
        <v>568</v>
      </c>
      <c r="I129" s="22"/>
      <c r="J129" s="22" t="s">
        <v>220</v>
      </c>
      <c r="K129" s="22" t="s">
        <v>221</v>
      </c>
      <c r="L129" s="22" t="str">
        <f t="shared" ref="L129:L135" si="28">IF(E129="","",$L$9&amp;"-"&amp;TEXT(E129,"000"))</f>
        <v>10CX-085</v>
      </c>
      <c r="O129" s="2" t="str">
        <f t="shared" ref="O129:O130" si="29">$L$60&amp;J129</f>
        <v>ag_7th</v>
      </c>
    </row>
    <row r="130" spans="1:15" ht="13.95" customHeight="1">
      <c r="A130" s="6">
        <f t="shared" si="26"/>
        <v>46224</v>
      </c>
      <c r="B130" s="21">
        <f>'CHICLETS MASTER S1'!A74</f>
        <v>0.33333333333333298</v>
      </c>
      <c r="C130" s="8" t="s">
        <v>566</v>
      </c>
      <c r="D130" s="8" t="str">
        <f t="shared" si="27"/>
        <v>OCEAN VIEW HS 2</v>
      </c>
      <c r="E130" s="8">
        <v>86</v>
      </c>
      <c r="F130" s="22" t="s">
        <v>569</v>
      </c>
      <c r="G130" s="22"/>
      <c r="H130" s="22" t="s">
        <v>570</v>
      </c>
      <c r="I130" s="22"/>
      <c r="J130" s="22" t="s">
        <v>206</v>
      </c>
      <c r="K130" s="22" t="s">
        <v>209</v>
      </c>
      <c r="L130" s="22" t="str">
        <f t="shared" si="28"/>
        <v>10CX-086</v>
      </c>
      <c r="O130" s="2" t="str">
        <f t="shared" si="29"/>
        <v>ag_5th</v>
      </c>
    </row>
    <row r="131" spans="1:15" ht="13.95" customHeight="1">
      <c r="A131" s="6">
        <f t="shared" si="26"/>
        <v>46224</v>
      </c>
      <c r="B131" s="21">
        <f>'CHICLETS MASTER S1'!A75</f>
        <v>0.375</v>
      </c>
      <c r="C131" s="8" t="s">
        <v>566</v>
      </c>
      <c r="D131" s="8" t="str">
        <f t="shared" si="27"/>
        <v>OCEAN VIEW HS 2</v>
      </c>
      <c r="E131" s="8">
        <v>88</v>
      </c>
      <c r="F131" s="95" t="s">
        <v>571</v>
      </c>
      <c r="G131" s="95"/>
      <c r="H131" s="95" t="s">
        <v>572</v>
      </c>
      <c r="I131" s="95"/>
      <c r="J131" s="95" t="s">
        <v>220</v>
      </c>
      <c r="K131" s="95" t="s">
        <v>221</v>
      </c>
      <c r="L131" s="95" t="str">
        <f t="shared" si="28"/>
        <v>10CX-088</v>
      </c>
      <c r="O131" s="2" t="str">
        <f>$L$61&amp;J131</f>
        <v>bz_7th</v>
      </c>
    </row>
    <row r="132" spans="1:15" ht="13.95" customHeight="1">
      <c r="A132" s="6">
        <f t="shared" si="26"/>
        <v>46224</v>
      </c>
      <c r="B132" s="21">
        <f>'CHICLETS MASTER S1'!A76</f>
        <v>0.41666666666666702</v>
      </c>
      <c r="C132" s="8" t="s">
        <v>566</v>
      </c>
      <c r="D132" s="8" t="str">
        <f t="shared" si="27"/>
        <v>OCEAN VIEW HS 2</v>
      </c>
      <c r="E132" s="8">
        <v>81</v>
      </c>
      <c r="F132" s="22" t="s">
        <v>573</v>
      </c>
      <c r="G132" s="22"/>
      <c r="H132" s="22" t="s">
        <v>574</v>
      </c>
      <c r="I132" s="22"/>
      <c r="J132" s="22" t="s">
        <v>218</v>
      </c>
      <c r="K132" s="22" t="s">
        <v>219</v>
      </c>
      <c r="L132" s="22" t="str">
        <f t="shared" si="28"/>
        <v>10CX-081</v>
      </c>
      <c r="O132" s="2" t="str">
        <f t="shared" ref="O132:O133" si="30">$L$60&amp;J132</f>
        <v>ag_11th</v>
      </c>
    </row>
    <row r="133" spans="1:15" ht="13.95" customHeight="1">
      <c r="A133" s="6">
        <f t="shared" si="26"/>
        <v>46224</v>
      </c>
      <c r="B133" s="21">
        <f>'CHICLETS MASTER S1'!A77</f>
        <v>0.45833333333333298</v>
      </c>
      <c r="C133" s="8" t="s">
        <v>566</v>
      </c>
      <c r="D133" s="8" t="str">
        <f t="shared" si="27"/>
        <v>OCEAN VIEW HS 2</v>
      </c>
      <c r="E133" s="8">
        <v>82</v>
      </c>
      <c r="F133" s="22" t="s">
        <v>575</v>
      </c>
      <c r="G133" s="22"/>
      <c r="H133" s="22" t="s">
        <v>576</v>
      </c>
      <c r="I133" s="22"/>
      <c r="J133" s="22" t="s">
        <v>222</v>
      </c>
      <c r="K133" s="22" t="s">
        <v>223</v>
      </c>
      <c r="L133" s="22" t="str">
        <f t="shared" si="28"/>
        <v>10CX-082</v>
      </c>
      <c r="O133" s="2" t="str">
        <f t="shared" si="30"/>
        <v>ag_9th</v>
      </c>
    </row>
    <row r="134" spans="1:15" ht="13.95" customHeight="1">
      <c r="A134" s="6">
        <f t="shared" si="26"/>
        <v>46224</v>
      </c>
      <c r="B134" s="21">
        <f>'CHICLETS MASTER S1'!A78</f>
        <v>0.5</v>
      </c>
      <c r="C134" s="8" t="s">
        <v>566</v>
      </c>
      <c r="D134" s="8" t="str">
        <f t="shared" si="27"/>
        <v>OCEAN VIEW HS 2</v>
      </c>
      <c r="E134" s="11">
        <v>83</v>
      </c>
      <c r="F134" s="98" t="s">
        <v>577</v>
      </c>
      <c r="G134" s="98"/>
      <c r="H134" s="98" t="s">
        <v>578</v>
      </c>
      <c r="I134" s="98"/>
      <c r="J134" s="98" t="s">
        <v>206</v>
      </c>
      <c r="K134" s="98" t="s">
        <v>209</v>
      </c>
      <c r="L134" s="98" t="str">
        <f t="shared" si="28"/>
        <v>10CX-083</v>
      </c>
      <c r="O134" s="2" t="str">
        <f>$L$61&amp;J134</f>
        <v>bz_5th</v>
      </c>
    </row>
    <row r="135" spans="1:15" ht="13.95" customHeight="1">
      <c r="A135" s="6">
        <f t="shared" si="26"/>
        <v>46224</v>
      </c>
      <c r="B135" s="21">
        <f>'CHICLETS MASTER S1'!A79</f>
        <v>0.54166666666666696</v>
      </c>
      <c r="C135" s="8" t="s">
        <v>566</v>
      </c>
      <c r="D135" s="8" t="str">
        <f t="shared" si="27"/>
        <v>OCEAN VIEW HS 2</v>
      </c>
      <c r="E135" s="8">
        <v>84</v>
      </c>
      <c r="F135" s="98" t="s">
        <v>579</v>
      </c>
      <c r="G135" s="98"/>
      <c r="H135" s="98" t="s">
        <v>580</v>
      </c>
      <c r="I135" s="98"/>
      <c r="J135" s="98" t="s">
        <v>222</v>
      </c>
      <c r="K135" s="98" t="s">
        <v>223</v>
      </c>
      <c r="L135" s="95" t="str">
        <f t="shared" si="28"/>
        <v>10CX-084</v>
      </c>
      <c r="O135" s="2" t="str">
        <f>$L$61&amp;J135</f>
        <v>bz_9th</v>
      </c>
    </row>
    <row r="136" spans="1:15" ht="13.95" customHeight="1" thickBot="1">
      <c r="A136" s="99"/>
      <c r="B136" s="100"/>
      <c r="C136" s="12"/>
      <c r="D136" s="12"/>
      <c r="E136" s="12"/>
      <c r="F136" s="101"/>
      <c r="G136" s="101"/>
      <c r="H136" s="101"/>
      <c r="I136" s="101"/>
      <c r="J136" s="101"/>
      <c r="K136" s="101"/>
      <c r="L136" s="101"/>
    </row>
    <row r="137" spans="1:15" ht="13.95" customHeight="1" thickBot="1">
      <c r="D137" s="89" t="str">
        <f>'CHICLETS MASTER S1'!B72</f>
        <v>EL TORO HS 1</v>
      </c>
    </row>
    <row r="138" spans="1:15" ht="13.95" customHeight="1">
      <c r="A138" s="103" t="s">
        <v>110</v>
      </c>
      <c r="B138" s="103" t="s">
        <v>111</v>
      </c>
      <c r="C138" s="103" t="s">
        <v>112</v>
      </c>
      <c r="D138" s="103" t="s">
        <v>113</v>
      </c>
      <c r="E138" s="103" t="s">
        <v>114</v>
      </c>
      <c r="F138" s="103" t="s">
        <v>115</v>
      </c>
      <c r="G138" s="103" t="s">
        <v>116</v>
      </c>
      <c r="H138" s="103" t="s">
        <v>117</v>
      </c>
      <c r="I138" s="103" t="s">
        <v>116</v>
      </c>
      <c r="J138" s="103" t="s">
        <v>118</v>
      </c>
      <c r="K138" s="103" t="s">
        <v>119</v>
      </c>
      <c r="L138" s="103" t="s">
        <v>120</v>
      </c>
    </row>
    <row r="139" spans="1:15" ht="13.95" customHeight="1">
      <c r="A139" s="6">
        <f t="shared" ref="A139:A154" si="31">$A$126</f>
        <v>46224</v>
      </c>
      <c r="B139" s="102">
        <f>'CHICLETS MASTER S1'!A73</f>
        <v>0.29166666666666669</v>
      </c>
      <c r="C139" s="8" t="s">
        <v>581</v>
      </c>
      <c r="D139" s="8" t="str">
        <f t="shared" ref="D139:D143" si="32">$D$137</f>
        <v>EL TORO HS 1</v>
      </c>
      <c r="E139" s="8">
        <v>77</v>
      </c>
      <c r="F139" s="98" t="s">
        <v>582</v>
      </c>
      <c r="G139" s="98"/>
      <c r="H139" s="98" t="s">
        <v>583</v>
      </c>
      <c r="I139" s="98"/>
      <c r="J139" s="98">
        <v>90</v>
      </c>
      <c r="K139" s="98">
        <v>89</v>
      </c>
      <c r="L139" s="95" t="str">
        <f>IF(E139="","",$L$9&amp;"-"&amp;TEXT(E139,"000"))</f>
        <v>10CX-077</v>
      </c>
      <c r="O139" s="2" t="str">
        <f>$L$61&amp;C139</f>
        <v>bz_Semi</v>
      </c>
    </row>
    <row r="140" spans="1:15" ht="13.95" customHeight="1">
      <c r="A140" s="6">
        <f t="shared" si="31"/>
        <v>46224</v>
      </c>
      <c r="B140" s="102">
        <f>'CHICLETS MASTER S1'!A74</f>
        <v>0.33333333333333298</v>
      </c>
      <c r="C140" s="15" t="s">
        <v>581</v>
      </c>
      <c r="D140" s="8" t="str">
        <f t="shared" si="32"/>
        <v>EL TORO HS 1</v>
      </c>
      <c r="E140" s="8">
        <v>78</v>
      </c>
      <c r="F140" s="98" t="s">
        <v>584</v>
      </c>
      <c r="G140" s="98"/>
      <c r="H140" s="98" t="s">
        <v>585</v>
      </c>
      <c r="I140" s="98"/>
      <c r="J140" s="98">
        <v>90</v>
      </c>
      <c r="K140" s="98">
        <v>89</v>
      </c>
      <c r="L140" s="95" t="str">
        <f>IF(E140="","",$L$9&amp;"-"&amp;TEXT(E140,"000"))</f>
        <v>10CX-078</v>
      </c>
      <c r="O140" s="2" t="str">
        <f>$L$61&amp;C140</f>
        <v>bz_Semi</v>
      </c>
    </row>
    <row r="141" spans="1:15" ht="13.95" customHeight="1">
      <c r="A141" s="99"/>
      <c r="B141" s="100"/>
      <c r="C141" s="12"/>
      <c r="D141" s="12"/>
      <c r="E141" s="12"/>
      <c r="F141" s="101"/>
      <c r="G141" s="101"/>
      <c r="H141" s="101"/>
      <c r="I141" s="101"/>
      <c r="J141" s="101"/>
      <c r="K141" s="101"/>
      <c r="L141" s="101"/>
    </row>
    <row r="142" spans="1:15" ht="13.95" customHeight="1">
      <c r="A142" s="6">
        <f t="shared" si="31"/>
        <v>46224</v>
      </c>
      <c r="B142" s="102">
        <f>'CHICLETS MASTER S1'!A77</f>
        <v>0.45833333333333298</v>
      </c>
      <c r="C142" s="8" t="s">
        <v>566</v>
      </c>
      <c r="D142" s="8" t="str">
        <f t="shared" si="32"/>
        <v>EL TORO HS 1</v>
      </c>
      <c r="E142" s="8">
        <v>89</v>
      </c>
      <c r="F142" s="98" t="s">
        <v>586</v>
      </c>
      <c r="G142" s="98"/>
      <c r="H142" s="98" t="s">
        <v>587</v>
      </c>
      <c r="I142" s="98"/>
      <c r="J142" s="98" t="s">
        <v>210</v>
      </c>
      <c r="K142" s="98" t="s">
        <v>213</v>
      </c>
      <c r="L142" s="95" t="str">
        <f>IF(E142="","",$L$9&amp;"-"&amp;TEXT(E142,"000"))</f>
        <v>10CX-089</v>
      </c>
      <c r="O142" s="2" t="str">
        <f t="shared" ref="O142:O143" si="33">$L$61&amp;J142</f>
        <v>bz_3rd</v>
      </c>
    </row>
    <row r="143" spans="1:15" ht="13.95" customHeight="1">
      <c r="A143" s="6">
        <f t="shared" si="31"/>
        <v>46224</v>
      </c>
      <c r="B143" s="102">
        <f>'CHICLETS MASTER S1'!A78</f>
        <v>0.5</v>
      </c>
      <c r="C143" s="8" t="s">
        <v>566</v>
      </c>
      <c r="D143" s="8" t="str">
        <f t="shared" si="32"/>
        <v>EL TORO HS 1</v>
      </c>
      <c r="E143" s="8">
        <v>90</v>
      </c>
      <c r="F143" s="98" t="s">
        <v>588</v>
      </c>
      <c r="G143" s="98"/>
      <c r="H143" s="98" t="s">
        <v>589</v>
      </c>
      <c r="I143" s="98"/>
      <c r="J143" s="98" t="s">
        <v>214</v>
      </c>
      <c r="K143" s="98" t="s">
        <v>217</v>
      </c>
      <c r="L143" s="95" t="str">
        <f>IF(E143="","",$L$9&amp;"-"&amp;TEXT(E143,"000"))</f>
        <v>10CX-090</v>
      </c>
      <c r="O143" s="2" t="str">
        <f t="shared" si="33"/>
        <v>bz_1st</v>
      </c>
    </row>
    <row r="144" spans="1:15" ht="13.95" customHeight="1" thickBot="1">
      <c r="A144" s="99"/>
      <c r="B144" s="100"/>
      <c r="C144" s="12"/>
      <c r="D144" s="12"/>
      <c r="E144" s="12"/>
      <c r="F144" s="101"/>
      <c r="G144" s="101"/>
      <c r="H144" s="101"/>
      <c r="I144" s="101"/>
      <c r="J144" s="101"/>
      <c r="K144" s="101"/>
      <c r="L144" s="101"/>
    </row>
    <row r="145" spans="1:15" ht="13.95" customHeight="1" thickBot="1">
      <c r="D145" s="89" t="str">
        <f>'CHICLETS MASTER S1'!$C$72</f>
        <v>EL TORO HS 2</v>
      </c>
    </row>
    <row r="146" spans="1:15" ht="13.95" customHeight="1">
      <c r="A146" s="103" t="s">
        <v>110</v>
      </c>
      <c r="B146" s="103" t="s">
        <v>111</v>
      </c>
      <c r="C146" s="103" t="s">
        <v>112</v>
      </c>
      <c r="D146" s="103" t="s">
        <v>113</v>
      </c>
      <c r="E146" s="103" t="s">
        <v>114</v>
      </c>
      <c r="F146" s="103" t="s">
        <v>115</v>
      </c>
      <c r="G146" s="103" t="s">
        <v>116</v>
      </c>
      <c r="H146" s="103" t="s">
        <v>117</v>
      </c>
      <c r="I146" s="103" t="s">
        <v>116</v>
      </c>
      <c r="J146" s="103" t="s">
        <v>118</v>
      </c>
      <c r="K146" s="103" t="s">
        <v>119</v>
      </c>
      <c r="L146" s="103" t="s">
        <v>120</v>
      </c>
    </row>
    <row r="147" spans="1:15" ht="13.95" customHeight="1">
      <c r="A147" s="6">
        <f t="shared" si="31"/>
        <v>46224</v>
      </c>
      <c r="B147" s="102">
        <f>'CHICLETS MASTER S1'!A73</f>
        <v>0.29166666666666669</v>
      </c>
      <c r="C147" s="15" t="s">
        <v>581</v>
      </c>
      <c r="D147" s="8" t="str">
        <f>$D$145</f>
        <v>EL TORO HS 2</v>
      </c>
      <c r="E147" s="8">
        <v>79</v>
      </c>
      <c r="F147" s="22" t="s">
        <v>590</v>
      </c>
      <c r="G147" s="22"/>
      <c r="H147" s="22" t="s">
        <v>591</v>
      </c>
      <c r="I147" s="22"/>
      <c r="J147" s="22">
        <v>92</v>
      </c>
      <c r="K147" s="22">
        <v>91</v>
      </c>
      <c r="L147" s="22" t="str">
        <f>IF(E147="","",$L$9&amp;"-"&amp;TEXT(E147,"000"))</f>
        <v>10CX-079</v>
      </c>
      <c r="O147" s="2" t="str">
        <f>$L$60&amp;C147</f>
        <v>ag_Semi</v>
      </c>
    </row>
    <row r="149" spans="1:15" ht="13.95" customHeight="1">
      <c r="A149" s="6">
        <f t="shared" si="31"/>
        <v>46224</v>
      </c>
      <c r="B149" s="102">
        <f>'CHICLETS MASTER S1'!A76</f>
        <v>0.41666666666666702</v>
      </c>
      <c r="C149" s="8" t="s">
        <v>566</v>
      </c>
      <c r="D149" s="8" t="str">
        <f>$D$145</f>
        <v>EL TORO HS 2</v>
      </c>
      <c r="E149" s="8">
        <v>91</v>
      </c>
      <c r="F149" s="22" t="s">
        <v>592</v>
      </c>
      <c r="G149" s="67"/>
      <c r="H149" s="22" t="s">
        <v>593</v>
      </c>
      <c r="I149" s="67"/>
      <c r="J149" s="22" t="s">
        <v>210</v>
      </c>
      <c r="K149" s="22" t="s">
        <v>213</v>
      </c>
      <c r="L149" s="22" t="str">
        <f>IF(E149="","",$L$9&amp;"-"&amp;TEXT(E149,"000"))</f>
        <v>10CX-091</v>
      </c>
      <c r="O149" s="2" t="str">
        <f>$L$60&amp;J149</f>
        <v>ag_3rd</v>
      </c>
    </row>
    <row r="150" spans="1:15" ht="13.95" customHeight="1">
      <c r="A150" s="6">
        <f t="shared" si="31"/>
        <v>46224</v>
      </c>
      <c r="B150" s="102">
        <f>'CHICLETS MASTER S1'!A77</f>
        <v>0.45833333333333298</v>
      </c>
      <c r="C150" s="15" t="s">
        <v>566</v>
      </c>
      <c r="D150" s="8" t="str">
        <f>$D$145</f>
        <v>EL TORO HS 2</v>
      </c>
      <c r="E150" s="8">
        <v>92</v>
      </c>
      <c r="F150" s="22" t="s">
        <v>594</v>
      </c>
      <c r="G150" s="22"/>
      <c r="H150" s="22" t="s">
        <v>595</v>
      </c>
      <c r="I150" s="22"/>
      <c r="J150" s="22" t="s">
        <v>214</v>
      </c>
      <c r="K150" s="22" t="s">
        <v>217</v>
      </c>
      <c r="L150" s="22" t="str">
        <f>IF(E150="","",$L$9&amp;"-"&amp;TEXT(E150,"000"))</f>
        <v>10CX-092</v>
      </c>
      <c r="O150" s="2" t="str">
        <f>$L$60&amp;J150</f>
        <v>ag_1st</v>
      </c>
    </row>
    <row r="151" spans="1:15" ht="13.95" customHeight="1" thickBot="1"/>
    <row r="152" spans="1:15" ht="13.95" customHeight="1" thickBot="1">
      <c r="D152" s="89" t="str">
        <f>'CHICLETS MASTER S1'!$D$72</f>
        <v>EL TORO HS 3</v>
      </c>
    </row>
    <row r="153" spans="1:15" ht="13.95" customHeight="1">
      <c r="A153" s="103" t="s">
        <v>110</v>
      </c>
      <c r="B153" s="103" t="s">
        <v>111</v>
      </c>
      <c r="C153" s="103" t="s">
        <v>112</v>
      </c>
      <c r="D153" s="103" t="s">
        <v>113</v>
      </c>
      <c r="E153" s="103" t="s">
        <v>114</v>
      </c>
      <c r="F153" s="103" t="s">
        <v>115</v>
      </c>
      <c r="G153" s="103" t="s">
        <v>116</v>
      </c>
      <c r="H153" s="103" t="s">
        <v>117</v>
      </c>
      <c r="I153" s="103" t="s">
        <v>116</v>
      </c>
      <c r="J153" s="103" t="s">
        <v>118</v>
      </c>
      <c r="K153" s="103" t="s">
        <v>119</v>
      </c>
      <c r="L153" s="103" t="s">
        <v>120</v>
      </c>
    </row>
    <row r="154" spans="1:15" ht="13.95" customHeight="1">
      <c r="A154" s="6">
        <f t="shared" si="31"/>
        <v>46224</v>
      </c>
      <c r="B154" s="102">
        <f>'CHICLETS MASTER S1'!A73</f>
        <v>0.29166666666666669</v>
      </c>
      <c r="C154" s="15" t="s">
        <v>581</v>
      </c>
      <c r="D154" s="8" t="str">
        <f>$D$152</f>
        <v>EL TORO HS 3</v>
      </c>
      <c r="E154" s="8">
        <v>80</v>
      </c>
      <c r="F154" s="22" t="s">
        <v>596</v>
      </c>
      <c r="G154" s="22"/>
      <c r="H154" s="22" t="s">
        <v>597</v>
      </c>
      <c r="I154" s="22"/>
      <c r="J154" s="22">
        <v>92</v>
      </c>
      <c r="K154" s="22">
        <v>91</v>
      </c>
      <c r="L154" s="22" t="str">
        <f>IF(E154="","",$L$9&amp;"-"&amp;TEXT(E154,"000"))</f>
        <v>10CX-080</v>
      </c>
      <c r="O154" s="2" t="str">
        <f t="shared" ref="O154" si="34">$L$60&amp;C154</f>
        <v>ag_Semi</v>
      </c>
    </row>
  </sheetData>
  <pageMargins left="0.7" right="0.7" top="0.75" bottom="0.75" header="0.3" footer="0.3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462FC-2E5C-4DF9-813B-73FF4ADD4196}">
  <sheetPr>
    <tabColor rgb="FFB4F2BB"/>
  </sheetPr>
  <dimension ref="A1:Z1006"/>
  <sheetViews>
    <sheetView topLeftCell="A235" workbookViewId="0">
      <selection activeCell="F238" sqref="F238"/>
    </sheetView>
  </sheetViews>
  <sheetFormatPr defaultColWidth="12.5" defaultRowHeight="15" customHeight="1"/>
  <cols>
    <col min="1" max="1" width="19.19921875" style="107" customWidth="1"/>
    <col min="2" max="2" width="21" style="107" customWidth="1"/>
    <col min="3" max="3" width="19.5" style="107" customWidth="1"/>
    <col min="4" max="4" width="20.796875" style="107" customWidth="1"/>
    <col min="5" max="5" width="21.69921875" style="107" bestFit="1" customWidth="1"/>
    <col min="6" max="6" width="21" style="107" customWidth="1"/>
    <col min="7" max="7" width="5.69921875" style="107" customWidth="1"/>
    <col min="8" max="8" width="20.796875" style="107" customWidth="1"/>
    <col min="9" max="9" width="3.5" style="107" customWidth="1"/>
    <col min="10" max="11" width="14.19921875" style="107" customWidth="1"/>
    <col min="12" max="12" width="7.19921875" style="107" customWidth="1"/>
    <col min="13" max="13" width="3.796875" style="107" customWidth="1"/>
    <col min="14" max="14" width="12.5" style="107" customWidth="1"/>
    <col min="15" max="26" width="3.796875" style="107" customWidth="1"/>
    <col min="27" max="16384" width="12.5" style="107"/>
  </cols>
  <sheetData>
    <row r="1" spans="1:26" ht="13.5" customHeight="1" thickTop="1" thickBot="1">
      <c r="A1" s="105" t="s">
        <v>61</v>
      </c>
      <c r="B1" s="2" t="s">
        <v>62</v>
      </c>
      <c r="C1" s="2" t="s">
        <v>63</v>
      </c>
      <c r="D1" s="49" t="s">
        <v>64</v>
      </c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 spans="1:26" ht="13.5" customHeight="1" thickBot="1">
      <c r="A2" s="108">
        <v>45134</v>
      </c>
      <c r="B2" s="2"/>
      <c r="C2" s="2"/>
      <c r="D2" s="51" t="s">
        <v>598</v>
      </c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</row>
    <row r="3" spans="1:26" ht="13.5" customHeight="1">
      <c r="A3" s="109"/>
      <c r="B3" s="109"/>
      <c r="C3" s="109"/>
      <c r="D3" s="109"/>
      <c r="E3" s="109"/>
      <c r="F3" s="106"/>
      <c r="G3" s="110"/>
      <c r="H3" s="106"/>
      <c r="I3" s="106"/>
      <c r="J3" s="106"/>
      <c r="K3" s="106"/>
      <c r="L3" s="106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</row>
    <row r="4" spans="1:26" ht="12" customHeight="1">
      <c r="A4" s="145" t="s">
        <v>85</v>
      </c>
      <c r="B4" s="145" t="s">
        <v>86</v>
      </c>
      <c r="C4" s="145" t="s">
        <v>87</v>
      </c>
      <c r="D4" s="145" t="s">
        <v>88</v>
      </c>
      <c r="E4" s="145" t="s">
        <v>89</v>
      </c>
      <c r="F4" s="145" t="s">
        <v>90</v>
      </c>
      <c r="G4" s="109"/>
      <c r="H4" s="111"/>
      <c r="I4" s="111"/>
      <c r="J4" s="112" t="s">
        <v>599</v>
      </c>
      <c r="K4" s="111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</row>
    <row r="5" spans="1:26" ht="12" customHeight="1">
      <c r="A5" s="113" t="s">
        <v>600</v>
      </c>
      <c r="B5" s="113" t="s">
        <v>601</v>
      </c>
      <c r="C5" s="113" t="s">
        <v>602</v>
      </c>
      <c r="D5" s="113" t="s">
        <v>603</v>
      </c>
      <c r="E5" s="113" t="s">
        <v>604</v>
      </c>
      <c r="F5" s="113" t="s">
        <v>605</v>
      </c>
      <c r="G5" s="109"/>
      <c r="H5" s="111"/>
      <c r="I5" s="109"/>
      <c r="J5" s="109" t="s">
        <v>606</v>
      </c>
      <c r="K5" s="111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</row>
    <row r="6" spans="1:26" ht="12" customHeight="1">
      <c r="A6" s="113" t="s">
        <v>607</v>
      </c>
      <c r="B6" s="113" t="s">
        <v>608</v>
      </c>
      <c r="C6" s="113" t="s">
        <v>609</v>
      </c>
      <c r="D6" s="113" t="s">
        <v>610</v>
      </c>
      <c r="E6" s="113" t="s">
        <v>611</v>
      </c>
      <c r="F6" s="113" t="s">
        <v>612</v>
      </c>
      <c r="G6" s="109"/>
      <c r="H6" s="111"/>
      <c r="I6" s="109"/>
      <c r="J6" s="109"/>
      <c r="K6" s="111"/>
      <c r="L6" s="109"/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</row>
    <row r="7" spans="1:26" ht="12" customHeight="1">
      <c r="A7" s="113" t="s">
        <v>613</v>
      </c>
      <c r="B7" s="113" t="s">
        <v>614</v>
      </c>
      <c r="C7" s="113" t="s">
        <v>615</v>
      </c>
      <c r="D7" s="113" t="s">
        <v>616</v>
      </c>
      <c r="E7" s="113" t="s">
        <v>617</v>
      </c>
      <c r="F7" s="113" t="s">
        <v>618</v>
      </c>
      <c r="G7" s="109"/>
      <c r="H7" s="111"/>
      <c r="I7" s="109"/>
      <c r="J7" s="109"/>
      <c r="K7" s="111"/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</row>
    <row r="8" spans="1:26" ht="12" customHeight="1">
      <c r="A8" s="113"/>
      <c r="B8" s="113" t="s">
        <v>619</v>
      </c>
      <c r="C8" s="113" t="s">
        <v>620</v>
      </c>
      <c r="D8" s="113"/>
      <c r="E8" s="113" t="s">
        <v>621</v>
      </c>
      <c r="F8" s="113" t="s">
        <v>622</v>
      </c>
      <c r="G8" s="109"/>
      <c r="H8" s="111"/>
      <c r="I8" s="109"/>
      <c r="J8" s="109"/>
      <c r="K8" s="111"/>
      <c r="L8" s="109"/>
      <c r="M8" s="109"/>
      <c r="N8" s="109"/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</row>
    <row r="9" spans="1:26" ht="12" customHeight="1">
      <c r="A9" s="109"/>
      <c r="B9" s="109"/>
      <c r="C9" s="109"/>
      <c r="D9" s="109"/>
      <c r="E9" s="109"/>
      <c r="F9" s="109"/>
      <c r="G9" s="109"/>
      <c r="H9" s="111"/>
      <c r="I9" s="109"/>
      <c r="J9" s="109"/>
      <c r="K9" s="111"/>
      <c r="L9" s="109"/>
      <c r="M9" s="109"/>
      <c r="N9" s="109"/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</row>
    <row r="10" spans="1:26" ht="12" customHeight="1">
      <c r="A10" s="145" t="s">
        <v>246</v>
      </c>
      <c r="B10" s="145" t="s">
        <v>247</v>
      </c>
      <c r="C10" s="145" t="s">
        <v>248</v>
      </c>
      <c r="D10" s="145" t="s">
        <v>249</v>
      </c>
      <c r="E10" s="145" t="s">
        <v>250</v>
      </c>
      <c r="F10" s="145" t="s">
        <v>251</v>
      </c>
      <c r="G10" s="109"/>
      <c r="H10" s="111"/>
      <c r="I10" s="109"/>
      <c r="J10" s="109"/>
      <c r="K10" s="111"/>
      <c r="L10" s="109"/>
      <c r="M10" s="109"/>
      <c r="N10" s="109"/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</row>
    <row r="11" spans="1:26" ht="12" customHeight="1">
      <c r="A11" s="113" t="s">
        <v>623</v>
      </c>
      <c r="B11" s="113" t="s">
        <v>624</v>
      </c>
      <c r="C11" s="113" t="s">
        <v>625</v>
      </c>
      <c r="D11" s="113" t="s">
        <v>626</v>
      </c>
      <c r="E11" s="113" t="s">
        <v>627</v>
      </c>
      <c r="F11" s="113" t="s">
        <v>628</v>
      </c>
      <c r="G11" s="109"/>
      <c r="H11" s="111"/>
      <c r="I11" s="109"/>
      <c r="J11" s="109"/>
      <c r="K11" s="111"/>
      <c r="L11" s="109"/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</row>
    <row r="12" spans="1:26" ht="12" customHeight="1">
      <c r="A12" s="113" t="s">
        <v>629</v>
      </c>
      <c r="B12" s="113" t="s">
        <v>630</v>
      </c>
      <c r="C12" s="113" t="s">
        <v>631</v>
      </c>
      <c r="D12" s="113" t="s">
        <v>632</v>
      </c>
      <c r="E12" s="113" t="s">
        <v>633</v>
      </c>
      <c r="F12" s="113" t="s">
        <v>634</v>
      </c>
      <c r="G12" s="109"/>
      <c r="H12" s="111"/>
      <c r="I12" s="109"/>
      <c r="J12" s="109"/>
      <c r="K12" s="111"/>
      <c r="L12" s="109"/>
      <c r="M12" s="109"/>
      <c r="N12" s="109"/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</row>
    <row r="13" spans="1:26" ht="12" customHeight="1">
      <c r="A13" s="113" t="s">
        <v>635</v>
      </c>
      <c r="B13" s="113" t="s">
        <v>636</v>
      </c>
      <c r="C13" s="113" t="s">
        <v>637</v>
      </c>
      <c r="D13" s="113" t="s">
        <v>638</v>
      </c>
      <c r="E13" s="113" t="s">
        <v>639</v>
      </c>
      <c r="F13" s="113" t="s">
        <v>640</v>
      </c>
      <c r="G13" s="109"/>
      <c r="H13" s="111"/>
      <c r="I13" s="114"/>
      <c r="J13" s="109"/>
      <c r="K13" s="111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</row>
    <row r="14" spans="1:26" ht="12" customHeight="1">
      <c r="A14" s="113"/>
      <c r="B14" s="113" t="s">
        <v>641</v>
      </c>
      <c r="C14" s="113" t="s">
        <v>642</v>
      </c>
      <c r="D14" s="113" t="s">
        <v>643</v>
      </c>
      <c r="E14" s="113" t="s">
        <v>644</v>
      </c>
      <c r="F14" s="113" t="s">
        <v>645</v>
      </c>
      <c r="G14" s="109"/>
      <c r="H14" s="111"/>
      <c r="I14" s="114"/>
      <c r="J14" s="115" t="s">
        <v>227</v>
      </c>
      <c r="K14" s="111"/>
      <c r="L14" s="109"/>
      <c r="M14" s="109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</row>
    <row r="15" spans="1:26" ht="12" customHeight="1" thickBot="1">
      <c r="A15" s="109"/>
      <c r="B15" s="109"/>
      <c r="C15" s="109"/>
      <c r="D15" s="109"/>
      <c r="E15" s="109"/>
      <c r="F15" s="109"/>
      <c r="G15" s="109"/>
      <c r="H15" s="109"/>
      <c r="I15" s="109"/>
      <c r="J15" s="109"/>
      <c r="K15" s="109"/>
      <c r="L15" s="109"/>
      <c r="M15" s="109"/>
      <c r="N15" s="109"/>
      <c r="O15" s="109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</row>
    <row r="16" spans="1:26" ht="12" customHeight="1" thickTop="1" thickBot="1">
      <c r="A16" s="105" t="s">
        <v>646</v>
      </c>
      <c r="B16" s="116"/>
      <c r="C16" s="116" t="s">
        <v>647</v>
      </c>
      <c r="D16" s="116"/>
      <c r="E16" s="116"/>
      <c r="F16" s="116"/>
      <c r="G16" s="116"/>
      <c r="H16" s="116"/>
      <c r="I16" s="116"/>
      <c r="J16" s="116"/>
      <c r="K16" s="116"/>
      <c r="L16" s="116"/>
      <c r="M16" s="109"/>
      <c r="N16" s="109"/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</row>
    <row r="17" spans="1:26" ht="12" customHeight="1" thickBot="1">
      <c r="A17" s="108">
        <v>46221</v>
      </c>
      <c r="B17" s="111"/>
      <c r="C17" s="111"/>
      <c r="D17" s="111"/>
      <c r="E17" s="111"/>
      <c r="F17" s="109"/>
      <c r="G17" s="109"/>
      <c r="H17" s="109"/>
      <c r="I17" s="109"/>
      <c r="J17" s="109"/>
      <c r="K17" s="109"/>
      <c r="L17" s="109" t="s">
        <v>648</v>
      </c>
      <c r="M17" s="109"/>
      <c r="N17" s="109"/>
      <c r="O17" s="109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</row>
    <row r="18" spans="1:26" ht="12" customHeight="1" thickBot="1">
      <c r="A18" s="117"/>
      <c r="B18" s="118"/>
      <c r="C18" s="111"/>
      <c r="D18" s="119" t="str">
        <f>'CHICLETS MASTER S1'!$K$3</f>
        <v>GOLDEN WEST COLLEGE 2</v>
      </c>
      <c r="E18" s="106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</row>
    <row r="19" spans="1:26" ht="12" customHeight="1">
      <c r="A19" s="145" t="s">
        <v>110</v>
      </c>
      <c r="B19" s="146" t="s">
        <v>111</v>
      </c>
      <c r="C19" s="145" t="s">
        <v>112</v>
      </c>
      <c r="D19" s="145" t="s">
        <v>113</v>
      </c>
      <c r="E19" s="145" t="s">
        <v>114</v>
      </c>
      <c r="F19" s="145" t="s">
        <v>115</v>
      </c>
      <c r="G19" s="145" t="s">
        <v>116</v>
      </c>
      <c r="H19" s="145" t="s">
        <v>117</v>
      </c>
      <c r="I19" s="145" t="s">
        <v>116</v>
      </c>
      <c r="J19" s="145" t="s">
        <v>118</v>
      </c>
      <c r="K19" s="145" t="s">
        <v>119</v>
      </c>
      <c r="L19" s="145" t="s">
        <v>120</v>
      </c>
      <c r="M19" s="109"/>
      <c r="N19" s="109"/>
      <c r="O19" s="109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</row>
    <row r="20" spans="1:26" ht="12" customHeight="1">
      <c r="A20" s="120">
        <f t="shared" ref="A20:A30" si="0">$A$17</f>
        <v>46221</v>
      </c>
      <c r="B20" s="121">
        <f>'CHICLETS MASTER S1'!J4</f>
        <v>0.29166666666666669</v>
      </c>
      <c r="C20" s="122" t="s">
        <v>163</v>
      </c>
      <c r="D20" s="123" t="str">
        <f t="shared" ref="D20:D30" si="1">$D$18</f>
        <v>GOLDEN WEST COLLEGE 2</v>
      </c>
      <c r="E20" s="123">
        <v>1</v>
      </c>
      <c r="F20" s="121" t="str">
        <f t="shared" ref="F20:F21" si="2">C5</f>
        <v>3-LA CITY UNITED</v>
      </c>
      <c r="G20" s="121"/>
      <c r="H20" s="121" t="str">
        <f>C8</f>
        <v>44-SMAC</v>
      </c>
      <c r="I20" s="121"/>
      <c r="J20" s="123">
        <v>25</v>
      </c>
      <c r="K20" s="123">
        <v>29</v>
      </c>
      <c r="L20" s="123" t="str">
        <f t="shared" ref="L20:L34" si="3">IF(E20="","",$L$17&amp;"-"&amp;TEXT(E20,"000"))</f>
        <v>12C-001</v>
      </c>
      <c r="M20" s="109"/>
      <c r="N20" s="109"/>
      <c r="O20" s="109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</row>
    <row r="21" spans="1:26" ht="12" customHeight="1">
      <c r="A21" s="120">
        <f t="shared" si="0"/>
        <v>46221</v>
      </c>
      <c r="B21" s="121">
        <f>'CHICLETS MASTER S1'!J5</f>
        <v>0.3263888888888889</v>
      </c>
      <c r="C21" s="122" t="s">
        <v>163</v>
      </c>
      <c r="D21" s="123" t="str">
        <f t="shared" si="1"/>
        <v>GOLDEN WEST COLLEGE 2</v>
      </c>
      <c r="E21" s="123">
        <v>5</v>
      </c>
      <c r="F21" s="121" t="str">
        <f t="shared" si="2"/>
        <v>22-PRAETORIAN</v>
      </c>
      <c r="G21" s="121"/>
      <c r="H21" s="121" t="str">
        <f>C7</f>
        <v>27-INNIS ARDEN</v>
      </c>
      <c r="I21" s="121"/>
      <c r="J21" s="123">
        <v>25</v>
      </c>
      <c r="K21" s="123">
        <v>29</v>
      </c>
      <c r="L21" s="123" t="str">
        <f t="shared" si="3"/>
        <v>12C-005</v>
      </c>
      <c r="M21" s="109"/>
      <c r="N21" s="109"/>
      <c r="O21" s="109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</row>
    <row r="22" spans="1:26" ht="12" customHeight="1">
      <c r="A22" s="120">
        <f t="shared" si="0"/>
        <v>46221</v>
      </c>
      <c r="B22" s="121">
        <f>'CHICLETS MASTER S1'!J6</f>
        <v>0.36111111111111099</v>
      </c>
      <c r="C22" s="122" t="s">
        <v>163</v>
      </c>
      <c r="D22" s="123" t="str">
        <f t="shared" si="1"/>
        <v>GOLDEN WEST COLLEGE 2</v>
      </c>
      <c r="E22" s="123">
        <v>9</v>
      </c>
      <c r="F22" s="121" t="str">
        <f>A5</f>
        <v>A1(1)-YOLO A</v>
      </c>
      <c r="G22" s="121"/>
      <c r="H22" s="121" t="str">
        <f>A7</f>
        <v>A3(25)-NGEN</v>
      </c>
      <c r="I22" s="121"/>
      <c r="J22" s="123" t="s">
        <v>649</v>
      </c>
      <c r="K22" s="123"/>
      <c r="L22" s="123" t="str">
        <f t="shared" si="3"/>
        <v>12C-009</v>
      </c>
      <c r="M22" s="109"/>
      <c r="N22" s="109"/>
      <c r="O22" s="109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</row>
    <row r="23" spans="1:26" ht="12" customHeight="1">
      <c r="A23" s="120">
        <f t="shared" si="0"/>
        <v>46221</v>
      </c>
      <c r="B23" s="121">
        <f>'CHICLETS MASTER S1'!J7</f>
        <v>0.39583333333333398</v>
      </c>
      <c r="C23" s="122" t="s">
        <v>163</v>
      </c>
      <c r="D23" s="123" t="str">
        <f t="shared" si="1"/>
        <v>GOLDEN WEST COLLEGE 2</v>
      </c>
      <c r="E23" s="123">
        <v>17</v>
      </c>
      <c r="F23" s="121" t="str">
        <f t="shared" ref="F23:F24" si="4">B5</f>
        <v>2-SACRAMENTO</v>
      </c>
      <c r="G23" s="121"/>
      <c r="H23" s="121" t="str">
        <f>B8</f>
        <v>45-NWC</v>
      </c>
      <c r="I23" s="121"/>
      <c r="J23" s="123">
        <v>41</v>
      </c>
      <c r="K23" s="123">
        <v>45</v>
      </c>
      <c r="L23" s="123" t="str">
        <f t="shared" si="3"/>
        <v>12C-017</v>
      </c>
      <c r="M23" s="109"/>
      <c r="N23" s="109"/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</row>
    <row r="24" spans="1:26" ht="12" customHeight="1">
      <c r="A24" s="120">
        <f t="shared" si="0"/>
        <v>46221</v>
      </c>
      <c r="B24" s="121">
        <f>'CHICLETS MASTER S1'!J8</f>
        <v>0.43055555555555602</v>
      </c>
      <c r="C24" s="122" t="s">
        <v>163</v>
      </c>
      <c r="D24" s="123" t="str">
        <f t="shared" si="1"/>
        <v>GOLDEN WEST COLLEGE 2</v>
      </c>
      <c r="E24" s="123">
        <v>21</v>
      </c>
      <c r="F24" s="121" t="str">
        <f t="shared" si="4"/>
        <v>23-VIKING</v>
      </c>
      <c r="G24" s="121"/>
      <c r="H24" s="121" t="str">
        <f>B7</f>
        <v>26-PALOS VERDES</v>
      </c>
      <c r="I24" s="121"/>
      <c r="J24" s="123">
        <v>41</v>
      </c>
      <c r="K24" s="123">
        <v>45</v>
      </c>
      <c r="L24" s="123" t="str">
        <f t="shared" si="3"/>
        <v>12C-021</v>
      </c>
      <c r="M24" s="109"/>
      <c r="N24" s="109"/>
      <c r="O24" s="109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</row>
    <row r="25" spans="1:26" ht="12" customHeight="1">
      <c r="A25" s="120">
        <f t="shared" si="0"/>
        <v>46221</v>
      </c>
      <c r="B25" s="121">
        <f>'CHICLETS MASTER S1'!J9</f>
        <v>0.46527777777777801</v>
      </c>
      <c r="C25" s="122" t="s">
        <v>163</v>
      </c>
      <c r="D25" s="123" t="str">
        <f t="shared" si="1"/>
        <v>GOLDEN WEST COLLEGE 2</v>
      </c>
      <c r="E25" s="123">
        <v>25</v>
      </c>
      <c r="F25" s="121" t="s">
        <v>650</v>
      </c>
      <c r="G25" s="121"/>
      <c r="H25" s="121" t="s">
        <v>651</v>
      </c>
      <c r="I25" s="121"/>
      <c r="J25" s="123" t="s">
        <v>174</v>
      </c>
      <c r="K25" s="123">
        <v>50</v>
      </c>
      <c r="L25" s="123" t="str">
        <f t="shared" si="3"/>
        <v>12C-025</v>
      </c>
      <c r="M25" s="109"/>
      <c r="N25" s="109"/>
      <c r="O25" s="109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</row>
    <row r="26" spans="1:26" ht="12" customHeight="1">
      <c r="A26" s="120">
        <f t="shared" si="0"/>
        <v>46221</v>
      </c>
      <c r="B26" s="121">
        <f>'CHICLETS MASTER S1'!J10</f>
        <v>0.5</v>
      </c>
      <c r="C26" s="122" t="s">
        <v>163</v>
      </c>
      <c r="D26" s="123" t="str">
        <f t="shared" si="1"/>
        <v>GOLDEN WEST COLLEGE 2</v>
      </c>
      <c r="E26" s="123">
        <v>33</v>
      </c>
      <c r="F26" s="121" t="str">
        <f>A6</f>
        <v>A2(24)-BIG VALLEY</v>
      </c>
      <c r="G26" s="121"/>
      <c r="H26" s="121" t="str">
        <f>A7</f>
        <v>A3(25)-NGEN</v>
      </c>
      <c r="I26" s="121"/>
      <c r="J26" s="123" t="s">
        <v>649</v>
      </c>
      <c r="K26" s="123"/>
      <c r="L26" s="123" t="str">
        <f t="shared" si="3"/>
        <v>12C-033</v>
      </c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</row>
    <row r="27" spans="1:26" ht="12" customHeight="1">
      <c r="A27" s="120">
        <f t="shared" si="0"/>
        <v>46221</v>
      </c>
      <c r="B27" s="121">
        <f>'CHICLETS MASTER S1'!J11</f>
        <v>0.53472222222222199</v>
      </c>
      <c r="C27" s="122" t="s">
        <v>163</v>
      </c>
      <c r="D27" s="123" t="str">
        <f t="shared" si="1"/>
        <v>GOLDEN WEST COLLEGE 2</v>
      </c>
      <c r="E27" s="123">
        <v>29</v>
      </c>
      <c r="F27" s="121" t="s">
        <v>652</v>
      </c>
      <c r="G27" s="121"/>
      <c r="H27" s="121" t="s">
        <v>653</v>
      </c>
      <c r="I27" s="121"/>
      <c r="J27" s="123">
        <v>49</v>
      </c>
      <c r="K27" s="123" t="s">
        <v>654</v>
      </c>
      <c r="L27" s="123" t="str">
        <f t="shared" si="3"/>
        <v>12C-029</v>
      </c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</row>
    <row r="28" spans="1:26" ht="12" customHeight="1">
      <c r="A28" s="120">
        <f t="shared" si="0"/>
        <v>46221</v>
      </c>
      <c r="B28" s="121">
        <f>'CHICLETS MASTER S1'!J12</f>
        <v>0.56944444444444497</v>
      </c>
      <c r="C28" s="122" t="s">
        <v>163</v>
      </c>
      <c r="D28" s="123" t="str">
        <f t="shared" si="1"/>
        <v>GOLDEN WEST COLLEGE 2</v>
      </c>
      <c r="E28" s="123">
        <v>41</v>
      </c>
      <c r="F28" s="121" t="s">
        <v>655</v>
      </c>
      <c r="G28" s="121"/>
      <c r="H28" s="121" t="s">
        <v>656</v>
      </c>
      <c r="I28" s="121"/>
      <c r="J28" s="123" t="s">
        <v>657</v>
      </c>
      <c r="K28" s="123">
        <v>53</v>
      </c>
      <c r="L28" s="123" t="str">
        <f t="shared" si="3"/>
        <v>12C-041</v>
      </c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</row>
    <row r="29" spans="1:26" ht="12" customHeight="1">
      <c r="A29" s="120">
        <f t="shared" si="0"/>
        <v>46221</v>
      </c>
      <c r="B29" s="121">
        <f>'CHICLETS MASTER S1'!J13</f>
        <v>0.60416666666666696</v>
      </c>
      <c r="C29" s="122" t="s">
        <v>163</v>
      </c>
      <c r="D29" s="123" t="str">
        <f t="shared" si="1"/>
        <v>GOLDEN WEST COLLEGE 2</v>
      </c>
      <c r="E29" s="123">
        <v>45</v>
      </c>
      <c r="F29" s="121" t="s">
        <v>658</v>
      </c>
      <c r="G29" s="121"/>
      <c r="H29" s="121" t="s">
        <v>659</v>
      </c>
      <c r="I29" s="121"/>
      <c r="J29" s="123">
        <v>57</v>
      </c>
      <c r="K29" s="123" t="s">
        <v>660</v>
      </c>
      <c r="L29" s="123" t="str">
        <f t="shared" si="3"/>
        <v>12C-045</v>
      </c>
      <c r="M29" s="109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</row>
    <row r="30" spans="1:26" ht="12" customHeight="1">
      <c r="A30" s="120">
        <f t="shared" si="0"/>
        <v>46221</v>
      </c>
      <c r="B30" s="121">
        <f>'CHICLETS MASTER S1'!J14</f>
        <v>0.63888888888888895</v>
      </c>
      <c r="C30" s="122" t="s">
        <v>163</v>
      </c>
      <c r="D30" s="123" t="str">
        <f t="shared" si="1"/>
        <v>GOLDEN WEST COLLEGE 2</v>
      </c>
      <c r="E30" s="123">
        <v>37</v>
      </c>
      <c r="F30" s="121" t="str">
        <f>A5</f>
        <v>A1(1)-YOLO A</v>
      </c>
      <c r="G30" s="121"/>
      <c r="H30" s="121" t="str">
        <f>A6</f>
        <v>A2(24)-BIG VALLEY</v>
      </c>
      <c r="I30" s="121"/>
      <c r="J30" s="123" t="s">
        <v>649</v>
      </c>
      <c r="K30" s="123"/>
      <c r="L30" s="123" t="str">
        <f t="shared" si="3"/>
        <v>12C-037</v>
      </c>
      <c r="M30" s="109"/>
      <c r="N30" s="109"/>
      <c r="O30" s="109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</row>
    <row r="31" spans="1:26" ht="12" customHeight="1">
      <c r="A31" s="106"/>
      <c r="B31" s="106"/>
      <c r="C31" s="106"/>
      <c r="D31" s="106"/>
      <c r="E31" s="106"/>
      <c r="F31" s="106"/>
      <c r="G31" s="106"/>
      <c r="H31" s="106"/>
      <c r="I31" s="106"/>
      <c r="J31" s="106"/>
      <c r="K31" s="106"/>
      <c r="L31" s="123" t="str">
        <f t="shared" si="3"/>
        <v/>
      </c>
      <c r="M31" s="109"/>
      <c r="N31" s="109"/>
      <c r="O31" s="109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</row>
    <row r="32" spans="1:26" ht="12" customHeight="1">
      <c r="A32" s="120">
        <f t="shared" ref="A32:A34" si="5">$A$17</f>
        <v>46221</v>
      </c>
      <c r="B32" s="121">
        <f>'CHICLETS MASTER S1'!J16</f>
        <v>0.70833333333333404</v>
      </c>
      <c r="C32" s="122" t="s">
        <v>275</v>
      </c>
      <c r="D32" s="123" t="str">
        <f t="shared" ref="D32:D34" si="6">$D$18</f>
        <v>GOLDEN WEST COLLEGE 2</v>
      </c>
      <c r="E32" s="123">
        <v>49</v>
      </c>
      <c r="F32" s="124" t="s">
        <v>143</v>
      </c>
      <c r="G32" s="121"/>
      <c r="H32" s="121" t="s">
        <v>661</v>
      </c>
      <c r="I32" s="121"/>
      <c r="J32" s="123" t="s">
        <v>142</v>
      </c>
      <c r="K32" s="123" t="s">
        <v>289</v>
      </c>
      <c r="L32" s="123" t="str">
        <f t="shared" si="3"/>
        <v>12C-049</v>
      </c>
      <c r="M32" s="109"/>
      <c r="N32" s="109"/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</row>
    <row r="33" spans="1:26" ht="12" customHeight="1">
      <c r="A33" s="120">
        <f t="shared" si="5"/>
        <v>46221</v>
      </c>
      <c r="B33" s="121">
        <f>'CHICLETS MASTER S1'!J17</f>
        <v>0.74305555555555602</v>
      </c>
      <c r="C33" s="122" t="s">
        <v>275</v>
      </c>
      <c r="D33" s="123" t="str">
        <f t="shared" si="6"/>
        <v>GOLDEN WEST COLLEGE 2</v>
      </c>
      <c r="E33" s="123">
        <v>53</v>
      </c>
      <c r="F33" s="121" t="s">
        <v>662</v>
      </c>
      <c r="G33" s="121"/>
      <c r="H33" s="121" t="s">
        <v>128</v>
      </c>
      <c r="I33" s="121"/>
      <c r="J33" s="123" t="s">
        <v>282</v>
      </c>
      <c r="K33" s="123" t="s">
        <v>283</v>
      </c>
      <c r="L33" s="123" t="str">
        <f t="shared" si="3"/>
        <v>12C-053</v>
      </c>
      <c r="M33" s="109"/>
      <c r="N33" s="109"/>
      <c r="O33" s="109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</row>
    <row r="34" spans="1:26" ht="12" customHeight="1">
      <c r="A34" s="120">
        <f t="shared" si="5"/>
        <v>46221</v>
      </c>
      <c r="B34" s="121">
        <f>'CHICLETS MASTER S1'!J18</f>
        <v>0.77777777777777801</v>
      </c>
      <c r="C34" s="122" t="s">
        <v>275</v>
      </c>
      <c r="D34" s="123" t="str">
        <f t="shared" si="6"/>
        <v>GOLDEN WEST COLLEGE 2</v>
      </c>
      <c r="E34" s="123">
        <v>57</v>
      </c>
      <c r="F34" s="121" t="s">
        <v>123</v>
      </c>
      <c r="G34" s="121"/>
      <c r="H34" s="121" t="s">
        <v>663</v>
      </c>
      <c r="I34" s="121"/>
      <c r="J34" s="123" t="s">
        <v>278</v>
      </c>
      <c r="K34" s="123" t="s">
        <v>279</v>
      </c>
      <c r="L34" s="123" t="str">
        <f t="shared" si="3"/>
        <v>12C-057</v>
      </c>
      <c r="M34" s="109"/>
      <c r="N34" s="109"/>
      <c r="O34" s="109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</row>
    <row r="35" spans="1:26" ht="12" customHeight="1" thickBot="1">
      <c r="A35" s="106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9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</row>
    <row r="36" spans="1:26" ht="12" customHeight="1" thickBot="1">
      <c r="A36" s="117"/>
      <c r="B36" s="118"/>
      <c r="C36" s="111"/>
      <c r="D36" s="119" t="str">
        <f>'CHICLETS MASTER S1'!$L$3</f>
        <v>LA HABRA HS</v>
      </c>
      <c r="E36" s="106"/>
      <c r="F36" s="111"/>
      <c r="G36" s="111"/>
      <c r="H36" s="111"/>
      <c r="I36" s="111"/>
      <c r="J36" s="111"/>
      <c r="K36" s="111"/>
      <c r="L36" s="111"/>
      <c r="M36" s="109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09"/>
    </row>
    <row r="37" spans="1:26" ht="12" customHeight="1">
      <c r="A37" s="145" t="s">
        <v>110</v>
      </c>
      <c r="B37" s="146" t="s">
        <v>111</v>
      </c>
      <c r="C37" s="145" t="s">
        <v>112</v>
      </c>
      <c r="D37" s="145" t="s">
        <v>113</v>
      </c>
      <c r="E37" s="145" t="s">
        <v>114</v>
      </c>
      <c r="F37" s="145" t="s">
        <v>115</v>
      </c>
      <c r="G37" s="145" t="s">
        <v>116</v>
      </c>
      <c r="H37" s="145" t="s">
        <v>117</v>
      </c>
      <c r="I37" s="145" t="s">
        <v>116</v>
      </c>
      <c r="J37" s="145" t="s">
        <v>118</v>
      </c>
      <c r="K37" s="145" t="s">
        <v>119</v>
      </c>
      <c r="L37" s="145" t="s">
        <v>120</v>
      </c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</row>
    <row r="38" spans="1:26" ht="12" customHeight="1">
      <c r="A38" s="120">
        <f t="shared" ref="A38:A49" si="7">$A$17</f>
        <v>46221</v>
      </c>
      <c r="B38" s="121">
        <f>'CHICLETS MASTER S1'!J4</f>
        <v>0.29166666666666669</v>
      </c>
      <c r="C38" s="122" t="s">
        <v>163</v>
      </c>
      <c r="D38" s="123" t="str">
        <f t="shared" ref="D38:D49" si="8">$D$36</f>
        <v>LA HABRA HS</v>
      </c>
      <c r="E38" s="123">
        <v>4</v>
      </c>
      <c r="F38" s="121" t="str">
        <f t="shared" ref="F38:F39" si="9">D11</f>
        <v>10-CHULA VISTA PREMIER</v>
      </c>
      <c r="G38" s="121"/>
      <c r="H38" s="121" t="str">
        <f>D14</f>
        <v>39-HIELAND</v>
      </c>
      <c r="I38" s="121"/>
      <c r="J38" s="123">
        <v>28</v>
      </c>
      <c r="K38" s="123">
        <v>32</v>
      </c>
      <c r="L38" s="123" t="str">
        <f t="shared" ref="L38:L53" si="10">IF(E38="","",$L$17&amp;"-"&amp;TEXT(E38,"000"))</f>
        <v>12C-004</v>
      </c>
      <c r="M38" s="109"/>
      <c r="N38" s="109"/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09"/>
      <c r="Z38" s="109"/>
    </row>
    <row r="39" spans="1:26" ht="12" customHeight="1">
      <c r="A39" s="120">
        <f t="shared" si="7"/>
        <v>46221</v>
      </c>
      <c r="B39" s="121">
        <f>'CHICLETS MASTER S1'!J5</f>
        <v>0.3263888888888889</v>
      </c>
      <c r="C39" s="122" t="s">
        <v>163</v>
      </c>
      <c r="D39" s="123" t="str">
        <f t="shared" si="8"/>
        <v>LA HABRA HS</v>
      </c>
      <c r="E39" s="123">
        <v>8</v>
      </c>
      <c r="F39" s="121" t="str">
        <f t="shared" si="9"/>
        <v>15-A TOWN</v>
      </c>
      <c r="G39" s="121"/>
      <c r="H39" s="121" t="str">
        <f>D13</f>
        <v>34-WCAC UNITED</v>
      </c>
      <c r="I39" s="121"/>
      <c r="J39" s="123">
        <v>28</v>
      </c>
      <c r="K39" s="123">
        <v>32</v>
      </c>
      <c r="L39" s="123" t="str">
        <f t="shared" si="10"/>
        <v>12C-008</v>
      </c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</row>
    <row r="40" spans="1:26" ht="12" customHeight="1">
      <c r="A40" s="120">
        <f t="shared" si="7"/>
        <v>46221</v>
      </c>
      <c r="B40" s="121">
        <f>'CHICLETS MASTER S1'!J6</f>
        <v>0.36111111111111099</v>
      </c>
      <c r="C40" s="122" t="s">
        <v>163</v>
      </c>
      <c r="D40" s="123" t="str">
        <f t="shared" si="8"/>
        <v>LA HABRA HS</v>
      </c>
      <c r="E40" s="123">
        <v>12</v>
      </c>
      <c r="F40" s="121" t="str">
        <f t="shared" ref="F40:F41" si="11">E11</f>
        <v>11-TRILOGY</v>
      </c>
      <c r="G40" s="121"/>
      <c r="H40" s="121" t="str">
        <f>E14</f>
        <v>38-MESA</v>
      </c>
      <c r="I40" s="121"/>
      <c r="J40" s="123">
        <v>36</v>
      </c>
      <c r="K40" s="123">
        <v>40</v>
      </c>
      <c r="L40" s="123" t="str">
        <f t="shared" si="10"/>
        <v>12C-012</v>
      </c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</row>
    <row r="41" spans="1:26" ht="12" customHeight="1">
      <c r="A41" s="120">
        <f t="shared" si="7"/>
        <v>46221</v>
      </c>
      <c r="B41" s="121">
        <f>'CHICLETS MASTER S1'!J7</f>
        <v>0.39583333333333398</v>
      </c>
      <c r="C41" s="122" t="s">
        <v>163</v>
      </c>
      <c r="D41" s="123" t="str">
        <f t="shared" si="8"/>
        <v>LA HABRA HS</v>
      </c>
      <c r="E41" s="123">
        <v>16</v>
      </c>
      <c r="F41" s="121" t="str">
        <f t="shared" si="11"/>
        <v>14-CENTRAL VALLEY UNITED</v>
      </c>
      <c r="G41" s="121"/>
      <c r="H41" s="121" t="str">
        <f>E13</f>
        <v>35-CARMEL</v>
      </c>
      <c r="I41" s="121"/>
      <c r="J41" s="123">
        <v>36</v>
      </c>
      <c r="K41" s="123">
        <v>40</v>
      </c>
      <c r="L41" s="123" t="str">
        <f t="shared" si="10"/>
        <v>12C-016</v>
      </c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</row>
    <row r="42" spans="1:26" ht="12" customHeight="1">
      <c r="A42" s="120">
        <f t="shared" si="7"/>
        <v>46221</v>
      </c>
      <c r="B42" s="121">
        <f>'CHICLETS MASTER S1'!J8</f>
        <v>0.43055555555555602</v>
      </c>
      <c r="C42" s="122" t="s">
        <v>163</v>
      </c>
      <c r="D42" s="123" t="str">
        <f t="shared" si="8"/>
        <v>LA HABRA HS</v>
      </c>
      <c r="E42" s="123">
        <v>20</v>
      </c>
      <c r="F42" s="121" t="str">
        <f t="shared" ref="F42:F43" si="12">F11</f>
        <v>12-SHARKS</v>
      </c>
      <c r="G42" s="121"/>
      <c r="H42" s="121" t="str">
        <f>F14</f>
        <v>37-BAINBRIDGE</v>
      </c>
      <c r="I42" s="121"/>
      <c r="J42" s="123">
        <v>44</v>
      </c>
      <c r="K42" s="123">
        <v>48</v>
      </c>
      <c r="L42" s="123" t="str">
        <f t="shared" si="10"/>
        <v>12C-020</v>
      </c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</row>
    <row r="43" spans="1:26" ht="12" customHeight="1">
      <c r="A43" s="120">
        <f t="shared" si="7"/>
        <v>46221</v>
      </c>
      <c r="B43" s="121">
        <f>'CHICLETS MASTER S1'!J9</f>
        <v>0.46527777777777801</v>
      </c>
      <c r="C43" s="122" t="s">
        <v>163</v>
      </c>
      <c r="D43" s="123" t="str">
        <f t="shared" si="8"/>
        <v>LA HABRA HS</v>
      </c>
      <c r="E43" s="123">
        <v>24</v>
      </c>
      <c r="F43" s="121" t="str">
        <f t="shared" si="12"/>
        <v>13-LONGHORN</v>
      </c>
      <c r="G43" s="121"/>
      <c r="H43" s="121" t="str">
        <f>F13</f>
        <v>36-SET</v>
      </c>
      <c r="I43" s="121"/>
      <c r="J43" s="123">
        <v>44</v>
      </c>
      <c r="K43" s="123">
        <v>48</v>
      </c>
      <c r="L43" s="123" t="str">
        <f t="shared" si="10"/>
        <v>12C-024</v>
      </c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109"/>
      <c r="Y43" s="109"/>
      <c r="Z43" s="109"/>
    </row>
    <row r="44" spans="1:26" ht="12" customHeight="1">
      <c r="A44" s="120">
        <f t="shared" si="7"/>
        <v>46221</v>
      </c>
      <c r="B44" s="121">
        <f>'CHICLETS MASTER S1'!J10</f>
        <v>0.5</v>
      </c>
      <c r="C44" s="122" t="s">
        <v>163</v>
      </c>
      <c r="D44" s="123" t="str">
        <f t="shared" si="8"/>
        <v>LA HABRA HS</v>
      </c>
      <c r="E44" s="123">
        <v>28</v>
      </c>
      <c r="F44" s="121" t="s">
        <v>664</v>
      </c>
      <c r="G44" s="121"/>
      <c r="H44" s="121" t="s">
        <v>665</v>
      </c>
      <c r="I44" s="121"/>
      <c r="J44" s="123" t="s">
        <v>133</v>
      </c>
      <c r="K44" s="123">
        <v>51</v>
      </c>
      <c r="L44" s="123" t="str">
        <f t="shared" si="10"/>
        <v>12C-028</v>
      </c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</row>
    <row r="45" spans="1:26" ht="12" customHeight="1">
      <c r="A45" s="120">
        <f t="shared" si="7"/>
        <v>46221</v>
      </c>
      <c r="B45" s="121">
        <f>'CHICLETS MASTER S1'!J11</f>
        <v>0.53472222222222199</v>
      </c>
      <c r="C45" s="122" t="s">
        <v>163</v>
      </c>
      <c r="D45" s="123" t="str">
        <f t="shared" si="8"/>
        <v>LA HABRA HS</v>
      </c>
      <c r="E45" s="123">
        <v>32</v>
      </c>
      <c r="F45" s="121" t="s">
        <v>666</v>
      </c>
      <c r="G45" s="121"/>
      <c r="H45" s="121" t="s">
        <v>667</v>
      </c>
      <c r="I45" s="121"/>
      <c r="J45" s="123">
        <v>52</v>
      </c>
      <c r="K45" s="123" t="s">
        <v>668</v>
      </c>
      <c r="L45" s="123" t="str">
        <f t="shared" si="10"/>
        <v>12C-032</v>
      </c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</row>
    <row r="46" spans="1:26" ht="12" customHeight="1">
      <c r="A46" s="120">
        <f t="shared" si="7"/>
        <v>46221</v>
      </c>
      <c r="B46" s="121">
        <f>'CHICLETS MASTER S1'!J12</f>
        <v>0.56944444444444497</v>
      </c>
      <c r="C46" s="122" t="s">
        <v>163</v>
      </c>
      <c r="D46" s="123" t="str">
        <f t="shared" si="8"/>
        <v>LA HABRA HS</v>
      </c>
      <c r="E46" s="123">
        <v>36</v>
      </c>
      <c r="F46" s="121" t="s">
        <v>669</v>
      </c>
      <c r="G46" s="121"/>
      <c r="H46" s="121" t="s">
        <v>670</v>
      </c>
      <c r="I46" s="121"/>
      <c r="J46" s="123" t="s">
        <v>129</v>
      </c>
      <c r="K46" s="123">
        <v>60</v>
      </c>
      <c r="L46" s="123" t="str">
        <f t="shared" si="10"/>
        <v>12C-036</v>
      </c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</row>
    <row r="47" spans="1:26" ht="12" customHeight="1">
      <c r="A47" s="120">
        <f t="shared" si="7"/>
        <v>46221</v>
      </c>
      <c r="B47" s="121">
        <f>'CHICLETS MASTER S1'!J13</f>
        <v>0.60416666666666696</v>
      </c>
      <c r="C47" s="122" t="s">
        <v>163</v>
      </c>
      <c r="D47" s="123" t="str">
        <f t="shared" si="8"/>
        <v>LA HABRA HS</v>
      </c>
      <c r="E47" s="123">
        <v>40</v>
      </c>
      <c r="F47" s="121" t="s">
        <v>671</v>
      </c>
      <c r="G47" s="121"/>
      <c r="H47" s="121" t="s">
        <v>672</v>
      </c>
      <c r="I47" s="121"/>
      <c r="J47" s="125">
        <v>56</v>
      </c>
      <c r="K47" s="123" t="s">
        <v>673</v>
      </c>
      <c r="L47" s="123" t="str">
        <f t="shared" si="10"/>
        <v>12C-040</v>
      </c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</row>
    <row r="48" spans="1:26" ht="12" customHeight="1">
      <c r="A48" s="120">
        <f t="shared" si="7"/>
        <v>46221</v>
      </c>
      <c r="B48" s="121">
        <f>'CHICLETS MASTER S1'!J14</f>
        <v>0.63888888888888895</v>
      </c>
      <c r="C48" s="122" t="s">
        <v>163</v>
      </c>
      <c r="D48" s="123" t="str">
        <f t="shared" si="8"/>
        <v>LA HABRA HS</v>
      </c>
      <c r="E48" s="123">
        <v>44</v>
      </c>
      <c r="F48" s="121" t="s">
        <v>674</v>
      </c>
      <c r="G48" s="121"/>
      <c r="H48" s="121" t="s">
        <v>675</v>
      </c>
      <c r="I48" s="121"/>
      <c r="J48" s="123" t="s">
        <v>125</v>
      </c>
      <c r="K48" s="123">
        <v>56</v>
      </c>
      <c r="L48" s="123" t="str">
        <f t="shared" si="10"/>
        <v>12C-044</v>
      </c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</row>
    <row r="49" spans="1:26" ht="12" customHeight="1">
      <c r="A49" s="120">
        <f t="shared" si="7"/>
        <v>46221</v>
      </c>
      <c r="B49" s="121">
        <f>'CHICLETS MASTER S1'!J15</f>
        <v>0.67361111111111105</v>
      </c>
      <c r="C49" s="122" t="s">
        <v>163</v>
      </c>
      <c r="D49" s="123" t="str">
        <f t="shared" si="8"/>
        <v>LA HABRA HS</v>
      </c>
      <c r="E49" s="123">
        <v>48</v>
      </c>
      <c r="F49" s="121" t="s">
        <v>676</v>
      </c>
      <c r="G49" s="121"/>
      <c r="H49" s="121" t="s">
        <v>677</v>
      </c>
      <c r="I49" s="121"/>
      <c r="J49" s="123">
        <v>60</v>
      </c>
      <c r="K49" s="123" t="s">
        <v>678</v>
      </c>
      <c r="L49" s="123" t="str">
        <f t="shared" si="10"/>
        <v>12C-048</v>
      </c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</row>
    <row r="50" spans="1:26" ht="12" customHeight="1">
      <c r="A50" s="106"/>
      <c r="B50" s="106"/>
      <c r="C50" s="106"/>
      <c r="D50" s="106"/>
      <c r="E50" s="106"/>
      <c r="F50" s="106"/>
      <c r="G50" s="106"/>
      <c r="H50" s="106"/>
      <c r="I50" s="106"/>
      <c r="J50" s="106"/>
      <c r="K50" s="106"/>
      <c r="L50" s="123" t="str">
        <f t="shared" si="10"/>
        <v/>
      </c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</row>
    <row r="51" spans="1:26" ht="12" customHeight="1">
      <c r="A51" s="120">
        <f t="shared" ref="A51:A53" si="13">$A$17</f>
        <v>46221</v>
      </c>
      <c r="B51" s="121">
        <f>'CHICLETS MASTER S1'!J17</f>
        <v>0.74305555555555602</v>
      </c>
      <c r="C51" s="122" t="s">
        <v>275</v>
      </c>
      <c r="D51" s="123" t="str">
        <f t="shared" ref="D51:D53" si="14">$D$36</f>
        <v>LA HABRA HS</v>
      </c>
      <c r="E51" s="123">
        <v>52</v>
      </c>
      <c r="F51" s="124" t="s">
        <v>679</v>
      </c>
      <c r="G51" s="121"/>
      <c r="H51" s="121" t="s">
        <v>680</v>
      </c>
      <c r="I51" s="121"/>
      <c r="J51" s="123" t="s">
        <v>300</v>
      </c>
      <c r="K51" s="123" t="s">
        <v>315</v>
      </c>
      <c r="L51" s="123" t="str">
        <f t="shared" si="10"/>
        <v>12C-052</v>
      </c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</row>
    <row r="52" spans="1:26" ht="12" customHeight="1">
      <c r="A52" s="120">
        <f t="shared" si="13"/>
        <v>46221</v>
      </c>
      <c r="B52" s="121">
        <f>'CHICLETS MASTER S1'!J18</f>
        <v>0.77777777777777801</v>
      </c>
      <c r="C52" s="122" t="s">
        <v>275</v>
      </c>
      <c r="D52" s="123" t="str">
        <f t="shared" si="14"/>
        <v>LA HABRA HS</v>
      </c>
      <c r="E52" s="123">
        <v>56</v>
      </c>
      <c r="F52" s="121" t="s">
        <v>681</v>
      </c>
      <c r="G52" s="121"/>
      <c r="H52" s="121" t="s">
        <v>682</v>
      </c>
      <c r="I52" s="121"/>
      <c r="J52" s="123" t="s">
        <v>126</v>
      </c>
      <c r="K52" s="123" t="s">
        <v>325</v>
      </c>
      <c r="L52" s="123" t="str">
        <f t="shared" si="10"/>
        <v>12C-056</v>
      </c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Z52" s="109"/>
    </row>
    <row r="53" spans="1:26" ht="12" customHeight="1">
      <c r="A53" s="120">
        <f t="shared" si="13"/>
        <v>46221</v>
      </c>
      <c r="B53" s="121">
        <f>'CHICLETS MASTER S1'!J19</f>
        <v>0.8125</v>
      </c>
      <c r="C53" s="122" t="s">
        <v>275</v>
      </c>
      <c r="D53" s="123" t="str">
        <f t="shared" si="14"/>
        <v>LA HABRA HS</v>
      </c>
      <c r="E53" s="123">
        <v>60</v>
      </c>
      <c r="F53" s="121" t="s">
        <v>683</v>
      </c>
      <c r="G53" s="121"/>
      <c r="H53" s="121" t="s">
        <v>684</v>
      </c>
      <c r="I53" s="121"/>
      <c r="J53" s="123" t="s">
        <v>130</v>
      </c>
      <c r="K53" s="123" t="s">
        <v>322</v>
      </c>
      <c r="L53" s="123" t="str">
        <f t="shared" si="10"/>
        <v>12C-060</v>
      </c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109"/>
      <c r="Y53" s="109"/>
      <c r="Z53" s="109"/>
    </row>
    <row r="54" spans="1:26" ht="12" customHeight="1" thickBot="1">
      <c r="A54" s="106"/>
      <c r="B54" s="106"/>
      <c r="C54" s="106"/>
      <c r="D54" s="106"/>
      <c r="E54" s="106"/>
      <c r="F54" s="106"/>
      <c r="G54" s="106"/>
      <c r="H54" s="106"/>
      <c r="I54" s="106"/>
      <c r="J54" s="106"/>
      <c r="K54" s="106"/>
      <c r="L54" s="106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/>
    </row>
    <row r="55" spans="1:26" ht="12" customHeight="1" thickBot="1">
      <c r="A55" s="117"/>
      <c r="B55" s="118"/>
      <c r="C55" s="111"/>
      <c r="D55" s="119" t="str">
        <f>'CHICLETS MASTER S1'!$M$3</f>
        <v>PORTOLA HS 2</v>
      </c>
      <c r="E55" s="106"/>
      <c r="F55" s="111"/>
      <c r="G55" s="111"/>
      <c r="H55" s="111"/>
      <c r="I55" s="111"/>
      <c r="J55" s="111"/>
      <c r="K55" s="111"/>
      <c r="L55" s="111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109"/>
      <c r="Y55" s="109"/>
      <c r="Z55" s="109"/>
    </row>
    <row r="56" spans="1:26" ht="12" customHeight="1">
      <c r="A56" s="145" t="s">
        <v>110</v>
      </c>
      <c r="B56" s="146" t="s">
        <v>111</v>
      </c>
      <c r="C56" s="145" t="s">
        <v>112</v>
      </c>
      <c r="D56" s="145" t="s">
        <v>113</v>
      </c>
      <c r="E56" s="145" t="s">
        <v>114</v>
      </c>
      <c r="F56" s="145" t="s">
        <v>115</v>
      </c>
      <c r="G56" s="145" t="s">
        <v>116</v>
      </c>
      <c r="H56" s="145" t="s">
        <v>117</v>
      </c>
      <c r="I56" s="145" t="s">
        <v>116</v>
      </c>
      <c r="J56" s="145" t="s">
        <v>118</v>
      </c>
      <c r="K56" s="145" t="s">
        <v>119</v>
      </c>
      <c r="L56" s="145" t="s">
        <v>120</v>
      </c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09"/>
      <c r="Y56" s="109"/>
      <c r="Z56" s="109"/>
    </row>
    <row r="57" spans="1:26" ht="12" customHeight="1">
      <c r="A57" s="120">
        <f t="shared" ref="A57:A67" si="15">$A$17</f>
        <v>46221</v>
      </c>
      <c r="B57" s="121">
        <f>'CHICLETS MASTER S1'!J4</f>
        <v>0.29166666666666669</v>
      </c>
      <c r="C57" s="123" t="s">
        <v>649</v>
      </c>
      <c r="D57" s="123" t="str">
        <f t="shared" ref="D57:D67" si="16">$D$55</f>
        <v>PORTOLA HS 2</v>
      </c>
      <c r="E57" s="123">
        <v>3</v>
      </c>
      <c r="F57" s="121" t="str">
        <f>A11</f>
        <v>G1(7)-ALAMEDA</v>
      </c>
      <c r="G57" s="121"/>
      <c r="H57" s="121" t="str">
        <f>A13</f>
        <v>G3(31)-MV POLO</v>
      </c>
      <c r="I57" s="121"/>
      <c r="J57" s="123" t="s">
        <v>649</v>
      </c>
      <c r="K57" s="123"/>
      <c r="L57" s="123" t="str">
        <f t="shared" ref="L57:L71" si="17">IF(E57="","",$L$17&amp;"-"&amp;TEXT(E57,"000"))</f>
        <v>12C-003</v>
      </c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  <c r="Z57" s="109"/>
    </row>
    <row r="58" spans="1:26" ht="12" customHeight="1">
      <c r="A58" s="120">
        <f t="shared" si="15"/>
        <v>46221</v>
      </c>
      <c r="B58" s="121">
        <f>'CHICLETS MASTER S1'!J5</f>
        <v>0.3263888888888889</v>
      </c>
      <c r="C58" s="122" t="s">
        <v>163</v>
      </c>
      <c r="D58" s="123" t="str">
        <f t="shared" si="16"/>
        <v>PORTOLA HS 2</v>
      </c>
      <c r="E58" s="123">
        <v>11</v>
      </c>
      <c r="F58" s="121" t="str">
        <f t="shared" ref="F58:F59" si="18">B11</f>
        <v>8-TITANS</v>
      </c>
      <c r="G58" s="121"/>
      <c r="H58" s="121" t="str">
        <f>B14</f>
        <v>41-PROSPER</v>
      </c>
      <c r="I58" s="121"/>
      <c r="J58" s="123">
        <v>35</v>
      </c>
      <c r="K58" s="123">
        <v>39</v>
      </c>
      <c r="L58" s="123" t="str">
        <f t="shared" si="17"/>
        <v>12C-011</v>
      </c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109"/>
      <c r="Y58" s="109"/>
      <c r="Z58" s="109"/>
    </row>
    <row r="59" spans="1:26" ht="12" customHeight="1">
      <c r="A59" s="120">
        <f t="shared" si="15"/>
        <v>46221</v>
      </c>
      <c r="B59" s="121">
        <f>'CHICLETS MASTER S1'!J6</f>
        <v>0.36111111111111099</v>
      </c>
      <c r="C59" s="122" t="s">
        <v>163</v>
      </c>
      <c r="D59" s="123" t="str">
        <f t="shared" si="16"/>
        <v>PORTOLA HS 2</v>
      </c>
      <c r="E59" s="123">
        <v>15</v>
      </c>
      <c r="F59" s="121" t="str">
        <f t="shared" si="18"/>
        <v>17-PUGET SOUND</v>
      </c>
      <c r="G59" s="121"/>
      <c r="H59" s="121" t="str">
        <f>B13</f>
        <v>32-MARIN</v>
      </c>
      <c r="I59" s="121"/>
      <c r="J59" s="123">
        <v>35</v>
      </c>
      <c r="K59" s="123">
        <v>39</v>
      </c>
      <c r="L59" s="123" t="str">
        <f t="shared" si="17"/>
        <v>12C-015</v>
      </c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  <c r="Y59" s="109"/>
      <c r="Z59" s="109"/>
    </row>
    <row r="60" spans="1:26" ht="12" customHeight="1">
      <c r="A60" s="120">
        <f t="shared" si="15"/>
        <v>46221</v>
      </c>
      <c r="B60" s="121">
        <f>'CHICLETS MASTER S1'!J7</f>
        <v>0.39583333333333398</v>
      </c>
      <c r="C60" s="122" t="s">
        <v>163</v>
      </c>
      <c r="D60" s="123" t="str">
        <f t="shared" si="16"/>
        <v>PORTOLA HS 2</v>
      </c>
      <c r="E60" s="123">
        <v>19</v>
      </c>
      <c r="F60" s="121" t="str">
        <f>C11</f>
        <v>9-LOKAHI</v>
      </c>
      <c r="G60" s="121"/>
      <c r="H60" s="121" t="str">
        <f>C14</f>
        <v>40-NORTHWEST</v>
      </c>
      <c r="I60" s="121"/>
      <c r="J60" s="123">
        <v>43</v>
      </c>
      <c r="K60" s="123">
        <v>47</v>
      </c>
      <c r="L60" s="123" t="str">
        <f t="shared" si="17"/>
        <v>12C-019</v>
      </c>
      <c r="M60" s="109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109"/>
      <c r="Y60" s="109"/>
      <c r="Z60" s="109"/>
    </row>
    <row r="61" spans="1:26" ht="12" customHeight="1">
      <c r="A61" s="120">
        <f t="shared" si="15"/>
        <v>46221</v>
      </c>
      <c r="B61" s="121">
        <f>'CHICLETS MASTER S1'!J8</f>
        <v>0.43055555555555602</v>
      </c>
      <c r="C61" s="123" t="s">
        <v>649</v>
      </c>
      <c r="D61" s="123" t="str">
        <f t="shared" si="16"/>
        <v>PORTOLA HS 2</v>
      </c>
      <c r="E61" s="123">
        <v>27</v>
      </c>
      <c r="F61" s="121" t="str">
        <f>A12</f>
        <v>G2(18)-KEARNS</v>
      </c>
      <c r="G61" s="121"/>
      <c r="H61" s="121" t="str">
        <f>A13</f>
        <v>G3(31)-MV POLO</v>
      </c>
      <c r="I61" s="121"/>
      <c r="J61" s="123" t="s">
        <v>649</v>
      </c>
      <c r="K61" s="123"/>
      <c r="L61" s="123" t="str">
        <f t="shared" si="17"/>
        <v>12C-027</v>
      </c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109"/>
      <c r="Z61" s="109"/>
    </row>
    <row r="62" spans="1:26" ht="12" customHeight="1">
      <c r="A62" s="120">
        <f t="shared" si="15"/>
        <v>46221</v>
      </c>
      <c r="B62" s="121">
        <f>'CHICLETS MASTER S1'!J9</f>
        <v>0.46527777777777801</v>
      </c>
      <c r="C62" s="122" t="s">
        <v>163</v>
      </c>
      <c r="D62" s="123" t="str">
        <f t="shared" si="16"/>
        <v>PORTOLA HS 2</v>
      </c>
      <c r="E62" s="123">
        <v>23</v>
      </c>
      <c r="F62" s="121" t="str">
        <f>C12</f>
        <v>16-PRINCETON</v>
      </c>
      <c r="G62" s="121"/>
      <c r="H62" s="121" t="str">
        <f>C13</f>
        <v>33-YOLO B</v>
      </c>
      <c r="I62" s="121"/>
      <c r="J62" s="123">
        <v>43</v>
      </c>
      <c r="K62" s="123">
        <v>47</v>
      </c>
      <c r="L62" s="123" t="str">
        <f t="shared" si="17"/>
        <v>12C-023</v>
      </c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109"/>
    </row>
    <row r="63" spans="1:26" ht="12" customHeight="1">
      <c r="A63" s="120">
        <f t="shared" si="15"/>
        <v>46221</v>
      </c>
      <c r="B63" s="121">
        <f>'CHICLETS MASTER S1'!J10</f>
        <v>0.5</v>
      </c>
      <c r="C63" s="122" t="s">
        <v>163</v>
      </c>
      <c r="D63" s="123" t="str">
        <f t="shared" si="16"/>
        <v>PORTOLA HS 2</v>
      </c>
      <c r="E63" s="123">
        <v>35</v>
      </c>
      <c r="F63" s="121" t="s">
        <v>685</v>
      </c>
      <c r="G63" s="121"/>
      <c r="H63" s="121" t="s">
        <v>686</v>
      </c>
      <c r="I63" s="121"/>
      <c r="J63" s="123" t="s">
        <v>141</v>
      </c>
      <c r="K63" s="123">
        <v>59</v>
      </c>
      <c r="L63" s="123" t="str">
        <f t="shared" si="17"/>
        <v>12C-035</v>
      </c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109"/>
      <c r="Y63" s="109"/>
      <c r="Z63" s="109"/>
    </row>
    <row r="64" spans="1:26" ht="12" customHeight="1">
      <c r="A64" s="120">
        <f t="shared" si="15"/>
        <v>46221</v>
      </c>
      <c r="B64" s="121">
        <f>'CHICLETS MASTER S1'!J11</f>
        <v>0.53472222222222199</v>
      </c>
      <c r="C64" s="122" t="s">
        <v>163</v>
      </c>
      <c r="D64" s="123" t="str">
        <f t="shared" si="16"/>
        <v>PORTOLA HS 2</v>
      </c>
      <c r="E64" s="123">
        <v>39</v>
      </c>
      <c r="F64" s="121" t="s">
        <v>687</v>
      </c>
      <c r="G64" s="121"/>
      <c r="H64" s="121" t="s">
        <v>688</v>
      </c>
      <c r="I64" s="121"/>
      <c r="J64" s="125">
        <v>55</v>
      </c>
      <c r="K64" s="123" t="s">
        <v>689</v>
      </c>
      <c r="L64" s="123" t="str">
        <f t="shared" si="17"/>
        <v>12C-039</v>
      </c>
      <c r="M64" s="109"/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109"/>
      <c r="Y64" s="109"/>
      <c r="Z64" s="109"/>
    </row>
    <row r="65" spans="1:26" ht="12" customHeight="1">
      <c r="A65" s="120">
        <f t="shared" si="15"/>
        <v>46221</v>
      </c>
      <c r="B65" s="121">
        <f>'CHICLETS MASTER S1'!J12</f>
        <v>0.56944444444444497</v>
      </c>
      <c r="C65" s="123" t="s">
        <v>649</v>
      </c>
      <c r="D65" s="123" t="str">
        <f t="shared" si="16"/>
        <v>PORTOLA HS 2</v>
      </c>
      <c r="E65" s="126">
        <v>31</v>
      </c>
      <c r="F65" s="126" t="str">
        <f>A11</f>
        <v>G1(7)-ALAMEDA</v>
      </c>
      <c r="G65" s="126"/>
      <c r="H65" s="126" t="str">
        <f>A12</f>
        <v>G2(18)-KEARNS</v>
      </c>
      <c r="I65" s="126"/>
      <c r="J65" s="126" t="s">
        <v>649</v>
      </c>
      <c r="K65" s="126"/>
      <c r="L65" s="123" t="str">
        <f t="shared" si="17"/>
        <v>12C-031</v>
      </c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109"/>
      <c r="Y65" s="109"/>
      <c r="Z65" s="109"/>
    </row>
    <row r="66" spans="1:26" ht="12" customHeight="1">
      <c r="A66" s="120">
        <f t="shared" si="15"/>
        <v>46221</v>
      </c>
      <c r="B66" s="121">
        <f>'CHICLETS MASTER S1'!J13</f>
        <v>0.60416666666666696</v>
      </c>
      <c r="C66" s="122" t="s">
        <v>163</v>
      </c>
      <c r="D66" s="123" t="str">
        <f t="shared" si="16"/>
        <v>PORTOLA HS 2</v>
      </c>
      <c r="E66" s="123">
        <v>43</v>
      </c>
      <c r="F66" s="121" t="s">
        <v>690</v>
      </c>
      <c r="G66" s="121"/>
      <c r="H66" s="121" t="s">
        <v>691</v>
      </c>
      <c r="I66" s="121"/>
      <c r="J66" s="123" t="s">
        <v>145</v>
      </c>
      <c r="K66" s="123">
        <v>55</v>
      </c>
      <c r="L66" s="123" t="str">
        <f t="shared" si="17"/>
        <v>12C-043</v>
      </c>
      <c r="M66" s="109"/>
      <c r="N66" s="109"/>
      <c r="O66" s="109"/>
      <c r="P66" s="109"/>
      <c r="Q66" s="109"/>
      <c r="R66" s="109"/>
      <c r="S66" s="109"/>
      <c r="T66" s="109"/>
      <c r="U66" s="109"/>
      <c r="V66" s="109"/>
      <c r="W66" s="109"/>
      <c r="X66" s="109"/>
      <c r="Y66" s="109"/>
      <c r="Z66" s="109"/>
    </row>
    <row r="67" spans="1:26" ht="12" customHeight="1">
      <c r="A67" s="120">
        <f t="shared" si="15"/>
        <v>46221</v>
      </c>
      <c r="B67" s="121">
        <f>'CHICLETS MASTER S1'!J14</f>
        <v>0.63888888888888895</v>
      </c>
      <c r="C67" s="122" t="s">
        <v>163</v>
      </c>
      <c r="D67" s="123" t="str">
        <f t="shared" si="16"/>
        <v>PORTOLA HS 2</v>
      </c>
      <c r="E67" s="123">
        <v>47</v>
      </c>
      <c r="F67" s="121" t="s">
        <v>692</v>
      </c>
      <c r="G67" s="121"/>
      <c r="H67" s="121" t="s">
        <v>693</v>
      </c>
      <c r="I67" s="121"/>
      <c r="J67" s="123">
        <v>59</v>
      </c>
      <c r="K67" s="123" t="s">
        <v>694</v>
      </c>
      <c r="L67" s="123" t="str">
        <f t="shared" si="17"/>
        <v>12C-047</v>
      </c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</row>
    <row r="68" spans="1:26" ht="12" customHeight="1">
      <c r="A68" s="106"/>
      <c r="B68" s="121"/>
      <c r="C68" s="106"/>
      <c r="D68" s="106"/>
      <c r="E68" s="106"/>
      <c r="F68" s="106"/>
      <c r="G68" s="106"/>
      <c r="H68" s="106"/>
      <c r="I68" s="106"/>
      <c r="J68" s="106"/>
      <c r="K68" s="106"/>
      <c r="L68" s="123" t="str">
        <f t="shared" si="17"/>
        <v/>
      </c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9"/>
      <c r="Z68" s="109"/>
    </row>
    <row r="69" spans="1:26" ht="12" customHeight="1">
      <c r="A69" s="120">
        <f t="shared" ref="A69:A71" si="19">$A$17</f>
        <v>46221</v>
      </c>
      <c r="B69" s="121">
        <f>'CHICLETS MASTER S1'!J16</f>
        <v>0.70833333333333404</v>
      </c>
      <c r="C69" s="122" t="s">
        <v>275</v>
      </c>
      <c r="D69" s="123" t="str">
        <f t="shared" ref="D69:D71" si="20">$D$55</f>
        <v>PORTOLA HS 2</v>
      </c>
      <c r="E69" s="123">
        <v>51</v>
      </c>
      <c r="F69" s="124" t="s">
        <v>695</v>
      </c>
      <c r="G69" s="121"/>
      <c r="H69" s="121" t="s">
        <v>696</v>
      </c>
      <c r="I69" s="121"/>
      <c r="J69" s="123" t="s">
        <v>318</v>
      </c>
      <c r="K69" s="123" t="s">
        <v>297</v>
      </c>
      <c r="L69" s="123" t="str">
        <f t="shared" si="17"/>
        <v>12C-051</v>
      </c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</row>
    <row r="70" spans="1:26" ht="12" customHeight="1">
      <c r="A70" s="120">
        <f t="shared" si="19"/>
        <v>46221</v>
      </c>
      <c r="B70" s="121">
        <f>'CHICLETS MASTER S1'!J17</f>
        <v>0.74305555555555602</v>
      </c>
      <c r="C70" s="122" t="s">
        <v>275</v>
      </c>
      <c r="D70" s="123" t="str">
        <f t="shared" si="20"/>
        <v>PORTOLA HS 2</v>
      </c>
      <c r="E70" s="123">
        <v>55</v>
      </c>
      <c r="F70" s="121" t="s">
        <v>697</v>
      </c>
      <c r="G70" s="121"/>
      <c r="H70" s="121" t="s">
        <v>698</v>
      </c>
      <c r="I70" s="121"/>
      <c r="J70" s="123" t="s">
        <v>314</v>
      </c>
      <c r="K70" s="123" t="s">
        <v>301</v>
      </c>
      <c r="L70" s="123" t="str">
        <f t="shared" si="17"/>
        <v>12C-055</v>
      </c>
      <c r="M70" s="109"/>
      <c r="N70" s="109"/>
      <c r="O70" s="109"/>
      <c r="P70" s="109"/>
      <c r="Q70" s="109"/>
      <c r="R70" s="109"/>
      <c r="S70" s="109"/>
      <c r="T70" s="109"/>
      <c r="U70" s="109"/>
      <c r="V70" s="109"/>
      <c r="W70" s="109"/>
      <c r="X70" s="109"/>
      <c r="Y70" s="109"/>
      <c r="Z70" s="109"/>
    </row>
    <row r="71" spans="1:26" ht="12" customHeight="1">
      <c r="A71" s="120">
        <f t="shared" si="19"/>
        <v>46221</v>
      </c>
      <c r="B71" s="121">
        <f>'CHICLETS MASTER S1'!J18</f>
        <v>0.77777777777777801</v>
      </c>
      <c r="C71" s="122" t="s">
        <v>275</v>
      </c>
      <c r="D71" s="123" t="str">
        <f t="shared" si="20"/>
        <v>PORTOLA HS 2</v>
      </c>
      <c r="E71" s="123">
        <v>59</v>
      </c>
      <c r="F71" s="121" t="s">
        <v>699</v>
      </c>
      <c r="G71" s="121"/>
      <c r="H71" s="121" t="s">
        <v>700</v>
      </c>
      <c r="I71" s="121"/>
      <c r="J71" s="123" t="s">
        <v>296</v>
      </c>
      <c r="K71" s="123" t="s">
        <v>319</v>
      </c>
      <c r="L71" s="123" t="str">
        <f t="shared" si="17"/>
        <v>12C-059</v>
      </c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109"/>
      <c r="Y71" s="109"/>
      <c r="Z71" s="109"/>
    </row>
    <row r="72" spans="1:26" ht="12" customHeight="1" thickBot="1">
      <c r="A72" s="127"/>
      <c r="B72" s="127"/>
      <c r="C72" s="127"/>
      <c r="D72" s="127"/>
      <c r="E72" s="127"/>
      <c r="F72" s="128"/>
      <c r="G72" s="128"/>
      <c r="H72" s="128"/>
      <c r="I72" s="128"/>
      <c r="J72" s="127"/>
      <c r="K72" s="127"/>
      <c r="L72" s="128"/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109"/>
      <c r="Y72" s="109"/>
      <c r="Z72" s="109"/>
    </row>
    <row r="73" spans="1:26" ht="12" customHeight="1" thickBot="1">
      <c r="A73" s="117"/>
      <c r="B73" s="118"/>
      <c r="C73" s="111"/>
      <c r="D73" s="119" t="str">
        <f>'CHICLETS MASTER S1'!$N$3</f>
        <v>TRABUCO HILLS HS</v>
      </c>
      <c r="E73" s="106"/>
      <c r="F73" s="111"/>
      <c r="G73" s="111"/>
      <c r="H73" s="111"/>
      <c r="I73" s="111"/>
      <c r="J73" s="111"/>
      <c r="K73" s="111"/>
      <c r="L73" s="111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</row>
    <row r="74" spans="1:26" ht="12" customHeight="1">
      <c r="A74" s="145" t="s">
        <v>110</v>
      </c>
      <c r="B74" s="146" t="s">
        <v>111</v>
      </c>
      <c r="C74" s="145" t="s">
        <v>112</v>
      </c>
      <c r="D74" s="145" t="s">
        <v>113</v>
      </c>
      <c r="E74" s="145" t="s">
        <v>114</v>
      </c>
      <c r="F74" s="145" t="s">
        <v>115</v>
      </c>
      <c r="G74" s="145" t="s">
        <v>116</v>
      </c>
      <c r="H74" s="145" t="s">
        <v>117</v>
      </c>
      <c r="I74" s="145" t="s">
        <v>116</v>
      </c>
      <c r="J74" s="145" t="s">
        <v>118</v>
      </c>
      <c r="K74" s="145" t="s">
        <v>119</v>
      </c>
      <c r="L74" s="145" t="s">
        <v>120</v>
      </c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</row>
    <row r="75" spans="1:26" ht="12" customHeight="1">
      <c r="A75" s="120">
        <f t="shared" ref="A75:A85" si="21">$A$17</f>
        <v>46221</v>
      </c>
      <c r="B75" s="121">
        <f>'CHICLETS MASTER S1'!J4</f>
        <v>0.29166666666666669</v>
      </c>
      <c r="C75" s="123" t="s">
        <v>649</v>
      </c>
      <c r="D75" s="123" t="str">
        <f t="shared" ref="D75:D85" si="22">$D$73</f>
        <v>TRABUCO HILLS HS</v>
      </c>
      <c r="E75" s="123">
        <v>2</v>
      </c>
      <c r="F75" s="121" t="str">
        <f>D5</f>
        <v>D1 (4)-CORONADO</v>
      </c>
      <c r="G75" s="121"/>
      <c r="H75" s="121" t="str">
        <f>D7</f>
        <v>D3(28)-VALLEY UNITED</v>
      </c>
      <c r="I75" s="121"/>
      <c r="J75" s="123" t="s">
        <v>649</v>
      </c>
      <c r="K75" s="123"/>
      <c r="L75" s="123" t="str">
        <f t="shared" ref="L75:L89" si="23">IF(E75="","",$L$17&amp;"-"&amp;TEXT(E75,"000"))</f>
        <v>12C-002</v>
      </c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109"/>
      <c r="Y75" s="109"/>
      <c r="Z75" s="109"/>
    </row>
    <row r="76" spans="1:26" ht="12" customHeight="1">
      <c r="A76" s="120">
        <f t="shared" si="21"/>
        <v>46221</v>
      </c>
      <c r="B76" s="121">
        <f>'CHICLETS MASTER S1'!J5</f>
        <v>0.3263888888888889</v>
      </c>
      <c r="C76" s="122" t="s">
        <v>163</v>
      </c>
      <c r="D76" s="123" t="str">
        <f t="shared" si="22"/>
        <v>TRABUCO HILLS HS</v>
      </c>
      <c r="E76" s="123">
        <v>10</v>
      </c>
      <c r="F76" s="121" t="str">
        <f t="shared" ref="F76:F77" si="24">E5</f>
        <v>5-VNITED</v>
      </c>
      <c r="G76" s="121"/>
      <c r="H76" s="121" t="str">
        <f>E8</f>
        <v>43-AQUATEX</v>
      </c>
      <c r="I76" s="121"/>
      <c r="J76" s="123">
        <v>34</v>
      </c>
      <c r="K76" s="123">
        <v>38</v>
      </c>
      <c r="L76" s="123" t="str">
        <f t="shared" si="23"/>
        <v>12C-010</v>
      </c>
      <c r="M76" s="109"/>
      <c r="N76" s="109"/>
      <c r="O76" s="109"/>
      <c r="P76" s="109"/>
      <c r="Q76" s="109"/>
      <c r="R76" s="109"/>
      <c r="S76" s="109"/>
      <c r="T76" s="109"/>
      <c r="U76" s="109"/>
      <c r="V76" s="109"/>
      <c r="W76" s="109"/>
      <c r="X76" s="109"/>
      <c r="Y76" s="109"/>
      <c r="Z76" s="109"/>
    </row>
    <row r="77" spans="1:26" ht="12" customHeight="1">
      <c r="A77" s="120">
        <f t="shared" si="21"/>
        <v>46221</v>
      </c>
      <c r="B77" s="121">
        <f>'CHICLETS MASTER S1'!J6</f>
        <v>0.36111111111111099</v>
      </c>
      <c r="C77" s="122" t="s">
        <v>163</v>
      </c>
      <c r="D77" s="123" t="str">
        <f t="shared" si="22"/>
        <v>TRABUCO HILLS HS</v>
      </c>
      <c r="E77" s="123">
        <v>14</v>
      </c>
      <c r="F77" s="121" t="str">
        <f t="shared" si="24"/>
        <v>20-WEST VALLEY</v>
      </c>
      <c r="G77" s="121"/>
      <c r="H77" s="121" t="str">
        <f>E7</f>
        <v>29-NSD STARS</v>
      </c>
      <c r="I77" s="121"/>
      <c r="J77" s="123">
        <v>34</v>
      </c>
      <c r="K77" s="123">
        <v>38</v>
      </c>
      <c r="L77" s="123" t="str">
        <f t="shared" si="23"/>
        <v>12C-014</v>
      </c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109"/>
      <c r="Y77" s="109"/>
      <c r="Z77" s="109"/>
    </row>
    <row r="78" spans="1:26" ht="12" customHeight="1">
      <c r="A78" s="120">
        <f t="shared" si="21"/>
        <v>46221</v>
      </c>
      <c r="B78" s="121">
        <f>'CHICLETS MASTER S1'!J7</f>
        <v>0.39583333333333398</v>
      </c>
      <c r="C78" s="122" t="s">
        <v>163</v>
      </c>
      <c r="D78" s="123" t="str">
        <f t="shared" si="22"/>
        <v>TRABUCO HILLS HS</v>
      </c>
      <c r="E78" s="123">
        <v>18</v>
      </c>
      <c r="F78" s="121" t="str">
        <f>F5</f>
        <v>6-LOWPO</v>
      </c>
      <c r="G78" s="121"/>
      <c r="H78" s="121" t="str">
        <f>F8</f>
        <v>42-ELITE</v>
      </c>
      <c r="I78" s="121"/>
      <c r="J78" s="123">
        <v>42</v>
      </c>
      <c r="K78" s="123">
        <v>46</v>
      </c>
      <c r="L78" s="123" t="str">
        <f t="shared" si="23"/>
        <v>12C-018</v>
      </c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109"/>
      <c r="Y78" s="109"/>
      <c r="Z78" s="109"/>
    </row>
    <row r="79" spans="1:26" ht="12" customHeight="1">
      <c r="A79" s="120">
        <f t="shared" si="21"/>
        <v>46221</v>
      </c>
      <c r="B79" s="121">
        <f>'CHICLETS MASTER S1'!J8</f>
        <v>0.43055555555555602</v>
      </c>
      <c r="C79" s="123" t="s">
        <v>649</v>
      </c>
      <c r="D79" s="123" t="str">
        <f t="shared" si="22"/>
        <v>TRABUCO HILLS HS</v>
      </c>
      <c r="E79" s="123">
        <v>6</v>
      </c>
      <c r="F79" s="121" t="str">
        <f>D6</f>
        <v>D2(21)-RAIN CITY</v>
      </c>
      <c r="G79" s="121"/>
      <c r="H79" s="121" t="str">
        <f>D7</f>
        <v>D3(28)-VALLEY UNITED</v>
      </c>
      <c r="I79" s="121"/>
      <c r="J79" s="123" t="s">
        <v>649</v>
      </c>
      <c r="K79" s="123"/>
      <c r="L79" s="123" t="str">
        <f t="shared" si="23"/>
        <v>12C-006</v>
      </c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109"/>
      <c r="Y79" s="109"/>
      <c r="Z79" s="109"/>
    </row>
    <row r="80" spans="1:26" ht="12" customHeight="1">
      <c r="A80" s="120">
        <f t="shared" si="21"/>
        <v>46221</v>
      </c>
      <c r="B80" s="121">
        <f>'CHICLETS MASTER S1'!J9</f>
        <v>0.46527777777777801</v>
      </c>
      <c r="C80" s="122" t="s">
        <v>163</v>
      </c>
      <c r="D80" s="123" t="str">
        <f t="shared" si="22"/>
        <v>TRABUCO HILLS HS</v>
      </c>
      <c r="E80" s="123">
        <v>22</v>
      </c>
      <c r="F80" s="121" t="str">
        <f>F6</f>
        <v>19-PHOENIX RENEGADES</v>
      </c>
      <c r="G80" s="121"/>
      <c r="H80" s="121" t="str">
        <f>F7</f>
        <v>30-RIVERSIDE</v>
      </c>
      <c r="I80" s="121"/>
      <c r="J80" s="123">
        <v>42</v>
      </c>
      <c r="K80" s="123">
        <v>46</v>
      </c>
      <c r="L80" s="123" t="str">
        <f t="shared" si="23"/>
        <v>12C-022</v>
      </c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109"/>
      <c r="Y80" s="109"/>
      <c r="Z80" s="109"/>
    </row>
    <row r="81" spans="1:26" ht="12" customHeight="1">
      <c r="A81" s="120">
        <f t="shared" si="21"/>
        <v>46221</v>
      </c>
      <c r="B81" s="121">
        <f>'CHICLETS MASTER S1'!J10</f>
        <v>0.5</v>
      </c>
      <c r="C81" s="122" t="s">
        <v>163</v>
      </c>
      <c r="D81" s="123" t="str">
        <f t="shared" si="22"/>
        <v>TRABUCO HILLS HS</v>
      </c>
      <c r="E81" s="123">
        <v>34</v>
      </c>
      <c r="F81" s="121" t="s">
        <v>701</v>
      </c>
      <c r="G81" s="121"/>
      <c r="H81" s="121" t="s">
        <v>702</v>
      </c>
      <c r="I81" s="121"/>
      <c r="J81" s="123" t="s">
        <v>177</v>
      </c>
      <c r="K81" s="123">
        <v>58</v>
      </c>
      <c r="L81" s="123" t="str">
        <f t="shared" si="23"/>
        <v>12C-034</v>
      </c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109"/>
      <c r="Y81" s="109"/>
      <c r="Z81" s="109"/>
    </row>
    <row r="82" spans="1:26" ht="12" customHeight="1">
      <c r="A82" s="120">
        <f t="shared" si="21"/>
        <v>46221</v>
      </c>
      <c r="B82" s="121">
        <f>'CHICLETS MASTER S1'!J11</f>
        <v>0.53472222222222199</v>
      </c>
      <c r="C82" s="122" t="s">
        <v>163</v>
      </c>
      <c r="D82" s="123" t="str">
        <f t="shared" si="22"/>
        <v>TRABUCO HILLS HS</v>
      </c>
      <c r="E82" s="123">
        <v>38</v>
      </c>
      <c r="F82" s="121" t="s">
        <v>703</v>
      </c>
      <c r="G82" s="121"/>
      <c r="H82" s="121" t="s">
        <v>704</v>
      </c>
      <c r="I82" s="121"/>
      <c r="J82" s="125">
        <v>54</v>
      </c>
      <c r="K82" s="123" t="s">
        <v>705</v>
      </c>
      <c r="L82" s="123" t="str">
        <f t="shared" si="23"/>
        <v>12C-038</v>
      </c>
      <c r="M82" s="109"/>
      <c r="N82" s="109"/>
      <c r="O82" s="109"/>
      <c r="P82" s="109"/>
      <c r="Q82" s="109"/>
      <c r="R82" s="109"/>
      <c r="S82" s="109"/>
      <c r="T82" s="109"/>
      <c r="U82" s="109"/>
      <c r="V82" s="109"/>
      <c r="W82" s="109"/>
      <c r="X82" s="109"/>
      <c r="Y82" s="109"/>
      <c r="Z82" s="109"/>
    </row>
    <row r="83" spans="1:26" ht="12" customHeight="1">
      <c r="A83" s="120">
        <f t="shared" si="21"/>
        <v>46221</v>
      </c>
      <c r="B83" s="121">
        <f>'CHICLETS MASTER S1'!J12</f>
        <v>0.56944444444444497</v>
      </c>
      <c r="C83" s="123" t="s">
        <v>649</v>
      </c>
      <c r="D83" s="123" t="str">
        <f t="shared" si="22"/>
        <v>TRABUCO HILLS HS</v>
      </c>
      <c r="E83" s="123">
        <v>26</v>
      </c>
      <c r="F83" s="121" t="str">
        <f>D5</f>
        <v>D1 (4)-CORONADO</v>
      </c>
      <c r="G83" s="121"/>
      <c r="H83" s="121" t="str">
        <f>D6</f>
        <v>D2(21)-RAIN CITY</v>
      </c>
      <c r="I83" s="121"/>
      <c r="J83" s="123" t="s">
        <v>649</v>
      </c>
      <c r="K83" s="123"/>
      <c r="L83" s="123" t="str">
        <f t="shared" si="23"/>
        <v>12C-026</v>
      </c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109"/>
      <c r="Y83" s="109"/>
      <c r="Z83" s="109"/>
    </row>
    <row r="84" spans="1:26" ht="12" customHeight="1">
      <c r="A84" s="120">
        <f t="shared" si="21"/>
        <v>46221</v>
      </c>
      <c r="B84" s="121">
        <f>'CHICLETS MASTER S1'!J13</f>
        <v>0.60416666666666696</v>
      </c>
      <c r="C84" s="122" t="s">
        <v>163</v>
      </c>
      <c r="D84" s="123" t="str">
        <f t="shared" si="22"/>
        <v>TRABUCO HILLS HS</v>
      </c>
      <c r="E84" s="123">
        <v>42</v>
      </c>
      <c r="F84" s="121" t="s">
        <v>706</v>
      </c>
      <c r="G84" s="121"/>
      <c r="H84" s="121" t="s">
        <v>707</v>
      </c>
      <c r="I84" s="121"/>
      <c r="J84" s="123" t="s">
        <v>176</v>
      </c>
      <c r="K84" s="123">
        <v>54</v>
      </c>
      <c r="L84" s="123" t="str">
        <f t="shared" si="23"/>
        <v>12C-042</v>
      </c>
      <c r="M84" s="109"/>
      <c r="N84" s="109"/>
      <c r="O84" s="109"/>
      <c r="P84" s="109"/>
      <c r="Q84" s="109"/>
      <c r="R84" s="109"/>
      <c r="S84" s="109"/>
      <c r="T84" s="109"/>
      <c r="U84" s="109"/>
      <c r="V84" s="109"/>
      <c r="W84" s="109"/>
      <c r="X84" s="109"/>
      <c r="Y84" s="109"/>
      <c r="Z84" s="109"/>
    </row>
    <row r="85" spans="1:26" ht="12" customHeight="1">
      <c r="A85" s="120">
        <f t="shared" si="21"/>
        <v>46221</v>
      </c>
      <c r="B85" s="121">
        <f>'CHICLETS MASTER S1'!J14</f>
        <v>0.63888888888888895</v>
      </c>
      <c r="C85" s="122" t="s">
        <v>163</v>
      </c>
      <c r="D85" s="123" t="str">
        <f t="shared" si="22"/>
        <v>TRABUCO HILLS HS</v>
      </c>
      <c r="E85" s="123">
        <v>46</v>
      </c>
      <c r="F85" s="121" t="s">
        <v>708</v>
      </c>
      <c r="G85" s="121"/>
      <c r="H85" s="121" t="s">
        <v>709</v>
      </c>
      <c r="I85" s="121"/>
      <c r="J85" s="123">
        <v>58</v>
      </c>
      <c r="K85" s="123" t="s">
        <v>710</v>
      </c>
      <c r="L85" s="123" t="str">
        <f t="shared" si="23"/>
        <v>12C-046</v>
      </c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109"/>
      <c r="Y85" s="109"/>
      <c r="Z85" s="109"/>
    </row>
    <row r="86" spans="1:26" ht="12" customHeight="1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23" t="str">
        <f t="shared" si="23"/>
        <v/>
      </c>
      <c r="M86" s="109"/>
      <c r="N86" s="109"/>
      <c r="O86" s="109"/>
      <c r="P86" s="109"/>
      <c r="Q86" s="109"/>
      <c r="R86" s="109"/>
      <c r="S86" s="109"/>
      <c r="T86" s="109"/>
      <c r="U86" s="109"/>
      <c r="V86" s="109"/>
      <c r="W86" s="109"/>
      <c r="X86" s="109"/>
      <c r="Y86" s="109"/>
      <c r="Z86" s="109"/>
    </row>
    <row r="87" spans="1:26" ht="12" customHeight="1">
      <c r="A87" s="120">
        <f t="shared" ref="A87:A89" si="25">$A$17</f>
        <v>46221</v>
      </c>
      <c r="B87" s="121">
        <f>'CHICLETS MASTER S1'!J16</f>
        <v>0.70833333333333404</v>
      </c>
      <c r="C87" s="122" t="s">
        <v>275</v>
      </c>
      <c r="D87" s="123" t="str">
        <f t="shared" ref="D87:D89" si="26">$D$73</f>
        <v>TRABUCO HILLS HS</v>
      </c>
      <c r="E87" s="123">
        <v>50</v>
      </c>
      <c r="F87" s="124" t="s">
        <v>711</v>
      </c>
      <c r="G87" s="121"/>
      <c r="H87" s="121" t="s">
        <v>132</v>
      </c>
      <c r="I87" s="121"/>
      <c r="J87" s="123" t="s">
        <v>138</v>
      </c>
      <c r="K87" s="123" t="s">
        <v>286</v>
      </c>
      <c r="L87" s="123" t="str">
        <f t="shared" si="23"/>
        <v>12C-050</v>
      </c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109"/>
      <c r="Y87" s="109"/>
      <c r="Z87" s="109"/>
    </row>
    <row r="88" spans="1:26" ht="12" customHeight="1">
      <c r="A88" s="120">
        <f t="shared" si="25"/>
        <v>46221</v>
      </c>
      <c r="B88" s="121">
        <f>'CHICLETS MASTER S1'!J17</f>
        <v>0.74305555555555602</v>
      </c>
      <c r="C88" s="122" t="s">
        <v>275</v>
      </c>
      <c r="D88" s="123" t="str">
        <f t="shared" si="26"/>
        <v>TRABUCO HILLS HS</v>
      </c>
      <c r="E88" s="123">
        <v>54</v>
      </c>
      <c r="F88" s="121" t="s">
        <v>712</v>
      </c>
      <c r="G88" s="121"/>
      <c r="H88" s="121" t="s">
        <v>713</v>
      </c>
      <c r="I88" s="121"/>
      <c r="J88" s="123" t="s">
        <v>134</v>
      </c>
      <c r="K88" s="123" t="s">
        <v>304</v>
      </c>
      <c r="L88" s="123" t="str">
        <f t="shared" si="23"/>
        <v>12C-054</v>
      </c>
      <c r="M88" s="109"/>
      <c r="N88" s="109"/>
      <c r="O88" s="109"/>
      <c r="P88" s="109"/>
      <c r="Q88" s="109"/>
      <c r="R88" s="109"/>
      <c r="S88" s="109"/>
      <c r="T88" s="109"/>
      <c r="U88" s="109"/>
      <c r="V88" s="109"/>
      <c r="W88" s="109"/>
      <c r="X88" s="109"/>
      <c r="Y88" s="109"/>
      <c r="Z88" s="109"/>
    </row>
    <row r="89" spans="1:26" ht="12" customHeight="1">
      <c r="A89" s="120">
        <f t="shared" si="25"/>
        <v>46221</v>
      </c>
      <c r="B89" s="121">
        <f>'CHICLETS MASTER S1'!J18</f>
        <v>0.77777777777777801</v>
      </c>
      <c r="C89" s="122" t="s">
        <v>275</v>
      </c>
      <c r="D89" s="123" t="str">
        <f t="shared" si="26"/>
        <v>TRABUCO HILLS HS</v>
      </c>
      <c r="E89" s="123">
        <v>58</v>
      </c>
      <c r="F89" s="121" t="s">
        <v>714</v>
      </c>
      <c r="G89" s="121"/>
      <c r="H89" s="121" t="s">
        <v>715</v>
      </c>
      <c r="I89" s="121"/>
      <c r="J89" s="123" t="s">
        <v>146</v>
      </c>
      <c r="K89" s="123" t="s">
        <v>307</v>
      </c>
      <c r="L89" s="123" t="str">
        <f t="shared" si="23"/>
        <v>12C-058</v>
      </c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109"/>
      <c r="Y89" s="109"/>
      <c r="Z89" s="109"/>
    </row>
    <row r="90" spans="1:26" ht="12" customHeight="1">
      <c r="A90" s="129"/>
      <c r="B90" s="114"/>
      <c r="C90" s="114"/>
      <c r="D90" s="130"/>
      <c r="E90" s="130"/>
      <c r="F90" s="114"/>
      <c r="G90" s="114"/>
      <c r="H90" s="114"/>
      <c r="I90" s="114"/>
      <c r="J90" s="130"/>
      <c r="K90" s="130"/>
      <c r="L90" s="130"/>
      <c r="M90" s="109"/>
      <c r="N90" s="109"/>
      <c r="O90" s="109"/>
      <c r="P90" s="109"/>
      <c r="Q90" s="109"/>
      <c r="R90" s="109"/>
      <c r="S90" s="109"/>
      <c r="T90" s="109"/>
      <c r="U90" s="109"/>
      <c r="V90" s="109"/>
      <c r="W90" s="109"/>
      <c r="X90" s="109"/>
      <c r="Y90" s="109"/>
      <c r="Z90" s="109"/>
    </row>
    <row r="91" spans="1:26" ht="12" customHeight="1" thickBot="1">
      <c r="A91" s="109"/>
      <c r="B91" s="109"/>
      <c r="C91" s="109"/>
      <c r="D91" s="109"/>
      <c r="E91" s="109"/>
      <c r="F91" s="109"/>
      <c r="G91" s="109"/>
      <c r="H91" s="109"/>
      <c r="I91" s="109"/>
      <c r="J91" s="109"/>
      <c r="K91" s="109"/>
      <c r="L91" s="109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109"/>
      <c r="Y91" s="109"/>
      <c r="Z91" s="109"/>
    </row>
    <row r="92" spans="1:26" ht="12" customHeight="1" thickTop="1" thickBot="1">
      <c r="A92" s="105" t="s">
        <v>716</v>
      </c>
      <c r="B92" s="116"/>
      <c r="C92" s="116" t="s">
        <v>647</v>
      </c>
      <c r="D92" s="116"/>
      <c r="E92" s="116"/>
      <c r="F92" s="116"/>
      <c r="G92" s="116"/>
      <c r="H92" s="116"/>
      <c r="I92" s="116"/>
      <c r="J92" s="116"/>
      <c r="K92" s="116"/>
      <c r="L92" s="116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</row>
    <row r="93" spans="1:26" ht="12" customHeight="1">
      <c r="A93" s="108">
        <v>46222</v>
      </c>
      <c r="B93" s="111"/>
      <c r="C93" s="111"/>
      <c r="D93" s="111"/>
      <c r="E93" s="111"/>
      <c r="F93" s="109"/>
      <c r="G93" s="109"/>
      <c r="H93" s="109"/>
      <c r="I93" s="109"/>
      <c r="J93" s="109"/>
      <c r="K93" s="109"/>
      <c r="L93" s="109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109"/>
      <c r="Y93" s="109"/>
      <c r="Z93" s="109"/>
    </row>
    <row r="94" spans="1:26" ht="12" customHeight="1">
      <c r="A94" s="112" t="s">
        <v>717</v>
      </c>
      <c r="B94" s="131" t="s">
        <v>327</v>
      </c>
      <c r="C94" s="131" t="s">
        <v>328</v>
      </c>
      <c r="D94" s="132" t="s">
        <v>329</v>
      </c>
      <c r="E94" s="131" t="s">
        <v>330</v>
      </c>
      <c r="F94" s="109"/>
      <c r="G94" s="130"/>
      <c r="H94" s="130"/>
      <c r="I94" s="130"/>
      <c r="J94" s="130"/>
      <c r="K94" s="130"/>
      <c r="L94" s="130"/>
      <c r="M94" s="109"/>
      <c r="N94" s="109"/>
      <c r="O94" s="109"/>
      <c r="P94" s="109"/>
      <c r="Q94" s="109"/>
      <c r="R94" s="109"/>
      <c r="S94" s="109"/>
      <c r="T94" s="109"/>
      <c r="U94" s="109"/>
      <c r="V94" s="109"/>
      <c r="W94" s="109"/>
      <c r="X94" s="109"/>
      <c r="Y94" s="109"/>
      <c r="Z94" s="109"/>
    </row>
    <row r="95" spans="1:26" ht="12" customHeight="1">
      <c r="A95" s="129"/>
      <c r="B95" s="113" t="s">
        <v>153</v>
      </c>
      <c r="C95" s="113" t="s">
        <v>718</v>
      </c>
      <c r="D95" s="113" t="s">
        <v>719</v>
      </c>
      <c r="E95" s="113" t="s">
        <v>156</v>
      </c>
      <c r="F95" s="109"/>
      <c r="G95" s="130"/>
      <c r="H95" s="130"/>
      <c r="I95" s="130"/>
      <c r="J95" s="130"/>
      <c r="K95" s="130"/>
      <c r="L95" s="130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109"/>
      <c r="Y95" s="109"/>
      <c r="Z95" s="109"/>
    </row>
    <row r="96" spans="1:26" ht="12" customHeight="1">
      <c r="A96" s="129"/>
      <c r="B96" s="113" t="s">
        <v>720</v>
      </c>
      <c r="C96" s="113" t="s">
        <v>721</v>
      </c>
      <c r="D96" s="113" t="s">
        <v>722</v>
      </c>
      <c r="E96" s="113" t="s">
        <v>723</v>
      </c>
      <c r="F96" s="109"/>
      <c r="G96" s="130"/>
      <c r="H96" s="130"/>
      <c r="I96" s="130"/>
      <c r="J96" s="130"/>
      <c r="K96" s="130"/>
      <c r="L96" s="130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</row>
    <row r="97" spans="1:26" ht="12" customHeight="1">
      <c r="A97" s="129"/>
      <c r="B97" s="113" t="s">
        <v>724</v>
      </c>
      <c r="C97" s="113" t="s">
        <v>725</v>
      </c>
      <c r="D97" s="113" t="s">
        <v>726</v>
      </c>
      <c r="E97" s="113" t="s">
        <v>727</v>
      </c>
      <c r="F97" s="109"/>
      <c r="G97" s="130"/>
      <c r="H97" s="130"/>
      <c r="I97" s="130"/>
      <c r="J97" s="130"/>
      <c r="K97" s="130"/>
      <c r="L97" s="130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</row>
    <row r="98" spans="1:26" ht="12" customHeight="1">
      <c r="A98" s="129"/>
      <c r="B98" s="114"/>
      <c r="C98" s="114"/>
      <c r="D98" s="130"/>
      <c r="E98" s="114"/>
      <c r="F98" s="109"/>
      <c r="G98" s="114"/>
      <c r="H98" s="114"/>
      <c r="I98" s="114"/>
      <c r="J98" s="130"/>
      <c r="K98" s="130"/>
      <c r="L98" s="130"/>
      <c r="M98" s="109"/>
      <c r="N98" s="109"/>
      <c r="O98" s="109"/>
      <c r="P98" s="109"/>
      <c r="Q98" s="109"/>
      <c r="R98" s="109"/>
      <c r="S98" s="109"/>
      <c r="T98" s="109"/>
      <c r="U98" s="109"/>
      <c r="V98" s="109"/>
      <c r="W98" s="109"/>
      <c r="X98" s="109"/>
      <c r="Y98" s="109"/>
      <c r="Z98" s="109"/>
    </row>
    <row r="99" spans="1:26" ht="12" customHeight="1">
      <c r="A99" s="112" t="s">
        <v>717</v>
      </c>
      <c r="B99" s="131" t="s">
        <v>343</v>
      </c>
      <c r="C99" s="131" t="s">
        <v>344</v>
      </c>
      <c r="D99" s="132" t="s">
        <v>345</v>
      </c>
      <c r="E99" s="131" t="s">
        <v>346</v>
      </c>
      <c r="F99" s="109"/>
      <c r="G99" s="114"/>
      <c r="H99" s="114"/>
      <c r="I99" s="114"/>
      <c r="J99" s="130"/>
      <c r="K99" s="130"/>
      <c r="L99" s="130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109"/>
      <c r="Y99" s="109"/>
      <c r="Z99" s="109"/>
    </row>
    <row r="100" spans="1:26" ht="12" customHeight="1">
      <c r="A100" s="129"/>
      <c r="B100" s="113" t="s">
        <v>728</v>
      </c>
      <c r="C100" s="113" t="s">
        <v>729</v>
      </c>
      <c r="D100" s="113" t="s">
        <v>730</v>
      </c>
      <c r="E100" s="113" t="s">
        <v>552</v>
      </c>
      <c r="F100" s="109"/>
      <c r="G100" s="114"/>
      <c r="H100" s="114"/>
      <c r="I100" s="114"/>
      <c r="J100" s="130"/>
      <c r="K100" s="130"/>
      <c r="L100" s="130"/>
      <c r="M100" s="109"/>
      <c r="N100" s="109"/>
      <c r="O100" s="109"/>
      <c r="P100" s="109"/>
      <c r="Q100" s="109"/>
      <c r="R100" s="109"/>
      <c r="S100" s="109"/>
      <c r="T100" s="109"/>
      <c r="U100" s="109"/>
      <c r="V100" s="109"/>
      <c r="W100" s="109"/>
      <c r="X100" s="109"/>
      <c r="Y100" s="109"/>
      <c r="Z100" s="109"/>
    </row>
    <row r="101" spans="1:26" ht="12" customHeight="1">
      <c r="A101" s="129"/>
      <c r="B101" s="113" t="s">
        <v>731</v>
      </c>
      <c r="C101" s="113" t="s">
        <v>732</v>
      </c>
      <c r="D101" s="113" t="s">
        <v>733</v>
      </c>
      <c r="E101" s="113" t="s">
        <v>556</v>
      </c>
      <c r="F101" s="109"/>
      <c r="G101" s="114"/>
      <c r="H101" s="114"/>
      <c r="I101" s="114"/>
      <c r="J101" s="130"/>
      <c r="K101" s="130"/>
      <c r="L101" s="130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109"/>
      <c r="Y101" s="109"/>
      <c r="Z101" s="109"/>
    </row>
    <row r="102" spans="1:26" ht="12" customHeight="1">
      <c r="A102" s="129"/>
      <c r="B102" s="113" t="s">
        <v>734</v>
      </c>
      <c r="C102" s="113" t="s">
        <v>735</v>
      </c>
      <c r="D102" s="113" t="s">
        <v>551</v>
      </c>
      <c r="E102" s="113" t="s">
        <v>555</v>
      </c>
      <c r="F102" s="109"/>
      <c r="G102" s="114"/>
      <c r="H102" s="114"/>
      <c r="I102" s="114"/>
      <c r="J102" s="130"/>
      <c r="K102" s="130"/>
      <c r="L102" s="130"/>
      <c r="M102" s="109"/>
      <c r="N102" s="109"/>
      <c r="O102" s="109"/>
      <c r="P102" s="109"/>
      <c r="Q102" s="109"/>
      <c r="R102" s="109"/>
      <c r="S102" s="109"/>
      <c r="T102" s="109"/>
      <c r="U102" s="109"/>
      <c r="V102" s="109"/>
      <c r="W102" s="109"/>
      <c r="X102" s="109"/>
      <c r="Y102" s="109"/>
      <c r="Z102" s="109"/>
    </row>
    <row r="103" spans="1:26" ht="12" customHeight="1">
      <c r="A103" s="129"/>
      <c r="B103" s="114"/>
      <c r="C103" s="114"/>
      <c r="D103" s="130"/>
      <c r="E103" s="114"/>
      <c r="F103" s="109"/>
      <c r="G103" s="114"/>
      <c r="H103" s="114"/>
      <c r="I103" s="114"/>
      <c r="J103" s="130"/>
      <c r="K103" s="130"/>
      <c r="L103" s="130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109"/>
      <c r="Y103" s="109"/>
      <c r="Z103" s="109"/>
    </row>
    <row r="104" spans="1:26" ht="12" customHeight="1">
      <c r="A104" s="112" t="s">
        <v>736</v>
      </c>
      <c r="B104" s="133" t="s">
        <v>369</v>
      </c>
      <c r="C104" s="133" t="s">
        <v>370</v>
      </c>
      <c r="D104" s="134" t="s">
        <v>371</v>
      </c>
      <c r="E104" s="133" t="s">
        <v>372</v>
      </c>
      <c r="F104" s="109"/>
      <c r="G104" s="130"/>
      <c r="H104" s="130"/>
      <c r="I104" s="130"/>
      <c r="J104" s="130"/>
      <c r="K104" s="130"/>
      <c r="L104" s="130"/>
      <c r="M104" s="109"/>
      <c r="N104" s="109"/>
      <c r="O104" s="109"/>
      <c r="P104" s="109"/>
      <c r="Q104" s="109"/>
      <c r="R104" s="109"/>
      <c r="S104" s="109"/>
      <c r="T104" s="109"/>
      <c r="U104" s="109"/>
      <c r="V104" s="109"/>
      <c r="W104" s="109"/>
      <c r="X104" s="109"/>
      <c r="Y104" s="109"/>
      <c r="Z104" s="109"/>
    </row>
    <row r="105" spans="1:26" ht="12" customHeight="1">
      <c r="A105" s="129"/>
      <c r="B105" s="113" t="s">
        <v>558</v>
      </c>
      <c r="C105" s="113" t="s">
        <v>560</v>
      </c>
      <c r="D105" s="113" t="s">
        <v>737</v>
      </c>
      <c r="E105" s="113" t="s">
        <v>738</v>
      </c>
      <c r="F105" s="109"/>
      <c r="G105" s="130"/>
      <c r="H105" s="130"/>
      <c r="I105" s="130"/>
      <c r="J105" s="130"/>
      <c r="K105" s="130"/>
      <c r="L105" s="130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109"/>
      <c r="Y105" s="109"/>
      <c r="Z105" s="109"/>
    </row>
    <row r="106" spans="1:26" ht="12" customHeight="1">
      <c r="A106" s="129"/>
      <c r="B106" s="113" t="s">
        <v>557</v>
      </c>
      <c r="C106" s="113" t="s">
        <v>739</v>
      </c>
      <c r="D106" s="113" t="s">
        <v>740</v>
      </c>
      <c r="E106" s="113" t="s">
        <v>741</v>
      </c>
      <c r="F106" s="109"/>
      <c r="G106" s="130"/>
      <c r="H106" s="130"/>
      <c r="I106" s="130"/>
      <c r="J106" s="130"/>
      <c r="K106" s="130"/>
      <c r="L106" s="130"/>
      <c r="M106" s="109"/>
      <c r="N106" s="109"/>
      <c r="O106" s="109"/>
      <c r="P106" s="109"/>
      <c r="Q106" s="109"/>
      <c r="R106" s="109"/>
      <c r="S106" s="109"/>
      <c r="T106" s="109"/>
      <c r="U106" s="109"/>
      <c r="V106" s="109"/>
      <c r="W106" s="109"/>
      <c r="X106" s="109"/>
      <c r="Y106" s="109"/>
      <c r="Z106" s="109"/>
    </row>
    <row r="107" spans="1:26" ht="12" customHeight="1">
      <c r="A107" s="129"/>
      <c r="B107" s="113" t="s">
        <v>559</v>
      </c>
      <c r="C107" s="113" t="s">
        <v>742</v>
      </c>
      <c r="D107" s="113" t="s">
        <v>743</v>
      </c>
      <c r="E107" s="113" t="s">
        <v>744</v>
      </c>
      <c r="F107" s="109"/>
      <c r="G107" s="130"/>
      <c r="H107" s="130"/>
      <c r="I107" s="130"/>
      <c r="J107" s="130"/>
      <c r="K107" s="130"/>
      <c r="L107" s="130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109"/>
      <c r="Y107" s="109"/>
      <c r="Z107" s="109"/>
    </row>
    <row r="108" spans="1:26" ht="12" customHeight="1">
      <c r="A108" s="129"/>
      <c r="B108" s="114"/>
      <c r="C108" s="114"/>
      <c r="D108" s="130"/>
      <c r="E108" s="114"/>
      <c r="F108" s="109"/>
      <c r="G108" s="114"/>
      <c r="H108" s="114"/>
      <c r="I108" s="114"/>
      <c r="J108" s="130"/>
      <c r="K108" s="130"/>
      <c r="L108" s="130"/>
      <c r="M108" s="109"/>
      <c r="N108" s="109"/>
      <c r="O108" s="109"/>
      <c r="P108" s="109"/>
      <c r="Q108" s="109"/>
      <c r="R108" s="109"/>
      <c r="S108" s="109"/>
      <c r="T108" s="109"/>
      <c r="U108" s="109"/>
      <c r="V108" s="109"/>
      <c r="W108" s="109"/>
      <c r="X108" s="109"/>
      <c r="Y108" s="109"/>
      <c r="Z108" s="109"/>
    </row>
    <row r="109" spans="1:26" ht="12" customHeight="1">
      <c r="A109" s="112" t="s">
        <v>736</v>
      </c>
      <c r="B109" s="133" t="s">
        <v>745</v>
      </c>
      <c r="C109" s="133" t="s">
        <v>746</v>
      </c>
      <c r="D109" s="134" t="s">
        <v>747</v>
      </c>
      <c r="E109" s="133" t="s">
        <v>748</v>
      </c>
      <c r="F109" s="109"/>
      <c r="G109" s="114"/>
      <c r="H109" s="114"/>
      <c r="I109" s="114"/>
      <c r="J109" s="130"/>
      <c r="K109" s="130"/>
      <c r="L109" s="130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109"/>
      <c r="Y109" s="109"/>
      <c r="Z109" s="109"/>
    </row>
    <row r="110" spans="1:26" ht="12" customHeight="1">
      <c r="A110" s="129"/>
      <c r="B110" s="113" t="s">
        <v>749</v>
      </c>
      <c r="C110" s="113" t="s">
        <v>750</v>
      </c>
      <c r="D110" s="113" t="s">
        <v>751</v>
      </c>
      <c r="E110" s="113"/>
      <c r="F110" s="109"/>
      <c r="G110" s="114"/>
      <c r="H110" s="114"/>
      <c r="I110" s="114"/>
      <c r="J110" s="130"/>
      <c r="K110" s="130"/>
      <c r="L110" s="130"/>
      <c r="M110" s="109"/>
      <c r="N110" s="109"/>
      <c r="O110" s="109"/>
      <c r="P110" s="109"/>
      <c r="Q110" s="109"/>
      <c r="R110" s="109"/>
      <c r="S110" s="109"/>
      <c r="T110" s="109"/>
      <c r="U110" s="109"/>
      <c r="V110" s="109"/>
      <c r="W110" s="109"/>
      <c r="X110" s="109"/>
      <c r="Y110" s="109"/>
      <c r="Z110" s="109"/>
    </row>
    <row r="111" spans="1:26" ht="12" customHeight="1">
      <c r="A111" s="129"/>
      <c r="B111" s="113" t="s">
        <v>752</v>
      </c>
      <c r="C111" s="113" t="s">
        <v>753</v>
      </c>
      <c r="D111" s="113" t="s">
        <v>754</v>
      </c>
      <c r="E111" s="113"/>
      <c r="F111" s="109"/>
      <c r="G111" s="114"/>
      <c r="H111" s="114"/>
      <c r="I111" s="114"/>
      <c r="J111" s="130"/>
      <c r="K111" s="130"/>
      <c r="L111" s="130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109"/>
      <c r="Y111" s="109"/>
      <c r="Z111" s="109"/>
    </row>
    <row r="112" spans="1:26" ht="12" customHeight="1">
      <c r="A112" s="129"/>
      <c r="B112" s="113" t="s">
        <v>755</v>
      </c>
      <c r="C112" s="113" t="s">
        <v>756</v>
      </c>
      <c r="D112" s="113" t="s">
        <v>757</v>
      </c>
      <c r="E112" s="113"/>
      <c r="F112" s="109"/>
      <c r="G112" s="114"/>
      <c r="H112" s="114"/>
      <c r="I112" s="114"/>
      <c r="J112" s="130"/>
      <c r="K112" s="130"/>
      <c r="L112" s="109" t="s">
        <v>374</v>
      </c>
      <c r="M112" s="109"/>
      <c r="N112" s="109"/>
      <c r="O112" s="109"/>
      <c r="P112" s="109"/>
      <c r="Q112" s="109"/>
      <c r="R112" s="109"/>
      <c r="S112" s="109"/>
      <c r="T112" s="109"/>
      <c r="U112" s="109"/>
      <c r="V112" s="109"/>
      <c r="W112" s="109"/>
      <c r="X112" s="109"/>
      <c r="Y112" s="109"/>
      <c r="Z112" s="109"/>
    </row>
    <row r="113" spans="1:26" ht="12" customHeight="1" thickBot="1">
      <c r="A113" s="129"/>
      <c r="B113" s="129"/>
      <c r="C113" s="129"/>
      <c r="D113" s="130"/>
      <c r="E113" s="130"/>
      <c r="F113" s="129"/>
      <c r="G113" s="129"/>
      <c r="H113" s="129"/>
      <c r="I113" s="129"/>
      <c r="J113" s="130"/>
      <c r="K113" s="130"/>
      <c r="L113" s="109" t="s">
        <v>373</v>
      </c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  <c r="Y113" s="109"/>
      <c r="Z113" s="109"/>
    </row>
    <row r="114" spans="1:26" ht="12" customHeight="1" thickBot="1">
      <c r="A114" s="117"/>
      <c r="B114" s="118"/>
      <c r="C114" s="111"/>
      <c r="D114" s="119" t="str">
        <f>'CHICLETS MASTER S1'!$L$27</f>
        <v>LA HABRA HS</v>
      </c>
      <c r="E114" s="106"/>
      <c r="F114" s="111"/>
      <c r="G114" s="111"/>
      <c r="H114" s="111"/>
      <c r="I114" s="111"/>
      <c r="J114" s="111"/>
      <c r="K114" s="111"/>
      <c r="L114" s="111"/>
      <c r="M114" s="109"/>
      <c r="N114" s="109"/>
      <c r="O114" s="109"/>
      <c r="P114" s="109"/>
      <c r="Q114" s="109"/>
      <c r="R114" s="109"/>
      <c r="S114" s="109"/>
      <c r="T114" s="109"/>
      <c r="U114" s="109"/>
      <c r="V114" s="109"/>
      <c r="W114" s="109"/>
      <c r="X114" s="109"/>
      <c r="Y114" s="109"/>
      <c r="Z114" s="109"/>
    </row>
    <row r="115" spans="1:26" ht="12" customHeight="1">
      <c r="A115" s="145" t="s">
        <v>110</v>
      </c>
      <c r="B115" s="146" t="s">
        <v>111</v>
      </c>
      <c r="C115" s="145" t="s">
        <v>112</v>
      </c>
      <c r="D115" s="145" t="s">
        <v>113</v>
      </c>
      <c r="E115" s="145" t="s">
        <v>114</v>
      </c>
      <c r="F115" s="145" t="s">
        <v>115</v>
      </c>
      <c r="G115" s="145" t="s">
        <v>116</v>
      </c>
      <c r="H115" s="145" t="s">
        <v>117</v>
      </c>
      <c r="I115" s="145" t="s">
        <v>116</v>
      </c>
      <c r="J115" s="145" t="s">
        <v>118</v>
      </c>
      <c r="K115" s="145" t="s">
        <v>119</v>
      </c>
      <c r="L115" s="145" t="s">
        <v>120</v>
      </c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109"/>
      <c r="Y115" s="109"/>
      <c r="Z115" s="109"/>
    </row>
    <row r="116" spans="1:26" ht="12" customHeight="1">
      <c r="A116" s="135">
        <f t="shared" ref="A116:A127" si="27">$A$93</f>
        <v>46222</v>
      </c>
      <c r="B116" s="136">
        <f>'CHICLETS MASTER S1'!J28</f>
        <v>0.29166666666666669</v>
      </c>
      <c r="C116" s="136" t="s">
        <v>163</v>
      </c>
      <c r="D116" s="137" t="str">
        <f t="shared" ref="D116:D127" si="28">$D$114</f>
        <v>LA HABRA HS</v>
      </c>
      <c r="E116" s="137">
        <v>64</v>
      </c>
      <c r="F116" s="136" t="s">
        <v>177</v>
      </c>
      <c r="G116" s="136"/>
      <c r="H116" s="136" t="s">
        <v>125</v>
      </c>
      <c r="I116" s="136"/>
      <c r="J116" s="137" t="s">
        <v>121</v>
      </c>
      <c r="K116" s="137"/>
      <c r="L116" s="136" t="str">
        <f t="shared" ref="L116:L130" si="29">IF(E116="","",$L$17&amp;"-"&amp;TEXT(E116,"000"))</f>
        <v>12C-064</v>
      </c>
      <c r="M116" s="109"/>
      <c r="N116" s="109" t="str">
        <f>$L$113&amp;C116</f>
        <v>pt_Group</v>
      </c>
      <c r="O116" s="109"/>
      <c r="P116" s="109"/>
      <c r="Q116" s="109"/>
      <c r="R116" s="109"/>
      <c r="S116" s="109"/>
      <c r="T116" s="109"/>
      <c r="U116" s="109"/>
      <c r="V116" s="109"/>
      <c r="W116" s="109"/>
      <c r="X116" s="109"/>
      <c r="Y116" s="109"/>
      <c r="Z116" s="109"/>
    </row>
    <row r="117" spans="1:26" ht="12" customHeight="1">
      <c r="A117" s="138">
        <f t="shared" si="27"/>
        <v>46222</v>
      </c>
      <c r="B117" s="133">
        <f>'CHICLETS MASTER S1'!J29</f>
        <v>0.3263888888888889</v>
      </c>
      <c r="C117" s="133" t="s">
        <v>163</v>
      </c>
      <c r="D117" s="134" t="str">
        <f t="shared" si="28"/>
        <v>LA HABRA HS</v>
      </c>
      <c r="E117" s="134">
        <v>68</v>
      </c>
      <c r="F117" s="133" t="s">
        <v>668</v>
      </c>
      <c r="G117" s="134"/>
      <c r="H117" s="133" t="s">
        <v>694</v>
      </c>
      <c r="I117" s="134"/>
      <c r="J117" s="134" t="s">
        <v>121</v>
      </c>
      <c r="K117" s="134"/>
      <c r="L117" s="133" t="str">
        <f t="shared" si="29"/>
        <v>12C-068</v>
      </c>
      <c r="M117" s="109"/>
      <c r="N117" s="109" t="str">
        <f>$L$112&amp;C117</f>
        <v>au_Group</v>
      </c>
      <c r="O117" s="109"/>
      <c r="P117" s="109"/>
      <c r="Q117" s="109"/>
      <c r="R117" s="109"/>
      <c r="S117" s="109"/>
      <c r="T117" s="109"/>
      <c r="U117" s="109"/>
      <c r="V117" s="109"/>
      <c r="W117" s="109"/>
      <c r="X117" s="109"/>
      <c r="Y117" s="109"/>
      <c r="Z117" s="109"/>
    </row>
    <row r="118" spans="1:26" ht="12" customHeight="1">
      <c r="A118" s="135">
        <f t="shared" si="27"/>
        <v>46222</v>
      </c>
      <c r="B118" s="136">
        <f>'CHICLETS MASTER S1'!J30</f>
        <v>0.36111111111111099</v>
      </c>
      <c r="C118" s="136" t="s">
        <v>163</v>
      </c>
      <c r="D118" s="137" t="str">
        <f t="shared" si="28"/>
        <v>LA HABRA HS</v>
      </c>
      <c r="E118" s="137">
        <v>72</v>
      </c>
      <c r="F118" s="136" t="s">
        <v>318</v>
      </c>
      <c r="G118" s="136"/>
      <c r="H118" s="136" t="s">
        <v>300</v>
      </c>
      <c r="I118" s="136"/>
      <c r="J118" s="137" t="s">
        <v>121</v>
      </c>
      <c r="K118" s="137"/>
      <c r="L118" s="136" t="str">
        <f t="shared" si="29"/>
        <v>12C-072</v>
      </c>
      <c r="M118" s="109"/>
      <c r="N118" s="109" t="str">
        <f>$L$113&amp;C118</f>
        <v>pt_Group</v>
      </c>
      <c r="O118" s="109"/>
      <c r="P118" s="109"/>
      <c r="Q118" s="109"/>
      <c r="R118" s="109"/>
      <c r="S118" s="109"/>
      <c r="T118" s="109"/>
      <c r="U118" s="109"/>
      <c r="V118" s="109"/>
      <c r="W118" s="109"/>
      <c r="X118" s="109"/>
      <c r="Y118" s="109"/>
      <c r="Z118" s="109"/>
    </row>
    <row r="119" spans="1:26" ht="12" customHeight="1">
      <c r="A119" s="138">
        <f t="shared" si="27"/>
        <v>46222</v>
      </c>
      <c r="B119" s="133">
        <f>'CHICLETS MASTER S1'!J31</f>
        <v>0.39583333333333398</v>
      </c>
      <c r="C119" s="133" t="s">
        <v>163</v>
      </c>
      <c r="D119" s="134" t="str">
        <f t="shared" si="28"/>
        <v>LA HABRA HS</v>
      </c>
      <c r="E119" s="134">
        <v>76</v>
      </c>
      <c r="F119" s="133" t="s">
        <v>304</v>
      </c>
      <c r="G119" s="134"/>
      <c r="H119" s="133" t="s">
        <v>322</v>
      </c>
      <c r="I119" s="134"/>
      <c r="J119" s="134" t="s">
        <v>121</v>
      </c>
      <c r="K119" s="134"/>
      <c r="L119" s="133" t="str">
        <f t="shared" si="29"/>
        <v>12C-076</v>
      </c>
      <c r="M119" s="109"/>
      <c r="N119" s="109" t="str">
        <f>$L$112&amp;C119</f>
        <v>au_Group</v>
      </c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</row>
    <row r="120" spans="1:26" ht="12" customHeight="1">
      <c r="A120" s="135">
        <f t="shared" si="27"/>
        <v>46222</v>
      </c>
      <c r="B120" s="136">
        <f>'CHICLETS MASTER S1'!J32</f>
        <v>0.43055555555555602</v>
      </c>
      <c r="C120" s="136" t="s">
        <v>163</v>
      </c>
      <c r="D120" s="137" t="str">
        <f t="shared" si="28"/>
        <v>LA HABRA HS</v>
      </c>
      <c r="E120" s="137">
        <v>80</v>
      </c>
      <c r="F120" s="136" t="s">
        <v>175</v>
      </c>
      <c r="G120" s="136"/>
      <c r="H120" s="136" t="s">
        <v>125</v>
      </c>
      <c r="I120" s="136"/>
      <c r="J120" s="137" t="s">
        <v>121</v>
      </c>
      <c r="K120" s="137"/>
      <c r="L120" s="136" t="str">
        <f t="shared" si="29"/>
        <v>12C-080</v>
      </c>
      <c r="M120" s="109"/>
      <c r="N120" s="109" t="str">
        <f>$L$113&amp;C120</f>
        <v>pt_Group</v>
      </c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</row>
    <row r="121" spans="1:26" ht="12" customHeight="1">
      <c r="A121" s="138">
        <f t="shared" si="27"/>
        <v>46222</v>
      </c>
      <c r="B121" s="133">
        <f>'CHICLETS MASTER S1'!J33</f>
        <v>0.46527777777777801</v>
      </c>
      <c r="C121" s="133" t="s">
        <v>163</v>
      </c>
      <c r="D121" s="134" t="str">
        <f t="shared" si="28"/>
        <v>LA HABRA HS</v>
      </c>
      <c r="E121" s="134">
        <v>84</v>
      </c>
      <c r="F121" s="133" t="s">
        <v>668</v>
      </c>
      <c r="G121" s="134"/>
      <c r="H121" s="133" t="s">
        <v>660</v>
      </c>
      <c r="I121" s="134"/>
      <c r="J121" s="134" t="s">
        <v>121</v>
      </c>
      <c r="K121" s="134"/>
      <c r="L121" s="133" t="str">
        <f t="shared" si="29"/>
        <v>12C-084</v>
      </c>
      <c r="M121" s="109"/>
      <c r="N121" s="109" t="str">
        <f>$L$112&amp;C121</f>
        <v>au_Group</v>
      </c>
      <c r="O121" s="109"/>
      <c r="P121" s="109"/>
      <c r="Q121" s="109"/>
      <c r="R121" s="109"/>
      <c r="S121" s="109"/>
      <c r="T121" s="109"/>
      <c r="U121" s="109"/>
      <c r="V121" s="109"/>
      <c r="W121" s="109"/>
      <c r="X121" s="109"/>
      <c r="Y121" s="109"/>
      <c r="Z121" s="109"/>
    </row>
    <row r="122" spans="1:26" ht="12" customHeight="1">
      <c r="A122" s="135">
        <f t="shared" si="27"/>
        <v>46222</v>
      </c>
      <c r="B122" s="136">
        <f>'CHICLETS MASTER S1'!J34</f>
        <v>0.5</v>
      </c>
      <c r="C122" s="136" t="s">
        <v>163</v>
      </c>
      <c r="D122" s="137" t="str">
        <f t="shared" si="28"/>
        <v>LA HABRA HS</v>
      </c>
      <c r="E122" s="137">
        <v>88</v>
      </c>
      <c r="F122" s="136" t="s">
        <v>318</v>
      </c>
      <c r="G122" s="136"/>
      <c r="H122" s="136" t="s">
        <v>282</v>
      </c>
      <c r="I122" s="136"/>
      <c r="J122" s="137" t="s">
        <v>121</v>
      </c>
      <c r="K122" s="137"/>
      <c r="L122" s="136" t="str">
        <f t="shared" si="29"/>
        <v>12C-088</v>
      </c>
      <c r="M122" s="109"/>
      <c r="N122" s="109" t="str">
        <f>$L$113&amp;C122</f>
        <v>pt_Group</v>
      </c>
      <c r="O122" s="109"/>
      <c r="P122" s="109"/>
      <c r="Q122" s="109"/>
      <c r="R122" s="109"/>
      <c r="S122" s="109"/>
      <c r="T122" s="109"/>
      <c r="U122" s="109"/>
      <c r="V122" s="109"/>
      <c r="W122" s="109"/>
      <c r="X122" s="109"/>
      <c r="Y122" s="109"/>
      <c r="Z122" s="109"/>
    </row>
    <row r="123" spans="1:26" ht="12" customHeight="1">
      <c r="A123" s="138">
        <f t="shared" si="27"/>
        <v>46222</v>
      </c>
      <c r="B123" s="133">
        <f>'CHICLETS MASTER S1'!J35</f>
        <v>0.53472222222222199</v>
      </c>
      <c r="C123" s="133" t="s">
        <v>163</v>
      </c>
      <c r="D123" s="134" t="str">
        <f t="shared" si="28"/>
        <v>LA HABRA HS</v>
      </c>
      <c r="E123" s="134">
        <v>92</v>
      </c>
      <c r="F123" s="133" t="s">
        <v>286</v>
      </c>
      <c r="G123" s="134"/>
      <c r="H123" s="133" t="s">
        <v>322</v>
      </c>
      <c r="I123" s="134"/>
      <c r="J123" s="134" t="s">
        <v>121</v>
      </c>
      <c r="K123" s="134"/>
      <c r="L123" s="133" t="str">
        <f t="shared" si="29"/>
        <v>12C-092</v>
      </c>
      <c r="M123" s="109"/>
      <c r="N123" s="109" t="str">
        <f>$L$112&amp;C123</f>
        <v>au_Group</v>
      </c>
      <c r="O123" s="109"/>
      <c r="P123" s="109"/>
      <c r="Q123" s="109"/>
      <c r="R123" s="109"/>
      <c r="S123" s="109"/>
      <c r="T123" s="109"/>
      <c r="U123" s="109"/>
      <c r="V123" s="109"/>
      <c r="W123" s="109"/>
      <c r="X123" s="109"/>
      <c r="Y123" s="109"/>
      <c r="Z123" s="109"/>
    </row>
    <row r="124" spans="1:26" ht="12" customHeight="1">
      <c r="A124" s="135">
        <f t="shared" si="27"/>
        <v>46222</v>
      </c>
      <c r="B124" s="136">
        <f>'CHICLETS MASTER S1'!J36</f>
        <v>0.56944444444444497</v>
      </c>
      <c r="C124" s="136" t="s">
        <v>163</v>
      </c>
      <c r="D124" s="137" t="str">
        <f t="shared" si="28"/>
        <v>LA HABRA HS</v>
      </c>
      <c r="E124" s="137">
        <v>96</v>
      </c>
      <c r="F124" s="136" t="s">
        <v>175</v>
      </c>
      <c r="G124" s="136"/>
      <c r="H124" s="136" t="s">
        <v>177</v>
      </c>
      <c r="I124" s="136"/>
      <c r="J124" s="137" t="s">
        <v>121</v>
      </c>
      <c r="K124" s="137"/>
      <c r="L124" s="136" t="str">
        <f t="shared" si="29"/>
        <v>12C-096</v>
      </c>
      <c r="M124" s="109"/>
      <c r="N124" s="109" t="str">
        <f>$L$113&amp;C124</f>
        <v>pt_Group</v>
      </c>
      <c r="O124" s="109"/>
      <c r="P124" s="109"/>
      <c r="Q124" s="109"/>
      <c r="R124" s="109"/>
      <c r="S124" s="109"/>
      <c r="T124" s="109"/>
      <c r="U124" s="109"/>
      <c r="V124" s="109"/>
      <c r="W124" s="109"/>
      <c r="X124" s="109"/>
      <c r="Y124" s="109"/>
      <c r="Z124" s="109"/>
    </row>
    <row r="125" spans="1:26" ht="12" customHeight="1">
      <c r="A125" s="138">
        <f t="shared" si="27"/>
        <v>46222</v>
      </c>
      <c r="B125" s="133">
        <f>'CHICLETS MASTER S1'!J37</f>
        <v>0.60416666666666696</v>
      </c>
      <c r="C125" s="133" t="s">
        <v>163</v>
      </c>
      <c r="D125" s="134" t="str">
        <f t="shared" si="28"/>
        <v>LA HABRA HS</v>
      </c>
      <c r="E125" s="134">
        <v>100</v>
      </c>
      <c r="F125" s="133" t="s">
        <v>694</v>
      </c>
      <c r="G125" s="134"/>
      <c r="H125" s="133" t="s">
        <v>660</v>
      </c>
      <c r="I125" s="134"/>
      <c r="J125" s="134" t="s">
        <v>121</v>
      </c>
      <c r="K125" s="134"/>
      <c r="L125" s="133" t="str">
        <f t="shared" si="29"/>
        <v>12C-100</v>
      </c>
      <c r="M125" s="109"/>
      <c r="N125" s="109" t="str">
        <f>$L$112&amp;C125</f>
        <v>au_Group</v>
      </c>
      <c r="O125" s="109"/>
      <c r="P125" s="109"/>
      <c r="Q125" s="109"/>
      <c r="R125" s="109"/>
      <c r="S125" s="109"/>
      <c r="T125" s="109"/>
      <c r="U125" s="109"/>
      <c r="V125" s="109"/>
      <c r="W125" s="109"/>
      <c r="X125" s="109"/>
      <c r="Y125" s="109"/>
      <c r="Z125" s="109"/>
    </row>
    <row r="126" spans="1:26" ht="12" customHeight="1">
      <c r="A126" s="135">
        <f t="shared" si="27"/>
        <v>46222</v>
      </c>
      <c r="B126" s="136">
        <f>'CHICLETS MASTER S1'!J38</f>
        <v>0.63888888888888895</v>
      </c>
      <c r="C126" s="136" t="s">
        <v>163</v>
      </c>
      <c r="D126" s="137" t="str">
        <f t="shared" si="28"/>
        <v>LA HABRA HS</v>
      </c>
      <c r="E126" s="137">
        <v>104</v>
      </c>
      <c r="F126" s="136" t="s">
        <v>300</v>
      </c>
      <c r="G126" s="136"/>
      <c r="H126" s="136" t="s">
        <v>282</v>
      </c>
      <c r="I126" s="136"/>
      <c r="J126" s="137" t="s">
        <v>121</v>
      </c>
      <c r="K126" s="137"/>
      <c r="L126" s="136" t="str">
        <f t="shared" si="29"/>
        <v>12C-104</v>
      </c>
      <c r="M126" s="109"/>
      <c r="N126" s="109" t="str">
        <f>$L$113&amp;C126</f>
        <v>pt_Group</v>
      </c>
      <c r="O126" s="109"/>
      <c r="P126" s="109"/>
      <c r="Q126" s="109"/>
      <c r="R126" s="109"/>
      <c r="S126" s="109"/>
      <c r="T126" s="109"/>
      <c r="U126" s="109"/>
      <c r="V126" s="109"/>
      <c r="W126" s="109"/>
      <c r="X126" s="109"/>
      <c r="Y126" s="109"/>
      <c r="Z126" s="109"/>
    </row>
    <row r="127" spans="1:26" ht="12" customHeight="1">
      <c r="A127" s="138">
        <f t="shared" si="27"/>
        <v>46222</v>
      </c>
      <c r="B127" s="133">
        <f>'CHICLETS MASTER S1'!J39</f>
        <v>0.67361111111111105</v>
      </c>
      <c r="C127" s="133" t="s">
        <v>163</v>
      </c>
      <c r="D127" s="134" t="str">
        <f t="shared" si="28"/>
        <v>LA HABRA HS</v>
      </c>
      <c r="E127" s="134">
        <v>108</v>
      </c>
      <c r="F127" s="133" t="s">
        <v>286</v>
      </c>
      <c r="G127" s="134"/>
      <c r="H127" s="133" t="s">
        <v>304</v>
      </c>
      <c r="I127" s="134"/>
      <c r="J127" s="134" t="s">
        <v>121</v>
      </c>
      <c r="K127" s="134"/>
      <c r="L127" s="133" t="str">
        <f t="shared" si="29"/>
        <v>12C-108</v>
      </c>
      <c r="M127" s="109"/>
      <c r="N127" s="109" t="str">
        <f>$L$112&amp;C127</f>
        <v>au_Group</v>
      </c>
      <c r="O127" s="109"/>
      <c r="P127" s="109"/>
      <c r="Q127" s="109"/>
      <c r="R127" s="109"/>
      <c r="S127" s="109"/>
      <c r="T127" s="109"/>
      <c r="U127" s="109"/>
      <c r="V127" s="109"/>
      <c r="W127" s="109"/>
      <c r="X127" s="109"/>
      <c r="Y127" s="109"/>
      <c r="Z127" s="109"/>
    </row>
    <row r="128" spans="1:26" ht="12" customHeight="1">
      <c r="A128" s="106"/>
      <c r="B128" s="106"/>
      <c r="C128" s="106"/>
      <c r="D128" s="106"/>
      <c r="E128" s="106"/>
      <c r="F128" s="106"/>
      <c r="G128" s="106"/>
      <c r="H128" s="106"/>
      <c r="I128" s="106"/>
      <c r="J128" s="106"/>
      <c r="K128" s="106"/>
      <c r="L128" s="106" t="str">
        <f t="shared" si="29"/>
        <v/>
      </c>
      <c r="M128" s="109"/>
      <c r="N128" s="109"/>
      <c r="O128" s="109"/>
      <c r="P128" s="109"/>
      <c r="Q128" s="109"/>
      <c r="R128" s="109"/>
      <c r="S128" s="109"/>
      <c r="T128" s="109"/>
      <c r="U128" s="109"/>
      <c r="V128" s="109"/>
      <c r="W128" s="109"/>
      <c r="X128" s="109"/>
      <c r="Y128" s="109"/>
      <c r="Z128" s="109"/>
    </row>
    <row r="129" spans="1:26" ht="12" customHeight="1">
      <c r="A129" s="135">
        <f t="shared" ref="A129:A130" si="30">$A$93</f>
        <v>46222</v>
      </c>
      <c r="B129" s="136">
        <f>'CHICLETS MASTER S1'!J41</f>
        <v>0.74305555555555602</v>
      </c>
      <c r="C129" s="136" t="s">
        <v>758</v>
      </c>
      <c r="D129" s="137" t="str">
        <f t="shared" ref="D129:D130" si="31">$D$114</f>
        <v>LA HABRA HS</v>
      </c>
      <c r="E129" s="137">
        <v>112</v>
      </c>
      <c r="F129" s="136" t="s">
        <v>759</v>
      </c>
      <c r="G129" s="136"/>
      <c r="H129" s="136" t="s">
        <v>760</v>
      </c>
      <c r="I129" s="136"/>
      <c r="J129" s="137">
        <v>126</v>
      </c>
      <c r="K129" s="137">
        <v>137</v>
      </c>
      <c r="L129" s="136" t="str">
        <f t="shared" si="29"/>
        <v>12C-112</v>
      </c>
      <c r="M129" s="109"/>
      <c r="N129" s="109" t="str">
        <f>$L$113&amp;C129</f>
        <v>pt_play-in</v>
      </c>
      <c r="O129" s="109"/>
      <c r="P129" s="109"/>
      <c r="Q129" s="109"/>
      <c r="R129" s="109"/>
      <c r="S129" s="109"/>
      <c r="T129" s="109"/>
      <c r="U129" s="109"/>
      <c r="V129" s="109"/>
      <c r="W129" s="109"/>
      <c r="X129" s="109"/>
      <c r="Y129" s="109"/>
      <c r="Z129" s="109"/>
    </row>
    <row r="130" spans="1:26" ht="12" customHeight="1">
      <c r="A130" s="138">
        <f t="shared" si="30"/>
        <v>46222</v>
      </c>
      <c r="B130" s="133">
        <f>'CHICLETS MASTER S1'!J42</f>
        <v>0.77777777777777801</v>
      </c>
      <c r="C130" s="133" t="s">
        <v>758</v>
      </c>
      <c r="D130" s="134" t="str">
        <f t="shared" si="31"/>
        <v>LA HABRA HS</v>
      </c>
      <c r="E130" s="134">
        <v>116</v>
      </c>
      <c r="F130" s="133" t="s">
        <v>761</v>
      </c>
      <c r="G130" s="134"/>
      <c r="H130" s="133" t="s">
        <v>762</v>
      </c>
      <c r="I130" s="134"/>
      <c r="J130" s="134">
        <v>128</v>
      </c>
      <c r="K130" s="134" t="s">
        <v>203</v>
      </c>
      <c r="L130" s="133" t="str">
        <f t="shared" si="29"/>
        <v>12C-116</v>
      </c>
      <c r="M130" s="109"/>
      <c r="N130" s="109" t="str">
        <f>$L$112&amp;C130</f>
        <v>au_play-in</v>
      </c>
      <c r="O130" s="109"/>
      <c r="P130" s="109"/>
      <c r="Q130" s="109"/>
      <c r="R130" s="109"/>
      <c r="S130" s="109"/>
      <c r="T130" s="109"/>
      <c r="U130" s="109"/>
      <c r="V130" s="109"/>
      <c r="W130" s="109"/>
      <c r="X130" s="109"/>
      <c r="Y130" s="109"/>
      <c r="Z130" s="109"/>
    </row>
    <row r="131" spans="1:26" ht="12" customHeight="1" thickBot="1">
      <c r="A131" s="109"/>
      <c r="B131" s="109"/>
      <c r="C131" s="109"/>
      <c r="D131" s="109"/>
      <c r="E131" s="109"/>
      <c r="F131" s="109"/>
      <c r="G131" s="109"/>
      <c r="H131" s="109"/>
      <c r="I131" s="109"/>
      <c r="J131" s="109"/>
      <c r="K131" s="109"/>
      <c r="L131" s="109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109"/>
      <c r="Y131" s="109"/>
      <c r="Z131" s="109"/>
    </row>
    <row r="132" spans="1:26" ht="12" customHeight="1" thickBot="1">
      <c r="A132" s="117"/>
      <c r="B132" s="118"/>
      <c r="C132" s="111"/>
      <c r="D132" s="119" t="str">
        <f>'CHICLETS MASTER S1'!$K$27</f>
        <v>GOLDEN WEST COLLEGE 2</v>
      </c>
      <c r="E132" s="106"/>
      <c r="F132" s="111"/>
      <c r="G132" s="111"/>
      <c r="H132" s="111"/>
      <c r="I132" s="111"/>
      <c r="J132" s="111"/>
      <c r="K132" s="111"/>
      <c r="L132" s="111"/>
      <c r="M132" s="109"/>
      <c r="N132" s="109"/>
      <c r="O132" s="109"/>
      <c r="P132" s="109"/>
      <c r="Q132" s="109"/>
      <c r="R132" s="109"/>
      <c r="S132" s="109"/>
      <c r="T132" s="109"/>
      <c r="U132" s="109"/>
      <c r="V132" s="109"/>
      <c r="W132" s="109"/>
      <c r="X132" s="109"/>
      <c r="Y132" s="109"/>
      <c r="Z132" s="109"/>
    </row>
    <row r="133" spans="1:26" ht="12" customHeight="1">
      <c r="A133" s="145" t="s">
        <v>110</v>
      </c>
      <c r="B133" s="146" t="s">
        <v>111</v>
      </c>
      <c r="C133" s="145" t="s">
        <v>112</v>
      </c>
      <c r="D133" s="145" t="s">
        <v>113</v>
      </c>
      <c r="E133" s="145" t="s">
        <v>114</v>
      </c>
      <c r="F133" s="145" t="s">
        <v>115</v>
      </c>
      <c r="G133" s="145" t="s">
        <v>116</v>
      </c>
      <c r="H133" s="145" t="s">
        <v>117</v>
      </c>
      <c r="I133" s="145" t="s">
        <v>116</v>
      </c>
      <c r="J133" s="145" t="s">
        <v>118</v>
      </c>
      <c r="K133" s="145" t="s">
        <v>119</v>
      </c>
      <c r="L133" s="145" t="s">
        <v>120</v>
      </c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109"/>
      <c r="Y133" s="109"/>
      <c r="Z133" s="109"/>
    </row>
    <row r="134" spans="1:26" ht="12" customHeight="1">
      <c r="A134" s="135">
        <f t="shared" ref="A134:A137" si="32">$A$93</f>
        <v>46222</v>
      </c>
      <c r="B134" s="136">
        <f>'CHICLETS MASTER S1'!J28</f>
        <v>0.29166666666666669</v>
      </c>
      <c r="C134" s="136" t="s">
        <v>163</v>
      </c>
      <c r="D134" s="137" t="str">
        <f t="shared" ref="D134:D137" si="33">$D$132</f>
        <v>GOLDEN WEST COLLEGE 2</v>
      </c>
      <c r="E134" s="137">
        <v>63</v>
      </c>
      <c r="F134" s="136" t="s">
        <v>176</v>
      </c>
      <c r="G134" s="136"/>
      <c r="H134" s="136" t="s">
        <v>129</v>
      </c>
      <c r="I134" s="136"/>
      <c r="J134" s="137" t="s">
        <v>121</v>
      </c>
      <c r="K134" s="137"/>
      <c r="L134" s="136" t="str">
        <f t="shared" ref="L134:L149" si="34">IF(E134="","",$L$17&amp;"-"&amp;TEXT(E134,"000"))</f>
        <v>12C-063</v>
      </c>
      <c r="M134" s="109"/>
      <c r="N134" s="109" t="str">
        <f t="shared" ref="N134:N135" si="35">$L$113&amp;C134</f>
        <v>pt_Group</v>
      </c>
      <c r="O134" s="109"/>
      <c r="P134" s="109"/>
      <c r="Q134" s="109"/>
      <c r="R134" s="109"/>
      <c r="S134" s="109"/>
      <c r="T134" s="109"/>
      <c r="U134" s="109"/>
      <c r="V134" s="109"/>
      <c r="W134" s="109"/>
      <c r="X134" s="109"/>
      <c r="Y134" s="109"/>
      <c r="Z134" s="109"/>
    </row>
    <row r="135" spans="1:26" ht="12" customHeight="1">
      <c r="A135" s="135">
        <f t="shared" si="32"/>
        <v>46222</v>
      </c>
      <c r="B135" s="136">
        <f>'CHICLETS MASTER S1'!J29</f>
        <v>0.3263888888888889</v>
      </c>
      <c r="C135" s="136" t="s">
        <v>163</v>
      </c>
      <c r="D135" s="137" t="str">
        <f t="shared" si="33"/>
        <v>GOLDEN WEST COLLEGE 2</v>
      </c>
      <c r="E135" s="137">
        <v>71</v>
      </c>
      <c r="F135" s="136" t="s">
        <v>314</v>
      </c>
      <c r="G135" s="136"/>
      <c r="H135" s="136" t="s">
        <v>296</v>
      </c>
      <c r="I135" s="136"/>
      <c r="J135" s="137" t="s">
        <v>121</v>
      </c>
      <c r="K135" s="137"/>
      <c r="L135" s="136" t="str">
        <f t="shared" si="34"/>
        <v>12C-071</v>
      </c>
      <c r="M135" s="109"/>
      <c r="N135" s="109" t="str">
        <f t="shared" si="35"/>
        <v>pt_Group</v>
      </c>
      <c r="O135" s="109"/>
      <c r="P135" s="109"/>
      <c r="Q135" s="109"/>
      <c r="R135" s="109"/>
      <c r="S135" s="109"/>
      <c r="T135" s="109"/>
      <c r="U135" s="109"/>
      <c r="V135" s="109"/>
      <c r="W135" s="109"/>
      <c r="X135" s="109"/>
      <c r="Y135" s="109"/>
      <c r="Z135" s="109"/>
    </row>
    <row r="136" spans="1:26" ht="12" customHeight="1">
      <c r="A136" s="138">
        <f t="shared" si="32"/>
        <v>46222</v>
      </c>
      <c r="B136" s="133">
        <f>'CHICLETS MASTER S1'!J30</f>
        <v>0.36111111111111099</v>
      </c>
      <c r="C136" s="133" t="s">
        <v>163</v>
      </c>
      <c r="D136" s="134" t="str">
        <f t="shared" si="33"/>
        <v>GOLDEN WEST COLLEGE 2</v>
      </c>
      <c r="E136" s="134">
        <v>75</v>
      </c>
      <c r="F136" s="133" t="s">
        <v>307</v>
      </c>
      <c r="G136" s="134"/>
      <c r="H136" s="133" t="s">
        <v>325</v>
      </c>
      <c r="I136" s="134"/>
      <c r="J136" s="134" t="s">
        <v>121</v>
      </c>
      <c r="K136" s="134"/>
      <c r="L136" s="133" t="str">
        <f t="shared" si="34"/>
        <v>12C-075</v>
      </c>
      <c r="M136" s="109"/>
      <c r="N136" s="109" t="str">
        <f>$L$112&amp;C136</f>
        <v>au_Group</v>
      </c>
      <c r="O136" s="109"/>
      <c r="P136" s="109"/>
      <c r="Q136" s="109"/>
      <c r="R136" s="109"/>
      <c r="S136" s="109"/>
      <c r="T136" s="109"/>
      <c r="U136" s="109"/>
      <c r="V136" s="109"/>
      <c r="W136" s="109"/>
      <c r="X136" s="109"/>
      <c r="Y136" s="109"/>
      <c r="Z136" s="109"/>
    </row>
    <row r="137" spans="1:26" ht="12" customHeight="1">
      <c r="A137" s="135">
        <f t="shared" si="32"/>
        <v>46222</v>
      </c>
      <c r="B137" s="136">
        <f>'CHICLETS MASTER S1'!J31</f>
        <v>0.39583333333333398</v>
      </c>
      <c r="C137" s="136" t="s">
        <v>163</v>
      </c>
      <c r="D137" s="137" t="str">
        <f t="shared" si="33"/>
        <v>GOLDEN WEST COLLEGE 2</v>
      </c>
      <c r="E137" s="137">
        <v>79</v>
      </c>
      <c r="F137" s="136" t="s">
        <v>174</v>
      </c>
      <c r="G137" s="136"/>
      <c r="H137" s="136" t="s">
        <v>129</v>
      </c>
      <c r="I137" s="136"/>
      <c r="J137" s="137" t="s">
        <v>121</v>
      </c>
      <c r="K137" s="137"/>
      <c r="L137" s="136" t="str">
        <f t="shared" si="34"/>
        <v>12C-079</v>
      </c>
      <c r="M137" s="109"/>
      <c r="N137" s="109" t="str">
        <f>$L$113&amp;C137</f>
        <v>pt_Group</v>
      </c>
      <c r="O137" s="109"/>
      <c r="P137" s="109"/>
      <c r="Q137" s="109"/>
      <c r="R137" s="109"/>
      <c r="S137" s="109"/>
      <c r="T137" s="109"/>
      <c r="U137" s="109"/>
      <c r="V137" s="109"/>
      <c r="W137" s="109"/>
      <c r="X137" s="109"/>
      <c r="Y137" s="109"/>
      <c r="Z137" s="109"/>
    </row>
    <row r="138" spans="1:26" ht="12" customHeight="1">
      <c r="A138" s="106"/>
      <c r="B138" s="106"/>
      <c r="C138" s="106"/>
      <c r="D138" s="106"/>
      <c r="E138" s="106"/>
      <c r="F138" s="106"/>
      <c r="G138" s="106"/>
      <c r="H138" s="106"/>
      <c r="I138" s="106"/>
      <c r="J138" s="106"/>
      <c r="K138" s="106"/>
      <c r="L138" s="106" t="str">
        <f t="shared" si="34"/>
        <v/>
      </c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109"/>
      <c r="Y138" s="109"/>
      <c r="Z138" s="109"/>
    </row>
    <row r="139" spans="1:26" ht="12" customHeight="1">
      <c r="A139" s="135">
        <f t="shared" ref="A139:A141" si="36">$A$93</f>
        <v>46222</v>
      </c>
      <c r="B139" s="136">
        <f>'CHICLETS MASTER S1'!J33</f>
        <v>0.46527777777777801</v>
      </c>
      <c r="C139" s="136" t="s">
        <v>163</v>
      </c>
      <c r="D139" s="137" t="str">
        <f t="shared" ref="D139:D141" si="37">$D$132</f>
        <v>GOLDEN WEST COLLEGE 2</v>
      </c>
      <c r="E139" s="137">
        <v>87</v>
      </c>
      <c r="F139" s="136" t="s">
        <v>314</v>
      </c>
      <c r="G139" s="136"/>
      <c r="H139" s="136" t="s">
        <v>278</v>
      </c>
      <c r="I139" s="136"/>
      <c r="J139" s="137" t="s">
        <v>121</v>
      </c>
      <c r="K139" s="137"/>
      <c r="L139" s="136" t="str">
        <f t="shared" si="34"/>
        <v>12C-087</v>
      </c>
      <c r="M139" s="109"/>
      <c r="N139" s="109" t="str">
        <f>$L$113&amp;C139</f>
        <v>pt_Group</v>
      </c>
      <c r="O139" s="109"/>
      <c r="P139" s="109"/>
      <c r="Q139" s="109"/>
      <c r="R139" s="109"/>
      <c r="S139" s="109"/>
      <c r="T139" s="109"/>
      <c r="U139" s="109"/>
      <c r="V139" s="109"/>
      <c r="W139" s="109"/>
      <c r="X139" s="109"/>
      <c r="Y139" s="109"/>
      <c r="Z139" s="109"/>
    </row>
    <row r="140" spans="1:26" ht="12" customHeight="1">
      <c r="A140" s="138">
        <f t="shared" si="36"/>
        <v>46222</v>
      </c>
      <c r="B140" s="133">
        <f>'CHICLETS MASTER S1'!J34</f>
        <v>0.5</v>
      </c>
      <c r="C140" s="133" t="s">
        <v>163</v>
      </c>
      <c r="D140" s="134" t="str">
        <f t="shared" si="37"/>
        <v>GOLDEN WEST COLLEGE 2</v>
      </c>
      <c r="E140" s="134">
        <v>91</v>
      </c>
      <c r="F140" s="133" t="s">
        <v>289</v>
      </c>
      <c r="G140" s="134"/>
      <c r="H140" s="133" t="s">
        <v>325</v>
      </c>
      <c r="I140" s="134"/>
      <c r="J140" s="134" t="s">
        <v>121</v>
      </c>
      <c r="K140" s="134"/>
      <c r="L140" s="133" t="str">
        <f t="shared" si="34"/>
        <v>12C-091</v>
      </c>
      <c r="M140" s="109"/>
      <c r="N140" s="109" t="str">
        <f>$L$112&amp;C140</f>
        <v>au_Group</v>
      </c>
      <c r="O140" s="109"/>
      <c r="P140" s="109"/>
      <c r="Q140" s="109"/>
      <c r="R140" s="109"/>
      <c r="S140" s="109"/>
      <c r="T140" s="109"/>
      <c r="U140" s="109"/>
      <c r="V140" s="109"/>
      <c r="W140" s="109"/>
      <c r="X140" s="109"/>
      <c r="Y140" s="109"/>
      <c r="Z140" s="109"/>
    </row>
    <row r="141" spans="1:26" ht="12" customHeight="1">
      <c r="A141" s="135">
        <f t="shared" si="36"/>
        <v>46222</v>
      </c>
      <c r="B141" s="136">
        <f>'CHICLETS MASTER S1'!J35</f>
        <v>0.53472222222222199</v>
      </c>
      <c r="C141" s="136" t="s">
        <v>163</v>
      </c>
      <c r="D141" s="137" t="str">
        <f t="shared" si="37"/>
        <v>GOLDEN WEST COLLEGE 2</v>
      </c>
      <c r="E141" s="137">
        <v>95</v>
      </c>
      <c r="F141" s="136" t="s">
        <v>174</v>
      </c>
      <c r="G141" s="136"/>
      <c r="H141" s="136" t="s">
        <v>176</v>
      </c>
      <c r="I141" s="136"/>
      <c r="J141" s="137" t="s">
        <v>121</v>
      </c>
      <c r="K141" s="137"/>
      <c r="L141" s="136" t="str">
        <f t="shared" si="34"/>
        <v>12C-095</v>
      </c>
      <c r="M141" s="109"/>
      <c r="N141" s="109" t="str">
        <f>$L$113&amp;C141</f>
        <v>pt_Group</v>
      </c>
      <c r="O141" s="109"/>
      <c r="P141" s="109"/>
      <c r="Q141" s="109"/>
      <c r="R141" s="109"/>
      <c r="S141" s="109"/>
      <c r="T141" s="109"/>
      <c r="U141" s="109"/>
      <c r="V141" s="109"/>
      <c r="W141" s="109"/>
      <c r="X141" s="109"/>
      <c r="Y141" s="109"/>
      <c r="Z141" s="109"/>
    </row>
    <row r="142" spans="1:26" ht="12" customHeight="1">
      <c r="A142" s="106"/>
      <c r="B142" s="106"/>
      <c r="C142" s="106"/>
      <c r="D142" s="106"/>
      <c r="E142" s="106"/>
      <c r="F142" s="106"/>
      <c r="G142" s="106"/>
      <c r="H142" s="106"/>
      <c r="I142" s="106"/>
      <c r="J142" s="106"/>
      <c r="K142" s="106"/>
      <c r="L142" s="106" t="str">
        <f t="shared" si="34"/>
        <v/>
      </c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</row>
    <row r="143" spans="1:26" ht="12" customHeight="1">
      <c r="A143" s="135">
        <f t="shared" ref="A143:A149" si="38">$A$93</f>
        <v>46222</v>
      </c>
      <c r="B143" s="136">
        <f>'CHICLETS MASTER S1'!J37</f>
        <v>0.60416666666666696</v>
      </c>
      <c r="C143" s="136" t="s">
        <v>163</v>
      </c>
      <c r="D143" s="137" t="str">
        <f t="shared" ref="D143:D149" si="39">$D$132</f>
        <v>GOLDEN WEST COLLEGE 2</v>
      </c>
      <c r="E143" s="137">
        <v>103</v>
      </c>
      <c r="F143" s="136" t="s">
        <v>296</v>
      </c>
      <c r="G143" s="136"/>
      <c r="H143" s="136" t="s">
        <v>278</v>
      </c>
      <c r="I143" s="136"/>
      <c r="J143" s="137" t="s">
        <v>121</v>
      </c>
      <c r="K143" s="137"/>
      <c r="L143" s="136" t="str">
        <f t="shared" si="34"/>
        <v>12C-103</v>
      </c>
      <c r="M143" s="109"/>
      <c r="N143" s="109" t="str">
        <f>$L$113&amp;C143</f>
        <v>pt_Group</v>
      </c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</row>
    <row r="144" spans="1:26" ht="12" customHeight="1">
      <c r="A144" s="138">
        <f t="shared" si="38"/>
        <v>46222</v>
      </c>
      <c r="B144" s="133">
        <f>'CHICLETS MASTER S1'!J38</f>
        <v>0.63888888888888895</v>
      </c>
      <c r="C144" s="133" t="s">
        <v>163</v>
      </c>
      <c r="D144" s="134" t="str">
        <f t="shared" si="39"/>
        <v>GOLDEN WEST COLLEGE 2</v>
      </c>
      <c r="E144" s="134">
        <v>107</v>
      </c>
      <c r="F144" s="133" t="s">
        <v>289</v>
      </c>
      <c r="G144" s="134"/>
      <c r="H144" s="133" t="s">
        <v>307</v>
      </c>
      <c r="I144" s="134"/>
      <c r="J144" s="134" t="s">
        <v>121</v>
      </c>
      <c r="K144" s="134"/>
      <c r="L144" s="133" t="str">
        <f t="shared" si="34"/>
        <v>12C-107</v>
      </c>
      <c r="M144" s="109"/>
      <c r="N144" s="109" t="str">
        <f>$L$112&amp;C144</f>
        <v>au_Group</v>
      </c>
      <c r="O144" s="109"/>
      <c r="P144" s="109"/>
      <c r="Q144" s="109"/>
      <c r="R144" s="109"/>
      <c r="S144" s="109"/>
      <c r="T144" s="109"/>
      <c r="U144" s="109"/>
      <c r="V144" s="109"/>
      <c r="W144" s="109"/>
      <c r="X144" s="109"/>
      <c r="Y144" s="109"/>
      <c r="Z144" s="109"/>
    </row>
    <row r="145" spans="1:26" ht="12" customHeight="1">
      <c r="A145" s="106"/>
      <c r="B145" s="106"/>
      <c r="C145" s="106"/>
      <c r="D145" s="106"/>
      <c r="E145" s="106"/>
      <c r="F145" s="106"/>
      <c r="G145" s="106"/>
      <c r="H145" s="106"/>
      <c r="I145" s="106"/>
      <c r="J145" s="106"/>
      <c r="K145" s="106"/>
      <c r="L145" s="106" t="str">
        <f t="shared" si="34"/>
        <v/>
      </c>
      <c r="M145" s="109"/>
      <c r="N145" s="109"/>
      <c r="O145" s="109"/>
      <c r="P145" s="109"/>
      <c r="Q145" s="109"/>
      <c r="R145" s="109"/>
      <c r="S145" s="109"/>
      <c r="T145" s="109"/>
      <c r="U145" s="109"/>
      <c r="V145" s="109"/>
      <c r="W145" s="109"/>
      <c r="X145" s="109"/>
      <c r="Y145" s="109"/>
      <c r="Z145" s="109"/>
    </row>
    <row r="146" spans="1:26" ht="12" customHeight="1">
      <c r="A146" s="106"/>
      <c r="B146" s="106"/>
      <c r="C146" s="106"/>
      <c r="D146" s="106"/>
      <c r="E146" s="106"/>
      <c r="F146" s="106"/>
      <c r="G146" s="106"/>
      <c r="H146" s="106"/>
      <c r="I146" s="106"/>
      <c r="J146" s="106"/>
      <c r="K146" s="106"/>
      <c r="L146" s="106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109"/>
      <c r="Y146" s="109"/>
      <c r="Z146" s="109"/>
    </row>
    <row r="147" spans="1:26" ht="12" customHeight="1">
      <c r="A147" s="106"/>
      <c r="B147" s="106"/>
      <c r="C147" s="106"/>
      <c r="D147" s="106"/>
      <c r="E147" s="106"/>
      <c r="F147" s="106"/>
      <c r="G147" s="106"/>
      <c r="H147" s="106"/>
      <c r="I147" s="106"/>
      <c r="J147" s="106"/>
      <c r="K147" s="106"/>
      <c r="L147" s="106" t="str">
        <f t="shared" ref="L147" si="40">IF(E147="","",$L$17&amp;"-"&amp;TEXT(E147,"000"))</f>
        <v/>
      </c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  <c r="X147" s="109"/>
      <c r="Y147" s="109"/>
      <c r="Z147" s="109"/>
    </row>
    <row r="148" spans="1:26" ht="12" customHeight="1">
      <c r="A148" s="135">
        <f t="shared" si="38"/>
        <v>46222</v>
      </c>
      <c r="B148" s="136">
        <f>'CHICLETS MASTER S1'!J42</f>
        <v>0.77777777777777801</v>
      </c>
      <c r="C148" s="136" t="s">
        <v>758</v>
      </c>
      <c r="D148" s="137" t="str">
        <f t="shared" si="39"/>
        <v>GOLDEN WEST COLLEGE 2</v>
      </c>
      <c r="E148" s="137">
        <v>111</v>
      </c>
      <c r="F148" s="136" t="s">
        <v>763</v>
      </c>
      <c r="G148" s="136"/>
      <c r="H148" s="136" t="s">
        <v>764</v>
      </c>
      <c r="I148" s="136"/>
      <c r="J148" s="137">
        <v>125</v>
      </c>
      <c r="K148" s="137">
        <v>138</v>
      </c>
      <c r="L148" s="136" t="str">
        <f t="shared" si="34"/>
        <v>12C-111</v>
      </c>
      <c r="M148" s="109"/>
      <c r="N148" s="109" t="str">
        <f>$L$113&amp;C148</f>
        <v>pt_play-in</v>
      </c>
      <c r="O148" s="109"/>
      <c r="P148" s="109"/>
      <c r="Q148" s="109"/>
      <c r="R148" s="109"/>
      <c r="S148" s="109"/>
      <c r="T148" s="109"/>
      <c r="U148" s="109"/>
      <c r="V148" s="109"/>
      <c r="W148" s="109"/>
      <c r="X148" s="109"/>
      <c r="Y148" s="109"/>
      <c r="Z148" s="109"/>
    </row>
    <row r="149" spans="1:26" ht="12" customHeight="1">
      <c r="A149" s="138">
        <f t="shared" si="38"/>
        <v>46222</v>
      </c>
      <c r="B149" s="133">
        <f>'CHICLETS MASTER S1'!J43</f>
        <v>0.8125</v>
      </c>
      <c r="C149" s="133" t="s">
        <v>758</v>
      </c>
      <c r="D149" s="134" t="str">
        <f t="shared" si="39"/>
        <v>GOLDEN WEST COLLEGE 2</v>
      </c>
      <c r="E149" s="134">
        <v>115</v>
      </c>
      <c r="F149" s="133" t="s">
        <v>765</v>
      </c>
      <c r="G149" s="134"/>
      <c r="H149" s="133" t="s">
        <v>766</v>
      </c>
      <c r="I149" s="134"/>
      <c r="J149" s="134" t="s">
        <v>169</v>
      </c>
      <c r="K149" s="134" t="s">
        <v>767</v>
      </c>
      <c r="L149" s="133" t="str">
        <f t="shared" si="34"/>
        <v>12C-115</v>
      </c>
      <c r="M149" s="109"/>
      <c r="N149" s="109" t="str">
        <f>$L$112&amp;C149</f>
        <v>au_play-in</v>
      </c>
      <c r="O149" s="109"/>
      <c r="P149" s="109"/>
      <c r="Q149" s="109"/>
      <c r="R149" s="109"/>
      <c r="S149" s="109"/>
      <c r="T149" s="109"/>
      <c r="U149" s="109"/>
      <c r="V149" s="109"/>
      <c r="W149" s="109"/>
      <c r="X149" s="109"/>
      <c r="Y149" s="109"/>
      <c r="Z149" s="109"/>
    </row>
    <row r="150" spans="1:26" ht="12" customHeight="1" thickBot="1">
      <c r="A150" s="109"/>
      <c r="B150" s="109"/>
      <c r="C150" s="109"/>
      <c r="D150" s="109"/>
      <c r="E150" s="109"/>
      <c r="F150" s="109"/>
      <c r="G150" s="109"/>
      <c r="H150" s="109"/>
      <c r="I150" s="109"/>
      <c r="J150" s="109"/>
      <c r="K150" s="109"/>
      <c r="L150" s="109"/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109"/>
      <c r="Y150" s="109"/>
      <c r="Z150" s="109"/>
    </row>
    <row r="151" spans="1:26" ht="12" customHeight="1" thickBot="1">
      <c r="A151" s="117"/>
      <c r="B151" s="118"/>
      <c r="C151" s="111"/>
      <c r="D151" s="119" t="str">
        <f>'CHICLETS MASTER S1'!$M$27</f>
        <v>PORTOLA HS 2</v>
      </c>
      <c r="E151" s="106"/>
      <c r="F151" s="111"/>
      <c r="G151" s="111"/>
      <c r="H151" s="111"/>
      <c r="I151" s="111"/>
      <c r="J151" s="111"/>
      <c r="K151" s="111"/>
      <c r="L151" s="111"/>
      <c r="M151" s="109"/>
      <c r="N151" s="109"/>
      <c r="O151" s="109"/>
      <c r="P151" s="109"/>
      <c r="Q151" s="109"/>
      <c r="R151" s="109"/>
      <c r="S151" s="109"/>
      <c r="T151" s="109"/>
      <c r="U151" s="109"/>
      <c r="V151" s="109"/>
      <c r="W151" s="109"/>
      <c r="X151" s="109"/>
      <c r="Y151" s="109"/>
      <c r="Z151" s="109"/>
    </row>
    <row r="152" spans="1:26" ht="12" customHeight="1">
      <c r="A152" s="145" t="s">
        <v>110</v>
      </c>
      <c r="B152" s="146" t="s">
        <v>111</v>
      </c>
      <c r="C152" s="145" t="s">
        <v>112</v>
      </c>
      <c r="D152" s="145" t="s">
        <v>113</v>
      </c>
      <c r="E152" s="145" t="s">
        <v>114</v>
      </c>
      <c r="F152" s="145" t="s">
        <v>115</v>
      </c>
      <c r="G152" s="145" t="s">
        <v>116</v>
      </c>
      <c r="H152" s="145" t="s">
        <v>117</v>
      </c>
      <c r="I152" s="145" t="s">
        <v>116</v>
      </c>
      <c r="J152" s="145" t="s">
        <v>118</v>
      </c>
      <c r="K152" s="145" t="s">
        <v>119</v>
      </c>
      <c r="L152" s="145" t="s">
        <v>120</v>
      </c>
      <c r="M152" s="109"/>
      <c r="N152" s="109"/>
      <c r="O152" s="109"/>
      <c r="P152" s="109"/>
      <c r="Q152" s="109"/>
      <c r="R152" s="109"/>
      <c r="S152" s="109"/>
      <c r="T152" s="109"/>
      <c r="U152" s="109"/>
      <c r="V152" s="109"/>
      <c r="W152" s="109"/>
      <c r="X152" s="109"/>
      <c r="Y152" s="109"/>
      <c r="Z152" s="109"/>
    </row>
    <row r="153" spans="1:26" ht="12" customHeight="1">
      <c r="A153" s="135">
        <f t="shared" ref="A153:A164" si="41">$A$93</f>
        <v>46222</v>
      </c>
      <c r="B153" s="136">
        <f>'CHICLETS MASTER S1'!J28</f>
        <v>0.29166666666666669</v>
      </c>
      <c r="C153" s="136" t="s">
        <v>163</v>
      </c>
      <c r="D153" s="137" t="str">
        <f t="shared" ref="D153:D164" si="42">$D$151</f>
        <v>PORTOLA HS 2</v>
      </c>
      <c r="E153" s="137">
        <v>62</v>
      </c>
      <c r="F153" s="136" t="s">
        <v>137</v>
      </c>
      <c r="G153" s="136"/>
      <c r="H153" s="136" t="s">
        <v>133</v>
      </c>
      <c r="I153" s="136"/>
      <c r="J153" s="137" t="s">
        <v>121</v>
      </c>
      <c r="K153" s="137"/>
      <c r="L153" s="136" t="str">
        <f t="shared" ref="L153:L168" si="43">IF(E153="","",$L$17&amp;"-"&amp;TEXT(E153,"000"))</f>
        <v>12C-062</v>
      </c>
      <c r="M153" s="109"/>
      <c r="N153" s="109" t="str">
        <f>$L$113&amp;C153</f>
        <v>pt_Group</v>
      </c>
      <c r="O153" s="109"/>
      <c r="P153" s="109"/>
      <c r="Q153" s="109"/>
      <c r="R153" s="109"/>
      <c r="S153" s="109"/>
      <c r="T153" s="109"/>
      <c r="U153" s="109"/>
      <c r="V153" s="109"/>
      <c r="W153" s="109"/>
      <c r="X153" s="109"/>
      <c r="Y153" s="109"/>
      <c r="Z153" s="109"/>
    </row>
    <row r="154" spans="1:26" ht="12" customHeight="1">
      <c r="A154" s="138">
        <f t="shared" si="41"/>
        <v>46222</v>
      </c>
      <c r="B154" s="133">
        <f>'CHICLETS MASTER S1'!J29</f>
        <v>0.3263888888888889</v>
      </c>
      <c r="C154" s="133" t="s">
        <v>163</v>
      </c>
      <c r="D154" s="134" t="str">
        <f t="shared" si="42"/>
        <v>PORTOLA HS 2</v>
      </c>
      <c r="E154" s="134">
        <v>66</v>
      </c>
      <c r="F154" s="133" t="s">
        <v>678</v>
      </c>
      <c r="G154" s="134"/>
      <c r="H154" s="133" t="s">
        <v>710</v>
      </c>
      <c r="I154" s="134"/>
      <c r="J154" s="134" t="s">
        <v>121</v>
      </c>
      <c r="K154" s="134"/>
      <c r="L154" s="133" t="str">
        <f t="shared" si="43"/>
        <v>12C-066</v>
      </c>
      <c r="M154" s="109"/>
      <c r="N154" s="109" t="str">
        <f>$L$112&amp;C154</f>
        <v>au_Group</v>
      </c>
      <c r="O154" s="109"/>
      <c r="P154" s="109"/>
      <c r="Q154" s="109"/>
      <c r="R154" s="109"/>
      <c r="S154" s="109"/>
      <c r="T154" s="109"/>
      <c r="U154" s="109"/>
      <c r="V154" s="109"/>
      <c r="W154" s="109"/>
      <c r="X154" s="109"/>
      <c r="Y154" s="109"/>
      <c r="Z154" s="109"/>
    </row>
    <row r="155" spans="1:26" ht="12" customHeight="1">
      <c r="A155" s="135">
        <f t="shared" si="41"/>
        <v>46222</v>
      </c>
      <c r="B155" s="136">
        <f>'CHICLETS MASTER S1'!J30</f>
        <v>0.36111111111111099</v>
      </c>
      <c r="C155" s="136" t="s">
        <v>163</v>
      </c>
      <c r="D155" s="137" t="str">
        <f t="shared" si="42"/>
        <v>PORTOLA HS 2</v>
      </c>
      <c r="E155" s="137">
        <v>70</v>
      </c>
      <c r="F155" s="136" t="s">
        <v>126</v>
      </c>
      <c r="G155" s="136"/>
      <c r="H155" s="136" t="s">
        <v>146</v>
      </c>
      <c r="I155" s="136"/>
      <c r="J155" s="137" t="s">
        <v>121</v>
      </c>
      <c r="K155" s="137"/>
      <c r="L155" s="136" t="str">
        <f t="shared" si="43"/>
        <v>12C-070</v>
      </c>
      <c r="M155" s="109"/>
      <c r="N155" s="109" t="str">
        <f>$L$113&amp;C155</f>
        <v>pt_Group</v>
      </c>
      <c r="O155" s="109"/>
      <c r="P155" s="109"/>
      <c r="Q155" s="109"/>
      <c r="R155" s="109"/>
      <c r="S155" s="109"/>
      <c r="T155" s="109"/>
      <c r="U155" s="109"/>
      <c r="V155" s="109"/>
      <c r="W155" s="109"/>
      <c r="X155" s="109"/>
      <c r="Y155" s="109"/>
      <c r="Z155" s="109"/>
    </row>
    <row r="156" spans="1:26" ht="12" customHeight="1">
      <c r="A156" s="138">
        <f t="shared" si="41"/>
        <v>46222</v>
      </c>
      <c r="B156" s="133">
        <f>'CHICLETS MASTER S1'!J31</f>
        <v>0.39583333333333398</v>
      </c>
      <c r="C156" s="133" t="s">
        <v>163</v>
      </c>
      <c r="D156" s="134" t="str">
        <f t="shared" si="42"/>
        <v>PORTOLA HS 2</v>
      </c>
      <c r="E156" s="134">
        <v>74</v>
      </c>
      <c r="F156" s="133" t="s">
        <v>297</v>
      </c>
      <c r="G156" s="134"/>
      <c r="H156" s="133" t="s">
        <v>315</v>
      </c>
      <c r="I156" s="134"/>
      <c r="J156" s="134" t="s">
        <v>121</v>
      </c>
      <c r="K156" s="134"/>
      <c r="L156" s="133" t="str">
        <f t="shared" si="43"/>
        <v>12C-074</v>
      </c>
      <c r="M156" s="109"/>
      <c r="N156" s="109" t="str">
        <f>$L$112&amp;C156</f>
        <v>au_Group</v>
      </c>
      <c r="O156" s="109"/>
      <c r="P156" s="109"/>
      <c r="Q156" s="109"/>
      <c r="R156" s="109"/>
      <c r="S156" s="109"/>
      <c r="T156" s="109"/>
      <c r="U156" s="109"/>
      <c r="V156" s="109"/>
      <c r="W156" s="109"/>
      <c r="X156" s="109"/>
      <c r="Y156" s="109"/>
      <c r="Z156" s="109"/>
    </row>
    <row r="157" spans="1:26" ht="12" customHeight="1">
      <c r="A157" s="135">
        <f t="shared" si="41"/>
        <v>46222</v>
      </c>
      <c r="B157" s="136">
        <f>'CHICLETS MASTER S1'!J32</f>
        <v>0.43055555555555602</v>
      </c>
      <c r="C157" s="136" t="s">
        <v>163</v>
      </c>
      <c r="D157" s="137" t="str">
        <f t="shared" si="42"/>
        <v>PORTOLA HS 2</v>
      </c>
      <c r="E157" s="137">
        <v>78</v>
      </c>
      <c r="F157" s="136" t="s">
        <v>165</v>
      </c>
      <c r="G157" s="136"/>
      <c r="H157" s="136" t="s">
        <v>133</v>
      </c>
      <c r="I157" s="136"/>
      <c r="J157" s="137" t="s">
        <v>121</v>
      </c>
      <c r="K157" s="137"/>
      <c r="L157" s="136" t="str">
        <f t="shared" si="43"/>
        <v>12C-078</v>
      </c>
      <c r="M157" s="109"/>
      <c r="N157" s="109" t="str">
        <f>$L$113&amp;C157</f>
        <v>pt_Group</v>
      </c>
      <c r="O157" s="109"/>
      <c r="P157" s="109"/>
      <c r="Q157" s="109"/>
      <c r="R157" s="109"/>
      <c r="S157" s="109"/>
      <c r="T157" s="109"/>
      <c r="U157" s="109"/>
      <c r="V157" s="109"/>
      <c r="W157" s="109"/>
      <c r="X157" s="109"/>
      <c r="Y157" s="109"/>
      <c r="Z157" s="109"/>
    </row>
    <row r="158" spans="1:26" ht="12" customHeight="1">
      <c r="A158" s="138">
        <f t="shared" si="41"/>
        <v>46222</v>
      </c>
      <c r="B158" s="133">
        <f>'CHICLETS MASTER S1'!J33</f>
        <v>0.46527777777777801</v>
      </c>
      <c r="C158" s="133" t="s">
        <v>163</v>
      </c>
      <c r="D158" s="134" t="str">
        <f t="shared" si="42"/>
        <v>PORTOLA HS 2</v>
      </c>
      <c r="E158" s="134">
        <v>82</v>
      </c>
      <c r="F158" s="133" t="s">
        <v>678</v>
      </c>
      <c r="G158" s="134"/>
      <c r="H158" s="133" t="s">
        <v>705</v>
      </c>
      <c r="I158" s="134"/>
      <c r="J158" s="134" t="s">
        <v>121</v>
      </c>
      <c r="K158" s="134"/>
      <c r="L158" s="133" t="str">
        <f t="shared" si="43"/>
        <v>12C-082</v>
      </c>
      <c r="M158" s="109"/>
      <c r="N158" s="109" t="str">
        <f>$L$112&amp;C158</f>
        <v>au_Group</v>
      </c>
      <c r="O158" s="109"/>
      <c r="P158" s="109"/>
      <c r="Q158" s="109"/>
      <c r="R158" s="109"/>
      <c r="S158" s="109"/>
      <c r="T158" s="109"/>
      <c r="U158" s="109"/>
      <c r="V158" s="109"/>
      <c r="W158" s="109"/>
      <c r="X158" s="109"/>
      <c r="Y158" s="109"/>
      <c r="Z158" s="109"/>
    </row>
    <row r="159" spans="1:26" ht="12" customHeight="1">
      <c r="A159" s="135">
        <f t="shared" si="41"/>
        <v>46222</v>
      </c>
      <c r="B159" s="136">
        <f>'CHICLETS MASTER S1'!J34</f>
        <v>0.5</v>
      </c>
      <c r="C159" s="136" t="s">
        <v>163</v>
      </c>
      <c r="D159" s="137" t="str">
        <f t="shared" si="42"/>
        <v>PORTOLA HS 2</v>
      </c>
      <c r="E159" s="137">
        <v>86</v>
      </c>
      <c r="F159" s="136" t="s">
        <v>126</v>
      </c>
      <c r="G159" s="136"/>
      <c r="H159" s="136" t="s">
        <v>142</v>
      </c>
      <c r="I159" s="136"/>
      <c r="J159" s="137" t="s">
        <v>121</v>
      </c>
      <c r="K159" s="137"/>
      <c r="L159" s="136" t="str">
        <f t="shared" si="43"/>
        <v>12C-086</v>
      </c>
      <c r="M159" s="109"/>
      <c r="N159" s="109" t="str">
        <f>$L$113&amp;C159</f>
        <v>pt_Group</v>
      </c>
      <c r="O159" s="109"/>
      <c r="P159" s="109"/>
      <c r="Q159" s="109"/>
      <c r="R159" s="109"/>
      <c r="S159" s="109"/>
      <c r="T159" s="109"/>
      <c r="U159" s="109"/>
      <c r="V159" s="109"/>
      <c r="W159" s="109"/>
      <c r="X159" s="109"/>
      <c r="Y159" s="109"/>
      <c r="Z159" s="109"/>
    </row>
    <row r="160" spans="1:26" ht="12" customHeight="1">
      <c r="A160" s="138">
        <f t="shared" si="41"/>
        <v>46222</v>
      </c>
      <c r="B160" s="133">
        <f>'CHICLETS MASTER S1'!J35</f>
        <v>0.53472222222222199</v>
      </c>
      <c r="C160" s="133" t="s">
        <v>163</v>
      </c>
      <c r="D160" s="134" t="str">
        <f t="shared" si="42"/>
        <v>PORTOLA HS 2</v>
      </c>
      <c r="E160" s="134">
        <v>90</v>
      </c>
      <c r="F160" s="133" t="s">
        <v>279</v>
      </c>
      <c r="G160" s="134"/>
      <c r="H160" s="133" t="s">
        <v>315</v>
      </c>
      <c r="I160" s="134"/>
      <c r="J160" s="134" t="s">
        <v>121</v>
      </c>
      <c r="K160" s="134"/>
      <c r="L160" s="133" t="str">
        <f t="shared" si="43"/>
        <v>12C-090</v>
      </c>
      <c r="M160" s="109"/>
      <c r="N160" s="109" t="str">
        <f>$L$112&amp;C160</f>
        <v>au_Group</v>
      </c>
      <c r="O160" s="109"/>
      <c r="P160" s="109"/>
      <c r="Q160" s="109"/>
      <c r="R160" s="109"/>
      <c r="S160" s="109"/>
      <c r="T160" s="109"/>
      <c r="U160" s="109"/>
      <c r="V160" s="109"/>
      <c r="W160" s="109"/>
      <c r="X160" s="109"/>
      <c r="Y160" s="109"/>
      <c r="Z160" s="109"/>
    </row>
    <row r="161" spans="1:26" ht="12" customHeight="1">
      <c r="A161" s="135">
        <f t="shared" si="41"/>
        <v>46222</v>
      </c>
      <c r="B161" s="136">
        <f>'CHICLETS MASTER S1'!J36</f>
        <v>0.56944444444444497</v>
      </c>
      <c r="C161" s="136" t="s">
        <v>163</v>
      </c>
      <c r="D161" s="137" t="str">
        <f t="shared" si="42"/>
        <v>PORTOLA HS 2</v>
      </c>
      <c r="E161" s="137">
        <v>94</v>
      </c>
      <c r="F161" s="136" t="s">
        <v>165</v>
      </c>
      <c r="G161" s="136"/>
      <c r="H161" s="136" t="s">
        <v>137</v>
      </c>
      <c r="I161" s="136"/>
      <c r="J161" s="137" t="s">
        <v>121</v>
      </c>
      <c r="K161" s="137"/>
      <c r="L161" s="136" t="str">
        <f t="shared" si="43"/>
        <v>12C-094</v>
      </c>
      <c r="M161" s="109"/>
      <c r="N161" s="109" t="str">
        <f>$L$113&amp;C161</f>
        <v>pt_Group</v>
      </c>
      <c r="O161" s="109"/>
      <c r="P161" s="109"/>
      <c r="Q161" s="109"/>
      <c r="R161" s="109"/>
      <c r="S161" s="109"/>
      <c r="T161" s="109"/>
      <c r="U161" s="109"/>
      <c r="V161" s="109"/>
      <c r="W161" s="109"/>
      <c r="X161" s="109"/>
      <c r="Y161" s="109"/>
      <c r="Z161" s="109"/>
    </row>
    <row r="162" spans="1:26" ht="12" customHeight="1">
      <c r="A162" s="138">
        <f t="shared" si="41"/>
        <v>46222</v>
      </c>
      <c r="B162" s="133">
        <f>'CHICLETS MASTER S1'!J37</f>
        <v>0.60416666666666696</v>
      </c>
      <c r="C162" s="133" t="s">
        <v>163</v>
      </c>
      <c r="D162" s="134" t="str">
        <f t="shared" si="42"/>
        <v>PORTOLA HS 2</v>
      </c>
      <c r="E162" s="134">
        <v>98</v>
      </c>
      <c r="F162" s="133" t="s">
        <v>710</v>
      </c>
      <c r="G162" s="134"/>
      <c r="H162" s="133" t="s">
        <v>705</v>
      </c>
      <c r="I162" s="134"/>
      <c r="J162" s="134" t="s">
        <v>121</v>
      </c>
      <c r="K162" s="134"/>
      <c r="L162" s="133" t="str">
        <f t="shared" si="43"/>
        <v>12C-098</v>
      </c>
      <c r="M162" s="109"/>
      <c r="N162" s="109" t="str">
        <f>$L$112&amp;C162</f>
        <v>au_Group</v>
      </c>
      <c r="O162" s="109"/>
      <c r="P162" s="109"/>
      <c r="Q162" s="109"/>
      <c r="R162" s="109"/>
      <c r="S162" s="109"/>
      <c r="T162" s="109"/>
      <c r="U162" s="109"/>
      <c r="V162" s="109"/>
      <c r="W162" s="109"/>
      <c r="X162" s="109"/>
      <c r="Y162" s="109"/>
      <c r="Z162" s="109"/>
    </row>
    <row r="163" spans="1:26" ht="12" customHeight="1">
      <c r="A163" s="135">
        <f t="shared" si="41"/>
        <v>46222</v>
      </c>
      <c r="B163" s="136">
        <f>'CHICLETS MASTER S1'!J38</f>
        <v>0.63888888888888895</v>
      </c>
      <c r="C163" s="136" t="s">
        <v>163</v>
      </c>
      <c r="D163" s="137" t="str">
        <f t="shared" si="42"/>
        <v>PORTOLA HS 2</v>
      </c>
      <c r="E163" s="137">
        <v>102</v>
      </c>
      <c r="F163" s="136" t="s">
        <v>146</v>
      </c>
      <c r="G163" s="136"/>
      <c r="H163" s="136" t="s">
        <v>142</v>
      </c>
      <c r="I163" s="136"/>
      <c r="J163" s="137" t="s">
        <v>121</v>
      </c>
      <c r="K163" s="137"/>
      <c r="L163" s="136" t="str">
        <f t="shared" si="43"/>
        <v>12C-102</v>
      </c>
      <c r="M163" s="109"/>
      <c r="N163" s="109" t="str">
        <f>$L$113&amp;C163</f>
        <v>pt_Group</v>
      </c>
      <c r="O163" s="109"/>
      <c r="P163" s="109"/>
      <c r="Q163" s="109"/>
      <c r="R163" s="109"/>
      <c r="S163" s="109"/>
      <c r="T163" s="109"/>
      <c r="U163" s="109"/>
      <c r="V163" s="109"/>
      <c r="W163" s="109"/>
      <c r="X163" s="109"/>
      <c r="Y163" s="109"/>
      <c r="Z163" s="109"/>
    </row>
    <row r="164" spans="1:26" ht="12" customHeight="1">
      <c r="A164" s="138">
        <f t="shared" si="41"/>
        <v>46222</v>
      </c>
      <c r="B164" s="133">
        <f>'CHICLETS MASTER S1'!J39</f>
        <v>0.67361111111111105</v>
      </c>
      <c r="C164" s="133" t="s">
        <v>163</v>
      </c>
      <c r="D164" s="134" t="str">
        <f t="shared" si="42"/>
        <v>PORTOLA HS 2</v>
      </c>
      <c r="E164" s="134">
        <v>106</v>
      </c>
      <c r="F164" s="133" t="s">
        <v>279</v>
      </c>
      <c r="G164" s="134"/>
      <c r="H164" s="133" t="s">
        <v>297</v>
      </c>
      <c r="I164" s="134"/>
      <c r="J164" s="134" t="s">
        <v>121</v>
      </c>
      <c r="K164" s="134"/>
      <c r="L164" s="133" t="str">
        <f t="shared" si="43"/>
        <v>12C-106</v>
      </c>
      <c r="M164" s="109"/>
      <c r="N164" s="109" t="str">
        <f>$L$112&amp;C164</f>
        <v>au_Group</v>
      </c>
      <c r="O164" s="109"/>
      <c r="P164" s="109"/>
      <c r="Q164" s="109"/>
      <c r="R164" s="109"/>
      <c r="S164" s="109"/>
      <c r="T164" s="109"/>
      <c r="U164" s="109"/>
      <c r="V164" s="109"/>
      <c r="W164" s="109"/>
      <c r="X164" s="109"/>
      <c r="Y164" s="109"/>
      <c r="Z164" s="109"/>
    </row>
    <row r="165" spans="1:26" ht="12" customHeight="1">
      <c r="A165" s="106"/>
      <c r="B165" s="106" t="s">
        <v>204</v>
      </c>
      <c r="C165" s="106"/>
      <c r="D165" s="106"/>
      <c r="E165" s="106"/>
      <c r="F165" s="106"/>
      <c r="G165" s="106"/>
      <c r="H165" s="106"/>
      <c r="I165" s="106"/>
      <c r="J165" s="106"/>
      <c r="K165" s="106"/>
      <c r="L165" s="106" t="str">
        <f t="shared" si="43"/>
        <v/>
      </c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</row>
    <row r="166" spans="1:26" ht="12" customHeight="1">
      <c r="A166" s="135">
        <f t="shared" ref="A166:A168" si="44">$A$93</f>
        <v>46222</v>
      </c>
      <c r="B166" s="136">
        <f>'CHICLETS MASTER S1'!J41</f>
        <v>0.74305555555555602</v>
      </c>
      <c r="C166" s="136" t="s">
        <v>758</v>
      </c>
      <c r="D166" s="137" t="str">
        <f t="shared" ref="D166:D168" si="45">$D$151</f>
        <v>PORTOLA HS 2</v>
      </c>
      <c r="E166" s="137">
        <v>110</v>
      </c>
      <c r="F166" s="136" t="s">
        <v>768</v>
      </c>
      <c r="G166" s="136"/>
      <c r="H166" s="136" t="s">
        <v>769</v>
      </c>
      <c r="I166" s="136"/>
      <c r="J166" s="137">
        <v>129</v>
      </c>
      <c r="K166" s="137">
        <v>133</v>
      </c>
      <c r="L166" s="136" t="str">
        <f t="shared" si="43"/>
        <v>12C-110</v>
      </c>
      <c r="M166" s="109"/>
      <c r="N166" s="109" t="str">
        <f>$L$113&amp;C166</f>
        <v>pt_play-in</v>
      </c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</row>
    <row r="167" spans="1:26" ht="12" customHeight="1">
      <c r="A167" s="138">
        <f t="shared" si="44"/>
        <v>46222</v>
      </c>
      <c r="B167" s="133">
        <f>'CHICLETS MASTER S1'!J42</f>
        <v>0.77777777777777801</v>
      </c>
      <c r="C167" s="133" t="s">
        <v>758</v>
      </c>
      <c r="D167" s="134" t="str">
        <f t="shared" si="45"/>
        <v>PORTOLA HS 2</v>
      </c>
      <c r="E167" s="134">
        <v>114</v>
      </c>
      <c r="F167" s="133" t="s">
        <v>770</v>
      </c>
      <c r="G167" s="134"/>
      <c r="H167" s="133" t="s">
        <v>771</v>
      </c>
      <c r="I167" s="134"/>
      <c r="J167" s="134">
        <v>131</v>
      </c>
      <c r="K167" s="134" t="s">
        <v>183</v>
      </c>
      <c r="L167" s="133" t="str">
        <f t="shared" si="43"/>
        <v>12C-114</v>
      </c>
      <c r="M167" s="109"/>
      <c r="N167" s="109" t="str">
        <f t="shared" ref="N167:N168" si="46">$L$112&amp;C167</f>
        <v>au_play-in</v>
      </c>
      <c r="O167" s="109"/>
      <c r="P167" s="109"/>
      <c r="Q167" s="109"/>
      <c r="R167" s="109"/>
      <c r="S167" s="109"/>
      <c r="T167" s="109"/>
      <c r="U167" s="109"/>
      <c r="V167" s="109"/>
      <c r="W167" s="109"/>
      <c r="X167" s="109"/>
      <c r="Y167" s="109"/>
      <c r="Z167" s="109"/>
    </row>
    <row r="168" spans="1:26" ht="12" customHeight="1">
      <c r="A168" s="138">
        <f t="shared" si="44"/>
        <v>46222</v>
      </c>
      <c r="B168" s="133">
        <f>'CHICLETS MASTER S1'!J43</f>
        <v>0.8125</v>
      </c>
      <c r="C168" s="133" t="s">
        <v>758</v>
      </c>
      <c r="D168" s="134" t="str">
        <f t="shared" si="45"/>
        <v>PORTOLA HS 2</v>
      </c>
      <c r="E168" s="134">
        <v>83</v>
      </c>
      <c r="F168" s="133" t="s">
        <v>772</v>
      </c>
      <c r="G168" s="134"/>
      <c r="H168" s="133" t="s">
        <v>773</v>
      </c>
      <c r="I168" s="134"/>
      <c r="J168" s="134" t="s">
        <v>180</v>
      </c>
      <c r="K168" s="134" t="s">
        <v>774</v>
      </c>
      <c r="L168" s="133" t="str">
        <f t="shared" si="43"/>
        <v>12C-083</v>
      </c>
      <c r="M168" s="114"/>
      <c r="N168" s="109" t="str">
        <f t="shared" si="46"/>
        <v>au_play-in</v>
      </c>
      <c r="O168" s="114"/>
      <c r="P168" s="114"/>
      <c r="Q168" s="114"/>
      <c r="R168" s="114"/>
      <c r="S168" s="114"/>
      <c r="T168" s="114"/>
      <c r="U168" s="114"/>
      <c r="V168" s="109"/>
      <c r="W168" s="109"/>
      <c r="X168" s="109"/>
      <c r="Y168" s="109"/>
      <c r="Z168" s="109"/>
    </row>
    <row r="169" spans="1:26" ht="12" customHeight="1" thickBot="1">
      <c r="A169" s="114"/>
      <c r="B169" s="114"/>
      <c r="C169" s="114"/>
      <c r="D169" s="130"/>
      <c r="E169" s="114"/>
      <c r="F169" s="114"/>
      <c r="G169" s="114"/>
      <c r="H169" s="114"/>
      <c r="I169" s="114"/>
      <c r="J169" s="114"/>
      <c r="K169" s="114"/>
      <c r="L169" s="114"/>
      <c r="M169" s="114"/>
      <c r="N169" s="114"/>
      <c r="O169" s="114"/>
      <c r="P169" s="114"/>
      <c r="Q169" s="114"/>
      <c r="R169" s="114"/>
      <c r="S169" s="114"/>
      <c r="T169" s="114"/>
      <c r="U169" s="114"/>
      <c r="V169" s="109"/>
      <c r="W169" s="109"/>
      <c r="X169" s="109"/>
      <c r="Y169" s="109"/>
      <c r="Z169" s="109"/>
    </row>
    <row r="170" spans="1:26" ht="12" customHeight="1" thickBot="1">
      <c r="A170" s="117"/>
      <c r="B170" s="118"/>
      <c r="C170" s="111"/>
      <c r="D170" s="119" t="str">
        <f>'CHICLETS MASTER S1'!$N$27</f>
        <v>TRABUCO HILLS HS</v>
      </c>
      <c r="E170" s="106"/>
      <c r="F170" s="111"/>
      <c r="G170" s="111"/>
      <c r="H170" s="111"/>
      <c r="I170" s="111"/>
      <c r="J170" s="111"/>
      <c r="K170" s="111"/>
      <c r="L170" s="111"/>
      <c r="M170" s="114"/>
      <c r="N170" s="114"/>
      <c r="O170" s="114"/>
      <c r="P170" s="114"/>
      <c r="Q170" s="114"/>
      <c r="R170" s="114"/>
      <c r="S170" s="114"/>
      <c r="T170" s="114"/>
      <c r="U170" s="114"/>
      <c r="V170" s="109"/>
      <c r="W170" s="109"/>
      <c r="X170" s="109"/>
      <c r="Y170" s="109"/>
      <c r="Z170" s="109"/>
    </row>
    <row r="171" spans="1:26" ht="12" customHeight="1">
      <c r="A171" s="145" t="s">
        <v>110</v>
      </c>
      <c r="B171" s="146" t="s">
        <v>111</v>
      </c>
      <c r="C171" s="145" t="s">
        <v>112</v>
      </c>
      <c r="D171" s="145" t="s">
        <v>113</v>
      </c>
      <c r="E171" s="145" t="s">
        <v>114</v>
      </c>
      <c r="F171" s="145" t="s">
        <v>115</v>
      </c>
      <c r="G171" s="145" t="s">
        <v>116</v>
      </c>
      <c r="H171" s="145" t="s">
        <v>117</v>
      </c>
      <c r="I171" s="145" t="s">
        <v>116</v>
      </c>
      <c r="J171" s="145" t="s">
        <v>118</v>
      </c>
      <c r="K171" s="145" t="s">
        <v>119</v>
      </c>
      <c r="L171" s="145" t="s">
        <v>120</v>
      </c>
      <c r="M171" s="114"/>
      <c r="N171" s="114"/>
      <c r="O171" s="114"/>
      <c r="P171" s="114"/>
      <c r="Q171" s="114"/>
      <c r="R171" s="114"/>
      <c r="S171" s="114"/>
      <c r="T171" s="114"/>
      <c r="U171" s="114"/>
      <c r="V171" s="109"/>
      <c r="W171" s="109"/>
      <c r="X171" s="109"/>
      <c r="Y171" s="109"/>
      <c r="Z171" s="109"/>
    </row>
    <row r="172" spans="1:26" ht="12" customHeight="1">
      <c r="A172" s="135">
        <f t="shared" ref="A172:A183" si="47">$A$93</f>
        <v>46222</v>
      </c>
      <c r="B172" s="136">
        <f>'CHICLETS MASTER S1'!J28</f>
        <v>0.29166666666666669</v>
      </c>
      <c r="C172" s="136" t="s">
        <v>163</v>
      </c>
      <c r="D172" s="137" t="str">
        <f t="shared" ref="D172:D183" si="48">$D$170</f>
        <v>TRABUCO HILLS HS</v>
      </c>
      <c r="E172" s="137">
        <v>61</v>
      </c>
      <c r="F172" s="136" t="s">
        <v>141</v>
      </c>
      <c r="G172" s="136"/>
      <c r="H172" s="136" t="s">
        <v>145</v>
      </c>
      <c r="I172" s="136"/>
      <c r="J172" s="137" t="s">
        <v>121</v>
      </c>
      <c r="K172" s="137"/>
      <c r="L172" s="136" t="str">
        <f t="shared" ref="L172:L187" si="49">IF(E172="","",$L$17&amp;"-"&amp;TEXT(E172,"000"))</f>
        <v>12C-061</v>
      </c>
      <c r="M172" s="109"/>
      <c r="N172" s="109" t="str">
        <f>$L$113&amp;C172</f>
        <v>pt_Group</v>
      </c>
      <c r="O172" s="109"/>
      <c r="P172" s="109"/>
      <c r="Q172" s="109"/>
      <c r="R172" s="109"/>
      <c r="S172" s="109"/>
      <c r="T172" s="109"/>
      <c r="U172" s="109"/>
      <c r="V172" s="109"/>
      <c r="W172" s="109"/>
      <c r="X172" s="109"/>
      <c r="Y172" s="109"/>
      <c r="Z172" s="109"/>
    </row>
    <row r="173" spans="1:26" ht="12" customHeight="1">
      <c r="A173" s="138">
        <f t="shared" si="47"/>
        <v>46222</v>
      </c>
      <c r="B173" s="133">
        <f>'CHICLETS MASTER S1'!J29</f>
        <v>0.3263888888888889</v>
      </c>
      <c r="C173" s="133" t="s">
        <v>163</v>
      </c>
      <c r="D173" s="134" t="str">
        <f t="shared" si="48"/>
        <v>TRABUCO HILLS HS</v>
      </c>
      <c r="E173" s="134">
        <v>65</v>
      </c>
      <c r="F173" s="133" t="s">
        <v>673</v>
      </c>
      <c r="G173" s="134"/>
      <c r="H173" s="133" t="s">
        <v>689</v>
      </c>
      <c r="I173" s="134"/>
      <c r="J173" s="134" t="s">
        <v>121</v>
      </c>
      <c r="K173" s="134"/>
      <c r="L173" s="133" t="str">
        <f t="shared" si="49"/>
        <v>12C-065</v>
      </c>
      <c r="M173" s="109"/>
      <c r="N173" s="109" t="str">
        <f>$L$112&amp;C173</f>
        <v>au_Group</v>
      </c>
      <c r="O173" s="109"/>
      <c r="P173" s="109"/>
      <c r="Q173" s="109"/>
      <c r="R173" s="109"/>
      <c r="S173" s="109"/>
      <c r="T173" s="109"/>
      <c r="U173" s="109"/>
      <c r="V173" s="109"/>
      <c r="W173" s="109"/>
      <c r="X173" s="109"/>
      <c r="Y173" s="109"/>
      <c r="Z173" s="109"/>
    </row>
    <row r="174" spans="1:26" ht="12" customHeight="1">
      <c r="A174" s="135">
        <f t="shared" si="47"/>
        <v>46222</v>
      </c>
      <c r="B174" s="136">
        <f>'CHICLETS MASTER S1'!J30</f>
        <v>0.36111111111111099</v>
      </c>
      <c r="C174" s="136" t="s">
        <v>163</v>
      </c>
      <c r="D174" s="137" t="str">
        <f t="shared" si="48"/>
        <v>TRABUCO HILLS HS</v>
      </c>
      <c r="E174" s="137">
        <v>69</v>
      </c>
      <c r="F174" s="136" t="s">
        <v>130</v>
      </c>
      <c r="G174" s="136"/>
      <c r="H174" s="136" t="s">
        <v>134</v>
      </c>
      <c r="I174" s="136"/>
      <c r="J174" s="137" t="s">
        <v>121</v>
      </c>
      <c r="K174" s="137"/>
      <c r="L174" s="136" t="str">
        <f t="shared" si="49"/>
        <v>12C-069</v>
      </c>
      <c r="M174" s="109"/>
      <c r="N174" s="109" t="str">
        <f>$L$113&amp;C174</f>
        <v>pt_Group</v>
      </c>
      <c r="O174" s="109"/>
      <c r="P174" s="109"/>
      <c r="Q174" s="109"/>
      <c r="R174" s="109"/>
      <c r="S174" s="109"/>
      <c r="T174" s="109"/>
      <c r="U174" s="109"/>
      <c r="V174" s="109"/>
      <c r="W174" s="109"/>
      <c r="X174" s="109"/>
      <c r="Y174" s="109"/>
      <c r="Z174" s="109"/>
    </row>
    <row r="175" spans="1:26" ht="12" customHeight="1">
      <c r="A175" s="138">
        <f t="shared" si="47"/>
        <v>46222</v>
      </c>
      <c r="B175" s="133">
        <f>'CHICLETS MASTER S1'!J31</f>
        <v>0.39583333333333398</v>
      </c>
      <c r="C175" s="133" t="s">
        <v>163</v>
      </c>
      <c r="D175" s="134" t="str">
        <f t="shared" si="48"/>
        <v>TRABUCO HILLS HS</v>
      </c>
      <c r="E175" s="134">
        <v>73</v>
      </c>
      <c r="F175" s="133" t="s">
        <v>301</v>
      </c>
      <c r="G175" s="134"/>
      <c r="H175" s="133" t="s">
        <v>319</v>
      </c>
      <c r="I175" s="134"/>
      <c r="J175" s="134" t="s">
        <v>121</v>
      </c>
      <c r="K175" s="134"/>
      <c r="L175" s="133" t="str">
        <f t="shared" si="49"/>
        <v>12C-073</v>
      </c>
      <c r="M175" s="109"/>
      <c r="N175" s="109" t="str">
        <f>$L$112&amp;C175</f>
        <v>au_Group</v>
      </c>
      <c r="O175" s="109"/>
      <c r="P175" s="109"/>
      <c r="Q175" s="109"/>
      <c r="R175" s="109"/>
      <c r="S175" s="109"/>
      <c r="T175" s="109"/>
      <c r="U175" s="109"/>
      <c r="V175" s="109"/>
      <c r="W175" s="109"/>
      <c r="X175" s="109"/>
      <c r="Y175" s="109"/>
      <c r="Z175" s="109"/>
    </row>
    <row r="176" spans="1:26" ht="12" customHeight="1">
      <c r="A176" s="135">
        <f t="shared" si="47"/>
        <v>46222</v>
      </c>
      <c r="B176" s="136">
        <f>'CHICLETS MASTER S1'!J32</f>
        <v>0.43055555555555602</v>
      </c>
      <c r="C176" s="136" t="s">
        <v>163</v>
      </c>
      <c r="D176" s="137" t="str">
        <f t="shared" si="48"/>
        <v>TRABUCO HILLS HS</v>
      </c>
      <c r="E176" s="137">
        <v>77</v>
      </c>
      <c r="F176" s="136" t="s">
        <v>164</v>
      </c>
      <c r="G176" s="136"/>
      <c r="H176" s="136" t="s">
        <v>145</v>
      </c>
      <c r="I176" s="136"/>
      <c r="J176" s="137" t="s">
        <v>121</v>
      </c>
      <c r="K176" s="137"/>
      <c r="L176" s="136" t="str">
        <f t="shared" si="49"/>
        <v>12C-077</v>
      </c>
      <c r="M176" s="109"/>
      <c r="N176" s="109" t="str">
        <f>$L$113&amp;C176</f>
        <v>pt_Group</v>
      </c>
      <c r="O176" s="109"/>
      <c r="P176" s="109"/>
      <c r="Q176" s="109"/>
      <c r="R176" s="109"/>
      <c r="S176" s="109"/>
      <c r="T176" s="109"/>
      <c r="U176" s="109"/>
      <c r="V176" s="109"/>
      <c r="W176" s="109"/>
      <c r="X176" s="109"/>
      <c r="Y176" s="109"/>
      <c r="Z176" s="109"/>
    </row>
    <row r="177" spans="1:26" ht="12" customHeight="1">
      <c r="A177" s="138">
        <f t="shared" si="47"/>
        <v>46222</v>
      </c>
      <c r="B177" s="133">
        <f>'CHICLETS MASTER S1'!J33</f>
        <v>0.46527777777777801</v>
      </c>
      <c r="C177" s="133" t="s">
        <v>163</v>
      </c>
      <c r="D177" s="134" t="str">
        <f t="shared" si="48"/>
        <v>TRABUCO HILLS HS</v>
      </c>
      <c r="E177" s="134">
        <v>81</v>
      </c>
      <c r="F177" s="133" t="s">
        <v>673</v>
      </c>
      <c r="G177" s="134"/>
      <c r="H177" s="133" t="s">
        <v>654</v>
      </c>
      <c r="I177" s="134"/>
      <c r="J177" s="134" t="s">
        <v>121</v>
      </c>
      <c r="K177" s="134"/>
      <c r="L177" s="133" t="str">
        <f t="shared" si="49"/>
        <v>12C-081</v>
      </c>
      <c r="M177" s="109"/>
      <c r="N177" s="109" t="str">
        <f>$L$112&amp;C177</f>
        <v>au_Group</v>
      </c>
      <c r="O177" s="109"/>
      <c r="P177" s="109"/>
      <c r="Q177" s="109"/>
      <c r="R177" s="109"/>
      <c r="S177" s="109"/>
      <c r="T177" s="109"/>
      <c r="U177" s="109"/>
      <c r="V177" s="109"/>
      <c r="W177" s="109"/>
      <c r="X177" s="109"/>
      <c r="Y177" s="109"/>
      <c r="Z177" s="109"/>
    </row>
    <row r="178" spans="1:26" ht="12" customHeight="1">
      <c r="A178" s="135">
        <f t="shared" si="47"/>
        <v>46222</v>
      </c>
      <c r="B178" s="136">
        <f>'CHICLETS MASTER S1'!J34</f>
        <v>0.5</v>
      </c>
      <c r="C178" s="136" t="s">
        <v>163</v>
      </c>
      <c r="D178" s="137" t="str">
        <f t="shared" si="48"/>
        <v>TRABUCO HILLS HS</v>
      </c>
      <c r="E178" s="137">
        <v>85</v>
      </c>
      <c r="F178" s="136" t="s">
        <v>130</v>
      </c>
      <c r="G178" s="136"/>
      <c r="H178" s="136" t="s">
        <v>138</v>
      </c>
      <c r="I178" s="136"/>
      <c r="J178" s="137" t="s">
        <v>121</v>
      </c>
      <c r="K178" s="137"/>
      <c r="L178" s="136" t="str">
        <f t="shared" si="49"/>
        <v>12C-085</v>
      </c>
      <c r="M178" s="109"/>
      <c r="N178" s="109" t="str">
        <f>$L$113&amp;C178</f>
        <v>pt_Group</v>
      </c>
      <c r="O178" s="109"/>
      <c r="P178" s="109"/>
      <c r="Q178" s="109"/>
      <c r="R178" s="109"/>
      <c r="S178" s="109"/>
      <c r="T178" s="109"/>
      <c r="U178" s="109"/>
      <c r="V178" s="109"/>
      <c r="W178" s="109"/>
      <c r="X178" s="109"/>
      <c r="Y178" s="109"/>
      <c r="Z178" s="109"/>
    </row>
    <row r="179" spans="1:26" ht="12" customHeight="1">
      <c r="A179" s="138">
        <f t="shared" si="47"/>
        <v>46222</v>
      </c>
      <c r="B179" s="133">
        <f>'CHICLETS MASTER S1'!J35</f>
        <v>0.53472222222222199</v>
      </c>
      <c r="C179" s="133" t="s">
        <v>163</v>
      </c>
      <c r="D179" s="134" t="str">
        <f t="shared" si="48"/>
        <v>TRABUCO HILLS HS</v>
      </c>
      <c r="E179" s="134">
        <v>89</v>
      </c>
      <c r="F179" s="133" t="s">
        <v>283</v>
      </c>
      <c r="G179" s="134"/>
      <c r="H179" s="133" t="s">
        <v>319</v>
      </c>
      <c r="I179" s="134"/>
      <c r="J179" s="134" t="s">
        <v>121</v>
      </c>
      <c r="K179" s="134"/>
      <c r="L179" s="133" t="str">
        <f t="shared" si="49"/>
        <v>12C-089</v>
      </c>
      <c r="M179" s="109"/>
      <c r="N179" s="109" t="str">
        <f>$L$112&amp;C179</f>
        <v>au_Group</v>
      </c>
      <c r="O179" s="109"/>
      <c r="P179" s="109"/>
      <c r="Q179" s="109"/>
      <c r="R179" s="109"/>
      <c r="S179" s="109"/>
      <c r="T179" s="109"/>
      <c r="U179" s="109"/>
      <c r="V179" s="109"/>
      <c r="W179" s="109"/>
      <c r="X179" s="109"/>
      <c r="Y179" s="109"/>
      <c r="Z179" s="109"/>
    </row>
    <row r="180" spans="1:26" ht="12" customHeight="1">
      <c r="A180" s="135">
        <f t="shared" si="47"/>
        <v>46222</v>
      </c>
      <c r="B180" s="136">
        <f>'CHICLETS MASTER S1'!J36</f>
        <v>0.56944444444444497</v>
      </c>
      <c r="C180" s="136" t="s">
        <v>163</v>
      </c>
      <c r="D180" s="137" t="str">
        <f t="shared" si="48"/>
        <v>TRABUCO HILLS HS</v>
      </c>
      <c r="E180" s="137">
        <v>93</v>
      </c>
      <c r="F180" s="136" t="s">
        <v>164</v>
      </c>
      <c r="G180" s="136"/>
      <c r="H180" s="136" t="s">
        <v>141</v>
      </c>
      <c r="I180" s="136"/>
      <c r="J180" s="137" t="s">
        <v>121</v>
      </c>
      <c r="K180" s="137"/>
      <c r="L180" s="136" t="str">
        <f t="shared" si="49"/>
        <v>12C-093</v>
      </c>
      <c r="M180" s="109"/>
      <c r="N180" s="109" t="str">
        <f>$L$113&amp;C180</f>
        <v>pt_Group</v>
      </c>
      <c r="O180" s="109"/>
      <c r="P180" s="109"/>
      <c r="Q180" s="109"/>
      <c r="R180" s="109"/>
      <c r="S180" s="109"/>
      <c r="T180" s="109"/>
      <c r="U180" s="109"/>
      <c r="V180" s="109"/>
      <c r="W180" s="109"/>
      <c r="X180" s="109"/>
      <c r="Y180" s="109"/>
      <c r="Z180" s="109"/>
    </row>
    <row r="181" spans="1:26" ht="12" customHeight="1">
      <c r="A181" s="138">
        <f t="shared" si="47"/>
        <v>46222</v>
      </c>
      <c r="B181" s="133">
        <f>'CHICLETS MASTER S1'!J37</f>
        <v>0.60416666666666696</v>
      </c>
      <c r="C181" s="133" t="s">
        <v>163</v>
      </c>
      <c r="D181" s="134" t="str">
        <f t="shared" si="48"/>
        <v>TRABUCO HILLS HS</v>
      </c>
      <c r="E181" s="134">
        <v>97</v>
      </c>
      <c r="F181" s="133" t="s">
        <v>689</v>
      </c>
      <c r="G181" s="134"/>
      <c r="H181" s="133" t="s">
        <v>654</v>
      </c>
      <c r="I181" s="134"/>
      <c r="J181" s="134" t="s">
        <v>121</v>
      </c>
      <c r="K181" s="134"/>
      <c r="L181" s="133" t="str">
        <f t="shared" si="49"/>
        <v>12C-097</v>
      </c>
      <c r="M181" s="109"/>
      <c r="N181" s="109" t="str">
        <f>$L$112&amp;C181</f>
        <v>au_Group</v>
      </c>
      <c r="O181" s="109"/>
      <c r="P181" s="109"/>
      <c r="Q181" s="109"/>
      <c r="R181" s="109"/>
      <c r="S181" s="109"/>
      <c r="T181" s="109"/>
      <c r="U181" s="109"/>
      <c r="V181" s="109"/>
      <c r="W181" s="109"/>
      <c r="X181" s="109"/>
      <c r="Y181" s="109"/>
      <c r="Z181" s="109"/>
    </row>
    <row r="182" spans="1:26" ht="12" customHeight="1">
      <c r="A182" s="135">
        <f t="shared" si="47"/>
        <v>46222</v>
      </c>
      <c r="B182" s="136">
        <f>'CHICLETS MASTER S1'!J38</f>
        <v>0.63888888888888895</v>
      </c>
      <c r="C182" s="136" t="s">
        <v>163</v>
      </c>
      <c r="D182" s="137" t="str">
        <f t="shared" si="48"/>
        <v>TRABUCO HILLS HS</v>
      </c>
      <c r="E182" s="137">
        <v>101</v>
      </c>
      <c r="F182" s="136" t="s">
        <v>134</v>
      </c>
      <c r="G182" s="136"/>
      <c r="H182" s="136" t="s">
        <v>138</v>
      </c>
      <c r="I182" s="136"/>
      <c r="J182" s="137" t="s">
        <v>121</v>
      </c>
      <c r="K182" s="137"/>
      <c r="L182" s="136" t="str">
        <f t="shared" si="49"/>
        <v>12C-101</v>
      </c>
      <c r="M182" s="109"/>
      <c r="N182" s="109" t="str">
        <f>$L$113&amp;C182</f>
        <v>pt_Group</v>
      </c>
      <c r="O182" s="109"/>
      <c r="P182" s="109"/>
      <c r="Q182" s="109"/>
      <c r="R182" s="109"/>
      <c r="S182" s="109"/>
      <c r="T182" s="109"/>
      <c r="U182" s="109"/>
      <c r="V182" s="109"/>
      <c r="W182" s="109"/>
      <c r="X182" s="109"/>
      <c r="Y182" s="109"/>
      <c r="Z182" s="109"/>
    </row>
    <row r="183" spans="1:26" ht="12" customHeight="1">
      <c r="A183" s="138">
        <f t="shared" si="47"/>
        <v>46222</v>
      </c>
      <c r="B183" s="133">
        <f>'CHICLETS MASTER S1'!J39</f>
        <v>0.67361111111111105</v>
      </c>
      <c r="C183" s="133" t="s">
        <v>163</v>
      </c>
      <c r="D183" s="134" t="str">
        <f t="shared" si="48"/>
        <v>TRABUCO HILLS HS</v>
      </c>
      <c r="E183" s="134">
        <v>105</v>
      </c>
      <c r="F183" s="133" t="s">
        <v>283</v>
      </c>
      <c r="G183" s="134"/>
      <c r="H183" s="133" t="s">
        <v>301</v>
      </c>
      <c r="I183" s="134"/>
      <c r="J183" s="134" t="s">
        <v>121</v>
      </c>
      <c r="K183" s="134"/>
      <c r="L183" s="133" t="str">
        <f t="shared" si="49"/>
        <v>12C-105</v>
      </c>
      <c r="M183" s="109"/>
      <c r="N183" s="109" t="str">
        <f>$L$112&amp;C183</f>
        <v>au_Group</v>
      </c>
      <c r="O183" s="109"/>
      <c r="P183" s="109"/>
      <c r="Q183" s="109"/>
      <c r="R183" s="109"/>
      <c r="S183" s="109"/>
      <c r="T183" s="109"/>
      <c r="U183" s="109"/>
      <c r="V183" s="109"/>
      <c r="W183" s="109"/>
      <c r="X183" s="109"/>
      <c r="Y183" s="109"/>
      <c r="Z183" s="109"/>
    </row>
    <row r="184" spans="1:26" ht="12" customHeight="1">
      <c r="A184" s="106"/>
      <c r="B184" s="160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 t="str">
        <f t="shared" si="49"/>
        <v/>
      </c>
      <c r="M184" s="114"/>
      <c r="N184" s="114"/>
      <c r="O184" s="114"/>
      <c r="P184" s="114"/>
      <c r="Q184" s="114"/>
      <c r="R184" s="114"/>
      <c r="S184" s="114"/>
      <c r="T184" s="114"/>
      <c r="U184" s="114"/>
      <c r="V184" s="109"/>
      <c r="W184" s="109"/>
      <c r="X184" s="109"/>
      <c r="Y184" s="109"/>
      <c r="Z184" s="109"/>
    </row>
    <row r="185" spans="1:26" ht="12" customHeight="1">
      <c r="A185" s="135">
        <f t="shared" ref="A185:A187" si="50">$A$93</f>
        <v>46222</v>
      </c>
      <c r="B185" s="136">
        <f>'CHICLETS MASTER S1'!J41</f>
        <v>0.74305555555555602</v>
      </c>
      <c r="C185" s="136" t="s">
        <v>758</v>
      </c>
      <c r="D185" s="137" t="str">
        <f t="shared" ref="D185:D187" si="51">$D$170</f>
        <v>TRABUCO HILLS HS</v>
      </c>
      <c r="E185" s="137">
        <v>109</v>
      </c>
      <c r="F185" s="136" t="s">
        <v>775</v>
      </c>
      <c r="G185" s="136"/>
      <c r="H185" s="136" t="s">
        <v>776</v>
      </c>
      <c r="I185" s="136"/>
      <c r="J185" s="137">
        <v>130</v>
      </c>
      <c r="K185" s="137">
        <v>134</v>
      </c>
      <c r="L185" s="136" t="str">
        <f t="shared" si="49"/>
        <v>12C-109</v>
      </c>
      <c r="M185" s="109"/>
      <c r="N185" s="109" t="str">
        <f>$L$113&amp;C185</f>
        <v>pt_play-in</v>
      </c>
      <c r="O185" s="109"/>
      <c r="P185" s="109"/>
      <c r="Q185" s="109"/>
      <c r="R185" s="109"/>
      <c r="S185" s="109"/>
      <c r="T185" s="109"/>
      <c r="U185" s="109"/>
      <c r="V185" s="109"/>
      <c r="W185" s="109"/>
      <c r="X185" s="109"/>
      <c r="Y185" s="109"/>
      <c r="Z185" s="109"/>
    </row>
    <row r="186" spans="1:26" ht="12" customHeight="1">
      <c r="A186" s="138">
        <f t="shared" si="50"/>
        <v>46222</v>
      </c>
      <c r="B186" s="133">
        <f>'CHICLETS MASTER S1'!J42</f>
        <v>0.77777777777777801</v>
      </c>
      <c r="C186" s="133" t="s">
        <v>758</v>
      </c>
      <c r="D186" s="134" t="str">
        <f t="shared" si="51"/>
        <v>TRABUCO HILLS HS</v>
      </c>
      <c r="E186" s="134">
        <v>113</v>
      </c>
      <c r="F186" s="133" t="s">
        <v>777</v>
      </c>
      <c r="G186" s="134"/>
      <c r="H186" s="133" t="s">
        <v>778</v>
      </c>
      <c r="I186" s="134"/>
      <c r="J186" s="134">
        <v>132</v>
      </c>
      <c r="K186" s="134" t="s">
        <v>202</v>
      </c>
      <c r="L186" s="133" t="str">
        <f t="shared" si="49"/>
        <v>12C-113</v>
      </c>
      <c r="M186" s="109"/>
      <c r="N186" s="109" t="str">
        <f t="shared" ref="N186:N187" si="52">$L$112&amp;C186</f>
        <v>au_play-in</v>
      </c>
      <c r="O186" s="109"/>
      <c r="P186" s="109"/>
      <c r="Q186" s="109"/>
      <c r="R186" s="109"/>
      <c r="S186" s="109"/>
      <c r="T186" s="109"/>
      <c r="U186" s="109"/>
      <c r="V186" s="109"/>
      <c r="W186" s="109"/>
      <c r="X186" s="109"/>
      <c r="Y186" s="109"/>
      <c r="Z186" s="109"/>
    </row>
    <row r="187" spans="1:26" ht="12" customHeight="1">
      <c r="A187" s="138">
        <f t="shared" si="50"/>
        <v>46222</v>
      </c>
      <c r="B187" s="133">
        <f>'CHICLETS MASTER S1'!J43</f>
        <v>0.8125</v>
      </c>
      <c r="C187" s="133" t="s">
        <v>758</v>
      </c>
      <c r="D187" s="134" t="str">
        <f t="shared" si="51"/>
        <v>TRABUCO HILLS HS</v>
      </c>
      <c r="E187" s="134">
        <v>67</v>
      </c>
      <c r="F187" s="133" t="s">
        <v>779</v>
      </c>
      <c r="G187" s="134"/>
      <c r="H187" s="133" t="s">
        <v>780</v>
      </c>
      <c r="I187" s="134"/>
      <c r="J187" s="134" t="s">
        <v>172</v>
      </c>
      <c r="K187" s="134" t="s">
        <v>781</v>
      </c>
      <c r="L187" s="133" t="str">
        <f t="shared" si="49"/>
        <v>12C-067</v>
      </c>
      <c r="M187" s="130"/>
      <c r="N187" s="109" t="str">
        <f t="shared" si="52"/>
        <v>au_play-in</v>
      </c>
      <c r="O187" s="130"/>
      <c r="P187" s="130"/>
      <c r="Q187" s="130"/>
      <c r="R187" s="130"/>
      <c r="S187" s="130"/>
      <c r="T187" s="130"/>
      <c r="U187" s="130"/>
      <c r="V187" s="109"/>
      <c r="W187" s="109"/>
      <c r="X187" s="109"/>
      <c r="Y187" s="109"/>
      <c r="Z187" s="109"/>
    </row>
    <row r="188" spans="1:26" ht="12" customHeight="1" thickBot="1">
      <c r="A188" s="129"/>
      <c r="B188" s="114"/>
      <c r="C188" s="114"/>
      <c r="D188" s="130"/>
      <c r="E188" s="130"/>
      <c r="F188" s="114"/>
      <c r="G188" s="114"/>
      <c r="H188" s="114"/>
      <c r="I188" s="114"/>
      <c r="J188" s="130"/>
      <c r="K188" s="130"/>
      <c r="L188" s="130"/>
      <c r="M188" s="130"/>
      <c r="N188" s="130"/>
      <c r="O188" s="130"/>
      <c r="P188" s="130"/>
      <c r="Q188" s="130"/>
      <c r="R188" s="130"/>
      <c r="S188" s="130"/>
      <c r="T188" s="130"/>
      <c r="U188" s="130"/>
      <c r="V188" s="130"/>
      <c r="W188" s="130"/>
      <c r="X188" s="130"/>
      <c r="Y188" s="130"/>
      <c r="Z188" s="130"/>
    </row>
    <row r="189" spans="1:26" ht="12" customHeight="1" thickTop="1" thickBot="1">
      <c r="A189" s="105" t="s">
        <v>782</v>
      </c>
      <c r="B189" s="116"/>
      <c r="C189" s="116" t="s">
        <v>647</v>
      </c>
      <c r="D189" s="116"/>
      <c r="E189" s="116"/>
      <c r="F189" s="116"/>
      <c r="G189" s="116"/>
      <c r="H189" s="116"/>
      <c r="I189" s="116"/>
      <c r="J189" s="116"/>
      <c r="K189" s="116"/>
      <c r="L189" s="116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  <c r="Y189" s="109"/>
      <c r="Z189" s="109"/>
    </row>
    <row r="190" spans="1:26" ht="12" customHeight="1" thickBot="1">
      <c r="A190" s="108">
        <v>46223</v>
      </c>
      <c r="B190" s="111"/>
      <c r="C190" s="111"/>
      <c r="D190" s="111"/>
      <c r="E190" s="111"/>
      <c r="F190" s="109"/>
      <c r="G190" s="109"/>
      <c r="H190" s="109"/>
      <c r="I190" s="109"/>
      <c r="J190" s="109"/>
      <c r="K190" s="109"/>
      <c r="L190" s="109"/>
      <c r="M190" s="109"/>
      <c r="N190" s="109"/>
      <c r="O190" s="109"/>
      <c r="P190" s="109"/>
      <c r="Q190" s="109"/>
      <c r="R190" s="109"/>
      <c r="S190" s="109"/>
      <c r="T190" s="109"/>
      <c r="U190" s="109"/>
      <c r="V190" s="109"/>
      <c r="W190" s="109"/>
      <c r="X190" s="109"/>
      <c r="Y190" s="109"/>
      <c r="Z190" s="109"/>
    </row>
    <row r="191" spans="1:26" ht="12" customHeight="1" thickBot="1">
      <c r="A191" s="108"/>
      <c r="B191" s="111"/>
      <c r="C191" s="139"/>
      <c r="D191" s="119" t="str">
        <f>'CHICLETS MASTER S1'!$M$51</f>
        <v>PORTOLA HS 2</v>
      </c>
      <c r="E191" s="111"/>
      <c r="F191" s="109"/>
      <c r="G191" s="109"/>
      <c r="H191" s="109"/>
      <c r="I191" s="109"/>
      <c r="J191" s="109"/>
      <c r="K191" s="109"/>
      <c r="L191" s="109"/>
      <c r="M191" s="109"/>
      <c r="N191" s="109"/>
      <c r="O191" s="109"/>
      <c r="P191" s="109"/>
      <c r="Q191" s="109"/>
      <c r="R191" s="109"/>
      <c r="S191" s="109"/>
      <c r="T191" s="109"/>
      <c r="U191" s="109"/>
      <c r="V191" s="109"/>
      <c r="W191" s="109"/>
      <c r="X191" s="109"/>
      <c r="Y191" s="109"/>
      <c r="Z191" s="109"/>
    </row>
    <row r="192" spans="1:26" ht="12" customHeight="1">
      <c r="A192" s="145" t="s">
        <v>110</v>
      </c>
      <c r="B192" s="146" t="s">
        <v>111</v>
      </c>
      <c r="C192" s="145" t="s">
        <v>112</v>
      </c>
      <c r="D192" s="145" t="s">
        <v>113</v>
      </c>
      <c r="E192" s="145" t="s">
        <v>114</v>
      </c>
      <c r="F192" s="145" t="s">
        <v>115</v>
      </c>
      <c r="G192" s="145" t="s">
        <v>116</v>
      </c>
      <c r="H192" s="145" t="s">
        <v>117</v>
      </c>
      <c r="I192" s="145" t="s">
        <v>116</v>
      </c>
      <c r="J192" s="145" t="s">
        <v>118</v>
      </c>
      <c r="K192" s="145" t="s">
        <v>119</v>
      </c>
      <c r="L192" s="145" t="s">
        <v>120</v>
      </c>
      <c r="M192" s="109"/>
      <c r="N192" s="109"/>
      <c r="O192" s="109"/>
      <c r="P192" s="109"/>
      <c r="Q192" s="109"/>
      <c r="R192" s="109"/>
      <c r="S192" s="109"/>
      <c r="T192" s="109"/>
      <c r="U192" s="109"/>
      <c r="V192" s="109"/>
      <c r="W192" s="109"/>
      <c r="X192" s="109"/>
      <c r="Y192" s="109"/>
      <c r="Z192" s="109"/>
    </row>
    <row r="193" spans="1:26" ht="12" customHeight="1">
      <c r="A193" s="135">
        <f t="shared" ref="A193:A204" si="53">$A$190</f>
        <v>46223</v>
      </c>
      <c r="B193" s="136">
        <f>'CHICLETS MASTER S1'!J53</f>
        <v>0.33333333333333331</v>
      </c>
      <c r="C193" s="136" t="s">
        <v>383</v>
      </c>
      <c r="D193" s="137" t="str">
        <f t="shared" ref="D193:D204" si="54">$D$191</f>
        <v>PORTOLA HS 2</v>
      </c>
      <c r="E193" s="137">
        <v>117</v>
      </c>
      <c r="F193" s="136" t="s">
        <v>783</v>
      </c>
      <c r="G193" s="136"/>
      <c r="H193" s="136" t="s">
        <v>784</v>
      </c>
      <c r="I193" s="136"/>
      <c r="J193" s="137" t="s">
        <v>785</v>
      </c>
      <c r="K193" s="137"/>
      <c r="L193" s="136" t="str">
        <f t="shared" ref="L193:L202" si="55">IF(E193="","",$L$17&amp;"-"&amp;TEXT(E193,"000"))</f>
        <v>12C-117</v>
      </c>
      <c r="M193" s="109"/>
      <c r="N193" s="109" t="str">
        <f t="shared" ref="N193:N204" si="56">$L$113&amp;C193</f>
        <v>pt_21-24 RR</v>
      </c>
      <c r="O193" s="109"/>
      <c r="P193" s="109"/>
      <c r="Q193" s="109"/>
      <c r="R193" s="109"/>
      <c r="S193" s="109"/>
      <c r="T193" s="109"/>
      <c r="U193" s="109"/>
      <c r="V193" s="109"/>
      <c r="W193" s="109"/>
      <c r="X193" s="109"/>
      <c r="Y193" s="109"/>
      <c r="Z193" s="109"/>
    </row>
    <row r="194" spans="1:26" ht="12" customHeight="1">
      <c r="A194" s="135">
        <f t="shared" si="53"/>
        <v>46223</v>
      </c>
      <c r="B194" s="136">
        <f>'CHICLETS MASTER S1'!J54</f>
        <v>0.36805555555555558</v>
      </c>
      <c r="C194" s="136" t="s">
        <v>194</v>
      </c>
      <c r="D194" s="137" t="str">
        <f t="shared" si="54"/>
        <v>PORTOLA HS 2</v>
      </c>
      <c r="E194" s="137">
        <v>121</v>
      </c>
      <c r="F194" s="136" t="s">
        <v>786</v>
      </c>
      <c r="G194" s="136"/>
      <c r="H194" s="136" t="s">
        <v>787</v>
      </c>
      <c r="I194" s="136"/>
      <c r="J194" s="137">
        <v>174</v>
      </c>
      <c r="K194" s="137">
        <v>161</v>
      </c>
      <c r="L194" s="135" t="str">
        <f t="shared" si="55"/>
        <v>12C-121</v>
      </c>
      <c r="M194" s="109"/>
      <c r="N194" s="109" t="str">
        <f t="shared" si="56"/>
        <v>pt_1-2 v 3-4</v>
      </c>
      <c r="O194" s="109"/>
      <c r="P194" s="109"/>
      <c r="Q194" s="109"/>
      <c r="R194" s="109"/>
      <c r="S194" s="109"/>
      <c r="T194" s="109"/>
      <c r="U194" s="109"/>
      <c r="V194" s="109"/>
      <c r="W194" s="109"/>
      <c r="X194" s="109"/>
      <c r="Y194" s="109"/>
      <c r="Z194" s="109"/>
    </row>
    <row r="195" spans="1:26" ht="12" customHeight="1">
      <c r="A195" s="135">
        <f t="shared" si="53"/>
        <v>46223</v>
      </c>
      <c r="B195" s="136">
        <f>'CHICLETS MASTER S1'!J55</f>
        <v>0.40277777777777801</v>
      </c>
      <c r="C195" s="140" t="s">
        <v>189</v>
      </c>
      <c r="D195" s="137" t="str">
        <f t="shared" si="54"/>
        <v>PORTOLA HS 2</v>
      </c>
      <c r="E195" s="137">
        <v>125</v>
      </c>
      <c r="F195" s="135" t="s">
        <v>788</v>
      </c>
      <c r="G195" s="136"/>
      <c r="H195" s="135" t="s">
        <v>789</v>
      </c>
      <c r="I195" s="136"/>
      <c r="J195" s="137">
        <v>145</v>
      </c>
      <c r="K195" s="137">
        <v>149</v>
      </c>
      <c r="L195" s="135" t="str">
        <f t="shared" si="55"/>
        <v>12C-125</v>
      </c>
      <c r="M195" s="109"/>
      <c r="N195" s="109" t="str">
        <f t="shared" si="56"/>
        <v>pt_5-8 v 9-12</v>
      </c>
      <c r="O195" s="109"/>
      <c r="P195" s="109"/>
      <c r="Q195" s="109"/>
      <c r="R195" s="109"/>
      <c r="S195" s="109"/>
      <c r="T195" s="109"/>
      <c r="U195" s="109"/>
      <c r="V195" s="109"/>
      <c r="W195" s="109"/>
      <c r="X195" s="109"/>
      <c r="Y195" s="109"/>
      <c r="Z195" s="109"/>
    </row>
    <row r="196" spans="1:26" ht="12" customHeight="1">
      <c r="A196" s="135">
        <f t="shared" si="53"/>
        <v>46223</v>
      </c>
      <c r="B196" s="136">
        <f>'CHICLETS MASTER S1'!J56</f>
        <v>0.4375</v>
      </c>
      <c r="C196" s="140" t="s">
        <v>189</v>
      </c>
      <c r="D196" s="137" t="str">
        <f t="shared" si="54"/>
        <v>PORTOLA HS 2</v>
      </c>
      <c r="E196" s="137">
        <v>129</v>
      </c>
      <c r="F196" s="135" t="s">
        <v>790</v>
      </c>
      <c r="G196" s="136"/>
      <c r="H196" s="135" t="s">
        <v>791</v>
      </c>
      <c r="I196" s="136"/>
      <c r="J196" s="137">
        <v>145</v>
      </c>
      <c r="K196" s="137">
        <v>149</v>
      </c>
      <c r="L196" s="135" t="str">
        <f t="shared" si="55"/>
        <v>12C-129</v>
      </c>
      <c r="M196" s="109"/>
      <c r="N196" s="109" t="str">
        <f t="shared" si="56"/>
        <v>pt_5-8 v 9-12</v>
      </c>
      <c r="O196" s="109"/>
      <c r="P196" s="109"/>
      <c r="Q196" s="109"/>
      <c r="R196" s="109"/>
      <c r="S196" s="109"/>
      <c r="T196" s="109"/>
      <c r="U196" s="109"/>
      <c r="V196" s="109"/>
      <c r="W196" s="109"/>
      <c r="X196" s="109"/>
      <c r="Y196" s="109"/>
      <c r="Z196" s="109"/>
    </row>
    <row r="197" spans="1:26" ht="12" customHeight="1">
      <c r="A197" s="135">
        <f t="shared" si="53"/>
        <v>46223</v>
      </c>
      <c r="B197" s="136">
        <f>'CHICLETS MASTER S1'!J57</f>
        <v>0.47222222222222199</v>
      </c>
      <c r="C197" s="136" t="s">
        <v>388</v>
      </c>
      <c r="D197" s="137" t="str">
        <f t="shared" si="54"/>
        <v>PORTOLA HS 2</v>
      </c>
      <c r="E197" s="137">
        <v>133</v>
      </c>
      <c r="F197" s="136" t="s">
        <v>792</v>
      </c>
      <c r="G197" s="136"/>
      <c r="H197" s="136" t="s">
        <v>793</v>
      </c>
      <c r="I197" s="136"/>
      <c r="J197" s="137">
        <v>153</v>
      </c>
      <c r="K197" s="137">
        <v>157</v>
      </c>
      <c r="L197" s="136" t="str">
        <f t="shared" si="55"/>
        <v>12C-133</v>
      </c>
      <c r="M197" s="109"/>
      <c r="N197" s="109" t="str">
        <f t="shared" si="56"/>
        <v>pt_13-20 qtr</v>
      </c>
      <c r="O197" s="109"/>
      <c r="P197" s="109"/>
      <c r="Q197" s="109"/>
      <c r="R197" s="109"/>
      <c r="S197" s="109"/>
      <c r="T197" s="109"/>
      <c r="U197" s="109"/>
      <c r="V197" s="109"/>
      <c r="W197" s="109"/>
      <c r="X197" s="109"/>
      <c r="Y197" s="109"/>
      <c r="Z197" s="109"/>
    </row>
    <row r="198" spans="1:26" ht="12" customHeight="1">
      <c r="A198" s="135">
        <f t="shared" si="53"/>
        <v>46223</v>
      </c>
      <c r="B198" s="136">
        <f>'CHICLETS MASTER S1'!J58</f>
        <v>0.50694444444444398</v>
      </c>
      <c r="C198" s="136" t="s">
        <v>388</v>
      </c>
      <c r="D198" s="137" t="str">
        <f t="shared" si="54"/>
        <v>PORTOLA HS 2</v>
      </c>
      <c r="E198" s="137">
        <v>137</v>
      </c>
      <c r="F198" s="136" t="s">
        <v>794</v>
      </c>
      <c r="G198" s="136"/>
      <c r="H198" s="136" t="s">
        <v>795</v>
      </c>
      <c r="I198" s="136"/>
      <c r="J198" s="137">
        <v>153</v>
      </c>
      <c r="K198" s="137">
        <v>157</v>
      </c>
      <c r="L198" s="136" t="str">
        <f t="shared" si="55"/>
        <v>12C-137</v>
      </c>
      <c r="M198" s="109"/>
      <c r="N198" s="109" t="str">
        <f t="shared" si="56"/>
        <v>pt_13-20 qtr</v>
      </c>
      <c r="O198" s="109"/>
      <c r="P198" s="109"/>
      <c r="Q198" s="109"/>
      <c r="R198" s="109"/>
      <c r="S198" s="109"/>
      <c r="T198" s="109"/>
      <c r="U198" s="109"/>
      <c r="V198" s="109"/>
      <c r="W198" s="109"/>
      <c r="X198" s="109"/>
      <c r="Y198" s="109"/>
      <c r="Z198" s="109"/>
    </row>
    <row r="199" spans="1:26" ht="12" customHeight="1">
      <c r="A199" s="135">
        <f t="shared" si="53"/>
        <v>46223</v>
      </c>
      <c r="B199" s="136">
        <f>'CHICLETS MASTER S1'!J59</f>
        <v>0.54166666666666696</v>
      </c>
      <c r="C199" s="136" t="s">
        <v>383</v>
      </c>
      <c r="D199" s="137" t="str">
        <f t="shared" si="54"/>
        <v>PORTOLA HS 2</v>
      </c>
      <c r="E199" s="137">
        <v>141</v>
      </c>
      <c r="F199" s="136" t="s">
        <v>783</v>
      </c>
      <c r="G199" s="136"/>
      <c r="H199" s="124" t="s">
        <v>796</v>
      </c>
      <c r="I199" s="136"/>
      <c r="J199" s="137" t="s">
        <v>785</v>
      </c>
      <c r="K199" s="137"/>
      <c r="L199" s="136" t="str">
        <f t="shared" si="55"/>
        <v>12C-141</v>
      </c>
      <c r="M199" s="109"/>
      <c r="N199" s="109" t="str">
        <f t="shared" si="56"/>
        <v>pt_21-24 RR</v>
      </c>
      <c r="O199" s="109"/>
      <c r="P199" s="109"/>
      <c r="Q199" s="109"/>
      <c r="R199" s="109"/>
      <c r="S199" s="109"/>
      <c r="T199" s="109"/>
      <c r="U199" s="109"/>
      <c r="V199" s="109"/>
      <c r="W199" s="109"/>
      <c r="X199" s="109"/>
      <c r="Y199" s="109"/>
      <c r="Z199" s="109"/>
    </row>
    <row r="200" spans="1:26" ht="12" customHeight="1">
      <c r="A200" s="135">
        <f t="shared" si="53"/>
        <v>46223</v>
      </c>
      <c r="B200" s="136">
        <f>'CHICLETS MASTER S1'!J60</f>
        <v>0.57638888888888895</v>
      </c>
      <c r="C200" s="136" t="s">
        <v>199</v>
      </c>
      <c r="D200" s="137" t="str">
        <f t="shared" si="54"/>
        <v>PORTOLA HS 2</v>
      </c>
      <c r="E200" s="137">
        <v>145</v>
      </c>
      <c r="F200" s="136" t="s">
        <v>797</v>
      </c>
      <c r="G200" s="136"/>
      <c r="H200" s="136" t="s">
        <v>798</v>
      </c>
      <c r="I200" s="136"/>
      <c r="J200" s="137">
        <v>161</v>
      </c>
      <c r="K200" s="137">
        <v>185</v>
      </c>
      <c r="L200" s="136" t="str">
        <f t="shared" si="55"/>
        <v>12C-145</v>
      </c>
      <c r="M200" s="109"/>
      <c r="N200" s="109" t="str">
        <f t="shared" si="56"/>
        <v>pt_5-6 v 7-8</v>
      </c>
      <c r="O200" s="109"/>
      <c r="P200" s="109"/>
      <c r="Q200" s="109"/>
      <c r="R200" s="109"/>
      <c r="S200" s="109"/>
      <c r="T200" s="109"/>
      <c r="U200" s="109"/>
      <c r="V200" s="109"/>
      <c r="W200" s="109"/>
      <c r="X200" s="109"/>
      <c r="Y200" s="109"/>
      <c r="Z200" s="109"/>
    </row>
    <row r="201" spans="1:26" ht="12" customHeight="1">
      <c r="A201" s="135">
        <f t="shared" si="53"/>
        <v>46223</v>
      </c>
      <c r="B201" s="136">
        <f>'CHICLETS MASTER S1'!J61</f>
        <v>0.61111111111111105</v>
      </c>
      <c r="C201" s="136" t="s">
        <v>200</v>
      </c>
      <c r="D201" s="137" t="str">
        <f t="shared" si="54"/>
        <v>PORTOLA HS 2</v>
      </c>
      <c r="E201" s="137">
        <v>149</v>
      </c>
      <c r="F201" s="136" t="s">
        <v>799</v>
      </c>
      <c r="G201" s="136"/>
      <c r="H201" s="136" t="s">
        <v>800</v>
      </c>
      <c r="I201" s="136"/>
      <c r="J201" s="137">
        <v>182</v>
      </c>
      <c r="K201" s="137">
        <v>181</v>
      </c>
      <c r="L201" s="136" t="str">
        <f t="shared" si="55"/>
        <v>12C-149</v>
      </c>
      <c r="M201" s="109"/>
      <c r="N201" s="109" t="str">
        <f t="shared" si="56"/>
        <v>pt_9-12 semi</v>
      </c>
      <c r="O201" s="109"/>
      <c r="P201" s="109"/>
      <c r="Q201" s="109"/>
      <c r="R201" s="109"/>
      <c r="S201" s="109"/>
      <c r="T201" s="109"/>
      <c r="U201" s="109"/>
      <c r="V201" s="109"/>
      <c r="W201" s="109"/>
      <c r="X201" s="109"/>
      <c r="Y201" s="109"/>
      <c r="Z201" s="109"/>
    </row>
    <row r="202" spans="1:26" ht="12" customHeight="1">
      <c r="A202" s="135">
        <f t="shared" si="53"/>
        <v>46223</v>
      </c>
      <c r="B202" s="136">
        <f>'CHICLETS MASTER S1'!J62</f>
        <v>0.64583333333333304</v>
      </c>
      <c r="C202" s="136" t="s">
        <v>393</v>
      </c>
      <c r="D202" s="137" t="str">
        <f t="shared" si="54"/>
        <v>PORTOLA HS 2</v>
      </c>
      <c r="E202" s="137">
        <v>153</v>
      </c>
      <c r="F202" s="136" t="s">
        <v>801</v>
      </c>
      <c r="G202" s="136"/>
      <c r="H202" s="136" t="s">
        <v>802</v>
      </c>
      <c r="I202" s="136"/>
      <c r="J202" s="137">
        <v>178</v>
      </c>
      <c r="K202" s="137">
        <v>177</v>
      </c>
      <c r="L202" s="136" t="str">
        <f t="shared" si="55"/>
        <v>12C-153</v>
      </c>
      <c r="M202" s="109"/>
      <c r="N202" s="109" t="str">
        <f t="shared" si="56"/>
        <v>pt_13-16 semi</v>
      </c>
      <c r="O202" s="109"/>
      <c r="P202" s="109"/>
      <c r="Q202" s="109"/>
      <c r="R202" s="109"/>
      <c r="S202" s="109"/>
      <c r="T202" s="109"/>
      <c r="U202" s="109"/>
      <c r="V202" s="109"/>
      <c r="W202" s="109"/>
      <c r="X202" s="109"/>
      <c r="Y202" s="109"/>
      <c r="Z202" s="109"/>
    </row>
    <row r="203" spans="1:26" ht="12" customHeight="1">
      <c r="A203" s="135">
        <f t="shared" si="53"/>
        <v>46223</v>
      </c>
      <c r="B203" s="136">
        <f>'CHICLETS MASTER S1'!J63</f>
        <v>0.68055555555555602</v>
      </c>
      <c r="C203" s="136" t="s">
        <v>394</v>
      </c>
      <c r="D203" s="137" t="str">
        <f t="shared" si="54"/>
        <v>PORTOLA HS 2</v>
      </c>
      <c r="E203" s="137">
        <v>157</v>
      </c>
      <c r="F203" s="136" t="s">
        <v>803</v>
      </c>
      <c r="G203" s="136"/>
      <c r="H203" s="136" t="s">
        <v>804</v>
      </c>
      <c r="I203" s="136"/>
      <c r="J203" s="137">
        <v>170</v>
      </c>
      <c r="K203" s="137">
        <v>169</v>
      </c>
      <c r="L203" s="136">
        <v>169</v>
      </c>
      <c r="M203" s="109"/>
      <c r="N203" s="109" t="str">
        <f t="shared" si="56"/>
        <v>pt_17-20 semi</v>
      </c>
      <c r="O203" s="109"/>
      <c r="P203" s="109"/>
      <c r="Q203" s="109"/>
      <c r="R203" s="109"/>
      <c r="S203" s="109"/>
      <c r="T203" s="109"/>
      <c r="U203" s="109"/>
      <c r="V203" s="109"/>
      <c r="W203" s="109"/>
      <c r="X203" s="109"/>
      <c r="Y203" s="109"/>
      <c r="Z203" s="109"/>
    </row>
    <row r="204" spans="1:26" ht="12" customHeight="1">
      <c r="A204" s="135">
        <f t="shared" si="53"/>
        <v>46223</v>
      </c>
      <c r="B204" s="136">
        <f>'CHICLETS MASTER S1'!J64</f>
        <v>0.71527777777777801</v>
      </c>
      <c r="C204" s="136" t="s">
        <v>201</v>
      </c>
      <c r="D204" s="137" t="str">
        <f t="shared" si="54"/>
        <v>PORTOLA HS 2</v>
      </c>
      <c r="E204" s="137">
        <v>161</v>
      </c>
      <c r="F204" s="136" t="s">
        <v>805</v>
      </c>
      <c r="G204" s="136"/>
      <c r="H204" s="136" t="s">
        <v>806</v>
      </c>
      <c r="I204" s="136"/>
      <c r="J204" s="137">
        <v>173</v>
      </c>
      <c r="K204" s="137">
        <v>186</v>
      </c>
      <c r="L204" s="136" t="str">
        <f>IF(E204="","",$L$17&amp;"-"&amp;TEXT(E204,"000"))</f>
        <v>12C-161</v>
      </c>
      <c r="M204" s="109"/>
      <c r="N204" s="109" t="str">
        <f t="shared" si="56"/>
        <v>pt_play to semi</v>
      </c>
      <c r="O204" s="109"/>
      <c r="P204" s="109"/>
      <c r="Q204" s="109"/>
      <c r="R204" s="109"/>
      <c r="S204" s="109"/>
      <c r="T204" s="109"/>
      <c r="U204" s="109"/>
      <c r="V204" s="109"/>
      <c r="W204" s="109"/>
      <c r="X204" s="109"/>
      <c r="Y204" s="109"/>
      <c r="Z204" s="109"/>
    </row>
    <row r="205" spans="1:26" ht="12" customHeight="1" thickBot="1">
      <c r="A205" s="109"/>
      <c r="B205" s="109"/>
      <c r="C205" s="109"/>
      <c r="D205" s="109"/>
      <c r="E205" s="109"/>
      <c r="F205" s="109"/>
      <c r="G205" s="109"/>
      <c r="H205" s="109"/>
      <c r="I205" s="109"/>
      <c r="J205" s="109"/>
      <c r="K205" s="109"/>
      <c r="L205" s="109"/>
      <c r="M205" s="109"/>
      <c r="N205" s="109"/>
      <c r="O205" s="109"/>
      <c r="P205" s="109"/>
      <c r="Q205" s="109"/>
      <c r="R205" s="109"/>
      <c r="S205" s="109"/>
      <c r="T205" s="109"/>
      <c r="U205" s="109"/>
      <c r="V205" s="109"/>
      <c r="W205" s="109"/>
      <c r="X205" s="109"/>
      <c r="Y205" s="109"/>
      <c r="Z205" s="109"/>
    </row>
    <row r="206" spans="1:26" ht="12" customHeight="1" thickBot="1">
      <c r="A206" s="108"/>
      <c r="B206" s="111"/>
      <c r="C206" s="139"/>
      <c r="D206" s="119" t="str">
        <f>'CHICLETS MASTER S1'!$K$51</f>
        <v>GOLDEN WEST COLLEGE 2</v>
      </c>
      <c r="E206" s="111"/>
      <c r="F206" s="109"/>
      <c r="G206" s="109"/>
      <c r="H206" s="109"/>
      <c r="I206" s="109"/>
      <c r="J206" s="109"/>
      <c r="K206" s="109"/>
      <c r="L206" s="109"/>
      <c r="M206" s="109"/>
      <c r="N206" s="109"/>
      <c r="O206" s="109"/>
      <c r="P206" s="109"/>
      <c r="Q206" s="109"/>
      <c r="R206" s="109"/>
      <c r="S206" s="109"/>
      <c r="T206" s="109"/>
      <c r="U206" s="109"/>
      <c r="V206" s="109"/>
      <c r="W206" s="109"/>
      <c r="X206" s="109"/>
      <c r="Y206" s="109"/>
      <c r="Z206" s="109"/>
    </row>
    <row r="207" spans="1:26" ht="12" customHeight="1">
      <c r="A207" s="145" t="s">
        <v>110</v>
      </c>
      <c r="B207" s="146" t="s">
        <v>111</v>
      </c>
      <c r="C207" s="145" t="s">
        <v>112</v>
      </c>
      <c r="D207" s="145" t="s">
        <v>113</v>
      </c>
      <c r="E207" s="145" t="s">
        <v>114</v>
      </c>
      <c r="F207" s="145" t="s">
        <v>115</v>
      </c>
      <c r="G207" s="145" t="s">
        <v>116</v>
      </c>
      <c r="H207" s="145" t="s">
        <v>117</v>
      </c>
      <c r="I207" s="145" t="s">
        <v>116</v>
      </c>
      <c r="J207" s="145" t="s">
        <v>118</v>
      </c>
      <c r="K207" s="145" t="s">
        <v>119</v>
      </c>
      <c r="L207" s="145" t="s">
        <v>120</v>
      </c>
      <c r="M207" s="109"/>
      <c r="N207" s="109"/>
      <c r="O207" s="109"/>
      <c r="P207" s="109"/>
      <c r="Q207" s="109"/>
      <c r="R207" s="109"/>
      <c r="S207" s="109"/>
      <c r="T207" s="109"/>
      <c r="U207" s="109"/>
      <c r="V207" s="109"/>
      <c r="W207" s="109"/>
      <c r="X207" s="109"/>
      <c r="Y207" s="109"/>
      <c r="Z207" s="109"/>
    </row>
    <row r="208" spans="1:26" ht="12" customHeight="1">
      <c r="A208" s="135">
        <f t="shared" ref="A208:A219" si="57">$A$190</f>
        <v>46223</v>
      </c>
      <c r="B208" s="136">
        <f>'CHICLETS MASTER S1'!J53</f>
        <v>0.33333333333333331</v>
      </c>
      <c r="C208" s="136" t="s">
        <v>383</v>
      </c>
      <c r="D208" s="137" t="str">
        <f t="shared" ref="D208:D219" si="58">$D$206</f>
        <v>GOLDEN WEST COLLEGE 2</v>
      </c>
      <c r="E208" s="137">
        <v>118</v>
      </c>
      <c r="F208" s="136" t="s">
        <v>807</v>
      </c>
      <c r="G208" s="136"/>
      <c r="H208" s="136" t="s">
        <v>796</v>
      </c>
      <c r="I208" s="136"/>
      <c r="J208" s="137" t="s">
        <v>785</v>
      </c>
      <c r="K208" s="137"/>
      <c r="L208" s="136" t="str">
        <f t="shared" ref="L208:L219" si="59">IF(E208="","",$L$17&amp;"-"&amp;TEXT(E208,"000"))</f>
        <v>12C-118</v>
      </c>
      <c r="M208" s="109"/>
      <c r="N208" s="109" t="str">
        <f t="shared" ref="N208:N219" si="60">$L$113&amp;C208</f>
        <v>pt_21-24 RR</v>
      </c>
      <c r="O208" s="109"/>
      <c r="P208" s="109"/>
      <c r="Q208" s="109"/>
      <c r="R208" s="109"/>
      <c r="S208" s="109"/>
      <c r="T208" s="109"/>
      <c r="U208" s="109"/>
      <c r="V208" s="109"/>
      <c r="W208" s="109"/>
      <c r="X208" s="109"/>
      <c r="Y208" s="109"/>
      <c r="Z208" s="109"/>
    </row>
    <row r="209" spans="1:26" ht="12" customHeight="1">
      <c r="A209" s="135">
        <f t="shared" si="57"/>
        <v>46223</v>
      </c>
      <c r="B209" s="136">
        <f>'CHICLETS MASTER S1'!J54</f>
        <v>0.36805555555555558</v>
      </c>
      <c r="C209" s="136" t="s">
        <v>201</v>
      </c>
      <c r="D209" s="137" t="str">
        <f t="shared" si="58"/>
        <v>GOLDEN WEST COLLEGE 2</v>
      </c>
      <c r="E209" s="137">
        <v>122</v>
      </c>
      <c r="F209" s="136" t="s">
        <v>808</v>
      </c>
      <c r="G209" s="136"/>
      <c r="H209" s="136" t="s">
        <v>809</v>
      </c>
      <c r="I209" s="136"/>
      <c r="J209" s="137">
        <v>173</v>
      </c>
      <c r="K209" s="137">
        <v>162</v>
      </c>
      <c r="L209" s="135" t="str">
        <f t="shared" si="59"/>
        <v>12C-122</v>
      </c>
      <c r="M209" s="109"/>
      <c r="N209" s="109" t="str">
        <f t="shared" si="60"/>
        <v>pt_play to semi</v>
      </c>
      <c r="O209" s="109"/>
      <c r="P209" s="109"/>
      <c r="Q209" s="109"/>
      <c r="R209" s="109"/>
      <c r="S209" s="109"/>
      <c r="T209" s="109"/>
      <c r="U209" s="109"/>
      <c r="V209" s="109"/>
      <c r="W209" s="109"/>
      <c r="X209" s="109"/>
      <c r="Y209" s="109"/>
      <c r="Z209" s="109"/>
    </row>
    <row r="210" spans="1:26" ht="12" customHeight="1">
      <c r="A210" s="135">
        <f t="shared" si="57"/>
        <v>46223</v>
      </c>
      <c r="B210" s="136">
        <f>'CHICLETS MASTER S1'!J55</f>
        <v>0.40277777777777801</v>
      </c>
      <c r="C210" s="140" t="s">
        <v>189</v>
      </c>
      <c r="D210" s="137" t="str">
        <f t="shared" si="58"/>
        <v>GOLDEN WEST COLLEGE 2</v>
      </c>
      <c r="E210" s="137">
        <v>126</v>
      </c>
      <c r="F210" s="135" t="s">
        <v>810</v>
      </c>
      <c r="G210" s="136"/>
      <c r="H210" s="135" t="s">
        <v>811</v>
      </c>
      <c r="I210" s="136"/>
      <c r="J210" s="137">
        <v>146</v>
      </c>
      <c r="K210" s="137">
        <v>150</v>
      </c>
      <c r="L210" s="135" t="str">
        <f t="shared" si="59"/>
        <v>12C-126</v>
      </c>
      <c r="M210" s="109"/>
      <c r="N210" s="109" t="str">
        <f t="shared" si="60"/>
        <v>pt_5-8 v 9-12</v>
      </c>
      <c r="O210" s="109"/>
      <c r="P210" s="109"/>
      <c r="Q210" s="109"/>
      <c r="R210" s="109"/>
      <c r="S210" s="109"/>
      <c r="T210" s="109"/>
      <c r="U210" s="109"/>
      <c r="V210" s="109"/>
      <c r="W210" s="109"/>
      <c r="X210" s="109"/>
      <c r="Y210" s="109"/>
      <c r="Z210" s="109"/>
    </row>
    <row r="211" spans="1:26" ht="12" customHeight="1">
      <c r="A211" s="135">
        <f t="shared" si="57"/>
        <v>46223</v>
      </c>
      <c r="B211" s="136">
        <f>'CHICLETS MASTER S1'!J56</f>
        <v>0.4375</v>
      </c>
      <c r="C211" s="140" t="s">
        <v>189</v>
      </c>
      <c r="D211" s="137" t="str">
        <f t="shared" si="58"/>
        <v>GOLDEN WEST COLLEGE 2</v>
      </c>
      <c r="E211" s="137">
        <v>130</v>
      </c>
      <c r="F211" s="135" t="s">
        <v>812</v>
      </c>
      <c r="G211" s="136"/>
      <c r="H211" s="135" t="s">
        <v>813</v>
      </c>
      <c r="I211" s="136"/>
      <c r="J211" s="137">
        <v>146</v>
      </c>
      <c r="K211" s="137">
        <v>150</v>
      </c>
      <c r="L211" s="135" t="str">
        <f t="shared" si="59"/>
        <v>12C-130</v>
      </c>
      <c r="M211" s="109"/>
      <c r="N211" s="109" t="str">
        <f t="shared" si="60"/>
        <v>pt_5-8 v 9-12</v>
      </c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</row>
    <row r="212" spans="1:26" ht="12" customHeight="1">
      <c r="A212" s="135">
        <f t="shared" si="57"/>
        <v>46223</v>
      </c>
      <c r="B212" s="136">
        <f>'CHICLETS MASTER S1'!J57</f>
        <v>0.47222222222222199</v>
      </c>
      <c r="C212" s="136" t="s">
        <v>388</v>
      </c>
      <c r="D212" s="137" t="str">
        <f t="shared" si="58"/>
        <v>GOLDEN WEST COLLEGE 2</v>
      </c>
      <c r="E212" s="137">
        <v>134</v>
      </c>
      <c r="F212" s="136" t="s">
        <v>814</v>
      </c>
      <c r="G212" s="136"/>
      <c r="H212" s="136" t="s">
        <v>815</v>
      </c>
      <c r="I212" s="136"/>
      <c r="J212" s="137">
        <v>154</v>
      </c>
      <c r="K212" s="137">
        <v>158</v>
      </c>
      <c r="L212" s="136" t="str">
        <f t="shared" si="59"/>
        <v>12C-134</v>
      </c>
      <c r="M212" s="109"/>
      <c r="N212" s="109" t="str">
        <f t="shared" si="60"/>
        <v>pt_13-20 qtr</v>
      </c>
      <c r="O212" s="109"/>
      <c r="P212" s="109"/>
      <c r="Q212" s="109"/>
      <c r="R212" s="109"/>
      <c r="S212" s="109"/>
      <c r="T212" s="109"/>
      <c r="U212" s="109"/>
      <c r="V212" s="109"/>
      <c r="W212" s="109"/>
      <c r="X212" s="109"/>
      <c r="Y212" s="109"/>
      <c r="Z212" s="109"/>
    </row>
    <row r="213" spans="1:26" ht="12" customHeight="1">
      <c r="A213" s="135">
        <f t="shared" si="57"/>
        <v>46223</v>
      </c>
      <c r="B213" s="136">
        <f>'CHICLETS MASTER S1'!J58</f>
        <v>0.50694444444444398</v>
      </c>
      <c r="C213" s="136" t="s">
        <v>388</v>
      </c>
      <c r="D213" s="137" t="str">
        <f t="shared" si="58"/>
        <v>GOLDEN WEST COLLEGE 2</v>
      </c>
      <c r="E213" s="137">
        <v>138</v>
      </c>
      <c r="F213" s="136" t="s">
        <v>816</v>
      </c>
      <c r="G213" s="136"/>
      <c r="H213" s="136" t="s">
        <v>817</v>
      </c>
      <c r="I213" s="136"/>
      <c r="J213" s="137">
        <v>154</v>
      </c>
      <c r="K213" s="137">
        <v>158</v>
      </c>
      <c r="L213" s="136" t="str">
        <f t="shared" si="59"/>
        <v>12C-138</v>
      </c>
      <c r="M213" s="109"/>
      <c r="N213" s="109" t="str">
        <f t="shared" si="60"/>
        <v>pt_13-20 qtr</v>
      </c>
      <c r="O213" s="109"/>
      <c r="P213" s="109"/>
      <c r="Q213" s="109"/>
      <c r="R213" s="109"/>
      <c r="S213" s="109"/>
      <c r="T213" s="109"/>
      <c r="U213" s="109"/>
      <c r="V213" s="109"/>
      <c r="W213" s="109"/>
      <c r="X213" s="109"/>
      <c r="Y213" s="109"/>
      <c r="Z213" s="109"/>
    </row>
    <row r="214" spans="1:26" ht="12" customHeight="1">
      <c r="A214" s="135">
        <f t="shared" si="57"/>
        <v>46223</v>
      </c>
      <c r="B214" s="136">
        <f>'CHICLETS MASTER S1'!J59</f>
        <v>0.54166666666666696</v>
      </c>
      <c r="C214" s="136" t="s">
        <v>383</v>
      </c>
      <c r="D214" s="137" t="str">
        <f t="shared" si="58"/>
        <v>GOLDEN WEST COLLEGE 2</v>
      </c>
      <c r="E214" s="137">
        <v>142</v>
      </c>
      <c r="F214" s="136" t="s">
        <v>807</v>
      </c>
      <c r="G214" s="136"/>
      <c r="H214" s="124" t="s">
        <v>784</v>
      </c>
      <c r="I214" s="136"/>
      <c r="J214" s="137" t="s">
        <v>785</v>
      </c>
      <c r="K214" s="137"/>
      <c r="L214" s="136" t="str">
        <f t="shared" si="59"/>
        <v>12C-142</v>
      </c>
      <c r="M214" s="109"/>
      <c r="N214" s="109" t="str">
        <f t="shared" si="60"/>
        <v>pt_21-24 RR</v>
      </c>
      <c r="O214" s="109"/>
      <c r="P214" s="109"/>
      <c r="Q214" s="109"/>
      <c r="R214" s="109"/>
      <c r="S214" s="109"/>
      <c r="T214" s="109"/>
      <c r="U214" s="109"/>
      <c r="V214" s="109"/>
      <c r="W214" s="109"/>
      <c r="X214" s="109"/>
      <c r="Y214" s="109"/>
      <c r="Z214" s="109"/>
    </row>
    <row r="215" spans="1:26" ht="12" customHeight="1">
      <c r="A215" s="135">
        <f t="shared" si="57"/>
        <v>46223</v>
      </c>
      <c r="B215" s="136">
        <f>'CHICLETS MASTER S1'!J60</f>
        <v>0.57638888888888895</v>
      </c>
      <c r="C215" s="136" t="s">
        <v>199</v>
      </c>
      <c r="D215" s="137" t="str">
        <f t="shared" si="58"/>
        <v>GOLDEN WEST COLLEGE 2</v>
      </c>
      <c r="E215" s="137">
        <v>146</v>
      </c>
      <c r="F215" s="136" t="s">
        <v>818</v>
      </c>
      <c r="G215" s="136"/>
      <c r="H215" s="136" t="s">
        <v>819</v>
      </c>
      <c r="I215" s="136"/>
      <c r="J215" s="137">
        <v>162</v>
      </c>
      <c r="K215" s="137">
        <v>185</v>
      </c>
      <c r="L215" s="136" t="str">
        <f t="shared" si="59"/>
        <v>12C-146</v>
      </c>
      <c r="M215" s="109"/>
      <c r="N215" s="109" t="str">
        <f t="shared" si="60"/>
        <v>pt_5-6 v 7-8</v>
      </c>
      <c r="O215" s="109"/>
      <c r="P215" s="109"/>
      <c r="Q215" s="109"/>
      <c r="R215" s="109"/>
      <c r="S215" s="109"/>
      <c r="T215" s="109"/>
      <c r="U215" s="109"/>
      <c r="V215" s="109"/>
      <c r="W215" s="109"/>
      <c r="X215" s="109"/>
      <c r="Y215" s="109"/>
      <c r="Z215" s="109"/>
    </row>
    <row r="216" spans="1:26" ht="12" customHeight="1">
      <c r="A216" s="135">
        <f t="shared" si="57"/>
        <v>46223</v>
      </c>
      <c r="B216" s="136">
        <f>'CHICLETS MASTER S1'!J61</f>
        <v>0.61111111111111105</v>
      </c>
      <c r="C216" s="136" t="s">
        <v>200</v>
      </c>
      <c r="D216" s="137" t="str">
        <f t="shared" si="58"/>
        <v>GOLDEN WEST COLLEGE 2</v>
      </c>
      <c r="E216" s="137">
        <v>150</v>
      </c>
      <c r="F216" s="136" t="s">
        <v>820</v>
      </c>
      <c r="G216" s="136"/>
      <c r="H216" s="136" t="s">
        <v>821</v>
      </c>
      <c r="I216" s="136"/>
      <c r="J216" s="137">
        <v>182</v>
      </c>
      <c r="K216" s="137">
        <v>181</v>
      </c>
      <c r="L216" s="136" t="str">
        <f t="shared" si="59"/>
        <v>12C-150</v>
      </c>
      <c r="M216" s="109"/>
      <c r="N216" s="109" t="str">
        <f t="shared" si="60"/>
        <v>pt_9-12 semi</v>
      </c>
      <c r="O216" s="109"/>
      <c r="P216" s="109"/>
      <c r="Q216" s="109"/>
      <c r="R216" s="109"/>
      <c r="S216" s="109"/>
      <c r="T216" s="109"/>
      <c r="U216" s="109"/>
      <c r="V216" s="109"/>
      <c r="W216" s="109"/>
      <c r="X216" s="109"/>
      <c r="Y216" s="109"/>
      <c r="Z216" s="109"/>
    </row>
    <row r="217" spans="1:26" ht="12" customHeight="1">
      <c r="A217" s="135">
        <f t="shared" si="57"/>
        <v>46223</v>
      </c>
      <c r="B217" s="136">
        <f>'CHICLETS MASTER S1'!J62</f>
        <v>0.64583333333333304</v>
      </c>
      <c r="C217" s="136" t="s">
        <v>393</v>
      </c>
      <c r="D217" s="137" t="str">
        <f t="shared" si="58"/>
        <v>GOLDEN WEST COLLEGE 2</v>
      </c>
      <c r="E217" s="137">
        <v>154</v>
      </c>
      <c r="F217" s="136" t="s">
        <v>822</v>
      </c>
      <c r="G217" s="136"/>
      <c r="H217" s="136" t="s">
        <v>823</v>
      </c>
      <c r="I217" s="136"/>
      <c r="J217" s="137">
        <v>178</v>
      </c>
      <c r="K217" s="137">
        <v>177</v>
      </c>
      <c r="L217" s="136" t="str">
        <f t="shared" si="59"/>
        <v>12C-154</v>
      </c>
      <c r="M217" s="109"/>
      <c r="N217" s="109" t="str">
        <f t="shared" si="60"/>
        <v>pt_13-16 semi</v>
      </c>
      <c r="O217" s="109"/>
      <c r="P217" s="109"/>
      <c r="Q217" s="109"/>
      <c r="R217" s="109"/>
      <c r="S217" s="109"/>
      <c r="T217" s="109"/>
      <c r="U217" s="109"/>
      <c r="V217" s="109"/>
      <c r="W217" s="109"/>
      <c r="X217" s="109"/>
      <c r="Y217" s="109"/>
      <c r="Z217" s="109"/>
    </row>
    <row r="218" spans="1:26" ht="12" customHeight="1">
      <c r="A218" s="135">
        <f t="shared" si="57"/>
        <v>46223</v>
      </c>
      <c r="B218" s="136">
        <f>'CHICLETS MASTER S1'!J63</f>
        <v>0.68055555555555602</v>
      </c>
      <c r="C218" s="136" t="s">
        <v>394</v>
      </c>
      <c r="D218" s="137" t="str">
        <f t="shared" si="58"/>
        <v>GOLDEN WEST COLLEGE 2</v>
      </c>
      <c r="E218" s="137">
        <v>158</v>
      </c>
      <c r="F218" s="136" t="s">
        <v>824</v>
      </c>
      <c r="G218" s="136"/>
      <c r="H218" s="136" t="s">
        <v>825</v>
      </c>
      <c r="I218" s="136"/>
      <c r="J218" s="137">
        <v>170</v>
      </c>
      <c r="K218" s="137">
        <v>169</v>
      </c>
      <c r="L218" s="136" t="str">
        <f t="shared" si="59"/>
        <v>12C-158</v>
      </c>
      <c r="M218" s="109"/>
      <c r="N218" s="109" t="str">
        <f t="shared" si="60"/>
        <v>pt_17-20 semi</v>
      </c>
      <c r="O218" s="109"/>
      <c r="P218" s="109"/>
      <c r="Q218" s="109"/>
      <c r="R218" s="109"/>
      <c r="S218" s="109"/>
      <c r="T218" s="109"/>
      <c r="U218" s="109"/>
      <c r="V218" s="109"/>
      <c r="W218" s="109"/>
      <c r="X218" s="109"/>
      <c r="Y218" s="109"/>
      <c r="Z218" s="109"/>
    </row>
    <row r="219" spans="1:26" ht="12" customHeight="1">
      <c r="A219" s="135">
        <f t="shared" si="57"/>
        <v>46223</v>
      </c>
      <c r="B219" s="136">
        <f>'CHICLETS MASTER S1'!J64</f>
        <v>0.71527777777777801</v>
      </c>
      <c r="C219" s="136" t="s">
        <v>201</v>
      </c>
      <c r="D219" s="137" t="str">
        <f t="shared" si="58"/>
        <v>GOLDEN WEST COLLEGE 2</v>
      </c>
      <c r="E219" s="137">
        <v>162</v>
      </c>
      <c r="F219" s="136" t="s">
        <v>826</v>
      </c>
      <c r="G219" s="136"/>
      <c r="H219" s="136" t="s">
        <v>827</v>
      </c>
      <c r="I219" s="136"/>
      <c r="J219" s="137">
        <v>174</v>
      </c>
      <c r="K219" s="137">
        <v>186</v>
      </c>
      <c r="L219" s="136" t="str">
        <f t="shared" si="59"/>
        <v>12C-162</v>
      </c>
      <c r="M219" s="109"/>
      <c r="N219" s="109" t="str">
        <f t="shared" si="60"/>
        <v>pt_play to semi</v>
      </c>
      <c r="O219" s="109"/>
      <c r="P219" s="109"/>
      <c r="Q219" s="109"/>
      <c r="R219" s="109"/>
      <c r="S219" s="109"/>
      <c r="T219" s="109"/>
      <c r="U219" s="109"/>
      <c r="V219" s="109"/>
      <c r="W219" s="109"/>
      <c r="X219" s="109"/>
      <c r="Y219" s="109"/>
      <c r="Z219" s="109"/>
    </row>
    <row r="220" spans="1:26" ht="12" customHeight="1">
      <c r="A220" s="109"/>
      <c r="B220" s="109"/>
      <c r="C220" s="109"/>
      <c r="D220" s="109"/>
      <c r="E220" s="109"/>
      <c r="F220" s="109"/>
      <c r="G220" s="109"/>
      <c r="H220" s="109"/>
      <c r="I220" s="109"/>
      <c r="J220" s="109"/>
      <c r="K220" s="109"/>
      <c r="L220" s="109"/>
      <c r="M220" s="109"/>
      <c r="N220" s="109"/>
      <c r="O220" s="109"/>
      <c r="P220" s="109"/>
      <c r="Q220" s="109"/>
      <c r="R220" s="109"/>
      <c r="S220" s="109"/>
      <c r="T220" s="109"/>
      <c r="U220" s="109"/>
      <c r="V220" s="109"/>
      <c r="W220" s="109"/>
      <c r="X220" s="109"/>
      <c r="Y220" s="109"/>
      <c r="Z220" s="109"/>
    </row>
    <row r="221" spans="1:26" ht="12" customHeight="1">
      <c r="A221" s="141" t="s">
        <v>828</v>
      </c>
      <c r="B221" s="141" t="s">
        <v>829</v>
      </c>
      <c r="C221" s="141" t="s">
        <v>830</v>
      </c>
      <c r="D221" s="109"/>
      <c r="E221" s="109"/>
      <c r="F221" s="109"/>
      <c r="G221" s="109"/>
      <c r="H221" s="109"/>
      <c r="I221" s="109"/>
      <c r="J221" s="109"/>
      <c r="K221" s="109"/>
      <c r="L221" s="109"/>
      <c r="M221" s="109"/>
      <c r="N221" s="109"/>
      <c r="O221" s="109"/>
      <c r="P221" s="109"/>
      <c r="Q221" s="109"/>
      <c r="R221" s="109"/>
      <c r="S221" s="109"/>
      <c r="T221" s="109"/>
      <c r="U221" s="109"/>
      <c r="V221" s="109"/>
      <c r="W221" s="109"/>
      <c r="X221" s="109"/>
      <c r="Y221" s="109"/>
      <c r="Z221" s="109"/>
    </row>
    <row r="222" spans="1:26" ht="12" customHeight="1">
      <c r="A222" s="142" t="s">
        <v>831</v>
      </c>
      <c r="B222" s="142" t="s">
        <v>832</v>
      </c>
      <c r="C222" s="142" t="s">
        <v>833</v>
      </c>
      <c r="D222" s="109"/>
      <c r="E222" s="109"/>
      <c r="F222" s="109"/>
      <c r="G222" s="109"/>
      <c r="H222" s="109"/>
      <c r="I222" s="109"/>
      <c r="J222" s="109"/>
      <c r="K222" s="109"/>
      <c r="L222" s="109"/>
      <c r="M222" s="109"/>
      <c r="N222" s="109"/>
      <c r="O222" s="109"/>
      <c r="P222" s="109"/>
      <c r="Q222" s="109"/>
      <c r="R222" s="109"/>
      <c r="S222" s="109"/>
      <c r="T222" s="109"/>
      <c r="U222" s="109"/>
      <c r="V222" s="109"/>
      <c r="W222" s="109"/>
      <c r="X222" s="109"/>
      <c r="Y222" s="109"/>
      <c r="Z222" s="109"/>
    </row>
    <row r="223" spans="1:26" ht="12" customHeight="1">
      <c r="A223" s="143" t="s">
        <v>834</v>
      </c>
      <c r="B223" s="143" t="s">
        <v>835</v>
      </c>
      <c r="C223" s="143" t="s">
        <v>568</v>
      </c>
      <c r="D223" s="109"/>
      <c r="E223" s="109"/>
      <c r="F223" s="109"/>
      <c r="G223" s="109"/>
      <c r="H223" s="109"/>
      <c r="I223" s="109"/>
      <c r="J223" s="109"/>
      <c r="K223" s="109"/>
      <c r="L223" s="109"/>
      <c r="M223" s="109"/>
      <c r="N223" s="109"/>
      <c r="O223" s="109"/>
      <c r="P223" s="109"/>
      <c r="Q223" s="109"/>
      <c r="R223" s="109"/>
      <c r="S223" s="109"/>
      <c r="T223" s="109"/>
      <c r="U223" s="109"/>
      <c r="V223" s="109"/>
      <c r="W223" s="109"/>
      <c r="X223" s="109"/>
      <c r="Y223" s="109"/>
      <c r="Z223" s="109"/>
    </row>
    <row r="224" spans="1:26" ht="12" customHeight="1" thickBot="1">
      <c r="A224" s="142" t="s">
        <v>565</v>
      </c>
      <c r="B224" s="142" t="s">
        <v>836</v>
      </c>
      <c r="C224" s="142" t="s">
        <v>837</v>
      </c>
      <c r="D224" s="109"/>
      <c r="E224" s="109"/>
      <c r="F224" s="109"/>
      <c r="G224" s="109"/>
      <c r="H224" s="109"/>
      <c r="I224" s="109"/>
      <c r="J224" s="109"/>
      <c r="K224" s="109"/>
      <c r="L224" s="109"/>
      <c r="M224" s="109"/>
      <c r="N224" s="109"/>
      <c r="O224" s="109"/>
      <c r="P224" s="109"/>
      <c r="Q224" s="109"/>
      <c r="R224" s="109"/>
      <c r="S224" s="109"/>
      <c r="T224" s="109"/>
      <c r="U224" s="109"/>
      <c r="V224" s="109"/>
      <c r="W224" s="109"/>
      <c r="X224" s="109"/>
      <c r="Y224" s="109"/>
      <c r="Z224" s="109"/>
    </row>
    <row r="225" spans="1:26" ht="12" customHeight="1" thickBot="1">
      <c r="A225" s="108"/>
      <c r="B225" s="111"/>
      <c r="C225" s="111"/>
      <c r="D225" s="119" t="str">
        <f>'CHICLETS MASTER S1'!$N$51</f>
        <v>TRABUCO HILLS HS</v>
      </c>
      <c r="E225" s="111"/>
      <c r="F225" s="109"/>
      <c r="G225" s="109"/>
      <c r="H225" s="109"/>
      <c r="I225" s="109"/>
      <c r="J225" s="109"/>
      <c r="K225" s="109"/>
      <c r="L225" s="109"/>
      <c r="M225" s="109"/>
      <c r="N225" s="109"/>
      <c r="O225" s="109"/>
      <c r="P225" s="109"/>
      <c r="Q225" s="109"/>
      <c r="R225" s="109"/>
      <c r="S225" s="109"/>
      <c r="T225" s="109"/>
      <c r="U225" s="109"/>
      <c r="V225" s="109"/>
      <c r="W225" s="109"/>
      <c r="X225" s="109"/>
      <c r="Y225" s="109"/>
      <c r="Z225" s="109"/>
    </row>
    <row r="226" spans="1:26" ht="12" customHeight="1">
      <c r="A226" s="145" t="s">
        <v>110</v>
      </c>
      <c r="B226" s="146" t="s">
        <v>111</v>
      </c>
      <c r="C226" s="145" t="s">
        <v>112</v>
      </c>
      <c r="D226" s="145" t="s">
        <v>113</v>
      </c>
      <c r="E226" s="145" t="s">
        <v>114</v>
      </c>
      <c r="F226" s="145" t="s">
        <v>115</v>
      </c>
      <c r="G226" s="145" t="s">
        <v>116</v>
      </c>
      <c r="H226" s="145" t="s">
        <v>117</v>
      </c>
      <c r="I226" s="145" t="s">
        <v>116</v>
      </c>
      <c r="J226" s="145" t="s">
        <v>118</v>
      </c>
      <c r="K226" s="145" t="s">
        <v>119</v>
      </c>
      <c r="L226" s="145" t="s">
        <v>120</v>
      </c>
      <c r="M226" s="109"/>
      <c r="N226" s="109"/>
      <c r="O226" s="109"/>
      <c r="P226" s="109"/>
      <c r="Q226" s="109"/>
      <c r="R226" s="109"/>
      <c r="S226" s="109"/>
      <c r="T226" s="109"/>
      <c r="U226" s="109"/>
      <c r="V226" s="109"/>
      <c r="W226" s="109"/>
      <c r="X226" s="109"/>
      <c r="Y226" s="109"/>
      <c r="Z226" s="109"/>
    </row>
    <row r="227" spans="1:26" ht="12" customHeight="1">
      <c r="A227" s="138">
        <f t="shared" ref="A227:A237" si="61">$A$190</f>
        <v>46223</v>
      </c>
      <c r="B227" s="133">
        <f>'CHICLETS MASTER S1'!J53</f>
        <v>0.33333333333333331</v>
      </c>
      <c r="C227" s="133" t="s">
        <v>649</v>
      </c>
      <c r="D227" s="134" t="str">
        <f t="shared" ref="D227:D237" si="62">$D$225</f>
        <v>TRABUCO HILLS HS</v>
      </c>
      <c r="E227" s="134">
        <v>136</v>
      </c>
      <c r="F227" s="133" t="s">
        <v>203</v>
      </c>
      <c r="G227" s="134"/>
      <c r="H227" s="133" t="s">
        <v>180</v>
      </c>
      <c r="I227" s="134"/>
      <c r="J227" s="134" t="s">
        <v>649</v>
      </c>
      <c r="K227" s="134"/>
      <c r="L227" s="133" t="str">
        <f t="shared" ref="L227:L238" si="63">IF(E227="","",$L$17&amp;"-"&amp;TEXT(E227,"000"))</f>
        <v>12C-136</v>
      </c>
      <c r="M227" s="109"/>
      <c r="N227" s="109" t="str">
        <f t="shared" ref="N227:N237" si="64">$L$112&amp;C227</f>
        <v>au_bracket</v>
      </c>
      <c r="O227" s="109"/>
      <c r="P227" s="109"/>
      <c r="Q227" s="109"/>
      <c r="R227" s="109"/>
      <c r="S227" s="109"/>
      <c r="T227" s="109"/>
      <c r="U227" s="109"/>
      <c r="V227" s="109"/>
      <c r="W227" s="109"/>
      <c r="X227" s="109"/>
      <c r="Y227" s="109"/>
      <c r="Z227" s="109"/>
    </row>
    <row r="228" spans="1:26" ht="12" customHeight="1">
      <c r="A228" s="138">
        <f t="shared" si="61"/>
        <v>46223</v>
      </c>
      <c r="B228" s="133">
        <f>'CHICLETS MASTER S1'!J54</f>
        <v>0.36805555555555558</v>
      </c>
      <c r="C228" s="133" t="s">
        <v>189</v>
      </c>
      <c r="D228" s="134" t="str">
        <f t="shared" si="62"/>
        <v>TRABUCO HILLS HS</v>
      </c>
      <c r="E228" s="134">
        <v>128</v>
      </c>
      <c r="F228" s="133" t="s">
        <v>838</v>
      </c>
      <c r="G228" s="134"/>
      <c r="H228" s="456" t="s">
        <v>839</v>
      </c>
      <c r="I228" s="134"/>
      <c r="J228" s="134">
        <v>148</v>
      </c>
      <c r="K228" s="134">
        <v>152</v>
      </c>
      <c r="L228" s="133" t="str">
        <f t="shared" si="63"/>
        <v>12C-128</v>
      </c>
      <c r="M228" s="109"/>
      <c r="N228" s="109" t="str">
        <f t="shared" si="64"/>
        <v>au_5-8 v 9-12</v>
      </c>
      <c r="O228" s="109"/>
      <c r="P228" s="109"/>
      <c r="Q228" s="109"/>
      <c r="R228" s="109"/>
      <c r="S228" s="109"/>
      <c r="T228" s="109"/>
      <c r="U228" s="109"/>
      <c r="V228" s="109"/>
      <c r="W228" s="109"/>
      <c r="X228" s="109"/>
      <c r="Y228" s="109"/>
      <c r="Z228" s="109"/>
    </row>
    <row r="229" spans="1:26" ht="12" customHeight="1">
      <c r="A229" s="138">
        <f t="shared" si="61"/>
        <v>46223</v>
      </c>
      <c r="B229" s="133">
        <f>'CHICLETS MASTER S1'!J55</f>
        <v>0.40277777777777801</v>
      </c>
      <c r="C229" s="133" t="s">
        <v>189</v>
      </c>
      <c r="D229" s="134" t="str">
        <f t="shared" si="62"/>
        <v>TRABUCO HILLS HS</v>
      </c>
      <c r="E229" s="134">
        <v>132</v>
      </c>
      <c r="F229" s="133" t="s">
        <v>840</v>
      </c>
      <c r="G229" s="134"/>
      <c r="H229" s="456" t="s">
        <v>841</v>
      </c>
      <c r="I229" s="134"/>
      <c r="J229" s="134">
        <v>148</v>
      </c>
      <c r="K229" s="134">
        <v>152</v>
      </c>
      <c r="L229" s="133" t="str">
        <f t="shared" si="63"/>
        <v>12C-132</v>
      </c>
      <c r="M229" s="109"/>
      <c r="N229" s="109" t="str">
        <f t="shared" si="64"/>
        <v>au_5-8 v 9-12</v>
      </c>
      <c r="O229" s="109"/>
      <c r="P229" s="109"/>
      <c r="Q229" s="109"/>
      <c r="R229" s="109"/>
      <c r="S229" s="109"/>
      <c r="T229" s="109"/>
      <c r="U229" s="109"/>
      <c r="V229" s="109"/>
      <c r="W229" s="109"/>
      <c r="X229" s="109"/>
      <c r="Y229" s="109"/>
      <c r="Z229" s="109"/>
    </row>
    <row r="230" spans="1:26" ht="12" customHeight="1">
      <c r="A230" s="138">
        <f t="shared" si="61"/>
        <v>46223</v>
      </c>
      <c r="B230" s="133">
        <f>'CHICLETS MASTER S1'!J56</f>
        <v>0.4375</v>
      </c>
      <c r="C230" s="133" t="s">
        <v>842</v>
      </c>
      <c r="D230" s="134" t="str">
        <f t="shared" si="62"/>
        <v>TRABUCO HILLS HS</v>
      </c>
      <c r="E230" s="134">
        <v>120</v>
      </c>
      <c r="F230" s="133" t="s">
        <v>767</v>
      </c>
      <c r="G230" s="134"/>
      <c r="H230" s="133" t="s">
        <v>781</v>
      </c>
      <c r="I230" s="134"/>
      <c r="J230" s="134" t="s">
        <v>843</v>
      </c>
      <c r="K230" s="134"/>
      <c r="L230" s="133" t="str">
        <f t="shared" si="63"/>
        <v>12C-120</v>
      </c>
      <c r="M230" s="109"/>
      <c r="N230" s="109" t="str">
        <f t="shared" si="64"/>
        <v>au_19-21 RR</v>
      </c>
      <c r="O230" s="109"/>
      <c r="P230" s="109"/>
      <c r="Q230" s="109"/>
      <c r="R230" s="109"/>
      <c r="S230" s="109"/>
      <c r="T230" s="109"/>
      <c r="U230" s="109"/>
      <c r="V230" s="109"/>
      <c r="W230" s="109"/>
      <c r="X230" s="109"/>
      <c r="Y230" s="109"/>
      <c r="Z230" s="109"/>
    </row>
    <row r="231" spans="1:26" ht="12" customHeight="1">
      <c r="A231" s="138">
        <f t="shared" si="61"/>
        <v>46223</v>
      </c>
      <c r="B231" s="133">
        <f>'CHICLETS MASTER S1'!J57</f>
        <v>0.47222222222222199</v>
      </c>
      <c r="C231" s="133" t="s">
        <v>201</v>
      </c>
      <c r="D231" s="134" t="str">
        <f t="shared" si="62"/>
        <v>TRABUCO HILLS HS</v>
      </c>
      <c r="E231" s="134">
        <v>124</v>
      </c>
      <c r="F231" s="133" t="s">
        <v>844</v>
      </c>
      <c r="G231" s="134"/>
      <c r="H231" s="133" t="s">
        <v>845</v>
      </c>
      <c r="I231" s="134"/>
      <c r="J231" s="134">
        <v>171</v>
      </c>
      <c r="K231" s="134">
        <v>164</v>
      </c>
      <c r="L231" s="133" t="str">
        <f t="shared" si="63"/>
        <v>12C-124</v>
      </c>
      <c r="M231" s="109"/>
      <c r="N231" s="109" t="str">
        <f t="shared" si="64"/>
        <v>au_play to semi</v>
      </c>
      <c r="O231" s="109"/>
      <c r="P231" s="109"/>
      <c r="Q231" s="109"/>
      <c r="R231" s="109"/>
      <c r="S231" s="109"/>
      <c r="T231" s="109"/>
      <c r="U231" s="109"/>
      <c r="V231" s="109"/>
      <c r="W231" s="109"/>
      <c r="X231" s="109"/>
      <c r="Y231" s="109"/>
      <c r="Z231" s="109"/>
    </row>
    <row r="232" spans="1:26" ht="12" customHeight="1">
      <c r="A232" s="138">
        <f t="shared" si="61"/>
        <v>46223</v>
      </c>
      <c r="B232" s="133">
        <f>'CHICLETS MASTER S1'!J58</f>
        <v>0.50694444444444398</v>
      </c>
      <c r="C232" s="133" t="s">
        <v>649</v>
      </c>
      <c r="D232" s="134" t="str">
        <f t="shared" si="62"/>
        <v>TRABUCO HILLS HS</v>
      </c>
      <c r="E232" s="134">
        <v>140</v>
      </c>
      <c r="F232" s="133" t="s">
        <v>169</v>
      </c>
      <c r="G232" s="134"/>
      <c r="H232" s="133" t="s">
        <v>180</v>
      </c>
      <c r="I232" s="134"/>
      <c r="J232" s="134" t="s">
        <v>649</v>
      </c>
      <c r="K232" s="134"/>
      <c r="L232" s="133" t="str">
        <f t="shared" si="63"/>
        <v>12C-140</v>
      </c>
      <c r="M232" s="109"/>
      <c r="N232" s="109" t="str">
        <f t="shared" si="64"/>
        <v>au_bracket</v>
      </c>
      <c r="O232" s="109"/>
      <c r="P232" s="109"/>
      <c r="Q232" s="109"/>
      <c r="R232" s="109"/>
      <c r="S232" s="109"/>
      <c r="T232" s="109"/>
      <c r="U232" s="109"/>
      <c r="V232" s="109"/>
      <c r="W232" s="109"/>
      <c r="X232" s="109"/>
      <c r="Y232" s="109"/>
      <c r="Z232" s="109"/>
    </row>
    <row r="233" spans="1:26" ht="12" customHeight="1">
      <c r="A233" s="138">
        <f t="shared" si="61"/>
        <v>46223</v>
      </c>
      <c r="B233" s="133">
        <f>'CHICLETS MASTER S1'!J59</f>
        <v>0.54166666666666696</v>
      </c>
      <c r="C233" s="133" t="s">
        <v>194</v>
      </c>
      <c r="D233" s="134" t="str">
        <f t="shared" si="62"/>
        <v>TRABUCO HILLS HS</v>
      </c>
      <c r="E233" s="134">
        <v>148</v>
      </c>
      <c r="F233" s="133" t="s">
        <v>846</v>
      </c>
      <c r="G233" s="134"/>
      <c r="H233" s="133" t="s">
        <v>847</v>
      </c>
      <c r="I233" s="134"/>
      <c r="J233" s="134">
        <v>164</v>
      </c>
      <c r="K233" s="134">
        <v>188</v>
      </c>
      <c r="L233" s="133" t="str">
        <f t="shared" si="63"/>
        <v>12C-148</v>
      </c>
      <c r="M233" s="109"/>
      <c r="N233" s="109" t="str">
        <f t="shared" si="64"/>
        <v>au_1-2 v 3-4</v>
      </c>
      <c r="O233" s="109"/>
      <c r="P233" s="109"/>
      <c r="Q233" s="109"/>
      <c r="R233" s="109"/>
      <c r="S233" s="109"/>
      <c r="T233" s="109"/>
      <c r="U233" s="109"/>
      <c r="V233" s="109"/>
      <c r="W233" s="109"/>
      <c r="X233" s="109"/>
      <c r="Y233" s="109"/>
      <c r="Z233" s="109"/>
    </row>
    <row r="234" spans="1:26" ht="12" customHeight="1">
      <c r="A234" s="138">
        <f t="shared" si="61"/>
        <v>46223</v>
      </c>
      <c r="B234" s="133">
        <f>'CHICLETS MASTER S1'!J60</f>
        <v>0.57638888888888895</v>
      </c>
      <c r="C234" s="133" t="s">
        <v>842</v>
      </c>
      <c r="D234" s="134" t="str">
        <f t="shared" si="62"/>
        <v>TRABUCO HILLS HS</v>
      </c>
      <c r="E234" s="134">
        <v>144</v>
      </c>
      <c r="F234" s="133" t="s">
        <v>767</v>
      </c>
      <c r="G234" s="134"/>
      <c r="H234" s="124" t="s">
        <v>774</v>
      </c>
      <c r="I234" s="144"/>
      <c r="J234" s="134" t="s">
        <v>843</v>
      </c>
      <c r="K234" s="115"/>
      <c r="L234" s="133" t="str">
        <f t="shared" si="63"/>
        <v>12C-144</v>
      </c>
      <c r="M234" s="109"/>
      <c r="N234" s="109" t="str">
        <f t="shared" si="64"/>
        <v>au_19-21 RR</v>
      </c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</row>
    <row r="235" spans="1:26" ht="12" customHeight="1">
      <c r="A235" s="138">
        <f t="shared" si="61"/>
        <v>46223</v>
      </c>
      <c r="B235" s="133">
        <f>'CHICLETS MASTER S1'!J61</f>
        <v>0.61111111111111105</v>
      </c>
      <c r="C235" s="133" t="s">
        <v>200</v>
      </c>
      <c r="D235" s="134" t="str">
        <f t="shared" si="62"/>
        <v>TRABUCO HILLS HS</v>
      </c>
      <c r="E235" s="134">
        <v>152</v>
      </c>
      <c r="F235" s="133" t="s">
        <v>848</v>
      </c>
      <c r="G235" s="134"/>
      <c r="H235" s="133" t="s">
        <v>849</v>
      </c>
      <c r="I235" s="134"/>
      <c r="J235" s="134">
        <v>183</v>
      </c>
      <c r="K235" s="134">
        <v>184</v>
      </c>
      <c r="L235" s="133" t="str">
        <f t="shared" si="63"/>
        <v>12C-152</v>
      </c>
      <c r="M235" s="109"/>
      <c r="N235" s="109" t="str">
        <f t="shared" si="64"/>
        <v>au_9-12 semi</v>
      </c>
      <c r="O235" s="109"/>
      <c r="P235" s="109"/>
      <c r="Q235" s="109"/>
      <c r="R235" s="109"/>
      <c r="S235" s="109"/>
      <c r="T235" s="109"/>
      <c r="U235" s="109"/>
      <c r="V235" s="109"/>
      <c r="W235" s="109"/>
      <c r="X235" s="109"/>
      <c r="Y235" s="109"/>
      <c r="Z235" s="109"/>
    </row>
    <row r="236" spans="1:26" ht="12" customHeight="1">
      <c r="A236" s="138">
        <f t="shared" si="61"/>
        <v>46223</v>
      </c>
      <c r="B236" s="133">
        <f>'CHICLETS MASTER S1'!J62</f>
        <v>0.64583333333333304</v>
      </c>
      <c r="C236" s="133" t="s">
        <v>649</v>
      </c>
      <c r="D236" s="134" t="str">
        <f t="shared" si="62"/>
        <v>TRABUCO HILLS HS</v>
      </c>
      <c r="E236" s="134">
        <v>156</v>
      </c>
      <c r="F236" s="133" t="s">
        <v>203</v>
      </c>
      <c r="G236" s="134"/>
      <c r="H236" s="133" t="s">
        <v>169</v>
      </c>
      <c r="I236" s="134"/>
      <c r="J236" s="134" t="s">
        <v>649</v>
      </c>
      <c r="K236" s="134"/>
      <c r="L236" s="133" t="str">
        <f t="shared" si="63"/>
        <v>12C-156</v>
      </c>
      <c r="M236" s="109"/>
      <c r="N236" s="109" t="str">
        <f t="shared" si="64"/>
        <v>au_bracket</v>
      </c>
      <c r="O236" s="109"/>
      <c r="P236" s="109"/>
      <c r="Q236" s="109"/>
      <c r="R236" s="109"/>
      <c r="S236" s="109"/>
      <c r="T236" s="109"/>
      <c r="U236" s="109"/>
      <c r="V236" s="109"/>
      <c r="W236" s="109"/>
      <c r="X236" s="109"/>
      <c r="Y236" s="109"/>
      <c r="Z236" s="109"/>
    </row>
    <row r="237" spans="1:26" ht="12" customHeight="1">
      <c r="A237" s="138">
        <f t="shared" si="61"/>
        <v>46223</v>
      </c>
      <c r="B237" s="133">
        <f>'CHICLETS MASTER S1'!J63</f>
        <v>0.68055555555555602</v>
      </c>
      <c r="C237" s="133" t="s">
        <v>201</v>
      </c>
      <c r="D237" s="134" t="str">
        <f t="shared" si="62"/>
        <v>TRABUCO HILLS HS</v>
      </c>
      <c r="E237" s="134">
        <v>164</v>
      </c>
      <c r="F237" s="133" t="s">
        <v>850</v>
      </c>
      <c r="G237" s="134"/>
      <c r="H237" s="133" t="s">
        <v>851</v>
      </c>
      <c r="I237" s="134"/>
      <c r="J237" s="134">
        <v>172</v>
      </c>
      <c r="K237" s="134">
        <v>187</v>
      </c>
      <c r="L237" s="133" t="str">
        <f t="shared" si="63"/>
        <v>12C-164</v>
      </c>
      <c r="M237" s="109"/>
      <c r="N237" s="109" t="str">
        <f t="shared" si="64"/>
        <v>au_play to semi</v>
      </c>
      <c r="O237" s="109"/>
      <c r="P237" s="109"/>
      <c r="Q237" s="109"/>
      <c r="R237" s="109"/>
      <c r="S237" s="109"/>
      <c r="T237" s="109"/>
      <c r="U237" s="109"/>
      <c r="V237" s="109"/>
      <c r="W237" s="109"/>
      <c r="X237" s="109"/>
      <c r="Y237" s="109"/>
      <c r="Z237" s="109"/>
    </row>
    <row r="238" spans="1:26" ht="12" customHeight="1" thickBot="1">
      <c r="A238" s="109"/>
      <c r="B238" s="109"/>
      <c r="C238" s="109"/>
      <c r="D238" s="109"/>
      <c r="E238" s="109"/>
      <c r="F238" s="109"/>
      <c r="G238" s="109"/>
      <c r="H238" s="109"/>
      <c r="I238" s="109"/>
      <c r="J238" s="109"/>
      <c r="K238" s="109"/>
      <c r="L238" s="109" t="str">
        <f t="shared" si="63"/>
        <v/>
      </c>
      <c r="M238" s="109"/>
      <c r="N238" s="109"/>
      <c r="O238" s="109"/>
      <c r="P238" s="109"/>
      <c r="Q238" s="109"/>
      <c r="R238" s="109"/>
      <c r="S238" s="109"/>
      <c r="T238" s="109"/>
      <c r="U238" s="109"/>
      <c r="V238" s="109"/>
      <c r="W238" s="109"/>
      <c r="X238" s="109"/>
      <c r="Y238" s="109"/>
      <c r="Z238" s="109"/>
    </row>
    <row r="239" spans="1:26" ht="12" customHeight="1" thickBot="1">
      <c r="A239" s="108"/>
      <c r="B239" s="111"/>
      <c r="C239" s="111"/>
      <c r="D239" s="119" t="str">
        <f>'CHICLETS MASTER S1'!$L$51</f>
        <v>LA HABRA HS</v>
      </c>
      <c r="E239" s="111"/>
      <c r="F239" s="109"/>
      <c r="G239" s="109"/>
      <c r="H239" s="109"/>
      <c r="I239" s="109"/>
      <c r="J239" s="109"/>
      <c r="K239" s="109"/>
      <c r="L239" s="109"/>
      <c r="M239" s="109"/>
      <c r="N239" s="109"/>
      <c r="O239" s="109"/>
      <c r="P239" s="109"/>
      <c r="Q239" s="109"/>
      <c r="R239" s="109"/>
      <c r="S239" s="109"/>
      <c r="T239" s="109"/>
      <c r="U239" s="109"/>
      <c r="V239" s="109"/>
      <c r="W239" s="109"/>
      <c r="X239" s="109"/>
      <c r="Y239" s="109"/>
      <c r="Z239" s="109"/>
    </row>
    <row r="240" spans="1:26" ht="12" customHeight="1">
      <c r="A240" s="145" t="s">
        <v>110</v>
      </c>
      <c r="B240" s="146" t="s">
        <v>111</v>
      </c>
      <c r="C240" s="145" t="s">
        <v>112</v>
      </c>
      <c r="D240" s="145" t="s">
        <v>113</v>
      </c>
      <c r="E240" s="145" t="s">
        <v>114</v>
      </c>
      <c r="F240" s="145" t="s">
        <v>115</v>
      </c>
      <c r="G240" s="145" t="s">
        <v>116</v>
      </c>
      <c r="H240" s="145" t="s">
        <v>117</v>
      </c>
      <c r="I240" s="145" t="s">
        <v>116</v>
      </c>
      <c r="J240" s="145" t="s">
        <v>118</v>
      </c>
      <c r="K240" s="145" t="s">
        <v>119</v>
      </c>
      <c r="L240" s="145" t="s">
        <v>120</v>
      </c>
      <c r="M240" s="109"/>
      <c r="N240" s="109"/>
      <c r="O240" s="109"/>
      <c r="P240" s="109"/>
      <c r="Q240" s="109"/>
      <c r="R240" s="109"/>
      <c r="S240" s="109"/>
      <c r="T240" s="109"/>
      <c r="U240" s="109"/>
      <c r="V240" s="109"/>
      <c r="W240" s="109"/>
      <c r="X240" s="109"/>
      <c r="Y240" s="109"/>
      <c r="Z240" s="109"/>
    </row>
    <row r="241" spans="1:26" ht="12" customHeight="1">
      <c r="A241" s="138">
        <f t="shared" ref="A241:A243" si="65">$A$190</f>
        <v>46223</v>
      </c>
      <c r="B241" s="133">
        <f>'CHICLETS MASTER S1'!J53</f>
        <v>0.33333333333333331</v>
      </c>
      <c r="C241" s="133" t="s">
        <v>649</v>
      </c>
      <c r="D241" s="134" t="str">
        <f t="shared" ref="D241:D243" si="66">$D$239</f>
        <v>LA HABRA HS</v>
      </c>
      <c r="E241" s="134">
        <v>135</v>
      </c>
      <c r="F241" s="133" t="s">
        <v>202</v>
      </c>
      <c r="G241" s="134"/>
      <c r="H241" s="133" t="s">
        <v>172</v>
      </c>
      <c r="I241" s="134"/>
      <c r="J241" s="134" t="s">
        <v>649</v>
      </c>
      <c r="K241" s="134"/>
      <c r="L241" s="133" t="str">
        <f t="shared" ref="L241:L251" si="67">IF(E241="","",$L$17&amp;"-"&amp;TEXT(E241,"000"))</f>
        <v>12C-135</v>
      </c>
      <c r="M241" s="109"/>
      <c r="N241" s="109" t="str">
        <f t="shared" ref="N241:N243" si="68">$L$112&amp;C241</f>
        <v>au_bracket</v>
      </c>
      <c r="O241" s="109"/>
      <c r="P241" s="109"/>
      <c r="Q241" s="109"/>
      <c r="R241" s="109"/>
      <c r="S241" s="109"/>
      <c r="T241" s="109"/>
      <c r="U241" s="109"/>
      <c r="V241" s="109"/>
      <c r="W241" s="109"/>
      <c r="X241" s="109"/>
      <c r="Y241" s="109"/>
      <c r="Z241" s="109"/>
    </row>
    <row r="242" spans="1:26" ht="12" customHeight="1">
      <c r="A242" s="138">
        <f t="shared" si="65"/>
        <v>46223</v>
      </c>
      <c r="B242" s="133">
        <f>'CHICLETS MASTER S1'!J54</f>
        <v>0.36805555555555558</v>
      </c>
      <c r="C242" s="133" t="s">
        <v>189</v>
      </c>
      <c r="D242" s="134" t="str">
        <f t="shared" si="66"/>
        <v>LA HABRA HS</v>
      </c>
      <c r="E242" s="134">
        <v>127</v>
      </c>
      <c r="F242" s="133" t="s">
        <v>852</v>
      </c>
      <c r="G242" s="134"/>
      <c r="H242" s="455" t="s">
        <v>853</v>
      </c>
      <c r="I242" s="134"/>
      <c r="J242" s="134">
        <v>147</v>
      </c>
      <c r="K242" s="134">
        <v>151</v>
      </c>
      <c r="L242" s="133" t="str">
        <f t="shared" si="67"/>
        <v>12C-127</v>
      </c>
      <c r="M242" s="109"/>
      <c r="N242" s="109" t="str">
        <f t="shared" si="68"/>
        <v>au_5-8 v 9-12</v>
      </c>
      <c r="O242" s="109"/>
      <c r="P242" s="109"/>
      <c r="Q242" s="109"/>
      <c r="R242" s="109"/>
      <c r="S242" s="109"/>
      <c r="T242" s="109"/>
      <c r="U242" s="109"/>
      <c r="V242" s="109"/>
      <c r="W242" s="109"/>
      <c r="X242" s="109"/>
      <c r="Y242" s="109"/>
      <c r="Z242" s="109"/>
    </row>
    <row r="243" spans="1:26" ht="12" customHeight="1">
      <c r="A243" s="138">
        <f t="shared" si="65"/>
        <v>46223</v>
      </c>
      <c r="B243" s="133">
        <f>'CHICLETS MASTER S1'!J55</f>
        <v>0.40277777777777801</v>
      </c>
      <c r="C243" s="133" t="s">
        <v>189</v>
      </c>
      <c r="D243" s="134" t="str">
        <f t="shared" si="66"/>
        <v>LA HABRA HS</v>
      </c>
      <c r="E243" s="134">
        <v>131</v>
      </c>
      <c r="F243" s="133" t="s">
        <v>854</v>
      </c>
      <c r="G243" s="134"/>
      <c r="H243" s="456" t="s">
        <v>855</v>
      </c>
      <c r="I243" s="134"/>
      <c r="J243" s="134">
        <v>147</v>
      </c>
      <c r="K243" s="134">
        <v>151</v>
      </c>
      <c r="L243" s="133" t="str">
        <f t="shared" si="67"/>
        <v>12C-131</v>
      </c>
      <c r="M243" s="109"/>
      <c r="N243" s="109" t="str">
        <f t="shared" si="68"/>
        <v>au_5-8 v 9-12</v>
      </c>
      <c r="O243" s="109"/>
      <c r="P243" s="109"/>
      <c r="Q243" s="109"/>
      <c r="R243" s="109"/>
      <c r="S243" s="109"/>
      <c r="T243" s="109"/>
      <c r="U243" s="109"/>
      <c r="V243" s="109"/>
      <c r="W243" s="109"/>
      <c r="X243" s="109"/>
      <c r="Y243" s="109"/>
      <c r="Z243" s="109"/>
    </row>
    <row r="244" spans="1:26" ht="12" customHeight="1">
      <c r="A244" s="109"/>
      <c r="B244" s="109"/>
      <c r="C244" s="109"/>
      <c r="D244" s="109"/>
      <c r="E244" s="109"/>
      <c r="F244" s="109"/>
      <c r="G244" s="109"/>
      <c r="H244" s="109"/>
      <c r="I244" s="109"/>
      <c r="J244" s="109"/>
      <c r="K244" s="109"/>
      <c r="L244" s="109" t="str">
        <f t="shared" ref="L244" si="69">IF(E244="","",$L$17&amp;"-"&amp;TEXT(E244,"000"))</f>
        <v/>
      </c>
      <c r="M244" s="109"/>
      <c r="N244" s="109"/>
      <c r="O244" s="109"/>
      <c r="P244" s="109"/>
      <c r="Q244" s="109"/>
      <c r="R244" s="109"/>
      <c r="S244" s="109"/>
      <c r="T244" s="109"/>
      <c r="U244" s="109"/>
      <c r="V244" s="109"/>
      <c r="W244" s="109"/>
      <c r="X244" s="109"/>
      <c r="Y244" s="109"/>
      <c r="Z244" s="109"/>
    </row>
    <row r="245" spans="1:26" ht="12" customHeight="1">
      <c r="A245" s="138">
        <f t="shared" ref="A245:A247" si="70">$A$190</f>
        <v>46223</v>
      </c>
      <c r="B245" s="133">
        <f>'CHICLETS MASTER S1'!J57</f>
        <v>0.47222222222222199</v>
      </c>
      <c r="C245" s="133" t="s">
        <v>201</v>
      </c>
      <c r="D245" s="134" t="str">
        <f t="shared" ref="D245:D247" si="71">$D$239</f>
        <v>LA HABRA HS</v>
      </c>
      <c r="E245" s="134">
        <v>123</v>
      </c>
      <c r="F245" s="133" t="s">
        <v>856</v>
      </c>
      <c r="G245" s="134"/>
      <c r="H245" s="133" t="s">
        <v>857</v>
      </c>
      <c r="I245" s="134"/>
      <c r="J245" s="134">
        <v>172</v>
      </c>
      <c r="K245" s="134">
        <v>163</v>
      </c>
      <c r="L245" s="133" t="str">
        <f t="shared" si="67"/>
        <v>12C-123</v>
      </c>
      <c r="M245" s="109"/>
      <c r="N245" s="109" t="str">
        <f t="shared" ref="N245:N247" si="72">$L$112&amp;C245</f>
        <v>au_play to semi</v>
      </c>
      <c r="O245" s="109"/>
      <c r="P245" s="109"/>
      <c r="Q245" s="109"/>
      <c r="R245" s="109"/>
      <c r="S245" s="109"/>
      <c r="T245" s="109"/>
      <c r="U245" s="109"/>
      <c r="V245" s="109"/>
      <c r="W245" s="109"/>
      <c r="X245" s="109"/>
      <c r="Y245" s="109"/>
      <c r="Z245" s="109"/>
    </row>
    <row r="246" spans="1:26" ht="12" customHeight="1">
      <c r="A246" s="138">
        <f t="shared" si="70"/>
        <v>46223</v>
      </c>
      <c r="B246" s="133">
        <f>'CHICLETS MASTER S1'!J58</f>
        <v>0.50694444444444398</v>
      </c>
      <c r="C246" s="133" t="s">
        <v>649</v>
      </c>
      <c r="D246" s="134" t="str">
        <f t="shared" si="71"/>
        <v>LA HABRA HS</v>
      </c>
      <c r="E246" s="134">
        <v>139</v>
      </c>
      <c r="F246" s="133" t="s">
        <v>183</v>
      </c>
      <c r="G246" s="134"/>
      <c r="H246" s="133" t="s">
        <v>172</v>
      </c>
      <c r="I246" s="134"/>
      <c r="J246" s="134" t="s">
        <v>649</v>
      </c>
      <c r="K246" s="134"/>
      <c r="L246" s="133" t="str">
        <f t="shared" si="67"/>
        <v>12C-139</v>
      </c>
      <c r="M246" s="109"/>
      <c r="N246" s="109" t="str">
        <f t="shared" si="72"/>
        <v>au_bracket</v>
      </c>
      <c r="O246" s="109"/>
      <c r="P246" s="109"/>
      <c r="Q246" s="109"/>
      <c r="R246" s="109"/>
      <c r="S246" s="109"/>
      <c r="T246" s="109"/>
      <c r="U246" s="109"/>
      <c r="V246" s="109"/>
      <c r="W246" s="109"/>
      <c r="X246" s="109"/>
      <c r="Y246" s="109"/>
      <c r="Z246" s="109"/>
    </row>
    <row r="247" spans="1:26" ht="12" customHeight="1">
      <c r="A247" s="138">
        <f t="shared" si="70"/>
        <v>46223</v>
      </c>
      <c r="B247" s="133">
        <f>'CHICLETS MASTER S1'!J59</f>
        <v>0.54166666666666696</v>
      </c>
      <c r="C247" s="133" t="s">
        <v>194</v>
      </c>
      <c r="D247" s="134" t="str">
        <f t="shared" si="71"/>
        <v>LA HABRA HS</v>
      </c>
      <c r="E247" s="134">
        <v>147</v>
      </c>
      <c r="F247" s="133" t="s">
        <v>858</v>
      </c>
      <c r="G247" s="134"/>
      <c r="H247" s="133" t="s">
        <v>859</v>
      </c>
      <c r="I247" s="134"/>
      <c r="J247" s="134">
        <v>163</v>
      </c>
      <c r="K247" s="134">
        <v>188</v>
      </c>
      <c r="L247" s="133" t="str">
        <f t="shared" si="67"/>
        <v>12C-147</v>
      </c>
      <c r="M247" s="109"/>
      <c r="N247" s="109" t="str">
        <f t="shared" si="72"/>
        <v>au_1-2 v 3-4</v>
      </c>
      <c r="O247" s="109"/>
      <c r="P247" s="109"/>
      <c r="Q247" s="109"/>
      <c r="R247" s="109"/>
      <c r="S247" s="109"/>
      <c r="T247" s="109"/>
      <c r="U247" s="109"/>
      <c r="V247" s="109"/>
      <c r="W247" s="109"/>
      <c r="X247" s="109"/>
      <c r="Y247" s="109"/>
      <c r="Z247" s="109"/>
    </row>
    <row r="248" spans="1:26" ht="12" customHeight="1">
      <c r="A248" s="109"/>
      <c r="B248" s="109"/>
      <c r="C248" s="109"/>
      <c r="D248" s="109"/>
      <c r="E248" s="109"/>
      <c r="F248" s="109"/>
      <c r="G248" s="109"/>
      <c r="H248" s="109"/>
      <c r="I248" s="109"/>
      <c r="J248" s="109"/>
      <c r="K248" s="109"/>
      <c r="L248" s="109" t="str">
        <f t="shared" si="67"/>
        <v/>
      </c>
      <c r="M248" s="109"/>
      <c r="N248" s="109"/>
      <c r="O248" s="109"/>
      <c r="P248" s="109"/>
      <c r="Q248" s="109"/>
      <c r="R248" s="109"/>
      <c r="S248" s="109"/>
      <c r="T248" s="109"/>
      <c r="U248" s="109"/>
      <c r="V248" s="109"/>
      <c r="W248" s="109"/>
      <c r="X248" s="109"/>
      <c r="Y248" s="109"/>
      <c r="Z248" s="109"/>
    </row>
    <row r="249" spans="1:26" ht="12" customHeight="1">
      <c r="A249" s="138">
        <f t="shared" ref="A249:A251" si="73">$A$190</f>
        <v>46223</v>
      </c>
      <c r="B249" s="133">
        <f>'CHICLETS MASTER S1'!J63</f>
        <v>0.68055555555555602</v>
      </c>
      <c r="C249" s="133" t="s">
        <v>200</v>
      </c>
      <c r="D249" s="134" t="str">
        <f t="shared" ref="D249:D251" si="74">$D$239</f>
        <v>LA HABRA HS</v>
      </c>
      <c r="E249" s="134">
        <v>151</v>
      </c>
      <c r="F249" s="133" t="s">
        <v>860</v>
      </c>
      <c r="G249" s="134"/>
      <c r="H249" s="133" t="s">
        <v>861</v>
      </c>
      <c r="I249" s="134"/>
      <c r="J249" s="134">
        <v>183</v>
      </c>
      <c r="K249" s="134">
        <v>184</v>
      </c>
      <c r="L249" s="133" t="str">
        <f t="shared" si="67"/>
        <v>12C-151</v>
      </c>
      <c r="M249" s="109"/>
      <c r="N249" s="109" t="str">
        <f t="shared" ref="N249:N251" si="75">$L$112&amp;C249</f>
        <v>au_9-12 semi</v>
      </c>
      <c r="O249" s="109"/>
      <c r="P249" s="109"/>
      <c r="Q249" s="109"/>
      <c r="R249" s="109"/>
      <c r="S249" s="109"/>
      <c r="T249" s="109"/>
      <c r="U249" s="109"/>
      <c r="V249" s="109"/>
      <c r="W249" s="109"/>
      <c r="X249" s="109"/>
      <c r="Y249" s="109"/>
      <c r="Z249" s="109"/>
    </row>
    <row r="250" spans="1:26" ht="12" customHeight="1">
      <c r="A250" s="138">
        <f t="shared" si="73"/>
        <v>46223</v>
      </c>
      <c r="B250" s="133">
        <f>'CHICLETS MASTER S1'!J64</f>
        <v>0.71527777777777801</v>
      </c>
      <c r="C250" s="133" t="s">
        <v>649</v>
      </c>
      <c r="D250" s="134" t="str">
        <f t="shared" si="74"/>
        <v>LA HABRA HS</v>
      </c>
      <c r="E250" s="134">
        <v>155</v>
      </c>
      <c r="F250" s="133" t="s">
        <v>202</v>
      </c>
      <c r="G250" s="134"/>
      <c r="H250" s="133" t="s">
        <v>183</v>
      </c>
      <c r="I250" s="134"/>
      <c r="J250" s="134" t="s">
        <v>649</v>
      </c>
      <c r="K250" s="134"/>
      <c r="L250" s="133" t="str">
        <f t="shared" si="67"/>
        <v>12C-155</v>
      </c>
      <c r="M250" s="109"/>
      <c r="N250" s="109" t="str">
        <f t="shared" si="75"/>
        <v>au_bracket</v>
      </c>
      <c r="O250" s="109"/>
      <c r="P250" s="109"/>
      <c r="Q250" s="109"/>
      <c r="R250" s="109"/>
      <c r="S250" s="109"/>
      <c r="T250" s="109"/>
      <c r="U250" s="109"/>
      <c r="V250" s="109"/>
      <c r="W250" s="109"/>
      <c r="X250" s="109"/>
      <c r="Y250" s="109"/>
      <c r="Z250" s="109"/>
    </row>
    <row r="251" spans="1:26" ht="12" customHeight="1">
      <c r="A251" s="138">
        <f t="shared" si="73"/>
        <v>46223</v>
      </c>
      <c r="B251" s="133">
        <f>'CHICLETS MASTER S1'!J65</f>
        <v>0.75</v>
      </c>
      <c r="C251" s="133" t="s">
        <v>201</v>
      </c>
      <c r="D251" s="134" t="str">
        <f t="shared" si="74"/>
        <v>LA HABRA HS</v>
      </c>
      <c r="E251" s="134">
        <v>163</v>
      </c>
      <c r="F251" s="133" t="s">
        <v>862</v>
      </c>
      <c r="G251" s="134"/>
      <c r="H251" s="133" t="s">
        <v>863</v>
      </c>
      <c r="I251" s="134"/>
      <c r="J251" s="134">
        <v>171</v>
      </c>
      <c r="K251" s="134">
        <v>187</v>
      </c>
      <c r="L251" s="133" t="str">
        <f t="shared" si="67"/>
        <v>12C-163</v>
      </c>
      <c r="M251" s="109"/>
      <c r="N251" s="109" t="str">
        <f t="shared" si="75"/>
        <v>au_play to semi</v>
      </c>
      <c r="O251" s="109"/>
      <c r="P251" s="109"/>
      <c r="Q251" s="109"/>
      <c r="R251" s="109"/>
      <c r="S251" s="109"/>
      <c r="T251" s="109"/>
      <c r="U251" s="109"/>
      <c r="V251" s="109"/>
      <c r="W251" s="109"/>
      <c r="X251" s="109"/>
      <c r="Y251" s="109"/>
      <c r="Z251" s="109"/>
    </row>
    <row r="252" spans="1:26" ht="12" customHeight="1">
      <c r="A252" s="109"/>
      <c r="B252" s="109"/>
      <c r="C252" s="109"/>
      <c r="D252" s="109"/>
      <c r="E252" s="109"/>
      <c r="F252" s="109"/>
      <c r="G252" s="109"/>
      <c r="H252" s="109"/>
      <c r="I252" s="109"/>
      <c r="J252" s="109"/>
      <c r="K252" s="109"/>
      <c r="L252" s="109"/>
      <c r="M252" s="109"/>
      <c r="N252" s="109"/>
      <c r="O252" s="109"/>
      <c r="P252" s="109"/>
      <c r="Q252" s="109"/>
      <c r="R252" s="109"/>
      <c r="S252" s="109"/>
      <c r="T252" s="109"/>
      <c r="U252" s="109"/>
      <c r="V252" s="109"/>
      <c r="W252" s="109"/>
      <c r="X252" s="109"/>
      <c r="Y252" s="109"/>
      <c r="Z252" s="109"/>
    </row>
    <row r="253" spans="1:26" ht="12" customHeight="1">
      <c r="A253" s="109"/>
      <c r="B253" s="109"/>
      <c r="C253" s="109"/>
      <c r="D253" s="109"/>
      <c r="E253" s="109"/>
      <c r="F253" s="109"/>
      <c r="G253" s="109"/>
      <c r="H253" s="109"/>
      <c r="I253" s="109"/>
      <c r="J253" s="109"/>
      <c r="K253" s="109"/>
      <c r="L253" s="109"/>
      <c r="M253" s="109"/>
      <c r="N253" s="109"/>
      <c r="O253" s="109"/>
      <c r="P253" s="109"/>
      <c r="Q253" s="109"/>
      <c r="R253" s="109"/>
      <c r="S253" s="109"/>
      <c r="T253" s="109"/>
      <c r="U253" s="109"/>
      <c r="V253" s="109"/>
      <c r="W253" s="109"/>
      <c r="X253" s="109"/>
      <c r="Y253" s="109"/>
      <c r="Z253" s="109"/>
    </row>
    <row r="254" spans="1:26" ht="12" customHeight="1" thickBot="1">
      <c r="A254" s="129"/>
      <c r="B254" s="114"/>
      <c r="C254" s="114"/>
      <c r="D254" s="130"/>
      <c r="E254" s="130"/>
      <c r="F254" s="114"/>
      <c r="G254" s="114"/>
      <c r="H254" s="114"/>
      <c r="I254" s="114"/>
      <c r="J254" s="130"/>
      <c r="K254" s="130"/>
      <c r="L254" s="130"/>
      <c r="M254" s="109"/>
      <c r="N254" s="109"/>
      <c r="O254" s="109"/>
      <c r="P254" s="109"/>
      <c r="Q254" s="109"/>
      <c r="R254" s="109"/>
      <c r="S254" s="109"/>
      <c r="T254" s="109"/>
      <c r="U254" s="109"/>
      <c r="V254" s="109"/>
      <c r="W254" s="109"/>
      <c r="X254" s="109"/>
      <c r="Y254" s="109"/>
      <c r="Z254" s="109"/>
    </row>
    <row r="255" spans="1:26" ht="12" customHeight="1" thickTop="1" thickBot="1">
      <c r="A255" s="105" t="s">
        <v>864</v>
      </c>
      <c r="B255" s="116"/>
      <c r="C255" s="116" t="s">
        <v>647</v>
      </c>
      <c r="D255" s="116"/>
      <c r="E255" s="116"/>
      <c r="F255" s="116"/>
      <c r="G255" s="116"/>
      <c r="H255" s="116"/>
      <c r="I255" s="116"/>
      <c r="J255" s="116"/>
      <c r="K255" s="116"/>
      <c r="L255" s="116"/>
      <c r="M255" s="109"/>
      <c r="N255" s="109"/>
      <c r="O255" s="109"/>
      <c r="P255" s="109"/>
      <c r="Q255" s="109"/>
      <c r="R255" s="109"/>
      <c r="S255" s="109"/>
      <c r="T255" s="109"/>
      <c r="U255" s="109"/>
      <c r="V255" s="109"/>
      <c r="W255" s="109"/>
      <c r="X255" s="109"/>
      <c r="Y255" s="109"/>
      <c r="Z255" s="109"/>
    </row>
    <row r="256" spans="1:26" ht="12" customHeight="1" thickBot="1">
      <c r="A256" s="108">
        <v>46224</v>
      </c>
      <c r="B256" s="111"/>
      <c r="C256" s="111"/>
      <c r="D256" s="109"/>
      <c r="E256" s="109"/>
      <c r="F256" s="109"/>
      <c r="G256" s="109"/>
      <c r="H256" s="109"/>
      <c r="I256" s="109"/>
      <c r="J256" s="109"/>
      <c r="K256" s="109"/>
      <c r="L256" s="109"/>
      <c r="M256" s="130"/>
      <c r="N256" s="130"/>
      <c r="O256" s="130"/>
      <c r="P256" s="130"/>
      <c r="Q256" s="130"/>
      <c r="R256" s="130"/>
      <c r="S256" s="130"/>
      <c r="T256" s="130"/>
      <c r="U256" s="130"/>
      <c r="V256" s="130"/>
      <c r="W256" s="130"/>
      <c r="X256" s="130"/>
      <c r="Y256" s="130"/>
      <c r="Z256" s="130"/>
    </row>
    <row r="257" spans="1:26" ht="12" customHeight="1" thickBot="1">
      <c r="A257" s="108"/>
      <c r="B257" s="111"/>
      <c r="C257" s="111"/>
      <c r="D257" s="119" t="str">
        <f>'CHICLETS MASTER S1'!$L$72</f>
        <v>LA HABRA HS</v>
      </c>
      <c r="E257" s="111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</row>
    <row r="258" spans="1:26" ht="12" customHeight="1">
      <c r="A258" s="145" t="s">
        <v>110</v>
      </c>
      <c r="B258" s="146" t="s">
        <v>111</v>
      </c>
      <c r="C258" s="145" t="s">
        <v>112</v>
      </c>
      <c r="D258" s="145" t="s">
        <v>113</v>
      </c>
      <c r="E258" s="145" t="s">
        <v>114</v>
      </c>
      <c r="F258" s="145" t="s">
        <v>115</v>
      </c>
      <c r="G258" s="145" t="s">
        <v>116</v>
      </c>
      <c r="H258" s="145" t="s">
        <v>117</v>
      </c>
      <c r="I258" s="145" t="s">
        <v>116</v>
      </c>
      <c r="J258" s="145" t="s">
        <v>118</v>
      </c>
      <c r="K258" s="145" t="s">
        <v>119</v>
      </c>
      <c r="L258" s="145" t="s">
        <v>120</v>
      </c>
      <c r="M258" s="109"/>
      <c r="N258" s="109"/>
      <c r="O258" s="109"/>
      <c r="P258" s="109"/>
      <c r="Q258" s="109"/>
      <c r="R258" s="109"/>
      <c r="S258" s="109"/>
      <c r="T258" s="109"/>
      <c r="U258" s="109"/>
      <c r="V258" s="109"/>
      <c r="W258" s="109"/>
      <c r="X258" s="109"/>
      <c r="Y258" s="109"/>
      <c r="Z258" s="109"/>
    </row>
    <row r="259" spans="1:26" ht="12" customHeight="1">
      <c r="A259" s="138">
        <f t="shared" ref="A259:A282" si="76">$A$256</f>
        <v>46224</v>
      </c>
      <c r="B259" s="133">
        <f>'CHICLETS MASTER S1'!J73</f>
        <v>0.29166666666666669</v>
      </c>
      <c r="C259" s="133" t="s">
        <v>224</v>
      </c>
      <c r="D259" s="134" t="str">
        <f t="shared" ref="D259:D264" si="77">$D$257</f>
        <v>LA HABRA HS</v>
      </c>
      <c r="E259" s="134">
        <v>171</v>
      </c>
      <c r="F259" s="133" t="s">
        <v>865</v>
      </c>
      <c r="G259" s="134"/>
      <c r="H259" s="133" t="s">
        <v>866</v>
      </c>
      <c r="I259" s="134"/>
      <c r="J259" s="134">
        <v>191</v>
      </c>
      <c r="K259" s="134">
        <v>192</v>
      </c>
      <c r="L259" s="133" t="str">
        <f t="shared" ref="L259:L260" si="78">IF(E259="","",$L$17&amp;"-"&amp;TEXT(E259,"000"))</f>
        <v>12C-171</v>
      </c>
      <c r="M259" s="109"/>
      <c r="N259" s="109" t="str">
        <f t="shared" ref="N259:N260" si="79">$L$112&amp;C259</f>
        <v>au_semi</v>
      </c>
      <c r="O259" s="109"/>
      <c r="P259" s="109"/>
      <c r="Q259" s="109"/>
      <c r="R259" s="109"/>
      <c r="S259" s="109"/>
      <c r="T259" s="109"/>
      <c r="U259" s="109"/>
      <c r="V259" s="109"/>
      <c r="W259" s="109"/>
      <c r="X259" s="109"/>
      <c r="Y259" s="109"/>
      <c r="Z259" s="109"/>
    </row>
    <row r="260" spans="1:26" ht="12" customHeight="1">
      <c r="A260" s="138">
        <f t="shared" si="76"/>
        <v>46224</v>
      </c>
      <c r="B260" s="133">
        <f>'CHICLETS MASTER S1'!J74</f>
        <v>0.33333333333333298</v>
      </c>
      <c r="C260" s="133" t="s">
        <v>224</v>
      </c>
      <c r="D260" s="134" t="str">
        <f t="shared" si="77"/>
        <v>LA HABRA HS</v>
      </c>
      <c r="E260" s="134">
        <v>172</v>
      </c>
      <c r="F260" s="133" t="s">
        <v>867</v>
      </c>
      <c r="G260" s="134"/>
      <c r="H260" s="133" t="s">
        <v>868</v>
      </c>
      <c r="I260" s="134"/>
      <c r="J260" s="134">
        <v>191</v>
      </c>
      <c r="K260" s="134">
        <v>192</v>
      </c>
      <c r="L260" s="133" t="str">
        <f t="shared" si="78"/>
        <v>12C-172</v>
      </c>
      <c r="M260" s="109"/>
      <c r="N260" s="109" t="str">
        <f t="shared" si="79"/>
        <v>au_semi</v>
      </c>
      <c r="O260" s="109"/>
      <c r="P260" s="109"/>
      <c r="Q260" s="109"/>
      <c r="R260" s="109"/>
      <c r="S260" s="109"/>
      <c r="T260" s="109"/>
      <c r="U260" s="109"/>
      <c r="V260" s="109"/>
      <c r="W260" s="109"/>
      <c r="X260" s="109"/>
      <c r="Y260" s="109"/>
      <c r="Z260" s="109"/>
    </row>
    <row r="261" spans="1:26" ht="12" customHeight="1">
      <c r="A261" s="138">
        <f t="shared" ref="A261:A277" si="80">$A$256</f>
        <v>46224</v>
      </c>
      <c r="B261" s="133">
        <f>'CHICLETS MASTER S1'!J75</f>
        <v>0.375</v>
      </c>
      <c r="C261" s="133" t="s">
        <v>206</v>
      </c>
      <c r="D261" s="134" t="str">
        <f t="shared" si="77"/>
        <v>LA HABRA HS</v>
      </c>
      <c r="E261" s="134">
        <v>187</v>
      </c>
      <c r="F261" s="133" t="s">
        <v>869</v>
      </c>
      <c r="G261" s="134"/>
      <c r="H261" s="133" t="s">
        <v>870</v>
      </c>
      <c r="I261" s="134"/>
      <c r="J261" s="134" t="s">
        <v>871</v>
      </c>
      <c r="K261" s="134" t="s">
        <v>871</v>
      </c>
      <c r="L261" s="133" t="str">
        <f>IF(E261="","",$L$17&amp;"-"&amp;TEXT(E261,"000"))</f>
        <v>12C-187</v>
      </c>
      <c r="M261" s="109"/>
      <c r="N261" s="109" t="str">
        <f>$L$112&amp;C261</f>
        <v>au_5th</v>
      </c>
      <c r="O261" s="109"/>
      <c r="P261" s="109"/>
      <c r="Q261" s="109"/>
      <c r="R261" s="109"/>
      <c r="S261" s="109"/>
      <c r="T261" s="109"/>
      <c r="U261" s="109"/>
      <c r="V261" s="109"/>
      <c r="W261" s="109"/>
      <c r="X261" s="109"/>
      <c r="Y261" s="109"/>
      <c r="Z261" s="109"/>
    </row>
    <row r="262" spans="1:26" ht="12" customHeight="1">
      <c r="A262" s="138">
        <f t="shared" si="76"/>
        <v>46224</v>
      </c>
      <c r="B262" s="133">
        <f>'CHICLETS MASTER S1'!J76</f>
        <v>0.41666666666666702</v>
      </c>
      <c r="C262" s="133" t="s">
        <v>220</v>
      </c>
      <c r="D262" s="134" t="str">
        <f t="shared" si="77"/>
        <v>LA HABRA HS</v>
      </c>
      <c r="E262" s="134">
        <v>188</v>
      </c>
      <c r="F262" s="133" t="s">
        <v>872</v>
      </c>
      <c r="G262" s="134"/>
      <c r="H262" s="133" t="s">
        <v>873</v>
      </c>
      <c r="I262" s="134"/>
      <c r="J262" s="134" t="s">
        <v>874</v>
      </c>
      <c r="K262" s="134" t="s">
        <v>875</v>
      </c>
      <c r="L262" s="133" t="str">
        <f>IF(E262="","",$L$17&amp;"-"&amp;TEXT(E262,"000"))</f>
        <v>12C-188</v>
      </c>
      <c r="M262" s="109"/>
      <c r="N262" s="109" t="str">
        <f t="shared" ref="N262:N264" si="81">$L$112&amp;C262</f>
        <v>au_7th</v>
      </c>
      <c r="O262" s="109"/>
      <c r="P262" s="109"/>
      <c r="Q262" s="109"/>
      <c r="R262" s="109"/>
      <c r="S262" s="109"/>
      <c r="T262" s="109"/>
      <c r="U262" s="109"/>
      <c r="V262" s="109"/>
      <c r="W262" s="109"/>
      <c r="X262" s="109"/>
      <c r="Y262" s="109"/>
      <c r="Z262" s="109"/>
    </row>
    <row r="263" spans="1:26" ht="12" customHeight="1">
      <c r="A263" s="138">
        <f t="shared" si="76"/>
        <v>46224</v>
      </c>
      <c r="B263" s="133">
        <f>'CHICLETS MASTER S1'!J77</f>
        <v>0.45833333333333298</v>
      </c>
      <c r="C263" s="133" t="s">
        <v>210</v>
      </c>
      <c r="D263" s="134" t="str">
        <f t="shared" si="77"/>
        <v>LA HABRA HS</v>
      </c>
      <c r="E263" s="134">
        <v>192</v>
      </c>
      <c r="F263" s="133" t="s">
        <v>876</v>
      </c>
      <c r="G263" s="134"/>
      <c r="H263" s="133" t="s">
        <v>877</v>
      </c>
      <c r="I263" s="134"/>
      <c r="J263" s="134" t="s">
        <v>878</v>
      </c>
      <c r="K263" s="134" t="s">
        <v>879</v>
      </c>
      <c r="L263" s="133" t="str">
        <f>IF(E263="","",$L$17&amp;"-"&amp;TEXT(E263,"000"))</f>
        <v>12C-192</v>
      </c>
      <c r="M263" s="109"/>
      <c r="N263" s="109" t="str">
        <f t="shared" si="81"/>
        <v>au_3rd</v>
      </c>
      <c r="O263" s="109"/>
      <c r="P263" s="109"/>
      <c r="Q263" s="109"/>
      <c r="R263" s="109"/>
      <c r="S263" s="109"/>
      <c r="T263" s="109"/>
      <c r="U263" s="109"/>
      <c r="V263" s="109"/>
      <c r="W263" s="109"/>
      <c r="X263" s="109"/>
      <c r="Y263" s="109"/>
      <c r="Z263" s="109"/>
    </row>
    <row r="264" spans="1:26" ht="12" customHeight="1">
      <c r="A264" s="138">
        <f t="shared" si="76"/>
        <v>46224</v>
      </c>
      <c r="B264" s="133">
        <f>'CHICLETS MASTER S1'!J78</f>
        <v>0.5</v>
      </c>
      <c r="C264" s="133" t="s">
        <v>214</v>
      </c>
      <c r="D264" s="134" t="str">
        <f t="shared" si="77"/>
        <v>LA HABRA HS</v>
      </c>
      <c r="E264" s="134">
        <v>191</v>
      </c>
      <c r="F264" s="133" t="s">
        <v>880</v>
      </c>
      <c r="G264" s="134"/>
      <c r="H264" s="133" t="s">
        <v>881</v>
      </c>
      <c r="I264" s="134"/>
      <c r="J264" s="134" t="s">
        <v>882</v>
      </c>
      <c r="K264" s="134" t="s">
        <v>883</v>
      </c>
      <c r="L264" s="133" t="str">
        <f>IF(E264="","",$L$17&amp;"-"&amp;TEXT(E264,"000"))</f>
        <v>12C-191</v>
      </c>
      <c r="M264" s="109"/>
      <c r="N264" s="109" t="str">
        <f t="shared" si="81"/>
        <v>au_1st</v>
      </c>
      <c r="O264" s="109"/>
      <c r="P264" s="109"/>
      <c r="Q264" s="109"/>
      <c r="R264" s="109"/>
      <c r="S264" s="109"/>
      <c r="T264" s="109"/>
      <c r="U264" s="109"/>
      <c r="V264" s="109"/>
      <c r="W264" s="109"/>
      <c r="X264" s="109"/>
      <c r="Y264" s="109"/>
      <c r="Z264" s="109"/>
    </row>
    <row r="265" spans="1:26" ht="12" customHeight="1" thickBot="1">
      <c r="A265" s="109"/>
      <c r="B265" s="109"/>
      <c r="C265" s="109"/>
      <c r="D265" s="109"/>
      <c r="E265" s="109"/>
      <c r="F265" s="109"/>
      <c r="G265" s="109"/>
      <c r="H265" s="109"/>
      <c r="I265" s="109"/>
      <c r="J265" s="109"/>
      <c r="K265" s="109"/>
      <c r="L265" s="109"/>
      <c r="M265" s="109"/>
      <c r="N265" s="109"/>
      <c r="O265" s="109"/>
      <c r="P265" s="109"/>
      <c r="Q265" s="109"/>
      <c r="R265" s="109"/>
      <c r="S265" s="109"/>
      <c r="T265" s="109"/>
      <c r="U265" s="109"/>
      <c r="V265" s="109"/>
      <c r="W265" s="109"/>
      <c r="X265" s="109"/>
      <c r="Y265" s="109"/>
      <c r="Z265" s="109"/>
    </row>
    <row r="266" spans="1:26" ht="12" customHeight="1" thickBot="1">
      <c r="A266" s="108"/>
      <c r="B266" s="111"/>
      <c r="C266" s="111"/>
      <c r="D266" s="119" t="str">
        <f>'CHICLETS MASTER S1'!$N$72</f>
        <v>TRABUCO HILLS HS</v>
      </c>
      <c r="E266" s="111"/>
      <c r="F266" s="109"/>
      <c r="G266" s="109"/>
      <c r="H266" s="109"/>
      <c r="I266" s="109"/>
      <c r="J266" s="109"/>
      <c r="K266" s="109"/>
      <c r="L266" s="109"/>
      <c r="M266" s="109"/>
      <c r="N266" s="109"/>
      <c r="O266" s="109"/>
      <c r="P266" s="109"/>
      <c r="Q266" s="109"/>
      <c r="R266" s="109"/>
      <c r="S266" s="109"/>
      <c r="T266" s="109"/>
      <c r="U266" s="109"/>
      <c r="V266" s="109"/>
      <c r="W266" s="109"/>
      <c r="X266" s="109"/>
      <c r="Y266" s="109"/>
      <c r="Z266" s="109"/>
    </row>
    <row r="267" spans="1:26" ht="12" customHeight="1">
      <c r="A267" s="145" t="s">
        <v>110</v>
      </c>
      <c r="B267" s="146" t="s">
        <v>111</v>
      </c>
      <c r="C267" s="145" t="s">
        <v>112</v>
      </c>
      <c r="D267" s="145" t="s">
        <v>113</v>
      </c>
      <c r="E267" s="145" t="s">
        <v>114</v>
      </c>
      <c r="F267" s="145" t="s">
        <v>115</v>
      </c>
      <c r="G267" s="145" t="s">
        <v>116</v>
      </c>
      <c r="H267" s="145" t="s">
        <v>117</v>
      </c>
      <c r="I267" s="145" t="s">
        <v>116</v>
      </c>
      <c r="J267" s="145" t="s">
        <v>118</v>
      </c>
      <c r="K267" s="145" t="s">
        <v>119</v>
      </c>
      <c r="L267" s="145" t="s">
        <v>120</v>
      </c>
      <c r="M267" s="109"/>
      <c r="N267" s="109"/>
      <c r="O267" s="109"/>
      <c r="P267" s="109"/>
      <c r="Q267" s="109"/>
      <c r="R267" s="109"/>
      <c r="S267" s="109"/>
      <c r="T267" s="109"/>
      <c r="U267" s="109"/>
      <c r="V267" s="109"/>
      <c r="W267" s="109"/>
      <c r="X267" s="109"/>
      <c r="Y267" s="109"/>
      <c r="Z267" s="109"/>
    </row>
    <row r="268" spans="1:26" ht="12" customHeight="1">
      <c r="A268" s="135">
        <f t="shared" si="80"/>
        <v>46224</v>
      </c>
      <c r="B268" s="136">
        <f>'CHICLETS MASTER S1'!J73</f>
        <v>0.29166666666666669</v>
      </c>
      <c r="C268" s="136" t="s">
        <v>383</v>
      </c>
      <c r="D268" s="137" t="str">
        <f t="shared" ref="D268:D273" si="82">$D$266</f>
        <v>TRABUCO HILLS HS</v>
      </c>
      <c r="E268" s="137">
        <v>165</v>
      </c>
      <c r="F268" s="136" t="s">
        <v>783</v>
      </c>
      <c r="G268" s="136"/>
      <c r="H268" s="136" t="s">
        <v>807</v>
      </c>
      <c r="I268" s="136"/>
      <c r="J268" s="137" t="s">
        <v>785</v>
      </c>
      <c r="K268" s="137"/>
      <c r="L268" s="136" t="str">
        <f t="shared" ref="L268:L273" si="83">IF(E268="","",$L$17&amp;"-"&amp;TEXT(E268,"000"))</f>
        <v>12C-165</v>
      </c>
      <c r="M268" s="109"/>
      <c r="N268" s="109" t="str">
        <f t="shared" ref="N268:N269" si="84">$L$113&amp;C268</f>
        <v>pt_21-24 RR</v>
      </c>
      <c r="O268" s="109"/>
      <c r="P268" s="109"/>
      <c r="Q268" s="109"/>
      <c r="R268" s="109"/>
      <c r="S268" s="109"/>
      <c r="T268" s="109"/>
      <c r="U268" s="109"/>
      <c r="V268" s="109"/>
      <c r="W268" s="109"/>
      <c r="X268" s="109"/>
      <c r="Y268" s="109"/>
      <c r="Z268" s="109"/>
    </row>
    <row r="269" spans="1:26" ht="12" customHeight="1">
      <c r="A269" s="135">
        <f t="shared" si="80"/>
        <v>46224</v>
      </c>
      <c r="B269" s="136">
        <f>'CHICLETS MASTER S1'!J74</f>
        <v>0.33333333333333298</v>
      </c>
      <c r="C269" s="136" t="s">
        <v>383</v>
      </c>
      <c r="D269" s="137" t="str">
        <f t="shared" si="82"/>
        <v>TRABUCO HILLS HS</v>
      </c>
      <c r="E269" s="137">
        <v>166</v>
      </c>
      <c r="F269" s="136" t="s">
        <v>796</v>
      </c>
      <c r="G269" s="136"/>
      <c r="H269" s="136" t="s">
        <v>784</v>
      </c>
      <c r="I269" s="136"/>
      <c r="J269" s="137" t="s">
        <v>785</v>
      </c>
      <c r="K269" s="137"/>
      <c r="L269" s="136" t="str">
        <f t="shared" si="83"/>
        <v>12C-166</v>
      </c>
      <c r="M269" s="109"/>
      <c r="N269" s="109" t="str">
        <f t="shared" si="84"/>
        <v>pt_21-24 RR</v>
      </c>
      <c r="O269" s="109"/>
      <c r="P269" s="109"/>
      <c r="Q269" s="109"/>
      <c r="R269" s="109"/>
      <c r="S269" s="109"/>
      <c r="T269" s="109"/>
      <c r="U269" s="109"/>
      <c r="V269" s="109"/>
      <c r="W269" s="109"/>
      <c r="X269" s="109"/>
      <c r="Y269" s="109"/>
      <c r="Z269" s="109"/>
    </row>
    <row r="270" spans="1:26" ht="12" customHeight="1">
      <c r="A270" s="138">
        <f t="shared" si="80"/>
        <v>46224</v>
      </c>
      <c r="B270" s="133">
        <f>'CHICLETS MASTER S1'!J75</f>
        <v>0.375</v>
      </c>
      <c r="C270" s="133" t="s">
        <v>411</v>
      </c>
      <c r="D270" s="134" t="str">
        <f t="shared" si="82"/>
        <v>TRABUCO HILLS HS</v>
      </c>
      <c r="E270" s="134">
        <v>175</v>
      </c>
      <c r="F270" s="133" t="s">
        <v>884</v>
      </c>
      <c r="G270" s="134"/>
      <c r="H270" s="133" t="s">
        <v>885</v>
      </c>
      <c r="I270" s="134"/>
      <c r="J270" s="134" t="s">
        <v>886</v>
      </c>
      <c r="K270" s="134" t="s">
        <v>887</v>
      </c>
      <c r="L270" s="133" t="str">
        <f t="shared" si="83"/>
        <v>12C-175</v>
      </c>
      <c r="M270" s="109"/>
      <c r="N270" s="109" t="str">
        <f t="shared" ref="N270:N273" si="85">$L$112&amp;C270</f>
        <v>au_17th</v>
      </c>
      <c r="O270" s="109"/>
      <c r="P270" s="109"/>
      <c r="Q270" s="109"/>
      <c r="R270" s="109"/>
      <c r="S270" s="109"/>
      <c r="T270" s="109"/>
      <c r="U270" s="109"/>
      <c r="V270" s="109"/>
      <c r="W270" s="109"/>
      <c r="X270" s="109"/>
      <c r="Y270" s="109"/>
      <c r="Z270" s="109"/>
    </row>
    <row r="271" spans="1:26" ht="12" customHeight="1">
      <c r="A271" s="138">
        <f t="shared" si="80"/>
        <v>46224</v>
      </c>
      <c r="B271" s="133">
        <f>'CHICLETS MASTER S1'!J76</f>
        <v>0.41666666666666702</v>
      </c>
      <c r="C271" s="133" t="s">
        <v>413</v>
      </c>
      <c r="D271" s="134" t="str">
        <f t="shared" si="82"/>
        <v>TRABUCO HILLS HS</v>
      </c>
      <c r="E271" s="134">
        <v>179</v>
      </c>
      <c r="F271" s="133" t="s">
        <v>888</v>
      </c>
      <c r="G271" s="134"/>
      <c r="H271" s="133" t="s">
        <v>889</v>
      </c>
      <c r="I271" s="134"/>
      <c r="J271" s="134" t="s">
        <v>890</v>
      </c>
      <c r="K271" s="134" t="s">
        <v>891</v>
      </c>
      <c r="L271" s="133" t="str">
        <f t="shared" si="83"/>
        <v>12C-179</v>
      </c>
      <c r="M271" s="109"/>
      <c r="N271" s="109" t="str">
        <f t="shared" si="85"/>
        <v>au_13th</v>
      </c>
      <c r="O271" s="109"/>
      <c r="P271" s="109"/>
      <c r="Q271" s="109"/>
      <c r="R271" s="109"/>
      <c r="S271" s="109"/>
      <c r="T271" s="109"/>
      <c r="U271" s="109"/>
      <c r="V271" s="109"/>
      <c r="W271" s="109"/>
      <c r="X271" s="109"/>
      <c r="Y271" s="109"/>
      <c r="Z271" s="109"/>
    </row>
    <row r="272" spans="1:26" ht="12" customHeight="1">
      <c r="A272" s="138">
        <f t="shared" si="80"/>
        <v>46224</v>
      </c>
      <c r="B272" s="133">
        <f>'CHICLETS MASTER S1'!J77</f>
        <v>0.45833333333333298</v>
      </c>
      <c r="C272" s="133" t="s">
        <v>218</v>
      </c>
      <c r="D272" s="134" t="str">
        <f t="shared" si="82"/>
        <v>TRABUCO HILLS HS</v>
      </c>
      <c r="E272" s="134">
        <v>184</v>
      </c>
      <c r="F272" s="133" t="s">
        <v>892</v>
      </c>
      <c r="G272" s="134"/>
      <c r="H272" s="133" t="s">
        <v>893</v>
      </c>
      <c r="I272" s="134"/>
      <c r="J272" s="134" t="s">
        <v>894</v>
      </c>
      <c r="K272" s="134" t="s">
        <v>895</v>
      </c>
      <c r="L272" s="133" t="str">
        <f t="shared" si="83"/>
        <v>12C-184</v>
      </c>
      <c r="M272" s="109"/>
      <c r="N272" s="109" t="str">
        <f t="shared" si="85"/>
        <v>au_11th</v>
      </c>
      <c r="O272" s="109"/>
      <c r="P272" s="109"/>
      <c r="Q272" s="109"/>
      <c r="R272" s="109"/>
      <c r="S272" s="109"/>
      <c r="T272" s="109"/>
      <c r="U272" s="109"/>
      <c r="V272" s="109"/>
      <c r="W272" s="109"/>
      <c r="X272" s="109"/>
      <c r="Y272" s="109"/>
      <c r="Z272" s="109"/>
    </row>
    <row r="273" spans="1:26" ht="12" customHeight="1">
      <c r="A273" s="138">
        <f t="shared" si="80"/>
        <v>46224</v>
      </c>
      <c r="B273" s="133">
        <f>'CHICLETS MASTER S1'!J78</f>
        <v>0.5</v>
      </c>
      <c r="C273" s="133" t="s">
        <v>222</v>
      </c>
      <c r="D273" s="134" t="str">
        <f t="shared" si="82"/>
        <v>TRABUCO HILLS HS</v>
      </c>
      <c r="E273" s="134">
        <v>183</v>
      </c>
      <c r="F273" s="133" t="s">
        <v>896</v>
      </c>
      <c r="G273" s="134"/>
      <c r="H273" s="133" t="s">
        <v>897</v>
      </c>
      <c r="I273" s="134"/>
      <c r="J273" s="134" t="s">
        <v>898</v>
      </c>
      <c r="K273" s="134" t="s">
        <v>899</v>
      </c>
      <c r="L273" s="133" t="str">
        <f t="shared" si="83"/>
        <v>12C-183</v>
      </c>
      <c r="M273" s="109"/>
      <c r="N273" s="109" t="str">
        <f t="shared" si="85"/>
        <v>au_9th</v>
      </c>
      <c r="O273" s="109"/>
      <c r="P273" s="109"/>
      <c r="Q273" s="109"/>
      <c r="R273" s="109"/>
      <c r="S273" s="109"/>
      <c r="T273" s="109"/>
      <c r="U273" s="109"/>
      <c r="V273" s="109"/>
      <c r="W273" s="109"/>
      <c r="X273" s="109"/>
      <c r="Y273" s="109"/>
      <c r="Z273" s="109"/>
    </row>
    <row r="274" spans="1:26" ht="12" customHeight="1" thickBot="1">
      <c r="A274" s="109"/>
      <c r="B274" s="109"/>
      <c r="C274" s="109"/>
      <c r="D274" s="109"/>
      <c r="E274" s="109"/>
      <c r="F274" s="109"/>
      <c r="G274" s="109"/>
      <c r="H274" s="109"/>
      <c r="I274" s="109"/>
      <c r="J274" s="109"/>
      <c r="K274" s="109"/>
      <c r="L274" s="109"/>
      <c r="M274" s="109"/>
      <c r="N274" s="109"/>
      <c r="O274" s="109"/>
      <c r="P274" s="109"/>
      <c r="Q274" s="109"/>
      <c r="R274" s="109"/>
      <c r="S274" s="109"/>
      <c r="T274" s="109"/>
      <c r="U274" s="109"/>
      <c r="V274" s="109"/>
      <c r="W274" s="109"/>
      <c r="X274" s="109"/>
      <c r="Y274" s="109"/>
      <c r="Z274" s="109"/>
    </row>
    <row r="275" spans="1:26" ht="12" customHeight="1" thickBot="1">
      <c r="A275" s="108"/>
      <c r="B275" s="111"/>
      <c r="C275" s="111"/>
      <c r="D275" s="119" t="str">
        <f>'CHICLETS MASTER S1'!$K$72</f>
        <v>GOLDEN WEST COLLEGE 2</v>
      </c>
      <c r="E275" s="111"/>
      <c r="F275" s="109"/>
      <c r="G275" s="109"/>
      <c r="H275" s="109"/>
      <c r="I275" s="109"/>
      <c r="J275" s="109"/>
      <c r="K275" s="109"/>
      <c r="L275" s="109"/>
      <c r="M275" s="109"/>
      <c r="N275" s="109"/>
      <c r="O275" s="109"/>
      <c r="P275" s="109"/>
      <c r="Q275" s="109"/>
      <c r="R275" s="109"/>
      <c r="S275" s="109"/>
      <c r="T275" s="109"/>
      <c r="U275" s="109"/>
      <c r="V275" s="109"/>
      <c r="W275" s="109"/>
      <c r="X275" s="109"/>
      <c r="Y275" s="109"/>
      <c r="Z275" s="109"/>
    </row>
    <row r="276" spans="1:26" ht="12" customHeight="1">
      <c r="A276" s="145" t="s">
        <v>110</v>
      </c>
      <c r="B276" s="146" t="s">
        <v>111</v>
      </c>
      <c r="C276" s="145" t="s">
        <v>112</v>
      </c>
      <c r="D276" s="145" t="s">
        <v>113</v>
      </c>
      <c r="E276" s="145" t="s">
        <v>114</v>
      </c>
      <c r="F276" s="145" t="s">
        <v>115</v>
      </c>
      <c r="G276" s="145" t="s">
        <v>116</v>
      </c>
      <c r="H276" s="145" t="s">
        <v>117</v>
      </c>
      <c r="I276" s="145" t="s">
        <v>116</v>
      </c>
      <c r="J276" s="145" t="s">
        <v>118</v>
      </c>
      <c r="K276" s="145" t="s">
        <v>119</v>
      </c>
      <c r="L276" s="145" t="s">
        <v>120</v>
      </c>
      <c r="M276" s="109"/>
      <c r="N276" s="109"/>
      <c r="O276" s="109"/>
      <c r="P276" s="109"/>
      <c r="Q276" s="109"/>
      <c r="R276" s="109"/>
      <c r="S276" s="109"/>
      <c r="T276" s="109"/>
      <c r="U276" s="109"/>
      <c r="V276" s="109"/>
      <c r="W276" s="109"/>
      <c r="X276" s="109"/>
      <c r="Y276" s="109"/>
      <c r="Z276" s="109"/>
    </row>
    <row r="277" spans="1:26" ht="12" customHeight="1">
      <c r="A277" s="138">
        <f t="shared" si="80"/>
        <v>46224</v>
      </c>
      <c r="B277" s="133">
        <f>'CHICLETS MASTER S1'!J73</f>
        <v>0.29166666666666669</v>
      </c>
      <c r="C277" s="133" t="s">
        <v>842</v>
      </c>
      <c r="D277" s="134" t="str">
        <f>$D$275</f>
        <v>GOLDEN WEST COLLEGE 2</v>
      </c>
      <c r="E277" s="134">
        <v>168</v>
      </c>
      <c r="F277" s="133" t="s">
        <v>781</v>
      </c>
      <c r="G277" s="134"/>
      <c r="H277" s="133" t="s">
        <v>774</v>
      </c>
      <c r="I277" s="134"/>
      <c r="J277" s="134" t="s">
        <v>843</v>
      </c>
      <c r="K277" s="134"/>
      <c r="L277" s="133" t="str">
        <f t="shared" ref="L277:L282" si="86">IF(E277="","",$L$17&amp;"-"&amp;TEXT(E277,"000"))</f>
        <v>12C-168</v>
      </c>
      <c r="M277" s="109"/>
      <c r="N277" s="109" t="str">
        <f>$L$112&amp;C277</f>
        <v>au_19-21 RR</v>
      </c>
      <c r="O277" s="109"/>
      <c r="P277" s="109"/>
      <c r="Q277" s="109"/>
      <c r="R277" s="109"/>
      <c r="S277" s="109"/>
      <c r="T277" s="109"/>
      <c r="U277" s="109"/>
      <c r="V277" s="109"/>
      <c r="W277" s="109"/>
      <c r="X277" s="109"/>
      <c r="Y277" s="109"/>
      <c r="Z277" s="109"/>
    </row>
    <row r="278" spans="1:26" ht="12" customHeight="1">
      <c r="A278" s="135">
        <f t="shared" si="76"/>
        <v>46224</v>
      </c>
      <c r="B278" s="136">
        <f>'CHICLETS MASTER S1'!J74</f>
        <v>0.33333333333333298</v>
      </c>
      <c r="C278" s="136" t="s">
        <v>218</v>
      </c>
      <c r="D278" s="137" t="str">
        <f t="shared" ref="D278:D282" si="87">$D$275</f>
        <v>GOLDEN WEST COLLEGE 2</v>
      </c>
      <c r="E278" s="137">
        <v>181</v>
      </c>
      <c r="F278" s="136" t="s">
        <v>900</v>
      </c>
      <c r="G278" s="136"/>
      <c r="H278" s="136" t="s">
        <v>901</v>
      </c>
      <c r="I278" s="136"/>
      <c r="J278" s="137" t="s">
        <v>902</v>
      </c>
      <c r="K278" s="137" t="s">
        <v>903</v>
      </c>
      <c r="L278" s="136" t="str">
        <f t="shared" si="86"/>
        <v>12C-181</v>
      </c>
      <c r="M278" s="109"/>
      <c r="N278" s="109" t="str">
        <f>$L$113&amp;C278</f>
        <v>pt_11th</v>
      </c>
      <c r="O278" s="109"/>
      <c r="P278" s="109"/>
      <c r="Q278" s="109"/>
      <c r="R278" s="109"/>
      <c r="S278" s="109"/>
      <c r="T278" s="109"/>
      <c r="U278" s="109"/>
      <c r="V278" s="109"/>
      <c r="W278" s="109"/>
      <c r="X278" s="109"/>
      <c r="Y278" s="109"/>
      <c r="Z278" s="109"/>
    </row>
    <row r="279" spans="1:26" ht="12" customHeight="1">
      <c r="A279" s="135">
        <f t="shared" ref="A279:A291" si="88">$A$256</f>
        <v>46224</v>
      </c>
      <c r="B279" s="136">
        <f>'CHICLETS MASTER S1'!J75</f>
        <v>0.375</v>
      </c>
      <c r="C279" s="136" t="s">
        <v>413</v>
      </c>
      <c r="D279" s="137" t="str">
        <f t="shared" si="87"/>
        <v>GOLDEN WEST COLLEGE 2</v>
      </c>
      <c r="E279" s="137">
        <v>178</v>
      </c>
      <c r="F279" s="136" t="s">
        <v>904</v>
      </c>
      <c r="G279" s="136"/>
      <c r="H279" s="136" t="s">
        <v>905</v>
      </c>
      <c r="I279" s="136"/>
      <c r="J279" s="137" t="s">
        <v>906</v>
      </c>
      <c r="K279" s="137" t="s">
        <v>907</v>
      </c>
      <c r="L279" s="136" t="str">
        <f t="shared" si="86"/>
        <v>12C-178</v>
      </c>
      <c r="M279" s="109"/>
      <c r="N279" s="109" t="str">
        <f>$L$113&amp;C279</f>
        <v>pt_13th</v>
      </c>
      <c r="O279" s="109"/>
      <c r="P279" s="109"/>
      <c r="Q279" s="109"/>
      <c r="R279" s="109"/>
      <c r="S279" s="109"/>
      <c r="T279" s="109"/>
      <c r="U279" s="109"/>
      <c r="V279" s="109"/>
      <c r="W279" s="109"/>
      <c r="X279" s="109"/>
      <c r="Y279" s="109"/>
      <c r="Z279" s="109"/>
    </row>
    <row r="280" spans="1:26" ht="12" customHeight="1">
      <c r="A280" s="135">
        <f t="shared" si="88"/>
        <v>46224</v>
      </c>
      <c r="B280" s="136">
        <f>'CHICLETS MASTER S1'!J76</f>
        <v>0.41666666666666702</v>
      </c>
      <c r="C280" s="136" t="s">
        <v>407</v>
      </c>
      <c r="D280" s="137" t="str">
        <f t="shared" si="87"/>
        <v>GOLDEN WEST COLLEGE 2</v>
      </c>
      <c r="E280" s="137">
        <v>177</v>
      </c>
      <c r="F280" s="136" t="s">
        <v>908</v>
      </c>
      <c r="G280" s="136"/>
      <c r="H280" s="136" t="s">
        <v>909</v>
      </c>
      <c r="I280" s="136"/>
      <c r="J280" s="137" t="s">
        <v>910</v>
      </c>
      <c r="K280" s="137" t="s">
        <v>911</v>
      </c>
      <c r="L280" s="136" t="str">
        <f t="shared" si="86"/>
        <v>12C-177</v>
      </c>
      <c r="M280" s="109"/>
      <c r="N280" s="109" t="str">
        <f>$L$113&amp;C280</f>
        <v>pt_15th</v>
      </c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</row>
    <row r="281" spans="1:26" ht="12" customHeight="1">
      <c r="A281" s="135">
        <f t="shared" si="76"/>
        <v>46224</v>
      </c>
      <c r="B281" s="136">
        <f>'CHICLETS MASTER S1'!J77</f>
        <v>0.45833333333333298</v>
      </c>
      <c r="C281" s="136" t="s">
        <v>409</v>
      </c>
      <c r="D281" s="137" t="str">
        <f t="shared" si="87"/>
        <v>GOLDEN WEST COLLEGE 2</v>
      </c>
      <c r="E281" s="137">
        <v>169</v>
      </c>
      <c r="F281" s="136" t="s">
        <v>912</v>
      </c>
      <c r="G281" s="136"/>
      <c r="H281" s="136" t="s">
        <v>913</v>
      </c>
      <c r="I281" s="136"/>
      <c r="J281" s="137" t="s">
        <v>914</v>
      </c>
      <c r="K281" s="137" t="s">
        <v>915</v>
      </c>
      <c r="L281" s="136" t="str">
        <f t="shared" si="86"/>
        <v>12C-169</v>
      </c>
      <c r="M281" s="109"/>
      <c r="N281" s="109" t="str">
        <f>$L$113&amp;C281</f>
        <v>pt_19th</v>
      </c>
      <c r="O281" s="109"/>
      <c r="P281" s="109"/>
      <c r="Q281" s="109"/>
      <c r="R281" s="109"/>
      <c r="S281" s="109"/>
      <c r="T281" s="109"/>
      <c r="U281" s="109"/>
      <c r="V281" s="109"/>
      <c r="W281" s="109"/>
      <c r="X281" s="109"/>
      <c r="Y281" s="109"/>
      <c r="Z281" s="109"/>
    </row>
    <row r="282" spans="1:26" ht="12" customHeight="1">
      <c r="A282" s="138">
        <f t="shared" si="76"/>
        <v>46224</v>
      </c>
      <c r="B282" s="133">
        <f>'CHICLETS MASTER S1'!J78</f>
        <v>0.5</v>
      </c>
      <c r="C282" s="133" t="s">
        <v>407</v>
      </c>
      <c r="D282" s="134" t="str">
        <f t="shared" si="87"/>
        <v>GOLDEN WEST COLLEGE 2</v>
      </c>
      <c r="E282" s="134">
        <v>180</v>
      </c>
      <c r="F282" s="133" t="s">
        <v>916</v>
      </c>
      <c r="G282" s="134"/>
      <c r="H282" s="133" t="s">
        <v>917</v>
      </c>
      <c r="I282" s="134"/>
      <c r="J282" s="134" t="s">
        <v>918</v>
      </c>
      <c r="K282" s="134" t="s">
        <v>919</v>
      </c>
      <c r="L282" s="133" t="str">
        <f t="shared" si="86"/>
        <v>12C-180</v>
      </c>
      <c r="M282" s="109"/>
      <c r="N282" s="109" t="str">
        <f>$L$112&amp;C282</f>
        <v>au_15th</v>
      </c>
      <c r="O282" s="109"/>
      <c r="P282" s="109"/>
      <c r="Q282" s="109"/>
      <c r="R282" s="109"/>
      <c r="S282" s="109"/>
      <c r="T282" s="109"/>
      <c r="U282" s="109"/>
      <c r="V282" s="109"/>
      <c r="W282" s="109"/>
      <c r="X282" s="109"/>
      <c r="Y282" s="109"/>
      <c r="Z282" s="109"/>
    </row>
    <row r="283" spans="1:26" ht="12" customHeight="1" thickBot="1">
      <c r="A283" s="109"/>
      <c r="B283" s="109"/>
      <c r="C283" s="109"/>
      <c r="D283" s="109"/>
      <c r="E283" s="109"/>
      <c r="F283" s="109"/>
      <c r="G283" s="109"/>
      <c r="H283" s="109"/>
      <c r="I283" s="109"/>
      <c r="J283" s="109"/>
      <c r="K283" s="109"/>
      <c r="L283" s="109"/>
      <c r="M283" s="109"/>
      <c r="N283" s="109"/>
      <c r="O283" s="109"/>
      <c r="P283" s="109"/>
      <c r="Q283" s="109"/>
      <c r="R283" s="109"/>
      <c r="S283" s="109"/>
      <c r="T283" s="109"/>
      <c r="U283" s="109"/>
      <c r="V283" s="109"/>
      <c r="W283" s="109"/>
      <c r="X283" s="109"/>
      <c r="Y283" s="109"/>
      <c r="Z283" s="109"/>
    </row>
    <row r="284" spans="1:26" ht="12" customHeight="1" thickBot="1">
      <c r="A284" s="108"/>
      <c r="B284" s="111"/>
      <c r="C284" s="111"/>
      <c r="D284" s="119" t="str">
        <f>'CHICLETS MASTER S1'!$M$72</f>
        <v>PORTOLA HS 2</v>
      </c>
      <c r="E284" s="111"/>
      <c r="F284" s="109"/>
      <c r="G284" s="109"/>
      <c r="H284" s="109"/>
      <c r="I284" s="109"/>
      <c r="J284" s="109"/>
      <c r="K284" s="109"/>
      <c r="L284" s="109"/>
      <c r="M284" s="109"/>
      <c r="N284" s="109"/>
      <c r="O284" s="109"/>
      <c r="P284" s="109"/>
      <c r="Q284" s="109"/>
      <c r="R284" s="109"/>
      <c r="S284" s="109"/>
      <c r="T284" s="109"/>
      <c r="U284" s="109"/>
      <c r="V284" s="109"/>
      <c r="W284" s="109"/>
      <c r="X284" s="109"/>
      <c r="Y284" s="109"/>
      <c r="Z284" s="109"/>
    </row>
    <row r="285" spans="1:26" ht="12" customHeight="1">
      <c r="A285" s="145" t="s">
        <v>110</v>
      </c>
      <c r="B285" s="146" t="s">
        <v>111</v>
      </c>
      <c r="C285" s="145" t="s">
        <v>112</v>
      </c>
      <c r="D285" s="145" t="s">
        <v>113</v>
      </c>
      <c r="E285" s="145" t="s">
        <v>114</v>
      </c>
      <c r="F285" s="145" t="s">
        <v>115</v>
      </c>
      <c r="G285" s="145" t="s">
        <v>116</v>
      </c>
      <c r="H285" s="145" t="s">
        <v>117</v>
      </c>
      <c r="I285" s="145" t="s">
        <v>116</v>
      </c>
      <c r="J285" s="145" t="s">
        <v>118</v>
      </c>
      <c r="K285" s="145" t="s">
        <v>119</v>
      </c>
      <c r="L285" s="145" t="s">
        <v>120</v>
      </c>
      <c r="M285" s="109"/>
      <c r="N285" s="109"/>
      <c r="O285" s="109"/>
      <c r="P285" s="109"/>
      <c r="Q285" s="109"/>
      <c r="R285" s="109"/>
      <c r="S285" s="109"/>
      <c r="T285" s="109"/>
      <c r="U285" s="109"/>
      <c r="V285" s="109"/>
      <c r="W285" s="109"/>
      <c r="X285" s="109"/>
      <c r="Y285" s="109"/>
      <c r="Z285" s="109"/>
    </row>
    <row r="286" spans="1:26" ht="12" customHeight="1">
      <c r="A286" s="135">
        <f t="shared" si="88"/>
        <v>46224</v>
      </c>
      <c r="B286" s="136">
        <f>'CHICLETS MASTER S1'!J73</f>
        <v>0.29166666666666669</v>
      </c>
      <c r="C286" s="136" t="s">
        <v>411</v>
      </c>
      <c r="D286" s="137" t="str">
        <f t="shared" ref="D286:D291" si="89">$D$284</f>
        <v>PORTOLA HS 2</v>
      </c>
      <c r="E286" s="137">
        <v>170</v>
      </c>
      <c r="F286" s="136" t="s">
        <v>920</v>
      </c>
      <c r="G286" s="136"/>
      <c r="H286" s="136" t="s">
        <v>921</v>
      </c>
      <c r="I286" s="136"/>
      <c r="J286" s="137" t="s">
        <v>922</v>
      </c>
      <c r="K286" s="137" t="s">
        <v>923</v>
      </c>
      <c r="L286" s="136" t="str">
        <f t="shared" ref="L286:L288" si="90">IF(E286="","",$L$17&amp;"-"&amp;TEXT(E286,"000"))</f>
        <v>12C-170</v>
      </c>
      <c r="M286" s="109"/>
      <c r="N286" s="109" t="str">
        <f t="shared" ref="N286:N288" si="91">$L$113&amp;C286</f>
        <v>pt_17th</v>
      </c>
      <c r="O286" s="109"/>
      <c r="P286" s="109"/>
      <c r="Q286" s="109"/>
      <c r="R286" s="109"/>
      <c r="S286" s="109"/>
      <c r="T286" s="109"/>
      <c r="U286" s="109"/>
      <c r="V286" s="109"/>
      <c r="W286" s="109"/>
      <c r="X286" s="109"/>
      <c r="Y286" s="109"/>
      <c r="Z286" s="109"/>
    </row>
    <row r="287" spans="1:26" ht="12" customHeight="1">
      <c r="A287" s="135">
        <f t="shared" si="88"/>
        <v>46224</v>
      </c>
      <c r="B287" s="136">
        <f>'CHICLETS MASTER S1'!J74</f>
        <v>0.33333333333333298</v>
      </c>
      <c r="C287" s="136" t="s">
        <v>224</v>
      </c>
      <c r="D287" s="137" t="str">
        <f t="shared" si="89"/>
        <v>PORTOLA HS 2</v>
      </c>
      <c r="E287" s="137">
        <v>173</v>
      </c>
      <c r="F287" s="136" t="s">
        <v>924</v>
      </c>
      <c r="G287" s="136"/>
      <c r="H287" s="136" t="s">
        <v>925</v>
      </c>
      <c r="I287" s="136"/>
      <c r="J287" s="137">
        <v>189</v>
      </c>
      <c r="K287" s="137">
        <v>190</v>
      </c>
      <c r="L287" s="136" t="str">
        <f t="shared" si="90"/>
        <v>12C-173</v>
      </c>
      <c r="M287" s="109"/>
      <c r="N287" s="109" t="str">
        <f t="shared" si="91"/>
        <v>pt_semi</v>
      </c>
      <c r="O287" s="109"/>
      <c r="P287" s="109"/>
      <c r="Q287" s="109"/>
      <c r="R287" s="109"/>
      <c r="S287" s="109"/>
      <c r="T287" s="109"/>
      <c r="U287" s="109"/>
      <c r="V287" s="109"/>
      <c r="W287" s="109"/>
      <c r="X287" s="109"/>
      <c r="Y287" s="109"/>
      <c r="Z287" s="109"/>
    </row>
    <row r="288" spans="1:26" ht="12" customHeight="1">
      <c r="A288" s="135">
        <f t="shared" si="88"/>
        <v>46224</v>
      </c>
      <c r="B288" s="136">
        <f>'CHICLETS MASTER S1'!J75</f>
        <v>0.375</v>
      </c>
      <c r="C288" s="136" t="s">
        <v>224</v>
      </c>
      <c r="D288" s="137" t="str">
        <f t="shared" si="89"/>
        <v>PORTOLA HS 2</v>
      </c>
      <c r="E288" s="137">
        <v>174</v>
      </c>
      <c r="F288" s="136" t="s">
        <v>926</v>
      </c>
      <c r="G288" s="136"/>
      <c r="H288" s="136" t="s">
        <v>927</v>
      </c>
      <c r="I288" s="136"/>
      <c r="J288" s="137">
        <v>189</v>
      </c>
      <c r="K288" s="137">
        <v>190</v>
      </c>
      <c r="L288" s="136" t="str">
        <f t="shared" si="90"/>
        <v>12C-174</v>
      </c>
      <c r="M288" s="109"/>
      <c r="N288" s="109" t="str">
        <f t="shared" si="91"/>
        <v>pt_semi</v>
      </c>
      <c r="O288" s="109"/>
      <c r="P288" s="109"/>
      <c r="Q288" s="109"/>
      <c r="R288" s="109"/>
      <c r="S288" s="109"/>
      <c r="T288" s="109"/>
      <c r="U288" s="109"/>
      <c r="V288" s="109"/>
      <c r="W288" s="109"/>
      <c r="X288" s="109"/>
      <c r="Y288" s="109"/>
      <c r="Z288" s="109"/>
    </row>
    <row r="289" spans="1:26" ht="12" customHeight="1">
      <c r="A289" s="135">
        <f t="shared" si="88"/>
        <v>46224</v>
      </c>
      <c r="B289" s="136">
        <f>'CHICLETS MASTER S1'!J76</f>
        <v>0.41666666666666702</v>
      </c>
      <c r="C289" s="136" t="s">
        <v>206</v>
      </c>
      <c r="D289" s="137" t="str">
        <f t="shared" si="89"/>
        <v>PORTOLA HS 2</v>
      </c>
      <c r="E289" s="137">
        <v>186</v>
      </c>
      <c r="F289" s="136" t="s">
        <v>928</v>
      </c>
      <c r="G289" s="136"/>
      <c r="H289" s="136" t="s">
        <v>929</v>
      </c>
      <c r="I289" s="136"/>
      <c r="J289" s="137" t="s">
        <v>930</v>
      </c>
      <c r="K289" s="137" t="s">
        <v>931</v>
      </c>
      <c r="L289" s="136" t="str">
        <f>IF(E289="","",$L$17&amp;"-"&amp;TEXT(E289,"000"))</f>
        <v>12C-186</v>
      </c>
      <c r="M289" s="109"/>
      <c r="N289" s="109" t="str">
        <f>$L$113&amp;C289</f>
        <v>pt_5th</v>
      </c>
      <c r="O289" s="109"/>
      <c r="P289" s="109"/>
      <c r="Q289" s="109"/>
      <c r="R289" s="109"/>
      <c r="S289" s="109"/>
      <c r="T289" s="109"/>
      <c r="U289" s="109"/>
      <c r="V289" s="109"/>
      <c r="W289" s="109"/>
      <c r="X289" s="109"/>
      <c r="Y289" s="109"/>
      <c r="Z289" s="109"/>
    </row>
    <row r="290" spans="1:26" ht="12" customHeight="1">
      <c r="A290" s="135">
        <f t="shared" si="88"/>
        <v>46224</v>
      </c>
      <c r="B290" s="136">
        <f>'CHICLETS MASTER S1'!J77</f>
        <v>0.45833333333333298</v>
      </c>
      <c r="C290" s="136" t="s">
        <v>220</v>
      </c>
      <c r="D290" s="137" t="str">
        <f t="shared" si="89"/>
        <v>PORTOLA HS 2</v>
      </c>
      <c r="E290" s="137">
        <v>185</v>
      </c>
      <c r="F290" s="136" t="s">
        <v>932</v>
      </c>
      <c r="G290" s="136"/>
      <c r="H290" s="136" t="s">
        <v>933</v>
      </c>
      <c r="I290" s="136"/>
      <c r="J290" s="137" t="s">
        <v>934</v>
      </c>
      <c r="K290" s="137" t="s">
        <v>935</v>
      </c>
      <c r="L290" s="136" t="str">
        <f>IF(E290="","",$L$17&amp;"-"&amp;TEXT(E290,"000"))</f>
        <v>12C-185</v>
      </c>
      <c r="M290" s="109"/>
      <c r="N290" s="109" t="str">
        <f>$L$113&amp;C290</f>
        <v>pt_7th</v>
      </c>
      <c r="O290" s="109"/>
      <c r="P290" s="109"/>
      <c r="Q290" s="109"/>
      <c r="R290" s="109"/>
      <c r="S290" s="109"/>
      <c r="T290" s="109"/>
      <c r="U290" s="109"/>
      <c r="V290" s="109"/>
      <c r="W290" s="109"/>
      <c r="X290" s="109"/>
      <c r="Y290" s="109"/>
      <c r="Z290" s="109"/>
    </row>
    <row r="291" spans="1:26" ht="12" customHeight="1">
      <c r="A291" s="135">
        <f t="shared" si="88"/>
        <v>46224</v>
      </c>
      <c r="B291" s="136">
        <f>'CHICLETS MASTER S1'!J78</f>
        <v>0.5</v>
      </c>
      <c r="C291" s="136" t="s">
        <v>222</v>
      </c>
      <c r="D291" s="137" t="str">
        <f t="shared" si="89"/>
        <v>PORTOLA HS 2</v>
      </c>
      <c r="E291" s="137">
        <v>182</v>
      </c>
      <c r="F291" s="136" t="s">
        <v>936</v>
      </c>
      <c r="G291" s="136"/>
      <c r="H291" s="136" t="s">
        <v>937</v>
      </c>
      <c r="I291" s="136"/>
      <c r="J291" s="137" t="s">
        <v>938</v>
      </c>
      <c r="K291" s="137" t="s">
        <v>939</v>
      </c>
      <c r="L291" s="136" t="str">
        <f>IF(E291="","",$L$17&amp;"-"&amp;TEXT(E291,"000"))</f>
        <v>12C-182</v>
      </c>
      <c r="M291" s="109"/>
      <c r="N291" s="109" t="str">
        <f>$L$113&amp;C291</f>
        <v>pt_9th</v>
      </c>
      <c r="O291" s="109"/>
      <c r="P291" s="109"/>
      <c r="Q291" s="109"/>
      <c r="R291" s="109"/>
      <c r="S291" s="109"/>
      <c r="T291" s="109"/>
      <c r="U291" s="109"/>
      <c r="V291" s="109"/>
      <c r="W291" s="109"/>
      <c r="X291" s="109"/>
      <c r="Y291" s="109"/>
      <c r="Z291" s="109"/>
    </row>
    <row r="292" spans="1:26" ht="12" customHeight="1" thickBot="1">
      <c r="A292" s="109"/>
      <c r="B292" s="109"/>
      <c r="C292" s="109"/>
      <c r="D292" s="109"/>
      <c r="E292" s="109"/>
      <c r="F292" s="109"/>
      <c r="G292" s="109"/>
      <c r="H292" s="109"/>
      <c r="I292" s="109"/>
      <c r="J292" s="109"/>
      <c r="K292" s="109"/>
      <c r="L292" s="109"/>
      <c r="M292" s="109"/>
      <c r="N292" s="109"/>
      <c r="O292" s="109"/>
      <c r="P292" s="109"/>
      <c r="Q292" s="109"/>
      <c r="R292" s="109"/>
      <c r="S292" s="109"/>
      <c r="T292" s="109"/>
      <c r="U292" s="109"/>
      <c r="V292" s="109"/>
      <c r="W292" s="109"/>
      <c r="X292" s="109"/>
      <c r="Y292" s="109"/>
      <c r="Z292" s="109"/>
    </row>
    <row r="293" spans="1:26" ht="12" customHeight="1" thickBot="1">
      <c r="A293" s="108"/>
      <c r="B293" s="111"/>
      <c r="C293" s="111"/>
      <c r="D293" s="119" t="str">
        <f>'CHICLETS MASTER S1'!$B$84</f>
        <v>WOOLLETT LEFT</v>
      </c>
      <c r="E293" s="111"/>
      <c r="F293" s="109"/>
      <c r="G293" s="109"/>
      <c r="H293" s="109"/>
      <c r="I293" s="109"/>
      <c r="J293" s="109"/>
      <c r="K293" s="109"/>
      <c r="L293" s="109"/>
      <c r="M293" s="109"/>
      <c r="N293" s="109"/>
      <c r="O293" s="109"/>
      <c r="P293" s="109"/>
      <c r="Q293" s="109"/>
      <c r="R293" s="109"/>
      <c r="S293" s="109"/>
      <c r="T293" s="109"/>
      <c r="U293" s="109"/>
      <c r="V293" s="109"/>
      <c r="W293" s="109"/>
      <c r="X293" s="109"/>
      <c r="Y293" s="109"/>
      <c r="Z293" s="109"/>
    </row>
    <row r="294" spans="1:26" ht="12" customHeight="1">
      <c r="A294" s="145" t="s">
        <v>110</v>
      </c>
      <c r="B294" s="146" t="s">
        <v>111</v>
      </c>
      <c r="C294" s="145" t="s">
        <v>112</v>
      </c>
      <c r="D294" s="145" t="s">
        <v>113</v>
      </c>
      <c r="E294" s="145" t="s">
        <v>114</v>
      </c>
      <c r="F294" s="145" t="s">
        <v>115</v>
      </c>
      <c r="G294" s="145" t="s">
        <v>116</v>
      </c>
      <c r="H294" s="145" t="s">
        <v>117</v>
      </c>
      <c r="I294" s="145" t="s">
        <v>116</v>
      </c>
      <c r="J294" s="145" t="s">
        <v>118</v>
      </c>
      <c r="K294" s="145" t="s">
        <v>119</v>
      </c>
      <c r="L294" s="145" t="s">
        <v>120</v>
      </c>
      <c r="M294" s="109"/>
      <c r="N294" s="109"/>
      <c r="O294" s="109"/>
      <c r="P294" s="109"/>
      <c r="Q294" s="109"/>
      <c r="R294" s="109"/>
      <c r="S294" s="109"/>
      <c r="T294" s="109"/>
      <c r="U294" s="109"/>
      <c r="V294" s="109"/>
      <c r="W294" s="109"/>
      <c r="X294" s="109"/>
      <c r="Y294" s="109"/>
      <c r="Z294" s="109"/>
    </row>
    <row r="295" spans="1:26" ht="11.25" customHeight="1">
      <c r="A295" s="135">
        <f>$A$256</f>
        <v>46224</v>
      </c>
      <c r="B295" s="136">
        <f>'CHICLETS MASTER S1'!A91</f>
        <v>0.54166666666666663</v>
      </c>
      <c r="C295" s="136" t="s">
        <v>210</v>
      </c>
      <c r="D295" s="137" t="str">
        <f>$D$293</f>
        <v>WOOLLETT LEFT</v>
      </c>
      <c r="E295" s="137">
        <v>190</v>
      </c>
      <c r="F295" s="136" t="s">
        <v>940</v>
      </c>
      <c r="G295" s="136"/>
      <c r="H295" s="136" t="s">
        <v>941</v>
      </c>
      <c r="I295" s="136"/>
      <c r="J295" s="137" t="s">
        <v>942</v>
      </c>
      <c r="K295" s="137" t="s">
        <v>943</v>
      </c>
      <c r="L295" s="136" t="str">
        <f>IF(E295="","",$L$17&amp;"-"&amp;TEXT(E295,"000"))</f>
        <v>12C-190</v>
      </c>
      <c r="M295" s="109"/>
      <c r="N295" s="109" t="str">
        <f>$L$113&amp;C295</f>
        <v>pt_3rd</v>
      </c>
      <c r="O295" s="109"/>
      <c r="P295" s="109"/>
      <c r="Q295" s="109"/>
      <c r="R295" s="109"/>
      <c r="S295" s="109"/>
      <c r="T295" s="109"/>
      <c r="U295" s="109"/>
      <c r="V295" s="109"/>
      <c r="W295" s="109"/>
      <c r="X295" s="109"/>
      <c r="Y295" s="109"/>
      <c r="Z295" s="109"/>
    </row>
    <row r="296" spans="1:26" ht="11.25" customHeight="1" thickBot="1">
      <c r="A296" s="109"/>
      <c r="B296" s="109"/>
      <c r="C296" s="109"/>
      <c r="D296" s="109"/>
      <c r="E296" s="109"/>
      <c r="F296" s="109"/>
      <c r="G296" s="109"/>
      <c r="H296" s="109"/>
      <c r="I296" s="109"/>
      <c r="J296" s="109"/>
      <c r="K296" s="109"/>
      <c r="L296" s="109"/>
      <c r="M296" s="109"/>
      <c r="N296" s="109"/>
      <c r="O296" s="109"/>
      <c r="P296" s="109"/>
      <c r="Q296" s="109"/>
      <c r="R296" s="109"/>
      <c r="S296" s="109"/>
      <c r="T296" s="109"/>
      <c r="U296" s="109"/>
      <c r="V296" s="109"/>
      <c r="W296" s="109"/>
      <c r="X296" s="109"/>
      <c r="Y296" s="109"/>
      <c r="Z296" s="109"/>
    </row>
    <row r="297" spans="1:26" ht="12" customHeight="1" thickBot="1">
      <c r="A297" s="108"/>
      <c r="B297" s="111"/>
      <c r="C297" s="111"/>
      <c r="D297" s="119" t="str">
        <f>'CHICLETS MASTER S1'!$C$84</f>
        <v>WOOLLETT RIGHT</v>
      </c>
      <c r="E297" s="111"/>
      <c r="F297" s="109"/>
      <c r="G297" s="109"/>
      <c r="H297" s="109"/>
      <c r="I297" s="109"/>
      <c r="J297" s="109"/>
      <c r="K297" s="109"/>
      <c r="L297" s="109"/>
      <c r="M297" s="109"/>
      <c r="N297" s="109"/>
      <c r="O297" s="109"/>
      <c r="P297" s="109"/>
      <c r="Q297" s="109"/>
      <c r="R297" s="109"/>
      <c r="S297" s="109"/>
      <c r="T297" s="109"/>
      <c r="U297" s="109"/>
      <c r="V297" s="109"/>
      <c r="W297" s="109"/>
      <c r="X297" s="109"/>
      <c r="Y297" s="109"/>
      <c r="Z297" s="109"/>
    </row>
    <row r="298" spans="1:26" ht="12" customHeight="1">
      <c r="A298" s="145" t="s">
        <v>110</v>
      </c>
      <c r="B298" s="146" t="s">
        <v>111</v>
      </c>
      <c r="C298" s="145" t="s">
        <v>112</v>
      </c>
      <c r="D298" s="145" t="s">
        <v>113</v>
      </c>
      <c r="E298" s="145" t="s">
        <v>114</v>
      </c>
      <c r="F298" s="145" t="s">
        <v>115</v>
      </c>
      <c r="G298" s="145" t="s">
        <v>116</v>
      </c>
      <c r="H298" s="145" t="s">
        <v>117</v>
      </c>
      <c r="I298" s="145" t="s">
        <v>116</v>
      </c>
      <c r="J298" s="145" t="s">
        <v>118</v>
      </c>
      <c r="K298" s="145" t="s">
        <v>119</v>
      </c>
      <c r="L298" s="145" t="s">
        <v>120</v>
      </c>
      <c r="M298" s="109"/>
      <c r="N298" s="109"/>
      <c r="O298" s="109"/>
      <c r="P298" s="109"/>
      <c r="Q298" s="109"/>
      <c r="R298" s="109"/>
      <c r="S298" s="109"/>
      <c r="T298" s="109"/>
      <c r="U298" s="109"/>
      <c r="V298" s="109"/>
      <c r="W298" s="109"/>
      <c r="X298" s="109"/>
      <c r="Y298" s="109"/>
      <c r="Z298" s="109"/>
    </row>
    <row r="299" spans="1:26" ht="11.25" customHeight="1">
      <c r="A299" s="135">
        <f>$A$256</f>
        <v>46224</v>
      </c>
      <c r="B299" s="136">
        <f>'CHICLETS MASTER S1'!A91</f>
        <v>0.54166666666666663</v>
      </c>
      <c r="C299" s="136" t="s">
        <v>214</v>
      </c>
      <c r="D299" s="137" t="str">
        <f>$D$297</f>
        <v>WOOLLETT RIGHT</v>
      </c>
      <c r="E299" s="137">
        <v>189</v>
      </c>
      <c r="F299" s="136" t="s">
        <v>944</v>
      </c>
      <c r="G299" s="136"/>
      <c r="H299" s="136" t="s">
        <v>945</v>
      </c>
      <c r="I299" s="136"/>
      <c r="J299" s="137" t="s">
        <v>946</v>
      </c>
      <c r="K299" s="137" t="s">
        <v>947</v>
      </c>
      <c r="L299" s="136" t="str">
        <f>IF(E299="","",$L$17&amp;"-"&amp;TEXT(E299,"000"))</f>
        <v>12C-189</v>
      </c>
      <c r="M299" s="109"/>
      <c r="N299" s="109" t="str">
        <f>$L$113&amp;C299</f>
        <v>pt_1st</v>
      </c>
      <c r="O299" s="109"/>
      <c r="P299" s="109"/>
      <c r="Q299" s="109"/>
      <c r="R299" s="109"/>
      <c r="S299" s="109"/>
      <c r="T299" s="109"/>
      <c r="U299" s="109"/>
      <c r="V299" s="109"/>
      <c r="W299" s="109"/>
      <c r="X299" s="109"/>
      <c r="Y299" s="109"/>
      <c r="Z299" s="109"/>
    </row>
    <row r="300" spans="1:26" ht="11.25" customHeight="1">
      <c r="A300" s="109"/>
      <c r="B300" s="109"/>
      <c r="C300" s="109"/>
      <c r="D300" s="109"/>
      <c r="E300" s="109"/>
      <c r="F300" s="109"/>
      <c r="G300" s="109"/>
      <c r="H300" s="109"/>
      <c r="I300" s="109"/>
      <c r="J300" s="109"/>
      <c r="K300" s="109"/>
      <c r="L300" s="109"/>
      <c r="M300" s="109"/>
      <c r="N300" s="109"/>
      <c r="O300" s="109"/>
      <c r="P300" s="109"/>
      <c r="Q300" s="109"/>
      <c r="R300" s="109"/>
      <c r="S300" s="109"/>
      <c r="T300" s="109"/>
      <c r="U300" s="109"/>
      <c r="V300" s="109"/>
      <c r="W300" s="109"/>
      <c r="X300" s="109"/>
      <c r="Y300" s="109"/>
      <c r="Z300" s="109"/>
    </row>
    <row r="301" spans="1:26" ht="11.25" customHeight="1">
      <c r="A301" s="109"/>
      <c r="B301" s="109"/>
      <c r="C301" s="109"/>
      <c r="D301" s="109"/>
      <c r="E301" s="109"/>
      <c r="F301" s="109"/>
      <c r="G301" s="109"/>
      <c r="H301" s="109"/>
      <c r="I301" s="109"/>
      <c r="J301" s="109"/>
      <c r="K301" s="109"/>
      <c r="L301" s="109"/>
      <c r="M301" s="109"/>
      <c r="N301" s="109"/>
      <c r="O301" s="109"/>
      <c r="P301" s="109"/>
      <c r="Q301" s="109"/>
      <c r="R301" s="109"/>
      <c r="S301" s="109"/>
      <c r="T301" s="109"/>
      <c r="U301" s="109"/>
      <c r="V301" s="109"/>
      <c r="W301" s="109"/>
      <c r="X301" s="109"/>
      <c r="Y301" s="109"/>
      <c r="Z301" s="109"/>
    </row>
    <row r="302" spans="1:26" ht="11.25" customHeight="1">
      <c r="A302" s="109"/>
      <c r="B302" s="109"/>
      <c r="C302" s="109"/>
      <c r="D302" s="109"/>
      <c r="E302" s="109"/>
      <c r="F302" s="109"/>
      <c r="G302" s="109"/>
      <c r="H302" s="109"/>
      <c r="I302" s="109"/>
      <c r="J302" s="109"/>
      <c r="K302" s="109"/>
      <c r="L302" s="109"/>
      <c r="M302" s="109"/>
      <c r="N302" s="109"/>
      <c r="O302" s="109"/>
      <c r="P302" s="109"/>
      <c r="Q302" s="109"/>
      <c r="R302" s="109"/>
      <c r="S302" s="109"/>
      <c r="T302" s="109"/>
      <c r="U302" s="109"/>
      <c r="V302" s="109"/>
      <c r="W302" s="109"/>
      <c r="X302" s="109"/>
      <c r="Y302" s="109"/>
      <c r="Z302" s="109"/>
    </row>
    <row r="303" spans="1:26" ht="11.25" customHeight="1">
      <c r="A303" s="109"/>
      <c r="B303" s="109"/>
      <c r="C303" s="109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</row>
    <row r="304" spans="1:26" ht="11.25" customHeight="1">
      <c r="A304" s="109"/>
      <c r="B304" s="109"/>
      <c r="C304" s="109"/>
      <c r="D304" s="109"/>
      <c r="E304" s="109"/>
      <c r="F304" s="109"/>
      <c r="G304" s="109"/>
      <c r="H304" s="109"/>
      <c r="I304" s="109"/>
      <c r="J304" s="109"/>
      <c r="K304" s="109"/>
      <c r="L304" s="109"/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109"/>
      <c r="Y304" s="109"/>
      <c r="Z304" s="109"/>
    </row>
    <row r="305" spans="1:26" ht="11.25" customHeight="1">
      <c r="A305" s="109"/>
      <c r="B305" s="109"/>
      <c r="C305" s="109"/>
      <c r="D305" s="109"/>
      <c r="E305" s="109"/>
      <c r="F305" s="109"/>
      <c r="G305" s="109"/>
      <c r="H305" s="109"/>
      <c r="I305" s="109"/>
      <c r="J305" s="109"/>
      <c r="K305" s="109"/>
      <c r="L305" s="109"/>
      <c r="M305" s="109"/>
      <c r="N305" s="109"/>
      <c r="O305" s="109"/>
      <c r="P305" s="109"/>
      <c r="Q305" s="109"/>
      <c r="R305" s="109"/>
      <c r="S305" s="109"/>
      <c r="T305" s="109"/>
      <c r="U305" s="109"/>
      <c r="V305" s="109"/>
      <c r="W305" s="109"/>
      <c r="X305" s="109"/>
      <c r="Y305" s="109"/>
      <c r="Z305" s="109"/>
    </row>
    <row r="306" spans="1:26" ht="11.25" customHeight="1">
      <c r="A306" s="109"/>
      <c r="B306" s="109"/>
      <c r="C306" s="109"/>
      <c r="D306" s="109"/>
      <c r="E306" s="109"/>
      <c r="F306" s="109"/>
      <c r="G306" s="109"/>
      <c r="H306" s="109"/>
      <c r="I306" s="109"/>
      <c r="J306" s="109"/>
      <c r="K306" s="109"/>
      <c r="L306" s="109"/>
      <c r="M306" s="109"/>
      <c r="N306" s="109"/>
      <c r="O306" s="109"/>
      <c r="P306" s="109"/>
      <c r="Q306" s="109"/>
      <c r="R306" s="109"/>
      <c r="S306" s="109"/>
      <c r="T306" s="109"/>
      <c r="U306" s="109"/>
      <c r="V306" s="109"/>
      <c r="W306" s="109"/>
      <c r="X306" s="109"/>
      <c r="Y306" s="109"/>
      <c r="Z306" s="109"/>
    </row>
    <row r="307" spans="1:26" ht="11.25" customHeight="1">
      <c r="A307" s="109"/>
      <c r="B307" s="109"/>
      <c r="C307" s="109"/>
      <c r="D307" s="109"/>
      <c r="E307" s="109"/>
      <c r="F307" s="109"/>
      <c r="G307" s="109"/>
      <c r="H307" s="109"/>
      <c r="I307" s="109"/>
      <c r="J307" s="109"/>
      <c r="K307" s="109"/>
      <c r="L307" s="109"/>
      <c r="M307" s="109"/>
      <c r="N307" s="109"/>
      <c r="O307" s="109"/>
      <c r="P307" s="109"/>
      <c r="Q307" s="109"/>
      <c r="R307" s="109"/>
      <c r="S307" s="109"/>
      <c r="T307" s="109"/>
      <c r="U307" s="109"/>
      <c r="V307" s="109"/>
      <c r="W307" s="109"/>
      <c r="X307" s="109"/>
      <c r="Y307" s="109"/>
      <c r="Z307" s="109"/>
    </row>
    <row r="308" spans="1:26" ht="11.25" customHeight="1">
      <c r="A308" s="109"/>
      <c r="B308" s="109"/>
      <c r="C308" s="109"/>
      <c r="D308" s="109"/>
      <c r="E308" s="109"/>
      <c r="F308" s="109"/>
      <c r="G308" s="109"/>
      <c r="H308" s="109"/>
      <c r="I308" s="109"/>
      <c r="J308" s="109"/>
      <c r="K308" s="109"/>
      <c r="L308" s="109"/>
      <c r="M308" s="109"/>
      <c r="N308" s="109"/>
      <c r="O308" s="109"/>
      <c r="P308" s="109"/>
      <c r="Q308" s="109"/>
      <c r="R308" s="109"/>
      <c r="S308" s="109"/>
      <c r="T308" s="109"/>
      <c r="U308" s="109"/>
      <c r="V308" s="109"/>
      <c r="W308" s="109"/>
      <c r="X308" s="109"/>
      <c r="Y308" s="109"/>
      <c r="Z308" s="109"/>
    </row>
    <row r="309" spans="1:26" ht="11.25" customHeight="1">
      <c r="A309" s="109"/>
      <c r="B309" s="109"/>
      <c r="C309" s="109"/>
      <c r="D309" s="109"/>
      <c r="E309" s="109"/>
      <c r="F309" s="109"/>
      <c r="G309" s="109"/>
      <c r="H309" s="109"/>
      <c r="I309" s="109"/>
      <c r="J309" s="109"/>
      <c r="K309" s="109"/>
      <c r="L309" s="109"/>
      <c r="M309" s="109"/>
      <c r="N309" s="109"/>
      <c r="O309" s="109"/>
      <c r="P309" s="109"/>
      <c r="Q309" s="109"/>
      <c r="R309" s="109"/>
      <c r="S309" s="109"/>
      <c r="T309" s="109"/>
      <c r="U309" s="109"/>
      <c r="V309" s="109"/>
      <c r="W309" s="109"/>
      <c r="X309" s="109"/>
      <c r="Y309" s="109"/>
      <c r="Z309" s="109"/>
    </row>
    <row r="310" spans="1:26" ht="11.25" customHeight="1">
      <c r="A310" s="109"/>
      <c r="B310" s="109"/>
      <c r="C310" s="109"/>
      <c r="D310" s="109"/>
      <c r="E310" s="109"/>
      <c r="F310" s="109"/>
      <c r="G310" s="109"/>
      <c r="H310" s="109"/>
      <c r="I310" s="109"/>
      <c r="J310" s="109"/>
      <c r="K310" s="109"/>
      <c r="L310" s="109"/>
      <c r="M310" s="109"/>
      <c r="N310" s="109"/>
      <c r="O310" s="109"/>
      <c r="P310" s="109"/>
      <c r="Q310" s="109"/>
      <c r="R310" s="109"/>
      <c r="S310" s="109"/>
      <c r="T310" s="109"/>
      <c r="U310" s="109"/>
      <c r="V310" s="109"/>
      <c r="W310" s="109"/>
      <c r="X310" s="109"/>
      <c r="Y310" s="109"/>
      <c r="Z310" s="109"/>
    </row>
    <row r="311" spans="1:26" ht="11.25" customHeight="1">
      <c r="A311" s="109"/>
      <c r="B311" s="109"/>
      <c r="C311" s="109"/>
      <c r="D311" s="109"/>
      <c r="E311" s="109"/>
      <c r="F311" s="109"/>
      <c r="G311" s="109"/>
      <c r="H311" s="109"/>
      <c r="I311" s="109"/>
      <c r="J311" s="109"/>
      <c r="K311" s="109"/>
      <c r="L311" s="109"/>
      <c r="M311" s="109"/>
      <c r="N311" s="109"/>
      <c r="O311" s="109"/>
      <c r="P311" s="109"/>
      <c r="Q311" s="109"/>
      <c r="R311" s="109"/>
      <c r="S311" s="109"/>
      <c r="T311" s="109"/>
      <c r="U311" s="109"/>
      <c r="V311" s="109"/>
      <c r="W311" s="109"/>
      <c r="X311" s="109"/>
      <c r="Y311" s="109"/>
      <c r="Z311" s="109"/>
    </row>
    <row r="312" spans="1:26" ht="11.25" customHeight="1">
      <c r="A312" s="109"/>
      <c r="B312" s="109"/>
      <c r="C312" s="109"/>
      <c r="D312" s="109"/>
      <c r="E312" s="109"/>
      <c r="F312" s="109"/>
      <c r="G312" s="109"/>
      <c r="H312" s="109"/>
      <c r="I312" s="109"/>
      <c r="J312" s="109"/>
      <c r="K312" s="109"/>
      <c r="L312" s="109"/>
      <c r="M312" s="109"/>
      <c r="N312" s="109"/>
      <c r="O312" s="109"/>
      <c r="P312" s="109"/>
      <c r="Q312" s="109"/>
      <c r="R312" s="109"/>
      <c r="S312" s="109"/>
      <c r="T312" s="109"/>
      <c r="U312" s="109"/>
      <c r="V312" s="109"/>
      <c r="W312" s="109"/>
      <c r="X312" s="109"/>
      <c r="Y312" s="109"/>
      <c r="Z312" s="109"/>
    </row>
    <row r="313" spans="1:26" ht="11.25" customHeight="1">
      <c r="A313" s="109"/>
      <c r="B313" s="109"/>
      <c r="C313" s="109"/>
      <c r="D313" s="109"/>
      <c r="E313" s="109"/>
      <c r="F313" s="109"/>
      <c r="G313" s="109"/>
      <c r="H313" s="109"/>
      <c r="I313" s="109"/>
      <c r="J313" s="109"/>
      <c r="K313" s="109"/>
      <c r="L313" s="109"/>
      <c r="M313" s="109"/>
      <c r="N313" s="109"/>
      <c r="O313" s="109"/>
      <c r="P313" s="109"/>
      <c r="Q313" s="109"/>
      <c r="R313" s="109"/>
      <c r="S313" s="109"/>
      <c r="T313" s="109"/>
      <c r="U313" s="109"/>
      <c r="V313" s="109"/>
      <c r="W313" s="109"/>
      <c r="X313" s="109"/>
      <c r="Y313" s="109"/>
      <c r="Z313" s="109"/>
    </row>
    <row r="314" spans="1:26" ht="11.25" customHeight="1">
      <c r="A314" s="109"/>
      <c r="B314" s="109"/>
      <c r="C314" s="109"/>
      <c r="D314" s="109"/>
      <c r="E314" s="109"/>
      <c r="F314" s="109"/>
      <c r="G314" s="109"/>
      <c r="H314" s="109"/>
      <c r="I314" s="109"/>
      <c r="J314" s="109"/>
      <c r="K314" s="109"/>
      <c r="L314" s="109"/>
      <c r="M314" s="109"/>
      <c r="N314" s="109"/>
      <c r="O314" s="109"/>
      <c r="P314" s="109"/>
      <c r="Q314" s="109"/>
      <c r="R314" s="109"/>
      <c r="S314" s="109"/>
      <c r="T314" s="109"/>
      <c r="U314" s="109"/>
      <c r="V314" s="109"/>
      <c r="W314" s="109"/>
      <c r="X314" s="109"/>
      <c r="Y314" s="109"/>
      <c r="Z314" s="109"/>
    </row>
    <row r="315" spans="1:26" ht="11.25" customHeight="1">
      <c r="A315" s="109"/>
      <c r="B315" s="109"/>
      <c r="C315" s="109"/>
      <c r="D315" s="109"/>
      <c r="E315" s="109"/>
      <c r="F315" s="109"/>
      <c r="G315" s="109"/>
      <c r="H315" s="109"/>
      <c r="I315" s="109"/>
      <c r="J315" s="109"/>
      <c r="K315" s="109"/>
      <c r="L315" s="109"/>
      <c r="M315" s="109"/>
      <c r="N315" s="109"/>
      <c r="O315" s="109"/>
      <c r="P315" s="109"/>
      <c r="Q315" s="109"/>
      <c r="R315" s="109"/>
      <c r="S315" s="109"/>
      <c r="T315" s="109"/>
      <c r="U315" s="109"/>
      <c r="V315" s="109"/>
      <c r="W315" s="109"/>
      <c r="X315" s="109"/>
      <c r="Y315" s="109"/>
      <c r="Z315" s="109"/>
    </row>
    <row r="316" spans="1:26" ht="11.25" customHeight="1">
      <c r="A316" s="109"/>
      <c r="B316" s="109"/>
      <c r="C316" s="109"/>
      <c r="D316" s="109"/>
      <c r="E316" s="109"/>
      <c r="F316" s="109"/>
      <c r="G316" s="109"/>
      <c r="H316" s="109"/>
      <c r="I316" s="109"/>
      <c r="J316" s="109"/>
      <c r="K316" s="109"/>
      <c r="L316" s="109"/>
      <c r="M316" s="109"/>
      <c r="N316" s="109"/>
      <c r="O316" s="109"/>
      <c r="P316" s="109"/>
      <c r="Q316" s="109"/>
      <c r="R316" s="109"/>
      <c r="S316" s="109"/>
      <c r="T316" s="109"/>
      <c r="U316" s="109"/>
      <c r="V316" s="109"/>
      <c r="W316" s="109"/>
      <c r="X316" s="109"/>
      <c r="Y316" s="109"/>
      <c r="Z316" s="109"/>
    </row>
    <row r="317" spans="1:26" ht="11.25" customHeight="1">
      <c r="A317" s="109"/>
      <c r="B317" s="109"/>
      <c r="C317" s="109"/>
      <c r="D317" s="109"/>
      <c r="E317" s="109"/>
      <c r="F317" s="109"/>
      <c r="G317" s="109"/>
      <c r="H317" s="109"/>
      <c r="I317" s="109"/>
      <c r="J317" s="109"/>
      <c r="K317" s="109"/>
      <c r="L317" s="109"/>
      <c r="M317" s="109"/>
      <c r="N317" s="109"/>
      <c r="O317" s="109"/>
      <c r="P317" s="109"/>
      <c r="Q317" s="109"/>
      <c r="R317" s="109"/>
      <c r="S317" s="109"/>
      <c r="T317" s="109"/>
      <c r="U317" s="109"/>
      <c r="V317" s="109"/>
      <c r="W317" s="109"/>
      <c r="X317" s="109"/>
      <c r="Y317" s="109"/>
      <c r="Z317" s="109"/>
    </row>
    <row r="318" spans="1:26" ht="11.25" customHeight="1">
      <c r="A318" s="109"/>
      <c r="B318" s="109"/>
      <c r="C318" s="109"/>
      <c r="D318" s="109"/>
      <c r="E318" s="109"/>
      <c r="F318" s="109"/>
      <c r="G318" s="109"/>
      <c r="H318" s="109"/>
      <c r="I318" s="109"/>
      <c r="J318" s="109"/>
      <c r="K318" s="109"/>
      <c r="L318" s="109"/>
      <c r="M318" s="109"/>
      <c r="N318" s="109"/>
      <c r="O318" s="109"/>
      <c r="P318" s="109"/>
      <c r="Q318" s="109"/>
      <c r="R318" s="109"/>
      <c r="S318" s="109"/>
      <c r="T318" s="109"/>
      <c r="U318" s="109"/>
      <c r="V318" s="109"/>
      <c r="W318" s="109"/>
      <c r="X318" s="109"/>
      <c r="Y318" s="109"/>
      <c r="Z318" s="109"/>
    </row>
    <row r="319" spans="1:26" ht="11.25" customHeight="1">
      <c r="A319" s="109"/>
      <c r="B319" s="109"/>
      <c r="C319" s="109"/>
      <c r="D319" s="109"/>
      <c r="E319" s="109"/>
      <c r="F319" s="109"/>
      <c r="G319" s="109"/>
      <c r="H319" s="109"/>
      <c r="I319" s="109"/>
      <c r="J319" s="109"/>
      <c r="K319" s="109"/>
      <c r="L319" s="109"/>
      <c r="M319" s="109"/>
      <c r="N319" s="109"/>
      <c r="O319" s="109"/>
      <c r="P319" s="109"/>
      <c r="Q319" s="109"/>
      <c r="R319" s="109"/>
      <c r="S319" s="109"/>
      <c r="T319" s="109"/>
      <c r="U319" s="109"/>
      <c r="V319" s="109"/>
      <c r="W319" s="109"/>
      <c r="X319" s="109"/>
      <c r="Y319" s="109"/>
      <c r="Z319" s="109"/>
    </row>
    <row r="320" spans="1:26" ht="11.25" customHeight="1">
      <c r="A320" s="109"/>
      <c r="B320" s="109"/>
      <c r="C320" s="109"/>
      <c r="D320" s="109"/>
      <c r="E320" s="109"/>
      <c r="F320" s="109"/>
      <c r="G320" s="109"/>
      <c r="H320" s="109"/>
      <c r="I320" s="109"/>
      <c r="J320" s="109"/>
      <c r="K320" s="109"/>
      <c r="L320" s="109"/>
      <c r="M320" s="109"/>
      <c r="N320" s="109"/>
      <c r="O320" s="109"/>
      <c r="P320" s="109"/>
      <c r="Q320" s="109"/>
      <c r="R320" s="109"/>
      <c r="S320" s="109"/>
      <c r="T320" s="109"/>
      <c r="U320" s="109"/>
      <c r="V320" s="109"/>
      <c r="W320" s="109"/>
      <c r="X320" s="109"/>
      <c r="Y320" s="109"/>
      <c r="Z320" s="109"/>
    </row>
    <row r="321" spans="1:26" ht="11.25" customHeight="1">
      <c r="A321" s="109"/>
      <c r="B321" s="109"/>
      <c r="C321" s="109"/>
      <c r="D321" s="109"/>
      <c r="E321" s="109"/>
      <c r="F321" s="109"/>
      <c r="G321" s="109"/>
      <c r="H321" s="109"/>
      <c r="I321" s="109"/>
      <c r="J321" s="109"/>
      <c r="K321" s="109"/>
      <c r="L321" s="109"/>
      <c r="M321" s="109"/>
      <c r="N321" s="109"/>
      <c r="O321" s="109"/>
      <c r="P321" s="109"/>
      <c r="Q321" s="109"/>
      <c r="R321" s="109"/>
      <c r="S321" s="109"/>
      <c r="T321" s="109"/>
      <c r="U321" s="109"/>
      <c r="V321" s="109"/>
      <c r="W321" s="109"/>
      <c r="X321" s="109"/>
      <c r="Y321" s="109"/>
      <c r="Z321" s="109"/>
    </row>
    <row r="322" spans="1:26" ht="11.25" customHeight="1">
      <c r="A322" s="109"/>
      <c r="B322" s="109"/>
      <c r="C322" s="109"/>
      <c r="D322" s="109"/>
      <c r="E322" s="109"/>
      <c r="F322" s="109"/>
      <c r="G322" s="109"/>
      <c r="H322" s="109"/>
      <c r="I322" s="109"/>
      <c r="J322" s="109"/>
      <c r="K322" s="109"/>
      <c r="L322" s="109"/>
      <c r="M322" s="109"/>
      <c r="N322" s="109"/>
      <c r="O322" s="109"/>
      <c r="P322" s="109"/>
      <c r="Q322" s="109"/>
      <c r="R322" s="109"/>
      <c r="S322" s="109"/>
      <c r="T322" s="109"/>
      <c r="U322" s="109"/>
      <c r="V322" s="109"/>
      <c r="W322" s="109"/>
      <c r="X322" s="109"/>
      <c r="Y322" s="109"/>
      <c r="Z322" s="109"/>
    </row>
    <row r="323" spans="1:26" ht="11.25" customHeight="1">
      <c r="A323" s="109"/>
      <c r="B323" s="109"/>
      <c r="C323" s="109"/>
      <c r="D323" s="109"/>
      <c r="E323" s="109"/>
      <c r="F323" s="109"/>
      <c r="G323" s="109"/>
      <c r="H323" s="109"/>
      <c r="I323" s="109"/>
      <c r="J323" s="109"/>
      <c r="K323" s="109"/>
      <c r="L323" s="109"/>
      <c r="M323" s="109"/>
      <c r="N323" s="109"/>
      <c r="O323" s="109"/>
      <c r="P323" s="109"/>
      <c r="Q323" s="109"/>
      <c r="R323" s="109"/>
      <c r="S323" s="109"/>
      <c r="T323" s="109"/>
      <c r="U323" s="109"/>
      <c r="V323" s="109"/>
      <c r="W323" s="109"/>
      <c r="X323" s="109"/>
      <c r="Y323" s="109"/>
      <c r="Z323" s="109"/>
    </row>
    <row r="324" spans="1:26" ht="11.25" customHeight="1">
      <c r="A324" s="109"/>
      <c r="B324" s="109"/>
      <c r="C324" s="109"/>
      <c r="D324" s="109"/>
      <c r="E324" s="109"/>
      <c r="F324" s="109"/>
      <c r="G324" s="109"/>
      <c r="H324" s="109"/>
      <c r="I324" s="109"/>
      <c r="J324" s="109"/>
      <c r="K324" s="109"/>
      <c r="L324" s="109"/>
      <c r="M324" s="109"/>
      <c r="N324" s="109"/>
      <c r="O324" s="109"/>
      <c r="P324" s="109"/>
      <c r="Q324" s="109"/>
      <c r="R324" s="109"/>
      <c r="S324" s="109"/>
      <c r="T324" s="109"/>
      <c r="U324" s="109"/>
      <c r="V324" s="109"/>
      <c r="W324" s="109"/>
      <c r="X324" s="109"/>
      <c r="Y324" s="109"/>
      <c r="Z324" s="109"/>
    </row>
    <row r="325" spans="1:26" ht="11.25" customHeight="1">
      <c r="A325" s="109"/>
      <c r="B325" s="109"/>
      <c r="C325" s="109"/>
      <c r="D325" s="109"/>
      <c r="E325" s="109"/>
      <c r="F325" s="109"/>
      <c r="G325" s="109"/>
      <c r="H325" s="109"/>
      <c r="I325" s="109"/>
      <c r="J325" s="109"/>
      <c r="K325" s="109"/>
      <c r="L325" s="109"/>
      <c r="M325" s="109"/>
      <c r="N325" s="109"/>
      <c r="O325" s="109"/>
      <c r="P325" s="109"/>
      <c r="Q325" s="109"/>
      <c r="R325" s="109"/>
      <c r="S325" s="109"/>
      <c r="T325" s="109"/>
      <c r="U325" s="109"/>
      <c r="V325" s="109"/>
      <c r="W325" s="109"/>
      <c r="X325" s="109"/>
      <c r="Y325" s="109"/>
      <c r="Z325" s="109"/>
    </row>
    <row r="326" spans="1:26" ht="11.25" customHeight="1">
      <c r="A326" s="109"/>
      <c r="B326" s="109"/>
      <c r="C326" s="109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</row>
    <row r="327" spans="1:26" ht="11.25" customHeight="1">
      <c r="A327" s="109"/>
      <c r="B327" s="109"/>
      <c r="C327" s="109"/>
      <c r="D327" s="109"/>
      <c r="E327" s="109"/>
      <c r="F327" s="109"/>
      <c r="G327" s="109"/>
      <c r="H327" s="109"/>
      <c r="I327" s="109"/>
      <c r="J327" s="109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109"/>
      <c r="Y327" s="109"/>
      <c r="Z327" s="109"/>
    </row>
    <row r="328" spans="1:26" ht="11.25" customHeight="1">
      <c r="A328" s="109"/>
      <c r="B328" s="109"/>
      <c r="C328" s="109"/>
      <c r="D328" s="109"/>
      <c r="E328" s="109"/>
      <c r="F328" s="109"/>
      <c r="G328" s="109"/>
      <c r="H328" s="109"/>
      <c r="I328" s="109"/>
      <c r="J328" s="109"/>
      <c r="K328" s="109"/>
      <c r="L328" s="109"/>
      <c r="M328" s="109"/>
      <c r="N328" s="109"/>
      <c r="O328" s="109"/>
      <c r="P328" s="109"/>
      <c r="Q328" s="109"/>
      <c r="R328" s="109"/>
      <c r="S328" s="109"/>
      <c r="T328" s="109"/>
      <c r="U328" s="109"/>
      <c r="V328" s="109"/>
      <c r="W328" s="109"/>
      <c r="X328" s="109"/>
      <c r="Y328" s="109"/>
      <c r="Z328" s="109"/>
    </row>
    <row r="329" spans="1:26" ht="11.25" customHeight="1">
      <c r="A329" s="109"/>
      <c r="B329" s="109"/>
      <c r="C329" s="109"/>
      <c r="D329" s="109"/>
      <c r="E329" s="109"/>
      <c r="F329" s="109"/>
      <c r="G329" s="109"/>
      <c r="H329" s="109"/>
      <c r="I329" s="109"/>
      <c r="J329" s="109"/>
      <c r="K329" s="109"/>
      <c r="L329" s="109"/>
      <c r="M329" s="109"/>
      <c r="N329" s="109"/>
      <c r="O329" s="109"/>
      <c r="P329" s="109"/>
      <c r="Q329" s="109"/>
      <c r="R329" s="109"/>
      <c r="S329" s="109"/>
      <c r="T329" s="109"/>
      <c r="U329" s="109"/>
      <c r="V329" s="109"/>
      <c r="W329" s="109"/>
      <c r="X329" s="109"/>
      <c r="Y329" s="109"/>
      <c r="Z329" s="109"/>
    </row>
    <row r="330" spans="1:26" ht="11.25" customHeight="1">
      <c r="A330" s="109"/>
      <c r="B330" s="109"/>
      <c r="C330" s="109"/>
      <c r="D330" s="109"/>
      <c r="E330" s="109"/>
      <c r="F330" s="109"/>
      <c r="G330" s="109"/>
      <c r="H330" s="109"/>
      <c r="I330" s="109"/>
      <c r="J330" s="109"/>
      <c r="K330" s="109"/>
      <c r="L330" s="109"/>
      <c r="M330" s="109"/>
      <c r="N330" s="109"/>
      <c r="O330" s="109"/>
      <c r="P330" s="109"/>
      <c r="Q330" s="109"/>
      <c r="R330" s="109"/>
      <c r="S330" s="109"/>
      <c r="T330" s="109"/>
      <c r="U330" s="109"/>
      <c r="V330" s="109"/>
      <c r="W330" s="109"/>
      <c r="X330" s="109"/>
      <c r="Y330" s="109"/>
      <c r="Z330" s="109"/>
    </row>
    <row r="331" spans="1:26" ht="11.25" customHeight="1">
      <c r="A331" s="109"/>
      <c r="B331" s="109"/>
      <c r="C331" s="109"/>
      <c r="D331" s="109"/>
      <c r="E331" s="109"/>
      <c r="F331" s="109"/>
      <c r="G331" s="109"/>
      <c r="H331" s="109"/>
      <c r="I331" s="109"/>
      <c r="J331" s="109"/>
      <c r="K331" s="109"/>
      <c r="L331" s="109"/>
      <c r="M331" s="109"/>
      <c r="N331" s="109"/>
      <c r="O331" s="109"/>
      <c r="P331" s="109"/>
      <c r="Q331" s="109"/>
      <c r="R331" s="109"/>
      <c r="S331" s="109"/>
      <c r="T331" s="109"/>
      <c r="U331" s="109"/>
      <c r="V331" s="109"/>
      <c r="W331" s="109"/>
      <c r="X331" s="109"/>
      <c r="Y331" s="109"/>
      <c r="Z331" s="109"/>
    </row>
    <row r="332" spans="1:26" ht="11.25" customHeight="1">
      <c r="A332" s="109"/>
      <c r="B332" s="109"/>
      <c r="C332" s="109"/>
      <c r="D332" s="109"/>
      <c r="E332" s="109"/>
      <c r="F332" s="109"/>
      <c r="G332" s="109"/>
      <c r="H332" s="109"/>
      <c r="I332" s="109"/>
      <c r="J332" s="109"/>
      <c r="K332" s="109"/>
      <c r="L332" s="109"/>
      <c r="M332" s="109"/>
      <c r="N332" s="109"/>
      <c r="O332" s="109"/>
      <c r="P332" s="109"/>
      <c r="Q332" s="109"/>
      <c r="R332" s="109"/>
      <c r="S332" s="109"/>
      <c r="T332" s="109"/>
      <c r="U332" s="109"/>
      <c r="V332" s="109"/>
      <c r="W332" s="109"/>
      <c r="X332" s="109"/>
      <c r="Y332" s="109"/>
      <c r="Z332" s="109"/>
    </row>
    <row r="333" spans="1:26" ht="11.25" customHeight="1">
      <c r="A333" s="109"/>
      <c r="B333" s="109"/>
      <c r="C333" s="109"/>
      <c r="D333" s="109"/>
      <c r="E333" s="109"/>
      <c r="F333" s="109"/>
      <c r="G333" s="109"/>
      <c r="H333" s="109"/>
      <c r="I333" s="109"/>
      <c r="J333" s="109"/>
      <c r="K333" s="109"/>
      <c r="L333" s="109"/>
      <c r="M333" s="109"/>
      <c r="N333" s="109"/>
      <c r="O333" s="109"/>
      <c r="P333" s="109"/>
      <c r="Q333" s="109"/>
      <c r="R333" s="109"/>
      <c r="S333" s="109"/>
      <c r="T333" s="109"/>
      <c r="U333" s="109"/>
      <c r="V333" s="109"/>
      <c r="W333" s="109"/>
      <c r="X333" s="109"/>
      <c r="Y333" s="109"/>
      <c r="Z333" s="109"/>
    </row>
    <row r="334" spans="1:26" ht="11.25" customHeight="1">
      <c r="A334" s="109"/>
      <c r="B334" s="109"/>
      <c r="C334" s="109"/>
      <c r="D334" s="109"/>
      <c r="E334" s="109"/>
      <c r="F334" s="109"/>
      <c r="G334" s="109"/>
      <c r="H334" s="109"/>
      <c r="I334" s="109"/>
      <c r="J334" s="109"/>
      <c r="K334" s="109"/>
      <c r="L334" s="109"/>
      <c r="M334" s="109"/>
      <c r="N334" s="109"/>
      <c r="O334" s="109"/>
      <c r="P334" s="109"/>
      <c r="Q334" s="109"/>
      <c r="R334" s="109"/>
      <c r="S334" s="109"/>
      <c r="T334" s="109"/>
      <c r="U334" s="109"/>
      <c r="V334" s="109"/>
      <c r="W334" s="109"/>
      <c r="X334" s="109"/>
      <c r="Y334" s="109"/>
      <c r="Z334" s="109"/>
    </row>
    <row r="335" spans="1:26" ht="11.25" customHeight="1">
      <c r="A335" s="109"/>
      <c r="B335" s="109"/>
      <c r="C335" s="109"/>
      <c r="D335" s="109"/>
      <c r="E335" s="109"/>
      <c r="F335" s="109"/>
      <c r="G335" s="109"/>
      <c r="H335" s="109"/>
      <c r="I335" s="109"/>
      <c r="J335" s="109"/>
      <c r="K335" s="109"/>
      <c r="L335" s="109"/>
      <c r="M335" s="109"/>
      <c r="N335" s="109"/>
      <c r="O335" s="109"/>
      <c r="P335" s="109"/>
      <c r="Q335" s="109"/>
      <c r="R335" s="109"/>
      <c r="S335" s="109"/>
      <c r="T335" s="109"/>
      <c r="U335" s="109"/>
      <c r="V335" s="109"/>
      <c r="W335" s="109"/>
      <c r="X335" s="109"/>
      <c r="Y335" s="109"/>
      <c r="Z335" s="109"/>
    </row>
    <row r="336" spans="1:26" ht="11.25" customHeight="1">
      <c r="A336" s="109"/>
      <c r="B336" s="109"/>
      <c r="C336" s="109"/>
      <c r="D336" s="109"/>
      <c r="E336" s="109"/>
      <c r="F336" s="109"/>
      <c r="G336" s="109"/>
      <c r="H336" s="109"/>
      <c r="I336" s="109"/>
      <c r="J336" s="109"/>
      <c r="K336" s="109"/>
      <c r="L336" s="109"/>
      <c r="M336" s="109"/>
      <c r="N336" s="109"/>
      <c r="O336" s="109"/>
      <c r="P336" s="109"/>
      <c r="Q336" s="109"/>
      <c r="R336" s="109"/>
      <c r="S336" s="109"/>
      <c r="T336" s="109"/>
      <c r="U336" s="109"/>
      <c r="V336" s="109"/>
      <c r="W336" s="109"/>
      <c r="X336" s="109"/>
      <c r="Y336" s="109"/>
      <c r="Z336" s="109"/>
    </row>
    <row r="337" spans="1:26" ht="11.25" customHeight="1">
      <c r="A337" s="109"/>
      <c r="B337" s="109"/>
      <c r="C337" s="109"/>
      <c r="D337" s="109"/>
      <c r="E337" s="109"/>
      <c r="F337" s="109"/>
      <c r="G337" s="109"/>
      <c r="H337" s="109"/>
      <c r="I337" s="109"/>
      <c r="J337" s="109"/>
      <c r="K337" s="109"/>
      <c r="L337" s="109"/>
      <c r="M337" s="109"/>
      <c r="N337" s="109"/>
      <c r="O337" s="109"/>
      <c r="P337" s="109"/>
      <c r="Q337" s="109"/>
      <c r="R337" s="109"/>
      <c r="S337" s="109"/>
      <c r="T337" s="109"/>
      <c r="U337" s="109"/>
      <c r="V337" s="109"/>
      <c r="W337" s="109"/>
      <c r="X337" s="109"/>
      <c r="Y337" s="109"/>
      <c r="Z337" s="109"/>
    </row>
    <row r="338" spans="1:26" ht="11.25" customHeight="1">
      <c r="A338" s="109"/>
      <c r="B338" s="109"/>
      <c r="C338" s="109"/>
      <c r="D338" s="109"/>
      <c r="E338" s="109"/>
      <c r="F338" s="109"/>
      <c r="G338" s="109"/>
      <c r="H338" s="109"/>
      <c r="I338" s="109"/>
      <c r="J338" s="109"/>
      <c r="K338" s="109"/>
      <c r="L338" s="109"/>
      <c r="M338" s="109"/>
      <c r="N338" s="109"/>
      <c r="O338" s="109"/>
      <c r="P338" s="109"/>
      <c r="Q338" s="109"/>
      <c r="R338" s="109"/>
      <c r="S338" s="109"/>
      <c r="T338" s="109"/>
      <c r="U338" s="109"/>
      <c r="V338" s="109"/>
      <c r="W338" s="109"/>
      <c r="X338" s="109"/>
      <c r="Y338" s="109"/>
      <c r="Z338" s="109"/>
    </row>
    <row r="339" spans="1:26" ht="11.25" customHeight="1">
      <c r="A339" s="109"/>
      <c r="B339" s="109"/>
      <c r="C339" s="109"/>
      <c r="D339" s="109"/>
      <c r="E339" s="109"/>
      <c r="F339" s="109"/>
      <c r="G339" s="109"/>
      <c r="H339" s="109"/>
      <c r="I339" s="109"/>
      <c r="J339" s="109"/>
      <c r="K339" s="109"/>
      <c r="L339" s="109"/>
      <c r="M339" s="109"/>
      <c r="N339" s="109"/>
      <c r="O339" s="109"/>
      <c r="P339" s="109"/>
      <c r="Q339" s="109"/>
      <c r="R339" s="109"/>
      <c r="S339" s="109"/>
      <c r="T339" s="109"/>
      <c r="U339" s="109"/>
      <c r="V339" s="109"/>
      <c r="W339" s="109"/>
      <c r="X339" s="109"/>
      <c r="Y339" s="109"/>
      <c r="Z339" s="109"/>
    </row>
    <row r="340" spans="1:26" ht="11.25" customHeight="1">
      <c r="A340" s="109"/>
      <c r="B340" s="109"/>
      <c r="C340" s="109"/>
      <c r="D340" s="109"/>
      <c r="E340" s="109"/>
      <c r="F340" s="109"/>
      <c r="G340" s="109"/>
      <c r="H340" s="109"/>
      <c r="I340" s="109"/>
      <c r="J340" s="109"/>
      <c r="K340" s="109"/>
      <c r="L340" s="109"/>
      <c r="M340" s="109"/>
      <c r="N340" s="109"/>
      <c r="O340" s="109"/>
      <c r="P340" s="109"/>
      <c r="Q340" s="109"/>
      <c r="R340" s="109"/>
      <c r="S340" s="109"/>
      <c r="T340" s="109"/>
      <c r="U340" s="109"/>
      <c r="V340" s="109"/>
      <c r="W340" s="109"/>
      <c r="X340" s="109"/>
      <c r="Y340" s="109"/>
      <c r="Z340" s="109"/>
    </row>
    <row r="341" spans="1:26" ht="11.25" customHeight="1">
      <c r="A341" s="109"/>
      <c r="B341" s="109"/>
      <c r="C341" s="109"/>
      <c r="D341" s="109"/>
      <c r="E341" s="109"/>
      <c r="F341" s="109"/>
      <c r="G341" s="109"/>
      <c r="H341" s="109"/>
      <c r="I341" s="109"/>
      <c r="J341" s="109"/>
      <c r="K341" s="109"/>
      <c r="L341" s="109"/>
      <c r="M341" s="109"/>
      <c r="N341" s="109"/>
      <c r="O341" s="109"/>
      <c r="P341" s="109"/>
      <c r="Q341" s="109"/>
      <c r="R341" s="109"/>
      <c r="S341" s="109"/>
      <c r="T341" s="109"/>
      <c r="U341" s="109"/>
      <c r="V341" s="109"/>
      <c r="W341" s="109"/>
      <c r="X341" s="109"/>
      <c r="Y341" s="109"/>
      <c r="Z341" s="109"/>
    </row>
    <row r="342" spans="1:26" ht="11.25" customHeight="1">
      <c r="A342" s="109"/>
      <c r="B342" s="109"/>
      <c r="C342" s="109"/>
      <c r="D342" s="109"/>
      <c r="E342" s="109"/>
      <c r="F342" s="109"/>
      <c r="G342" s="109"/>
      <c r="H342" s="109"/>
      <c r="I342" s="109"/>
      <c r="J342" s="109"/>
      <c r="K342" s="109"/>
      <c r="L342" s="109"/>
      <c r="M342" s="109"/>
      <c r="N342" s="109"/>
      <c r="O342" s="109"/>
      <c r="P342" s="109"/>
      <c r="Q342" s="109"/>
      <c r="R342" s="109"/>
      <c r="S342" s="109"/>
      <c r="T342" s="109"/>
      <c r="U342" s="109"/>
      <c r="V342" s="109"/>
      <c r="W342" s="109"/>
      <c r="X342" s="109"/>
      <c r="Y342" s="109"/>
      <c r="Z342" s="109"/>
    </row>
    <row r="343" spans="1:26" ht="11.25" customHeight="1">
      <c r="A343" s="109"/>
      <c r="B343" s="109"/>
      <c r="C343" s="109"/>
      <c r="D343" s="109"/>
      <c r="E343" s="109"/>
      <c r="F343" s="109"/>
      <c r="G343" s="109"/>
      <c r="H343" s="109"/>
      <c r="I343" s="109"/>
      <c r="J343" s="109"/>
      <c r="K343" s="109"/>
      <c r="L343" s="109"/>
      <c r="M343" s="109"/>
      <c r="N343" s="109"/>
      <c r="O343" s="109"/>
      <c r="P343" s="109"/>
      <c r="Q343" s="109"/>
      <c r="R343" s="109"/>
      <c r="S343" s="109"/>
      <c r="T343" s="109"/>
      <c r="U343" s="109"/>
      <c r="V343" s="109"/>
      <c r="W343" s="109"/>
      <c r="X343" s="109"/>
      <c r="Y343" s="109"/>
      <c r="Z343" s="109"/>
    </row>
    <row r="344" spans="1:26" ht="11.25" customHeight="1">
      <c r="A344" s="109"/>
      <c r="B344" s="109"/>
      <c r="C344" s="109"/>
      <c r="D344" s="109"/>
      <c r="E344" s="109"/>
      <c r="F344" s="109"/>
      <c r="G344" s="109"/>
      <c r="H344" s="109"/>
      <c r="I344" s="109"/>
      <c r="J344" s="109"/>
      <c r="K344" s="109"/>
      <c r="L344" s="109"/>
      <c r="M344" s="109"/>
      <c r="N344" s="109"/>
      <c r="O344" s="109"/>
      <c r="P344" s="109"/>
      <c r="Q344" s="109"/>
      <c r="R344" s="109"/>
      <c r="S344" s="109"/>
      <c r="T344" s="109"/>
      <c r="U344" s="109"/>
      <c r="V344" s="109"/>
      <c r="W344" s="109"/>
      <c r="X344" s="109"/>
      <c r="Y344" s="109"/>
      <c r="Z344" s="109"/>
    </row>
    <row r="345" spans="1:26" ht="11.25" customHeight="1">
      <c r="A345" s="109"/>
      <c r="B345" s="109"/>
      <c r="C345" s="109"/>
      <c r="D345" s="109"/>
      <c r="E345" s="109"/>
      <c r="F345" s="109"/>
      <c r="G345" s="109"/>
      <c r="H345" s="109"/>
      <c r="I345" s="109"/>
      <c r="J345" s="109"/>
      <c r="K345" s="109"/>
      <c r="L345" s="109"/>
      <c r="M345" s="109"/>
      <c r="N345" s="109"/>
      <c r="O345" s="109"/>
      <c r="P345" s="109"/>
      <c r="Q345" s="109"/>
      <c r="R345" s="109"/>
      <c r="S345" s="109"/>
      <c r="T345" s="109"/>
      <c r="U345" s="109"/>
      <c r="V345" s="109"/>
      <c r="W345" s="109"/>
      <c r="X345" s="109"/>
      <c r="Y345" s="109"/>
      <c r="Z345" s="109"/>
    </row>
    <row r="346" spans="1:26" ht="11.25" customHeight="1">
      <c r="A346" s="109"/>
      <c r="B346" s="109"/>
      <c r="C346" s="109"/>
      <c r="D346" s="109"/>
      <c r="E346" s="109"/>
      <c r="F346" s="109"/>
      <c r="G346" s="109"/>
      <c r="H346" s="109"/>
      <c r="I346" s="109"/>
      <c r="J346" s="109"/>
      <c r="K346" s="109"/>
      <c r="L346" s="109"/>
      <c r="M346" s="109"/>
      <c r="N346" s="109"/>
      <c r="O346" s="109"/>
      <c r="P346" s="109"/>
      <c r="Q346" s="109"/>
      <c r="R346" s="109"/>
      <c r="S346" s="109"/>
      <c r="T346" s="109"/>
      <c r="U346" s="109"/>
      <c r="V346" s="109"/>
      <c r="W346" s="109"/>
      <c r="X346" s="109"/>
      <c r="Y346" s="109"/>
      <c r="Z346" s="109"/>
    </row>
    <row r="347" spans="1:26" ht="11.25" customHeight="1">
      <c r="A347" s="109"/>
      <c r="B347" s="109"/>
      <c r="C347" s="109"/>
      <c r="D347" s="109"/>
      <c r="E347" s="109"/>
      <c r="F347" s="109"/>
      <c r="G347" s="109"/>
      <c r="H347" s="109"/>
      <c r="I347" s="109"/>
      <c r="J347" s="109"/>
      <c r="K347" s="109"/>
      <c r="L347" s="109"/>
      <c r="M347" s="109"/>
      <c r="N347" s="109"/>
      <c r="O347" s="109"/>
      <c r="P347" s="109"/>
      <c r="Q347" s="109"/>
      <c r="R347" s="109"/>
      <c r="S347" s="109"/>
      <c r="T347" s="109"/>
      <c r="U347" s="109"/>
      <c r="V347" s="109"/>
      <c r="W347" s="109"/>
      <c r="X347" s="109"/>
      <c r="Y347" s="109"/>
      <c r="Z347" s="109"/>
    </row>
    <row r="348" spans="1:26" ht="11.25" customHeight="1">
      <c r="A348" s="109"/>
      <c r="B348" s="109"/>
      <c r="C348" s="109"/>
      <c r="D348" s="109"/>
      <c r="E348" s="109"/>
      <c r="F348" s="109"/>
      <c r="G348" s="109"/>
      <c r="H348" s="109"/>
      <c r="I348" s="109"/>
      <c r="J348" s="109"/>
      <c r="K348" s="109"/>
      <c r="L348" s="109"/>
      <c r="M348" s="109"/>
      <c r="N348" s="109"/>
      <c r="O348" s="109"/>
      <c r="P348" s="109"/>
      <c r="Q348" s="109"/>
      <c r="R348" s="109"/>
      <c r="S348" s="109"/>
      <c r="T348" s="109"/>
      <c r="U348" s="109"/>
      <c r="V348" s="109"/>
      <c r="W348" s="109"/>
      <c r="X348" s="109"/>
      <c r="Y348" s="109"/>
      <c r="Z348" s="109"/>
    </row>
    <row r="349" spans="1:26" ht="11.25" customHeight="1">
      <c r="A349" s="109"/>
      <c r="B349" s="109"/>
      <c r="C349" s="109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</row>
    <row r="350" spans="1:26" ht="11.25" customHeight="1">
      <c r="A350" s="109"/>
      <c r="B350" s="109"/>
      <c r="C350" s="109"/>
      <c r="D350" s="109"/>
      <c r="E350" s="109"/>
      <c r="F350" s="109"/>
      <c r="G350" s="109"/>
      <c r="H350" s="109"/>
      <c r="I350" s="109"/>
      <c r="J350" s="109"/>
      <c r="K350" s="109"/>
      <c r="L350" s="109"/>
      <c r="M350" s="109"/>
      <c r="N350" s="109"/>
      <c r="O350" s="109"/>
      <c r="P350" s="109"/>
      <c r="Q350" s="109"/>
      <c r="R350" s="109"/>
      <c r="S350" s="109"/>
      <c r="T350" s="109"/>
      <c r="U350" s="109"/>
      <c r="V350" s="109"/>
      <c r="W350" s="109"/>
      <c r="X350" s="109"/>
      <c r="Y350" s="109"/>
      <c r="Z350" s="109"/>
    </row>
    <row r="351" spans="1:26" ht="11.25" customHeight="1">
      <c r="A351" s="109"/>
      <c r="B351" s="109"/>
      <c r="C351" s="109"/>
      <c r="D351" s="109"/>
      <c r="E351" s="109"/>
      <c r="F351" s="109"/>
      <c r="G351" s="109"/>
      <c r="H351" s="109"/>
      <c r="I351" s="109"/>
      <c r="J351" s="109"/>
      <c r="K351" s="109"/>
      <c r="L351" s="109"/>
      <c r="M351" s="109"/>
      <c r="N351" s="109"/>
      <c r="O351" s="109"/>
      <c r="P351" s="109"/>
      <c r="Q351" s="109"/>
      <c r="R351" s="109"/>
      <c r="S351" s="109"/>
      <c r="T351" s="109"/>
      <c r="U351" s="109"/>
      <c r="V351" s="109"/>
      <c r="W351" s="109"/>
      <c r="X351" s="109"/>
      <c r="Y351" s="109"/>
      <c r="Z351" s="109"/>
    </row>
    <row r="352" spans="1:26" ht="11.25" customHeight="1">
      <c r="A352" s="109"/>
      <c r="B352" s="109"/>
      <c r="C352" s="109"/>
      <c r="D352" s="109"/>
      <c r="E352" s="109"/>
      <c r="F352" s="109"/>
      <c r="G352" s="109"/>
      <c r="H352" s="109"/>
      <c r="I352" s="109"/>
      <c r="J352" s="109"/>
      <c r="K352" s="109"/>
      <c r="L352" s="109"/>
      <c r="M352" s="109"/>
      <c r="N352" s="109"/>
      <c r="O352" s="109"/>
      <c r="P352" s="109"/>
      <c r="Q352" s="109"/>
      <c r="R352" s="109"/>
      <c r="S352" s="109"/>
      <c r="T352" s="109"/>
      <c r="U352" s="109"/>
      <c r="V352" s="109"/>
      <c r="W352" s="109"/>
      <c r="X352" s="109"/>
      <c r="Y352" s="109"/>
      <c r="Z352" s="109"/>
    </row>
    <row r="353" spans="1:26" ht="11.25" customHeight="1">
      <c r="A353" s="109"/>
      <c r="B353" s="109"/>
      <c r="C353" s="109"/>
      <c r="D353" s="109"/>
      <c r="E353" s="109"/>
      <c r="F353" s="109"/>
      <c r="G353" s="109"/>
      <c r="H353" s="109"/>
      <c r="I353" s="109"/>
      <c r="J353" s="109"/>
      <c r="K353" s="109"/>
      <c r="L353" s="109"/>
      <c r="M353" s="109"/>
      <c r="N353" s="109"/>
      <c r="O353" s="109"/>
      <c r="P353" s="109"/>
      <c r="Q353" s="109"/>
      <c r="R353" s="109"/>
      <c r="S353" s="109"/>
      <c r="T353" s="109"/>
      <c r="U353" s="109"/>
      <c r="V353" s="109"/>
      <c r="W353" s="109"/>
      <c r="X353" s="109"/>
      <c r="Y353" s="109"/>
      <c r="Z353" s="109"/>
    </row>
    <row r="354" spans="1:26" ht="11.25" customHeight="1">
      <c r="A354" s="109"/>
      <c r="B354" s="109"/>
      <c r="C354" s="109"/>
      <c r="D354" s="109"/>
      <c r="E354" s="109"/>
      <c r="F354" s="109"/>
      <c r="G354" s="109"/>
      <c r="H354" s="109"/>
      <c r="I354" s="109"/>
      <c r="J354" s="109"/>
      <c r="K354" s="109"/>
      <c r="L354" s="109"/>
      <c r="M354" s="109"/>
      <c r="N354" s="109"/>
      <c r="O354" s="109"/>
      <c r="P354" s="109"/>
      <c r="Q354" s="109"/>
      <c r="R354" s="109"/>
      <c r="S354" s="109"/>
      <c r="T354" s="109"/>
      <c r="U354" s="109"/>
      <c r="V354" s="109"/>
      <c r="W354" s="109"/>
      <c r="X354" s="109"/>
      <c r="Y354" s="109"/>
      <c r="Z354" s="109"/>
    </row>
    <row r="355" spans="1:26" ht="11.25" customHeight="1">
      <c r="A355" s="109"/>
      <c r="B355" s="109"/>
      <c r="C355" s="109"/>
      <c r="D355" s="109"/>
      <c r="E355" s="109"/>
      <c r="F355" s="109"/>
      <c r="G355" s="109"/>
      <c r="H355" s="109"/>
      <c r="I355" s="109"/>
      <c r="J355" s="109"/>
      <c r="K355" s="109"/>
      <c r="L355" s="109"/>
      <c r="M355" s="109"/>
      <c r="N355" s="109"/>
      <c r="O355" s="109"/>
      <c r="P355" s="109"/>
      <c r="Q355" s="109"/>
      <c r="R355" s="109"/>
      <c r="S355" s="109"/>
      <c r="T355" s="109"/>
      <c r="U355" s="109"/>
      <c r="V355" s="109"/>
      <c r="W355" s="109"/>
      <c r="X355" s="109"/>
      <c r="Y355" s="109"/>
      <c r="Z355" s="109"/>
    </row>
    <row r="356" spans="1:26" ht="11.25" customHeight="1">
      <c r="A356" s="109"/>
      <c r="B356" s="109"/>
      <c r="C356" s="109"/>
      <c r="D356" s="109"/>
      <c r="E356" s="109"/>
      <c r="F356" s="109"/>
      <c r="G356" s="109"/>
      <c r="H356" s="109"/>
      <c r="I356" s="109"/>
      <c r="J356" s="109"/>
      <c r="K356" s="109"/>
      <c r="L356" s="109"/>
      <c r="M356" s="109"/>
      <c r="N356" s="109"/>
      <c r="O356" s="109"/>
      <c r="P356" s="109"/>
      <c r="Q356" s="109"/>
      <c r="R356" s="109"/>
      <c r="S356" s="109"/>
      <c r="T356" s="109"/>
      <c r="U356" s="109"/>
      <c r="V356" s="109"/>
      <c r="W356" s="109"/>
      <c r="X356" s="109"/>
      <c r="Y356" s="109"/>
      <c r="Z356" s="109"/>
    </row>
    <row r="357" spans="1:26" ht="11.25" customHeight="1">
      <c r="A357" s="109"/>
      <c r="B357" s="109"/>
      <c r="C357" s="109"/>
      <c r="D357" s="109"/>
      <c r="E357" s="109"/>
      <c r="F357" s="109"/>
      <c r="G357" s="109"/>
      <c r="H357" s="109"/>
      <c r="I357" s="109"/>
      <c r="J357" s="109"/>
      <c r="K357" s="109"/>
      <c r="L357" s="109"/>
      <c r="M357" s="109"/>
      <c r="N357" s="109"/>
      <c r="O357" s="109"/>
      <c r="P357" s="109"/>
      <c r="Q357" s="109"/>
      <c r="R357" s="109"/>
      <c r="S357" s="109"/>
      <c r="T357" s="109"/>
      <c r="U357" s="109"/>
      <c r="V357" s="109"/>
      <c r="W357" s="109"/>
      <c r="X357" s="109"/>
      <c r="Y357" s="109"/>
      <c r="Z357" s="109"/>
    </row>
    <row r="358" spans="1:26" ht="11.25" customHeight="1">
      <c r="A358" s="109"/>
      <c r="B358" s="109"/>
      <c r="C358" s="109"/>
      <c r="D358" s="109"/>
      <c r="E358" s="109"/>
      <c r="F358" s="109"/>
      <c r="G358" s="109"/>
      <c r="H358" s="109"/>
      <c r="I358" s="109"/>
      <c r="J358" s="109"/>
      <c r="K358" s="109"/>
      <c r="L358" s="109"/>
      <c r="M358" s="109"/>
      <c r="N358" s="109"/>
      <c r="O358" s="109"/>
      <c r="P358" s="109"/>
      <c r="Q358" s="109"/>
      <c r="R358" s="109"/>
      <c r="S358" s="109"/>
      <c r="T358" s="109"/>
      <c r="U358" s="109"/>
      <c r="V358" s="109"/>
      <c r="W358" s="109"/>
      <c r="X358" s="109"/>
      <c r="Y358" s="109"/>
      <c r="Z358" s="109"/>
    </row>
    <row r="359" spans="1:26" ht="11.25" customHeight="1">
      <c r="A359" s="109"/>
      <c r="B359" s="109"/>
      <c r="C359" s="109"/>
      <c r="D359" s="109"/>
      <c r="E359" s="109"/>
      <c r="F359" s="109"/>
      <c r="G359" s="109"/>
      <c r="H359" s="109"/>
      <c r="I359" s="109"/>
      <c r="J359" s="109"/>
      <c r="K359" s="109"/>
      <c r="L359" s="109"/>
      <c r="M359" s="109"/>
      <c r="N359" s="109"/>
      <c r="O359" s="109"/>
      <c r="P359" s="109"/>
      <c r="Q359" s="109"/>
      <c r="R359" s="109"/>
      <c r="S359" s="109"/>
      <c r="T359" s="109"/>
      <c r="U359" s="109"/>
      <c r="V359" s="109"/>
      <c r="W359" s="109"/>
      <c r="X359" s="109"/>
      <c r="Y359" s="109"/>
      <c r="Z359" s="109"/>
    </row>
    <row r="360" spans="1:26" ht="11.25" customHeight="1">
      <c r="A360" s="109"/>
      <c r="B360" s="109"/>
      <c r="C360" s="109"/>
      <c r="D360" s="109"/>
      <c r="E360" s="109"/>
      <c r="F360" s="109"/>
      <c r="G360" s="109"/>
      <c r="H360" s="109"/>
      <c r="I360" s="109"/>
      <c r="J360" s="109"/>
      <c r="K360" s="109"/>
      <c r="L360" s="109"/>
      <c r="M360" s="109"/>
      <c r="N360" s="109"/>
      <c r="O360" s="109"/>
      <c r="P360" s="109"/>
      <c r="Q360" s="109"/>
      <c r="R360" s="109"/>
      <c r="S360" s="109"/>
      <c r="T360" s="109"/>
      <c r="U360" s="109"/>
      <c r="V360" s="109"/>
      <c r="W360" s="109"/>
      <c r="X360" s="109"/>
      <c r="Y360" s="109"/>
      <c r="Z360" s="109"/>
    </row>
    <row r="361" spans="1:26" ht="11.25" customHeight="1">
      <c r="A361" s="109"/>
      <c r="B361" s="109"/>
      <c r="C361" s="109"/>
      <c r="D361" s="109"/>
      <c r="E361" s="109"/>
      <c r="F361" s="109"/>
      <c r="G361" s="109"/>
      <c r="H361" s="109"/>
      <c r="I361" s="109"/>
      <c r="J361" s="109"/>
      <c r="K361" s="109"/>
      <c r="L361" s="109"/>
      <c r="M361" s="109"/>
      <c r="N361" s="109"/>
      <c r="O361" s="109"/>
      <c r="P361" s="109"/>
      <c r="Q361" s="109"/>
      <c r="R361" s="109"/>
      <c r="S361" s="109"/>
      <c r="T361" s="109"/>
      <c r="U361" s="109"/>
      <c r="V361" s="109"/>
      <c r="W361" s="109"/>
      <c r="X361" s="109"/>
      <c r="Y361" s="109"/>
      <c r="Z361" s="109"/>
    </row>
    <row r="362" spans="1:26" ht="11.25" customHeight="1">
      <c r="A362" s="109"/>
      <c r="B362" s="109"/>
      <c r="C362" s="109"/>
      <c r="D362" s="109"/>
      <c r="E362" s="109"/>
      <c r="F362" s="109"/>
      <c r="G362" s="109"/>
      <c r="H362" s="109"/>
      <c r="I362" s="109"/>
      <c r="J362" s="109"/>
      <c r="K362" s="109"/>
      <c r="L362" s="109"/>
      <c r="M362" s="109"/>
      <c r="N362" s="109"/>
      <c r="O362" s="109"/>
      <c r="P362" s="109"/>
      <c r="Q362" s="109"/>
      <c r="R362" s="109"/>
      <c r="S362" s="109"/>
      <c r="T362" s="109"/>
      <c r="U362" s="109"/>
      <c r="V362" s="109"/>
      <c r="W362" s="109"/>
      <c r="X362" s="109"/>
      <c r="Y362" s="109"/>
      <c r="Z362" s="109"/>
    </row>
    <row r="363" spans="1:26" ht="11.25" customHeight="1">
      <c r="A363" s="109"/>
      <c r="B363" s="109"/>
      <c r="C363" s="109"/>
      <c r="D363" s="109"/>
      <c r="E363" s="109"/>
      <c r="F363" s="109"/>
      <c r="G363" s="109"/>
      <c r="H363" s="109"/>
      <c r="I363" s="109"/>
      <c r="J363" s="109"/>
      <c r="K363" s="109"/>
      <c r="L363" s="109"/>
      <c r="M363" s="109"/>
      <c r="N363" s="109"/>
      <c r="O363" s="109"/>
      <c r="P363" s="109"/>
      <c r="Q363" s="109"/>
      <c r="R363" s="109"/>
      <c r="S363" s="109"/>
      <c r="T363" s="109"/>
      <c r="U363" s="109"/>
      <c r="V363" s="109"/>
      <c r="W363" s="109"/>
      <c r="X363" s="109"/>
      <c r="Y363" s="109"/>
      <c r="Z363" s="109"/>
    </row>
    <row r="364" spans="1:26" ht="11.25" customHeight="1">
      <c r="A364" s="109"/>
      <c r="B364" s="109"/>
      <c r="C364" s="109"/>
      <c r="D364" s="109"/>
      <c r="E364" s="109"/>
      <c r="F364" s="109"/>
      <c r="G364" s="109"/>
      <c r="H364" s="109"/>
      <c r="I364" s="109"/>
      <c r="J364" s="109"/>
      <c r="K364" s="109"/>
      <c r="L364" s="109"/>
      <c r="M364" s="109"/>
      <c r="N364" s="109"/>
      <c r="O364" s="109"/>
      <c r="P364" s="109"/>
      <c r="Q364" s="109"/>
      <c r="R364" s="109"/>
      <c r="S364" s="109"/>
      <c r="T364" s="109"/>
      <c r="U364" s="109"/>
      <c r="V364" s="109"/>
      <c r="W364" s="109"/>
      <c r="X364" s="109"/>
      <c r="Y364" s="109"/>
      <c r="Z364" s="109"/>
    </row>
    <row r="365" spans="1:26" ht="11.25" customHeight="1">
      <c r="A365" s="109"/>
      <c r="B365" s="109"/>
      <c r="C365" s="109"/>
      <c r="D365" s="109"/>
      <c r="E365" s="109"/>
      <c r="F365" s="109"/>
      <c r="G365" s="109"/>
      <c r="H365" s="109"/>
      <c r="I365" s="109"/>
      <c r="J365" s="109"/>
      <c r="K365" s="109"/>
      <c r="L365" s="109"/>
      <c r="M365" s="109"/>
      <c r="N365" s="109"/>
      <c r="O365" s="109"/>
      <c r="P365" s="109"/>
      <c r="Q365" s="109"/>
      <c r="R365" s="109"/>
      <c r="S365" s="109"/>
      <c r="T365" s="109"/>
      <c r="U365" s="109"/>
      <c r="V365" s="109"/>
      <c r="W365" s="109"/>
      <c r="X365" s="109"/>
      <c r="Y365" s="109"/>
      <c r="Z365" s="109"/>
    </row>
    <row r="366" spans="1:26" ht="11.25" customHeight="1">
      <c r="A366" s="109"/>
      <c r="B366" s="109"/>
      <c r="C366" s="109"/>
      <c r="D366" s="109"/>
      <c r="E366" s="109"/>
      <c r="F366" s="109"/>
      <c r="G366" s="109"/>
      <c r="H366" s="109"/>
      <c r="I366" s="109"/>
      <c r="J366" s="109"/>
      <c r="K366" s="109"/>
      <c r="L366" s="109"/>
      <c r="M366" s="109"/>
      <c r="N366" s="109"/>
      <c r="O366" s="109"/>
      <c r="P366" s="109"/>
      <c r="Q366" s="109"/>
      <c r="R366" s="109"/>
      <c r="S366" s="109"/>
      <c r="T366" s="109"/>
      <c r="U366" s="109"/>
      <c r="V366" s="109"/>
      <c r="W366" s="109"/>
      <c r="X366" s="109"/>
      <c r="Y366" s="109"/>
      <c r="Z366" s="109"/>
    </row>
    <row r="367" spans="1:26" ht="11.25" customHeight="1">
      <c r="A367" s="109"/>
      <c r="B367" s="109"/>
      <c r="C367" s="109"/>
      <c r="D367" s="109"/>
      <c r="E367" s="109"/>
      <c r="F367" s="109"/>
      <c r="G367" s="109"/>
      <c r="H367" s="109"/>
      <c r="I367" s="109"/>
      <c r="J367" s="109"/>
      <c r="K367" s="109"/>
      <c r="L367" s="109"/>
      <c r="M367" s="109"/>
      <c r="N367" s="109"/>
      <c r="O367" s="109"/>
      <c r="P367" s="109"/>
      <c r="Q367" s="109"/>
      <c r="R367" s="109"/>
      <c r="S367" s="109"/>
      <c r="T367" s="109"/>
      <c r="U367" s="109"/>
      <c r="V367" s="109"/>
      <c r="W367" s="109"/>
      <c r="X367" s="109"/>
      <c r="Y367" s="109"/>
      <c r="Z367" s="109"/>
    </row>
    <row r="368" spans="1:26" ht="11.25" customHeight="1">
      <c r="A368" s="109"/>
      <c r="B368" s="109"/>
      <c r="C368" s="109"/>
      <c r="D368" s="109"/>
      <c r="E368" s="109"/>
      <c r="F368" s="109"/>
      <c r="G368" s="109"/>
      <c r="H368" s="109"/>
      <c r="I368" s="109"/>
      <c r="J368" s="109"/>
      <c r="K368" s="109"/>
      <c r="L368" s="109"/>
      <c r="M368" s="109"/>
      <c r="N368" s="109"/>
      <c r="O368" s="109"/>
      <c r="P368" s="109"/>
      <c r="Q368" s="109"/>
      <c r="R368" s="109"/>
      <c r="S368" s="109"/>
      <c r="T368" s="109"/>
      <c r="U368" s="109"/>
      <c r="V368" s="109"/>
      <c r="W368" s="109"/>
      <c r="X368" s="109"/>
      <c r="Y368" s="109"/>
      <c r="Z368" s="109"/>
    </row>
    <row r="369" spans="1:26" ht="11.25" customHeight="1">
      <c r="A369" s="109"/>
      <c r="B369" s="109"/>
      <c r="C369" s="109"/>
      <c r="D369" s="109"/>
      <c r="E369" s="109"/>
      <c r="F369" s="109"/>
      <c r="G369" s="109"/>
      <c r="H369" s="109"/>
      <c r="I369" s="109"/>
      <c r="J369" s="109"/>
      <c r="K369" s="109"/>
      <c r="L369" s="109"/>
      <c r="M369" s="109"/>
      <c r="N369" s="109"/>
      <c r="O369" s="109"/>
      <c r="P369" s="109"/>
      <c r="Q369" s="109"/>
      <c r="R369" s="109"/>
      <c r="S369" s="109"/>
      <c r="T369" s="109"/>
      <c r="U369" s="109"/>
      <c r="V369" s="109"/>
      <c r="W369" s="109"/>
      <c r="X369" s="109"/>
      <c r="Y369" s="109"/>
      <c r="Z369" s="109"/>
    </row>
    <row r="370" spans="1:26" ht="11.25" customHeight="1">
      <c r="A370" s="109"/>
      <c r="B370" s="109"/>
      <c r="C370" s="109"/>
      <c r="D370" s="109"/>
      <c r="E370" s="109"/>
      <c r="F370" s="109"/>
      <c r="G370" s="109"/>
      <c r="H370" s="109"/>
      <c r="I370" s="109"/>
      <c r="J370" s="109"/>
      <c r="K370" s="109"/>
      <c r="L370" s="109"/>
      <c r="M370" s="109"/>
      <c r="N370" s="109"/>
      <c r="O370" s="109"/>
      <c r="P370" s="109"/>
      <c r="Q370" s="109"/>
      <c r="R370" s="109"/>
      <c r="S370" s="109"/>
      <c r="T370" s="109"/>
      <c r="U370" s="109"/>
      <c r="V370" s="109"/>
      <c r="W370" s="109"/>
      <c r="X370" s="109"/>
      <c r="Y370" s="109"/>
      <c r="Z370" s="109"/>
    </row>
    <row r="371" spans="1:26" ht="11.25" customHeight="1">
      <c r="A371" s="109"/>
      <c r="B371" s="109"/>
      <c r="C371" s="109"/>
      <c r="D371" s="109"/>
      <c r="E371" s="109"/>
      <c r="F371" s="109"/>
      <c r="G371" s="109"/>
      <c r="H371" s="109"/>
      <c r="I371" s="109"/>
      <c r="J371" s="109"/>
      <c r="K371" s="109"/>
      <c r="L371" s="109"/>
      <c r="M371" s="109"/>
      <c r="N371" s="109"/>
      <c r="O371" s="109"/>
      <c r="P371" s="109"/>
      <c r="Q371" s="109"/>
      <c r="R371" s="109"/>
      <c r="S371" s="109"/>
      <c r="T371" s="109"/>
      <c r="U371" s="109"/>
      <c r="V371" s="109"/>
      <c r="W371" s="109"/>
      <c r="X371" s="109"/>
      <c r="Y371" s="109"/>
      <c r="Z371" s="109"/>
    </row>
    <row r="372" spans="1:26" ht="11.25" customHeight="1">
      <c r="A372" s="109"/>
      <c r="B372" s="109"/>
      <c r="C372" s="109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</row>
    <row r="373" spans="1:26" ht="11.25" customHeight="1">
      <c r="A373" s="109"/>
      <c r="B373" s="109"/>
      <c r="C373" s="109"/>
      <c r="D373" s="109"/>
      <c r="E373" s="109"/>
      <c r="F373" s="109"/>
      <c r="G373" s="109"/>
      <c r="H373" s="109"/>
      <c r="I373" s="109"/>
      <c r="J373" s="109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  <c r="Y373" s="109"/>
      <c r="Z373" s="109"/>
    </row>
    <row r="374" spans="1:26" ht="11.25" customHeight="1">
      <c r="A374" s="109"/>
      <c r="B374" s="109"/>
      <c r="C374" s="109"/>
      <c r="D374" s="109"/>
      <c r="E374" s="109"/>
      <c r="F374" s="109"/>
      <c r="G374" s="109"/>
      <c r="H374" s="109"/>
      <c r="I374" s="109"/>
      <c r="J374" s="109"/>
      <c r="K374" s="109"/>
      <c r="L374" s="109"/>
      <c r="M374" s="109"/>
      <c r="N374" s="109"/>
      <c r="O374" s="109"/>
      <c r="P374" s="109"/>
      <c r="Q374" s="109"/>
      <c r="R374" s="109"/>
      <c r="S374" s="109"/>
      <c r="T374" s="109"/>
      <c r="U374" s="109"/>
      <c r="V374" s="109"/>
      <c r="W374" s="109"/>
      <c r="X374" s="109"/>
      <c r="Y374" s="109"/>
      <c r="Z374" s="109"/>
    </row>
    <row r="375" spans="1:26" ht="11.25" customHeight="1">
      <c r="A375" s="109"/>
      <c r="B375" s="109"/>
      <c r="C375" s="109"/>
      <c r="D375" s="109"/>
      <c r="E375" s="109"/>
      <c r="F375" s="109"/>
      <c r="G375" s="109"/>
      <c r="H375" s="109"/>
      <c r="I375" s="109"/>
      <c r="J375" s="109"/>
      <c r="K375" s="109"/>
      <c r="L375" s="109"/>
      <c r="M375" s="109"/>
      <c r="N375" s="109"/>
      <c r="O375" s="109"/>
      <c r="P375" s="109"/>
      <c r="Q375" s="109"/>
      <c r="R375" s="109"/>
      <c r="S375" s="109"/>
      <c r="T375" s="109"/>
      <c r="U375" s="109"/>
      <c r="V375" s="109"/>
      <c r="W375" s="109"/>
      <c r="X375" s="109"/>
      <c r="Y375" s="109"/>
      <c r="Z375" s="109"/>
    </row>
    <row r="376" spans="1:26" ht="11.25" customHeight="1">
      <c r="A376" s="109"/>
      <c r="B376" s="109"/>
      <c r="C376" s="109"/>
      <c r="D376" s="109"/>
      <c r="E376" s="109"/>
      <c r="F376" s="109"/>
      <c r="G376" s="109"/>
      <c r="H376" s="109"/>
      <c r="I376" s="109"/>
      <c r="J376" s="109"/>
      <c r="K376" s="109"/>
      <c r="L376" s="109"/>
      <c r="M376" s="109"/>
      <c r="N376" s="109"/>
      <c r="O376" s="109"/>
      <c r="P376" s="109"/>
      <c r="Q376" s="109"/>
      <c r="R376" s="109"/>
      <c r="S376" s="109"/>
      <c r="T376" s="109"/>
      <c r="U376" s="109"/>
      <c r="V376" s="109"/>
      <c r="W376" s="109"/>
      <c r="X376" s="109"/>
      <c r="Y376" s="109"/>
      <c r="Z376" s="109"/>
    </row>
    <row r="377" spans="1:26" ht="11.25" customHeight="1">
      <c r="A377" s="109"/>
      <c r="B377" s="109"/>
      <c r="C377" s="109"/>
      <c r="D377" s="109"/>
      <c r="E377" s="109"/>
      <c r="F377" s="109"/>
      <c r="G377" s="109"/>
      <c r="H377" s="109"/>
      <c r="I377" s="109"/>
      <c r="J377" s="109"/>
      <c r="K377" s="109"/>
      <c r="L377" s="109"/>
      <c r="M377" s="109"/>
      <c r="N377" s="109"/>
      <c r="O377" s="109"/>
      <c r="P377" s="109"/>
      <c r="Q377" s="109"/>
      <c r="R377" s="109"/>
      <c r="S377" s="109"/>
      <c r="T377" s="109"/>
      <c r="U377" s="109"/>
      <c r="V377" s="109"/>
      <c r="W377" s="109"/>
      <c r="X377" s="109"/>
      <c r="Y377" s="109"/>
      <c r="Z377" s="109"/>
    </row>
    <row r="378" spans="1:26" ht="11.25" customHeight="1">
      <c r="A378" s="109"/>
      <c r="B378" s="109"/>
      <c r="C378" s="109"/>
      <c r="D378" s="109"/>
      <c r="E378" s="109"/>
      <c r="F378" s="109"/>
      <c r="G378" s="109"/>
      <c r="H378" s="109"/>
      <c r="I378" s="109"/>
      <c r="J378" s="109"/>
      <c r="K378" s="109"/>
      <c r="L378" s="109"/>
      <c r="M378" s="109"/>
      <c r="N378" s="109"/>
      <c r="O378" s="109"/>
      <c r="P378" s="109"/>
      <c r="Q378" s="109"/>
      <c r="R378" s="109"/>
      <c r="S378" s="109"/>
      <c r="T378" s="109"/>
      <c r="U378" s="109"/>
      <c r="V378" s="109"/>
      <c r="W378" s="109"/>
      <c r="X378" s="109"/>
      <c r="Y378" s="109"/>
      <c r="Z378" s="109"/>
    </row>
    <row r="379" spans="1:26" ht="11.25" customHeight="1">
      <c r="A379" s="109"/>
      <c r="B379" s="109"/>
      <c r="C379" s="109"/>
      <c r="D379" s="109"/>
      <c r="E379" s="109"/>
      <c r="F379" s="109"/>
      <c r="G379" s="109"/>
      <c r="H379" s="109"/>
      <c r="I379" s="109"/>
      <c r="J379" s="109"/>
      <c r="K379" s="109"/>
      <c r="L379" s="109"/>
      <c r="M379" s="109"/>
      <c r="N379" s="109"/>
      <c r="O379" s="109"/>
      <c r="P379" s="109"/>
      <c r="Q379" s="109"/>
      <c r="R379" s="109"/>
      <c r="S379" s="109"/>
      <c r="T379" s="109"/>
      <c r="U379" s="109"/>
      <c r="V379" s="109"/>
      <c r="W379" s="109"/>
      <c r="X379" s="109"/>
      <c r="Y379" s="109"/>
      <c r="Z379" s="109"/>
    </row>
    <row r="380" spans="1:26" ht="11.25" customHeight="1">
      <c r="A380" s="109"/>
      <c r="B380" s="109"/>
      <c r="C380" s="109"/>
      <c r="D380" s="109"/>
      <c r="E380" s="109"/>
      <c r="F380" s="109"/>
      <c r="G380" s="109"/>
      <c r="H380" s="109"/>
      <c r="I380" s="109"/>
      <c r="J380" s="109"/>
      <c r="K380" s="109"/>
      <c r="L380" s="109"/>
      <c r="M380" s="109"/>
      <c r="N380" s="109"/>
      <c r="O380" s="109"/>
      <c r="P380" s="109"/>
      <c r="Q380" s="109"/>
      <c r="R380" s="109"/>
      <c r="S380" s="109"/>
      <c r="T380" s="109"/>
      <c r="U380" s="109"/>
      <c r="V380" s="109"/>
      <c r="W380" s="109"/>
      <c r="X380" s="109"/>
      <c r="Y380" s="109"/>
      <c r="Z380" s="109"/>
    </row>
    <row r="381" spans="1:26" ht="11.25" customHeight="1">
      <c r="A381" s="109"/>
      <c r="B381" s="109"/>
      <c r="C381" s="109"/>
      <c r="D381" s="109"/>
      <c r="E381" s="109"/>
      <c r="F381" s="109"/>
      <c r="G381" s="109"/>
      <c r="H381" s="109"/>
      <c r="I381" s="109"/>
      <c r="J381" s="109"/>
      <c r="K381" s="109"/>
      <c r="L381" s="109"/>
      <c r="M381" s="109"/>
      <c r="N381" s="109"/>
      <c r="O381" s="109"/>
      <c r="P381" s="109"/>
      <c r="Q381" s="109"/>
      <c r="R381" s="109"/>
      <c r="S381" s="109"/>
      <c r="T381" s="109"/>
      <c r="U381" s="109"/>
      <c r="V381" s="109"/>
      <c r="W381" s="109"/>
      <c r="X381" s="109"/>
      <c r="Y381" s="109"/>
      <c r="Z381" s="109"/>
    </row>
    <row r="382" spans="1:26" ht="11.25" customHeight="1">
      <c r="A382" s="109"/>
      <c r="B382" s="109"/>
      <c r="C382" s="109"/>
      <c r="D382" s="109"/>
      <c r="E382" s="109"/>
      <c r="F382" s="109"/>
      <c r="G382" s="109"/>
      <c r="H382" s="109"/>
      <c r="I382" s="109"/>
      <c r="J382" s="109"/>
      <c r="K382" s="109"/>
      <c r="L382" s="109"/>
      <c r="M382" s="109"/>
      <c r="N382" s="109"/>
      <c r="O382" s="109"/>
      <c r="P382" s="109"/>
      <c r="Q382" s="109"/>
      <c r="R382" s="109"/>
      <c r="S382" s="109"/>
      <c r="T382" s="109"/>
      <c r="U382" s="109"/>
      <c r="V382" s="109"/>
      <c r="W382" s="109"/>
      <c r="X382" s="109"/>
      <c r="Y382" s="109"/>
      <c r="Z382" s="109"/>
    </row>
    <row r="383" spans="1:26" ht="11.25" customHeight="1">
      <c r="A383" s="109"/>
      <c r="B383" s="109"/>
      <c r="C383" s="109"/>
      <c r="D383" s="109"/>
      <c r="E383" s="109"/>
      <c r="F383" s="109"/>
      <c r="G383" s="109"/>
      <c r="H383" s="109"/>
      <c r="I383" s="109"/>
      <c r="J383" s="109"/>
      <c r="K383" s="109"/>
      <c r="L383" s="109"/>
      <c r="M383" s="109"/>
      <c r="N383" s="109"/>
      <c r="O383" s="109"/>
      <c r="P383" s="109"/>
      <c r="Q383" s="109"/>
      <c r="R383" s="109"/>
      <c r="S383" s="109"/>
      <c r="T383" s="109"/>
      <c r="U383" s="109"/>
      <c r="V383" s="109"/>
      <c r="W383" s="109"/>
      <c r="X383" s="109"/>
      <c r="Y383" s="109"/>
      <c r="Z383" s="109"/>
    </row>
    <row r="384" spans="1:26" ht="11.25" customHeight="1">
      <c r="A384" s="109"/>
      <c r="B384" s="109"/>
      <c r="C384" s="109"/>
      <c r="D384" s="109"/>
      <c r="E384" s="109"/>
      <c r="F384" s="109"/>
      <c r="G384" s="109"/>
      <c r="H384" s="109"/>
      <c r="I384" s="109"/>
      <c r="J384" s="109"/>
      <c r="K384" s="109"/>
      <c r="L384" s="109"/>
      <c r="M384" s="109"/>
      <c r="N384" s="109"/>
      <c r="O384" s="109"/>
      <c r="P384" s="109"/>
      <c r="Q384" s="109"/>
      <c r="R384" s="109"/>
      <c r="S384" s="109"/>
      <c r="T384" s="109"/>
      <c r="U384" s="109"/>
      <c r="V384" s="109"/>
      <c r="W384" s="109"/>
      <c r="X384" s="109"/>
      <c r="Y384" s="109"/>
      <c r="Z384" s="109"/>
    </row>
    <row r="385" spans="1:26" ht="11.25" customHeight="1">
      <c r="A385" s="109"/>
      <c r="B385" s="109"/>
      <c r="C385" s="109"/>
      <c r="D385" s="109"/>
      <c r="E385" s="109"/>
      <c r="F385" s="109"/>
      <c r="G385" s="109"/>
      <c r="H385" s="109"/>
      <c r="I385" s="109"/>
      <c r="J385" s="109"/>
      <c r="K385" s="109"/>
      <c r="L385" s="109"/>
      <c r="M385" s="109"/>
      <c r="N385" s="109"/>
      <c r="O385" s="109"/>
      <c r="P385" s="109"/>
      <c r="Q385" s="109"/>
      <c r="R385" s="109"/>
      <c r="S385" s="109"/>
      <c r="T385" s="109"/>
      <c r="U385" s="109"/>
      <c r="V385" s="109"/>
      <c r="W385" s="109"/>
      <c r="X385" s="109"/>
      <c r="Y385" s="109"/>
      <c r="Z385" s="109"/>
    </row>
    <row r="386" spans="1:26" ht="11.25" customHeight="1">
      <c r="A386" s="109"/>
      <c r="B386" s="109"/>
      <c r="C386" s="109"/>
      <c r="D386" s="109"/>
      <c r="E386" s="109"/>
      <c r="F386" s="109"/>
      <c r="G386" s="109"/>
      <c r="H386" s="109"/>
      <c r="I386" s="109"/>
      <c r="J386" s="109"/>
      <c r="K386" s="109"/>
      <c r="L386" s="109"/>
      <c r="M386" s="109"/>
      <c r="N386" s="109"/>
      <c r="O386" s="109"/>
      <c r="P386" s="109"/>
      <c r="Q386" s="109"/>
      <c r="R386" s="109"/>
      <c r="S386" s="109"/>
      <c r="T386" s="109"/>
      <c r="U386" s="109"/>
      <c r="V386" s="109"/>
      <c r="W386" s="109"/>
      <c r="X386" s="109"/>
      <c r="Y386" s="109"/>
      <c r="Z386" s="109"/>
    </row>
    <row r="387" spans="1:26" ht="11.25" customHeight="1">
      <c r="A387" s="109"/>
      <c r="B387" s="109"/>
      <c r="C387" s="109"/>
      <c r="D387" s="109"/>
      <c r="E387" s="109"/>
      <c r="F387" s="109"/>
      <c r="G387" s="109"/>
      <c r="H387" s="109"/>
      <c r="I387" s="109"/>
      <c r="J387" s="109"/>
      <c r="K387" s="109"/>
      <c r="L387" s="109"/>
      <c r="M387" s="109"/>
      <c r="N387" s="109"/>
      <c r="O387" s="109"/>
      <c r="P387" s="109"/>
      <c r="Q387" s="109"/>
      <c r="R387" s="109"/>
      <c r="S387" s="109"/>
      <c r="T387" s="109"/>
      <c r="U387" s="109"/>
      <c r="V387" s="109"/>
      <c r="W387" s="109"/>
      <c r="X387" s="109"/>
      <c r="Y387" s="109"/>
      <c r="Z387" s="109"/>
    </row>
    <row r="388" spans="1:26" ht="11.25" customHeight="1">
      <c r="A388" s="109"/>
      <c r="B388" s="109"/>
      <c r="C388" s="109"/>
      <c r="D388" s="109"/>
      <c r="E388" s="109"/>
      <c r="F388" s="109"/>
      <c r="G388" s="109"/>
      <c r="H388" s="109"/>
      <c r="I388" s="109"/>
      <c r="J388" s="109"/>
      <c r="K388" s="109"/>
      <c r="L388" s="109"/>
      <c r="M388" s="109"/>
      <c r="N388" s="109"/>
      <c r="O388" s="109"/>
      <c r="P388" s="109"/>
      <c r="Q388" s="109"/>
      <c r="R388" s="109"/>
      <c r="S388" s="109"/>
      <c r="T388" s="109"/>
      <c r="U388" s="109"/>
      <c r="V388" s="109"/>
      <c r="W388" s="109"/>
      <c r="X388" s="109"/>
      <c r="Y388" s="109"/>
      <c r="Z388" s="109"/>
    </row>
    <row r="389" spans="1:26" ht="11.25" customHeight="1">
      <c r="A389" s="109"/>
      <c r="B389" s="109"/>
      <c r="C389" s="109"/>
      <c r="D389" s="109"/>
      <c r="E389" s="109"/>
      <c r="F389" s="109"/>
      <c r="G389" s="109"/>
      <c r="H389" s="109"/>
      <c r="I389" s="109"/>
      <c r="J389" s="109"/>
      <c r="K389" s="109"/>
      <c r="L389" s="109"/>
      <c r="M389" s="109"/>
      <c r="N389" s="109"/>
      <c r="O389" s="109"/>
      <c r="P389" s="109"/>
      <c r="Q389" s="109"/>
      <c r="R389" s="109"/>
      <c r="S389" s="109"/>
      <c r="T389" s="109"/>
      <c r="U389" s="109"/>
      <c r="V389" s="109"/>
      <c r="W389" s="109"/>
      <c r="X389" s="109"/>
      <c r="Y389" s="109"/>
      <c r="Z389" s="109"/>
    </row>
    <row r="390" spans="1:26" ht="11.25" customHeight="1">
      <c r="A390" s="109"/>
      <c r="B390" s="109"/>
      <c r="C390" s="109"/>
      <c r="D390" s="109"/>
      <c r="E390" s="109"/>
      <c r="F390" s="109"/>
      <c r="G390" s="109"/>
      <c r="H390" s="109"/>
      <c r="I390" s="109"/>
      <c r="J390" s="109"/>
      <c r="K390" s="109"/>
      <c r="L390" s="109"/>
      <c r="M390" s="109"/>
      <c r="N390" s="109"/>
      <c r="O390" s="109"/>
      <c r="P390" s="109"/>
      <c r="Q390" s="109"/>
      <c r="R390" s="109"/>
      <c r="S390" s="109"/>
      <c r="T390" s="109"/>
      <c r="U390" s="109"/>
      <c r="V390" s="109"/>
      <c r="W390" s="109"/>
      <c r="X390" s="109"/>
      <c r="Y390" s="109"/>
      <c r="Z390" s="109"/>
    </row>
    <row r="391" spans="1:26" ht="11.25" customHeight="1">
      <c r="A391" s="109"/>
      <c r="B391" s="109"/>
      <c r="C391" s="109"/>
      <c r="D391" s="109"/>
      <c r="E391" s="109"/>
      <c r="F391" s="109"/>
      <c r="G391" s="109"/>
      <c r="H391" s="109"/>
      <c r="I391" s="109"/>
      <c r="J391" s="109"/>
      <c r="K391" s="109"/>
      <c r="L391" s="109"/>
      <c r="M391" s="109"/>
      <c r="N391" s="109"/>
      <c r="O391" s="109"/>
      <c r="P391" s="109"/>
      <c r="Q391" s="109"/>
      <c r="R391" s="109"/>
      <c r="S391" s="109"/>
      <c r="T391" s="109"/>
      <c r="U391" s="109"/>
      <c r="V391" s="109"/>
      <c r="W391" s="109"/>
      <c r="X391" s="109"/>
      <c r="Y391" s="109"/>
      <c r="Z391" s="109"/>
    </row>
    <row r="392" spans="1:26" ht="11.25" customHeight="1">
      <c r="A392" s="109"/>
      <c r="B392" s="109"/>
      <c r="C392" s="109"/>
      <c r="D392" s="109"/>
      <c r="E392" s="109"/>
      <c r="F392" s="109"/>
      <c r="G392" s="109"/>
      <c r="H392" s="109"/>
      <c r="I392" s="109"/>
      <c r="J392" s="109"/>
      <c r="K392" s="109"/>
      <c r="L392" s="109"/>
      <c r="M392" s="109"/>
      <c r="N392" s="109"/>
      <c r="O392" s="109"/>
      <c r="P392" s="109"/>
      <c r="Q392" s="109"/>
      <c r="R392" s="109"/>
      <c r="S392" s="109"/>
      <c r="T392" s="109"/>
      <c r="U392" s="109"/>
      <c r="V392" s="109"/>
      <c r="W392" s="109"/>
      <c r="X392" s="109"/>
      <c r="Y392" s="109"/>
      <c r="Z392" s="109"/>
    </row>
    <row r="393" spans="1:26" ht="11.25" customHeight="1">
      <c r="A393" s="109"/>
      <c r="B393" s="109"/>
      <c r="C393" s="109"/>
      <c r="D393" s="109"/>
      <c r="E393" s="109"/>
      <c r="F393" s="109"/>
      <c r="G393" s="109"/>
      <c r="H393" s="109"/>
      <c r="I393" s="109"/>
      <c r="J393" s="109"/>
      <c r="K393" s="109"/>
      <c r="L393" s="109"/>
      <c r="M393" s="109"/>
      <c r="N393" s="109"/>
      <c r="O393" s="109"/>
      <c r="P393" s="109"/>
      <c r="Q393" s="109"/>
      <c r="R393" s="109"/>
      <c r="S393" s="109"/>
      <c r="T393" s="109"/>
      <c r="U393" s="109"/>
      <c r="V393" s="109"/>
      <c r="W393" s="109"/>
      <c r="X393" s="109"/>
      <c r="Y393" s="109"/>
      <c r="Z393" s="109"/>
    </row>
    <row r="394" spans="1:26" ht="11.25" customHeight="1">
      <c r="A394" s="109"/>
      <c r="B394" s="109"/>
      <c r="C394" s="109"/>
      <c r="D394" s="109"/>
      <c r="E394" s="109"/>
      <c r="F394" s="109"/>
      <c r="G394" s="109"/>
      <c r="H394" s="109"/>
      <c r="I394" s="109"/>
      <c r="J394" s="109"/>
      <c r="K394" s="109"/>
      <c r="L394" s="109"/>
      <c r="M394" s="109"/>
      <c r="N394" s="109"/>
      <c r="O394" s="109"/>
      <c r="P394" s="109"/>
      <c r="Q394" s="109"/>
      <c r="R394" s="109"/>
      <c r="S394" s="109"/>
      <c r="T394" s="109"/>
      <c r="U394" s="109"/>
      <c r="V394" s="109"/>
      <c r="W394" s="109"/>
      <c r="X394" s="109"/>
      <c r="Y394" s="109"/>
      <c r="Z394" s="109"/>
    </row>
    <row r="395" spans="1:26" ht="11.25" customHeight="1">
      <c r="A395" s="109"/>
      <c r="B395" s="109"/>
      <c r="C395" s="109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</row>
    <row r="396" spans="1:26" ht="11.25" customHeight="1">
      <c r="A396" s="109"/>
      <c r="B396" s="109"/>
      <c r="C396" s="109"/>
      <c r="D396" s="109"/>
      <c r="E396" s="109"/>
      <c r="F396" s="109"/>
      <c r="G396" s="109"/>
      <c r="H396" s="109"/>
      <c r="I396" s="109"/>
      <c r="J396" s="109"/>
      <c r="K396" s="109"/>
      <c r="L396" s="109"/>
      <c r="M396" s="109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  <c r="Y396" s="109"/>
      <c r="Z396" s="109"/>
    </row>
    <row r="397" spans="1:26" ht="11.25" customHeight="1">
      <c r="A397" s="109"/>
      <c r="B397" s="109"/>
      <c r="C397" s="109"/>
      <c r="D397" s="109"/>
      <c r="E397" s="109"/>
      <c r="F397" s="109"/>
      <c r="G397" s="109"/>
      <c r="H397" s="109"/>
      <c r="I397" s="109"/>
      <c r="J397" s="109"/>
      <c r="K397" s="109"/>
      <c r="L397" s="109"/>
      <c r="M397" s="109"/>
      <c r="N397" s="109"/>
      <c r="O397" s="109"/>
      <c r="P397" s="109"/>
      <c r="Q397" s="109"/>
      <c r="R397" s="109"/>
      <c r="S397" s="109"/>
      <c r="T397" s="109"/>
      <c r="U397" s="109"/>
      <c r="V397" s="109"/>
      <c r="W397" s="109"/>
      <c r="X397" s="109"/>
      <c r="Y397" s="109"/>
      <c r="Z397" s="109"/>
    </row>
    <row r="398" spans="1:26" ht="11.25" customHeight="1">
      <c r="A398" s="109"/>
      <c r="B398" s="109"/>
      <c r="C398" s="109"/>
      <c r="D398" s="109"/>
      <c r="E398" s="109"/>
      <c r="F398" s="109"/>
      <c r="G398" s="109"/>
      <c r="H398" s="109"/>
      <c r="I398" s="109"/>
      <c r="J398" s="109"/>
      <c r="K398" s="109"/>
      <c r="L398" s="109"/>
      <c r="M398" s="109"/>
      <c r="N398" s="109"/>
      <c r="O398" s="109"/>
      <c r="P398" s="109"/>
      <c r="Q398" s="109"/>
      <c r="R398" s="109"/>
      <c r="S398" s="109"/>
      <c r="T398" s="109"/>
      <c r="U398" s="109"/>
      <c r="V398" s="109"/>
      <c r="W398" s="109"/>
      <c r="X398" s="109"/>
      <c r="Y398" s="109"/>
      <c r="Z398" s="109"/>
    </row>
    <row r="399" spans="1:26" ht="11.25" customHeight="1">
      <c r="A399" s="109"/>
      <c r="B399" s="109"/>
      <c r="C399" s="109"/>
      <c r="D399" s="109"/>
      <c r="E399" s="109"/>
      <c r="F399" s="109"/>
      <c r="G399" s="109"/>
      <c r="H399" s="109"/>
      <c r="I399" s="109"/>
      <c r="J399" s="109"/>
      <c r="K399" s="109"/>
      <c r="L399" s="109"/>
      <c r="M399" s="109"/>
      <c r="N399" s="109"/>
      <c r="O399" s="109"/>
      <c r="P399" s="109"/>
      <c r="Q399" s="109"/>
      <c r="R399" s="109"/>
      <c r="S399" s="109"/>
      <c r="T399" s="109"/>
      <c r="U399" s="109"/>
      <c r="V399" s="109"/>
      <c r="W399" s="109"/>
      <c r="X399" s="109"/>
      <c r="Y399" s="109"/>
      <c r="Z399" s="109"/>
    </row>
    <row r="400" spans="1:26" ht="11.25" customHeight="1">
      <c r="A400" s="109"/>
      <c r="B400" s="109"/>
      <c r="C400" s="109"/>
      <c r="D400" s="109"/>
      <c r="E400" s="109"/>
      <c r="F400" s="109"/>
      <c r="G400" s="109"/>
      <c r="H400" s="109"/>
      <c r="I400" s="109"/>
      <c r="J400" s="109"/>
      <c r="K400" s="109"/>
      <c r="L400" s="109"/>
      <c r="M400" s="109"/>
      <c r="N400" s="109"/>
      <c r="O400" s="109"/>
      <c r="P400" s="109"/>
      <c r="Q400" s="109"/>
      <c r="R400" s="109"/>
      <c r="S400" s="109"/>
      <c r="T400" s="109"/>
      <c r="U400" s="109"/>
      <c r="V400" s="109"/>
      <c r="W400" s="109"/>
      <c r="X400" s="109"/>
      <c r="Y400" s="109"/>
      <c r="Z400" s="109"/>
    </row>
    <row r="401" spans="1:26" ht="11.25" customHeight="1">
      <c r="A401" s="109"/>
      <c r="B401" s="109"/>
      <c r="C401" s="109"/>
      <c r="D401" s="109"/>
      <c r="E401" s="109"/>
      <c r="F401" s="109"/>
      <c r="G401" s="109"/>
      <c r="H401" s="109"/>
      <c r="I401" s="109"/>
      <c r="J401" s="109"/>
      <c r="K401" s="109"/>
      <c r="L401" s="109"/>
      <c r="M401" s="109"/>
      <c r="N401" s="109"/>
      <c r="O401" s="109"/>
      <c r="P401" s="109"/>
      <c r="Q401" s="109"/>
      <c r="R401" s="109"/>
      <c r="S401" s="109"/>
      <c r="T401" s="109"/>
      <c r="U401" s="109"/>
      <c r="V401" s="109"/>
      <c r="W401" s="109"/>
      <c r="X401" s="109"/>
      <c r="Y401" s="109"/>
      <c r="Z401" s="109"/>
    </row>
    <row r="402" spans="1:26" ht="11.25" customHeight="1">
      <c r="A402" s="109"/>
      <c r="B402" s="109"/>
      <c r="C402" s="109"/>
      <c r="D402" s="109"/>
      <c r="E402" s="109"/>
      <c r="F402" s="109"/>
      <c r="G402" s="109"/>
      <c r="H402" s="109"/>
      <c r="I402" s="109"/>
      <c r="J402" s="109"/>
      <c r="K402" s="109"/>
      <c r="L402" s="109"/>
      <c r="M402" s="109"/>
      <c r="N402" s="109"/>
      <c r="O402" s="109"/>
      <c r="P402" s="109"/>
      <c r="Q402" s="109"/>
      <c r="R402" s="109"/>
      <c r="S402" s="109"/>
      <c r="T402" s="109"/>
      <c r="U402" s="109"/>
      <c r="V402" s="109"/>
      <c r="W402" s="109"/>
      <c r="X402" s="109"/>
      <c r="Y402" s="109"/>
      <c r="Z402" s="109"/>
    </row>
    <row r="403" spans="1:26" ht="11.25" customHeight="1">
      <c r="A403" s="109"/>
      <c r="B403" s="109"/>
      <c r="C403" s="109"/>
      <c r="D403" s="109"/>
      <c r="E403" s="109"/>
      <c r="F403" s="109"/>
      <c r="G403" s="109"/>
      <c r="H403" s="109"/>
      <c r="I403" s="109"/>
      <c r="J403" s="109"/>
      <c r="K403" s="109"/>
      <c r="L403" s="109"/>
      <c r="M403" s="109"/>
      <c r="N403" s="109"/>
      <c r="O403" s="109"/>
      <c r="P403" s="109"/>
      <c r="Q403" s="109"/>
      <c r="R403" s="109"/>
      <c r="S403" s="109"/>
      <c r="T403" s="109"/>
      <c r="U403" s="109"/>
      <c r="V403" s="109"/>
      <c r="W403" s="109"/>
      <c r="X403" s="109"/>
      <c r="Y403" s="109"/>
      <c r="Z403" s="109"/>
    </row>
    <row r="404" spans="1:26" ht="11.25" customHeight="1">
      <c r="A404" s="109"/>
      <c r="B404" s="109"/>
      <c r="C404" s="109"/>
      <c r="D404" s="109"/>
      <c r="E404" s="109"/>
      <c r="F404" s="109"/>
      <c r="G404" s="109"/>
      <c r="H404" s="109"/>
      <c r="I404" s="109"/>
      <c r="J404" s="109"/>
      <c r="K404" s="109"/>
      <c r="L404" s="109"/>
      <c r="M404" s="109"/>
      <c r="N404" s="109"/>
      <c r="O404" s="109"/>
      <c r="P404" s="109"/>
      <c r="Q404" s="109"/>
      <c r="R404" s="109"/>
      <c r="S404" s="109"/>
      <c r="T404" s="109"/>
      <c r="U404" s="109"/>
      <c r="V404" s="109"/>
      <c r="W404" s="109"/>
      <c r="X404" s="109"/>
      <c r="Y404" s="109"/>
      <c r="Z404" s="109"/>
    </row>
    <row r="405" spans="1:26" ht="11.25" customHeight="1">
      <c r="A405" s="109"/>
      <c r="B405" s="109"/>
      <c r="C405" s="109"/>
      <c r="D405" s="109"/>
      <c r="E405" s="109"/>
      <c r="F405" s="109"/>
      <c r="G405" s="109"/>
      <c r="H405" s="109"/>
      <c r="I405" s="109"/>
      <c r="J405" s="109"/>
      <c r="K405" s="109"/>
      <c r="L405" s="109"/>
      <c r="M405" s="109"/>
      <c r="N405" s="109"/>
      <c r="O405" s="109"/>
      <c r="P405" s="109"/>
      <c r="Q405" s="109"/>
      <c r="R405" s="109"/>
      <c r="S405" s="109"/>
      <c r="T405" s="109"/>
      <c r="U405" s="109"/>
      <c r="V405" s="109"/>
      <c r="W405" s="109"/>
      <c r="X405" s="109"/>
      <c r="Y405" s="109"/>
      <c r="Z405" s="109"/>
    </row>
    <row r="406" spans="1:26" ht="11.25" customHeight="1">
      <c r="A406" s="109"/>
      <c r="B406" s="109"/>
      <c r="C406" s="109"/>
      <c r="D406" s="109"/>
      <c r="E406" s="109"/>
      <c r="F406" s="109"/>
      <c r="G406" s="109"/>
      <c r="H406" s="109"/>
      <c r="I406" s="109"/>
      <c r="J406" s="109"/>
      <c r="K406" s="109"/>
      <c r="L406" s="109"/>
      <c r="M406" s="109"/>
      <c r="N406" s="109"/>
      <c r="O406" s="109"/>
      <c r="P406" s="109"/>
      <c r="Q406" s="109"/>
      <c r="R406" s="109"/>
      <c r="S406" s="109"/>
      <c r="T406" s="109"/>
      <c r="U406" s="109"/>
      <c r="V406" s="109"/>
      <c r="W406" s="109"/>
      <c r="X406" s="109"/>
      <c r="Y406" s="109"/>
      <c r="Z406" s="109"/>
    </row>
    <row r="407" spans="1:26" ht="11.25" customHeight="1">
      <c r="A407" s="109"/>
      <c r="B407" s="109"/>
      <c r="C407" s="109"/>
      <c r="D407" s="109"/>
      <c r="E407" s="109"/>
      <c r="F407" s="109"/>
      <c r="G407" s="109"/>
      <c r="H407" s="109"/>
      <c r="I407" s="109"/>
      <c r="J407" s="109"/>
      <c r="K407" s="109"/>
      <c r="L407" s="109"/>
      <c r="M407" s="109"/>
      <c r="N407" s="109"/>
      <c r="O407" s="109"/>
      <c r="P407" s="109"/>
      <c r="Q407" s="109"/>
      <c r="R407" s="109"/>
      <c r="S407" s="109"/>
      <c r="T407" s="109"/>
      <c r="U407" s="109"/>
      <c r="V407" s="109"/>
      <c r="W407" s="109"/>
      <c r="X407" s="109"/>
      <c r="Y407" s="109"/>
      <c r="Z407" s="109"/>
    </row>
    <row r="408" spans="1:26" ht="11.25" customHeight="1">
      <c r="A408" s="109"/>
      <c r="B408" s="109"/>
      <c r="C408" s="109"/>
      <c r="D408" s="109"/>
      <c r="E408" s="109"/>
      <c r="F408" s="109"/>
      <c r="G408" s="109"/>
      <c r="H408" s="109"/>
      <c r="I408" s="109"/>
      <c r="J408" s="109"/>
      <c r="K408" s="109"/>
      <c r="L408" s="109"/>
      <c r="M408" s="109"/>
      <c r="N408" s="109"/>
      <c r="O408" s="109"/>
      <c r="P408" s="109"/>
      <c r="Q408" s="109"/>
      <c r="R408" s="109"/>
      <c r="S408" s="109"/>
      <c r="T408" s="109"/>
      <c r="U408" s="109"/>
      <c r="V408" s="109"/>
      <c r="W408" s="109"/>
      <c r="X408" s="109"/>
      <c r="Y408" s="109"/>
      <c r="Z408" s="109"/>
    </row>
    <row r="409" spans="1:26" ht="11.25" customHeight="1">
      <c r="A409" s="109"/>
      <c r="B409" s="109"/>
      <c r="C409" s="109"/>
      <c r="D409" s="109"/>
      <c r="E409" s="109"/>
      <c r="F409" s="109"/>
      <c r="G409" s="109"/>
      <c r="H409" s="109"/>
      <c r="I409" s="109"/>
      <c r="J409" s="109"/>
      <c r="K409" s="109"/>
      <c r="L409" s="109"/>
      <c r="M409" s="109"/>
      <c r="N409" s="109"/>
      <c r="O409" s="109"/>
      <c r="P409" s="109"/>
      <c r="Q409" s="109"/>
      <c r="R409" s="109"/>
      <c r="S409" s="109"/>
      <c r="T409" s="109"/>
      <c r="U409" s="109"/>
      <c r="V409" s="109"/>
      <c r="W409" s="109"/>
      <c r="X409" s="109"/>
      <c r="Y409" s="109"/>
      <c r="Z409" s="109"/>
    </row>
    <row r="410" spans="1:26" ht="11.25" customHeight="1">
      <c r="A410" s="109"/>
      <c r="B410" s="109"/>
      <c r="C410" s="109"/>
      <c r="D410" s="109"/>
      <c r="E410" s="109"/>
      <c r="F410" s="109"/>
      <c r="G410" s="109"/>
      <c r="H410" s="109"/>
      <c r="I410" s="109"/>
      <c r="J410" s="109"/>
      <c r="K410" s="109"/>
      <c r="L410" s="109"/>
      <c r="M410" s="109"/>
      <c r="N410" s="109"/>
      <c r="O410" s="109"/>
      <c r="P410" s="109"/>
      <c r="Q410" s="109"/>
      <c r="R410" s="109"/>
      <c r="S410" s="109"/>
      <c r="T410" s="109"/>
      <c r="U410" s="109"/>
      <c r="V410" s="109"/>
      <c r="W410" s="109"/>
      <c r="X410" s="109"/>
      <c r="Y410" s="109"/>
      <c r="Z410" s="109"/>
    </row>
    <row r="411" spans="1:26" ht="11.25" customHeight="1">
      <c r="A411" s="109"/>
      <c r="B411" s="109"/>
      <c r="C411" s="109"/>
      <c r="D411" s="109"/>
      <c r="E411" s="109"/>
      <c r="F411" s="109"/>
      <c r="G411" s="109"/>
      <c r="H411" s="109"/>
      <c r="I411" s="109"/>
      <c r="J411" s="109"/>
      <c r="K411" s="109"/>
      <c r="L411" s="109"/>
      <c r="M411" s="109"/>
      <c r="N411" s="109"/>
      <c r="O411" s="109"/>
      <c r="P411" s="109"/>
      <c r="Q411" s="109"/>
      <c r="R411" s="109"/>
      <c r="S411" s="109"/>
      <c r="T411" s="109"/>
      <c r="U411" s="109"/>
      <c r="V411" s="109"/>
      <c r="W411" s="109"/>
      <c r="X411" s="109"/>
      <c r="Y411" s="109"/>
      <c r="Z411" s="109"/>
    </row>
    <row r="412" spans="1:26" ht="11.25" customHeight="1">
      <c r="A412" s="109"/>
      <c r="B412" s="109"/>
      <c r="C412" s="109"/>
      <c r="D412" s="109"/>
      <c r="E412" s="109"/>
      <c r="F412" s="109"/>
      <c r="G412" s="109"/>
      <c r="H412" s="109"/>
      <c r="I412" s="109"/>
      <c r="J412" s="109"/>
      <c r="K412" s="109"/>
      <c r="L412" s="109"/>
      <c r="M412" s="109"/>
      <c r="N412" s="109"/>
      <c r="O412" s="109"/>
      <c r="P412" s="109"/>
      <c r="Q412" s="109"/>
      <c r="R412" s="109"/>
      <c r="S412" s="109"/>
      <c r="T412" s="109"/>
      <c r="U412" s="109"/>
      <c r="V412" s="109"/>
      <c r="W412" s="109"/>
      <c r="X412" s="109"/>
      <c r="Y412" s="109"/>
      <c r="Z412" s="109"/>
    </row>
    <row r="413" spans="1:26" ht="11.25" customHeight="1">
      <c r="A413" s="109"/>
      <c r="B413" s="109"/>
      <c r="C413" s="109"/>
      <c r="D413" s="109"/>
      <c r="E413" s="109"/>
      <c r="F413" s="109"/>
      <c r="G413" s="109"/>
      <c r="H413" s="109"/>
      <c r="I413" s="109"/>
      <c r="J413" s="109"/>
      <c r="K413" s="109"/>
      <c r="L413" s="109"/>
      <c r="M413" s="109"/>
      <c r="N413" s="109"/>
      <c r="O413" s="109"/>
      <c r="P413" s="109"/>
      <c r="Q413" s="109"/>
      <c r="R413" s="109"/>
      <c r="S413" s="109"/>
      <c r="T413" s="109"/>
      <c r="U413" s="109"/>
      <c r="V413" s="109"/>
      <c r="W413" s="109"/>
      <c r="X413" s="109"/>
      <c r="Y413" s="109"/>
      <c r="Z413" s="109"/>
    </row>
    <row r="414" spans="1:26" ht="11.25" customHeight="1">
      <c r="A414" s="109"/>
      <c r="B414" s="109"/>
      <c r="C414" s="109"/>
      <c r="D414" s="109"/>
      <c r="E414" s="109"/>
      <c r="F414" s="109"/>
      <c r="G414" s="109"/>
      <c r="H414" s="109"/>
      <c r="I414" s="109"/>
      <c r="J414" s="109"/>
      <c r="K414" s="109"/>
      <c r="L414" s="109"/>
      <c r="M414" s="109"/>
      <c r="N414" s="109"/>
      <c r="O414" s="109"/>
      <c r="P414" s="109"/>
      <c r="Q414" s="109"/>
      <c r="R414" s="109"/>
      <c r="S414" s="109"/>
      <c r="T414" s="109"/>
      <c r="U414" s="109"/>
      <c r="V414" s="109"/>
      <c r="W414" s="109"/>
      <c r="X414" s="109"/>
      <c r="Y414" s="109"/>
      <c r="Z414" s="109"/>
    </row>
    <row r="415" spans="1:26" ht="11.25" customHeight="1">
      <c r="A415" s="109"/>
      <c r="B415" s="109"/>
      <c r="C415" s="109"/>
      <c r="D415" s="109"/>
      <c r="E415" s="109"/>
      <c r="F415" s="109"/>
      <c r="G415" s="109"/>
      <c r="H415" s="109"/>
      <c r="I415" s="109"/>
      <c r="J415" s="109"/>
      <c r="K415" s="109"/>
      <c r="L415" s="109"/>
      <c r="M415" s="109"/>
      <c r="N415" s="109"/>
      <c r="O415" s="109"/>
      <c r="P415" s="109"/>
      <c r="Q415" s="109"/>
      <c r="R415" s="109"/>
      <c r="S415" s="109"/>
      <c r="T415" s="109"/>
      <c r="U415" s="109"/>
      <c r="V415" s="109"/>
      <c r="W415" s="109"/>
      <c r="X415" s="109"/>
      <c r="Y415" s="109"/>
      <c r="Z415" s="109"/>
    </row>
    <row r="416" spans="1:26" ht="11.25" customHeight="1">
      <c r="A416" s="109"/>
      <c r="B416" s="109"/>
      <c r="C416" s="109"/>
      <c r="D416" s="109"/>
      <c r="E416" s="109"/>
      <c r="F416" s="109"/>
      <c r="G416" s="109"/>
      <c r="H416" s="109"/>
      <c r="I416" s="109"/>
      <c r="J416" s="109"/>
      <c r="K416" s="109"/>
      <c r="L416" s="109"/>
      <c r="M416" s="109"/>
      <c r="N416" s="109"/>
      <c r="O416" s="109"/>
      <c r="P416" s="109"/>
      <c r="Q416" s="109"/>
      <c r="R416" s="109"/>
      <c r="S416" s="109"/>
      <c r="T416" s="109"/>
      <c r="U416" s="109"/>
      <c r="V416" s="109"/>
      <c r="W416" s="109"/>
      <c r="X416" s="109"/>
      <c r="Y416" s="109"/>
      <c r="Z416" s="109"/>
    </row>
    <row r="417" spans="1:26" ht="11.25" customHeight="1">
      <c r="A417" s="109"/>
      <c r="B417" s="109"/>
      <c r="C417" s="109"/>
      <c r="D417" s="109"/>
      <c r="E417" s="109"/>
      <c r="F417" s="109"/>
      <c r="G417" s="109"/>
      <c r="H417" s="109"/>
      <c r="I417" s="109"/>
      <c r="J417" s="109"/>
      <c r="K417" s="109"/>
      <c r="L417" s="109"/>
      <c r="M417" s="109"/>
      <c r="N417" s="109"/>
      <c r="O417" s="109"/>
      <c r="P417" s="109"/>
      <c r="Q417" s="109"/>
      <c r="R417" s="109"/>
      <c r="S417" s="109"/>
      <c r="T417" s="109"/>
      <c r="U417" s="109"/>
      <c r="V417" s="109"/>
      <c r="W417" s="109"/>
      <c r="X417" s="109"/>
      <c r="Y417" s="109"/>
      <c r="Z417" s="109"/>
    </row>
    <row r="418" spans="1:26" ht="11.25" customHeight="1">
      <c r="A418" s="109"/>
      <c r="B418" s="109"/>
      <c r="C418" s="109"/>
      <c r="D418" s="109"/>
      <c r="E418" s="109"/>
      <c r="F418" s="109"/>
      <c r="G418" s="109"/>
      <c r="H418" s="109"/>
      <c r="I418" s="109"/>
      <c r="J418" s="109"/>
      <c r="K418" s="109"/>
      <c r="L418" s="109"/>
      <c r="M418" s="109"/>
      <c r="N418" s="109"/>
      <c r="O418" s="109"/>
      <c r="P418" s="109"/>
      <c r="Q418" s="109"/>
      <c r="R418" s="109"/>
      <c r="S418" s="109"/>
      <c r="T418" s="109"/>
      <c r="U418" s="109"/>
      <c r="V418" s="109"/>
      <c r="W418" s="109"/>
      <c r="X418" s="109"/>
      <c r="Y418" s="109"/>
      <c r="Z418" s="109"/>
    </row>
    <row r="419" spans="1:26" ht="11.25" customHeight="1">
      <c r="A419" s="109"/>
      <c r="B419" s="109"/>
      <c r="C419" s="109"/>
      <c r="D419" s="109"/>
      <c r="E419" s="109"/>
      <c r="F419" s="109"/>
      <c r="G419" s="109"/>
      <c r="H419" s="109"/>
      <c r="I419" s="109"/>
      <c r="J419" s="109"/>
      <c r="K419" s="109"/>
      <c r="L419" s="109"/>
      <c r="M419" s="109"/>
      <c r="N419" s="109"/>
      <c r="O419" s="109"/>
      <c r="P419" s="109"/>
      <c r="Q419" s="109"/>
      <c r="R419" s="109"/>
      <c r="S419" s="109"/>
      <c r="T419" s="109"/>
      <c r="U419" s="109"/>
      <c r="V419" s="109"/>
      <c r="W419" s="109"/>
      <c r="X419" s="109"/>
      <c r="Y419" s="109"/>
      <c r="Z419" s="109"/>
    </row>
    <row r="420" spans="1:26" ht="11.25" customHeight="1">
      <c r="A420" s="109"/>
      <c r="B420" s="109"/>
      <c r="C420" s="109"/>
      <c r="D420" s="109"/>
      <c r="E420" s="109"/>
      <c r="F420" s="109"/>
      <c r="G420" s="109"/>
      <c r="H420" s="109"/>
      <c r="I420" s="109"/>
      <c r="J420" s="109"/>
      <c r="K420" s="109"/>
      <c r="L420" s="109"/>
      <c r="M420" s="109"/>
      <c r="N420" s="109"/>
      <c r="O420" s="109"/>
      <c r="P420" s="109"/>
      <c r="Q420" s="109"/>
      <c r="R420" s="109"/>
      <c r="S420" s="109"/>
      <c r="T420" s="109"/>
      <c r="U420" s="109"/>
      <c r="V420" s="109"/>
      <c r="W420" s="109"/>
      <c r="X420" s="109"/>
      <c r="Y420" s="109"/>
      <c r="Z420" s="109"/>
    </row>
    <row r="421" spans="1:26" ht="11.25" customHeight="1">
      <c r="A421" s="109"/>
      <c r="B421" s="109"/>
      <c r="C421" s="109"/>
      <c r="D421" s="109"/>
      <c r="E421" s="109"/>
      <c r="F421" s="109"/>
      <c r="G421" s="109"/>
      <c r="H421" s="109"/>
      <c r="I421" s="109"/>
      <c r="J421" s="109"/>
      <c r="K421" s="109"/>
      <c r="L421" s="109"/>
      <c r="M421" s="109"/>
      <c r="N421" s="109"/>
      <c r="O421" s="109"/>
      <c r="P421" s="109"/>
      <c r="Q421" s="109"/>
      <c r="R421" s="109"/>
      <c r="S421" s="109"/>
      <c r="T421" s="109"/>
      <c r="U421" s="109"/>
      <c r="V421" s="109"/>
      <c r="W421" s="109"/>
      <c r="X421" s="109"/>
      <c r="Y421" s="109"/>
      <c r="Z421" s="109"/>
    </row>
    <row r="422" spans="1:26" ht="11.25" customHeight="1">
      <c r="A422" s="109"/>
      <c r="B422" s="109"/>
      <c r="C422" s="109"/>
      <c r="D422" s="109"/>
      <c r="E422" s="109"/>
      <c r="F422" s="109"/>
      <c r="G422" s="109"/>
      <c r="H422" s="109"/>
      <c r="I422" s="109"/>
      <c r="J422" s="109"/>
      <c r="K422" s="109"/>
      <c r="L422" s="109"/>
      <c r="M422" s="109"/>
      <c r="N422" s="109"/>
      <c r="O422" s="109"/>
      <c r="P422" s="109"/>
      <c r="Q422" s="109"/>
      <c r="R422" s="109"/>
      <c r="S422" s="109"/>
      <c r="T422" s="109"/>
      <c r="U422" s="109"/>
      <c r="V422" s="109"/>
      <c r="W422" s="109"/>
      <c r="X422" s="109"/>
      <c r="Y422" s="109"/>
      <c r="Z422" s="109"/>
    </row>
    <row r="423" spans="1:26" ht="11.25" customHeight="1">
      <c r="A423" s="109"/>
      <c r="B423" s="109"/>
      <c r="C423" s="109"/>
      <c r="D423" s="109"/>
      <c r="E423" s="109"/>
      <c r="F423" s="109"/>
      <c r="G423" s="109"/>
      <c r="H423" s="109"/>
      <c r="I423" s="109"/>
      <c r="J423" s="109"/>
      <c r="K423" s="109"/>
      <c r="L423" s="109"/>
      <c r="M423" s="109"/>
      <c r="N423" s="109"/>
      <c r="O423" s="109"/>
      <c r="P423" s="109"/>
      <c r="Q423" s="109"/>
      <c r="R423" s="109"/>
      <c r="S423" s="109"/>
      <c r="T423" s="109"/>
      <c r="U423" s="109"/>
      <c r="V423" s="109"/>
      <c r="W423" s="109"/>
      <c r="X423" s="109"/>
      <c r="Y423" s="109"/>
      <c r="Z423" s="109"/>
    </row>
    <row r="424" spans="1:26" ht="11.25" customHeight="1">
      <c r="A424" s="109"/>
      <c r="B424" s="109"/>
      <c r="C424" s="109"/>
      <c r="D424" s="109"/>
      <c r="E424" s="109"/>
      <c r="F424" s="109"/>
      <c r="G424" s="109"/>
      <c r="H424" s="109"/>
      <c r="I424" s="109"/>
      <c r="J424" s="109"/>
      <c r="K424" s="109"/>
      <c r="L424" s="109"/>
      <c r="M424" s="109"/>
      <c r="N424" s="109"/>
      <c r="O424" s="109"/>
      <c r="P424" s="109"/>
      <c r="Q424" s="109"/>
      <c r="R424" s="109"/>
      <c r="S424" s="109"/>
      <c r="T424" s="109"/>
      <c r="U424" s="109"/>
      <c r="V424" s="109"/>
      <c r="W424" s="109"/>
      <c r="X424" s="109"/>
      <c r="Y424" s="109"/>
      <c r="Z424" s="109"/>
    </row>
    <row r="425" spans="1:26" ht="11.25" customHeight="1">
      <c r="A425" s="109"/>
      <c r="B425" s="109"/>
      <c r="C425" s="109"/>
      <c r="D425" s="109"/>
      <c r="E425" s="109"/>
      <c r="F425" s="109"/>
      <c r="G425" s="109"/>
      <c r="H425" s="109"/>
      <c r="I425" s="109"/>
      <c r="J425" s="109"/>
      <c r="K425" s="109"/>
      <c r="L425" s="109"/>
      <c r="M425" s="109"/>
      <c r="N425" s="109"/>
      <c r="O425" s="109"/>
      <c r="P425" s="109"/>
      <c r="Q425" s="109"/>
      <c r="R425" s="109"/>
      <c r="S425" s="109"/>
      <c r="T425" s="109"/>
      <c r="U425" s="109"/>
      <c r="V425" s="109"/>
      <c r="W425" s="109"/>
      <c r="X425" s="109"/>
      <c r="Y425" s="109"/>
      <c r="Z425" s="109"/>
    </row>
    <row r="426" spans="1:26" ht="11.25" customHeight="1">
      <c r="A426" s="109"/>
      <c r="B426" s="109"/>
      <c r="C426" s="109"/>
      <c r="D426" s="109"/>
      <c r="E426" s="109"/>
      <c r="F426" s="109"/>
      <c r="G426" s="109"/>
      <c r="H426" s="109"/>
      <c r="I426" s="109"/>
      <c r="J426" s="109"/>
      <c r="K426" s="109"/>
      <c r="L426" s="109"/>
      <c r="M426" s="109"/>
      <c r="N426" s="109"/>
      <c r="O426" s="109"/>
      <c r="P426" s="109"/>
      <c r="Q426" s="109"/>
      <c r="R426" s="109"/>
      <c r="S426" s="109"/>
      <c r="T426" s="109"/>
      <c r="U426" s="109"/>
      <c r="V426" s="109"/>
      <c r="W426" s="109"/>
      <c r="X426" s="109"/>
      <c r="Y426" s="109"/>
      <c r="Z426" s="109"/>
    </row>
    <row r="427" spans="1:26" ht="11.25" customHeight="1">
      <c r="A427" s="109"/>
      <c r="B427" s="109"/>
      <c r="C427" s="109"/>
      <c r="D427" s="109"/>
      <c r="E427" s="109"/>
      <c r="F427" s="109"/>
      <c r="G427" s="109"/>
      <c r="H427" s="109"/>
      <c r="I427" s="109"/>
      <c r="J427" s="109"/>
      <c r="K427" s="109"/>
      <c r="L427" s="109"/>
      <c r="M427" s="109"/>
      <c r="N427" s="109"/>
      <c r="O427" s="109"/>
      <c r="P427" s="109"/>
      <c r="Q427" s="109"/>
      <c r="R427" s="109"/>
      <c r="S427" s="109"/>
      <c r="T427" s="109"/>
      <c r="U427" s="109"/>
      <c r="V427" s="109"/>
      <c r="W427" s="109"/>
      <c r="X427" s="109"/>
      <c r="Y427" s="109"/>
      <c r="Z427" s="109"/>
    </row>
    <row r="428" spans="1:26" ht="11.25" customHeight="1">
      <c r="A428" s="109"/>
      <c r="B428" s="109"/>
      <c r="C428" s="109"/>
      <c r="D428" s="109"/>
      <c r="E428" s="109"/>
      <c r="F428" s="109"/>
      <c r="G428" s="109"/>
      <c r="H428" s="109"/>
      <c r="I428" s="109"/>
      <c r="J428" s="109"/>
      <c r="K428" s="109"/>
      <c r="L428" s="109"/>
      <c r="M428" s="109"/>
      <c r="N428" s="109"/>
      <c r="O428" s="109"/>
      <c r="P428" s="109"/>
      <c r="Q428" s="109"/>
      <c r="R428" s="109"/>
      <c r="S428" s="109"/>
      <c r="T428" s="109"/>
      <c r="U428" s="109"/>
      <c r="V428" s="109"/>
      <c r="W428" s="109"/>
      <c r="X428" s="109"/>
      <c r="Y428" s="109"/>
      <c r="Z428" s="109"/>
    </row>
    <row r="429" spans="1:26" ht="11.25" customHeight="1">
      <c r="A429" s="109"/>
      <c r="B429" s="109"/>
      <c r="C429" s="109"/>
      <c r="D429" s="109"/>
      <c r="E429" s="109"/>
      <c r="F429" s="109"/>
      <c r="G429" s="109"/>
      <c r="H429" s="109"/>
      <c r="I429" s="109"/>
      <c r="J429" s="109"/>
      <c r="K429" s="109"/>
      <c r="L429" s="109"/>
      <c r="M429" s="109"/>
      <c r="N429" s="109"/>
      <c r="O429" s="109"/>
      <c r="P429" s="109"/>
      <c r="Q429" s="109"/>
      <c r="R429" s="109"/>
      <c r="S429" s="109"/>
      <c r="T429" s="109"/>
      <c r="U429" s="109"/>
      <c r="V429" s="109"/>
      <c r="W429" s="109"/>
      <c r="X429" s="109"/>
      <c r="Y429" s="109"/>
      <c r="Z429" s="109"/>
    </row>
    <row r="430" spans="1:26" ht="11.25" customHeight="1">
      <c r="A430" s="109"/>
      <c r="B430" s="109"/>
      <c r="C430" s="109"/>
      <c r="D430" s="109"/>
      <c r="E430" s="109"/>
      <c r="F430" s="109"/>
      <c r="G430" s="109"/>
      <c r="H430" s="109"/>
      <c r="I430" s="109"/>
      <c r="J430" s="109"/>
      <c r="K430" s="109"/>
      <c r="L430" s="109"/>
      <c r="M430" s="109"/>
      <c r="N430" s="109"/>
      <c r="O430" s="109"/>
      <c r="P430" s="109"/>
      <c r="Q430" s="109"/>
      <c r="R430" s="109"/>
      <c r="S430" s="109"/>
      <c r="T430" s="109"/>
      <c r="U430" s="109"/>
      <c r="V430" s="109"/>
      <c r="W430" s="109"/>
      <c r="X430" s="109"/>
      <c r="Y430" s="109"/>
      <c r="Z430" s="109"/>
    </row>
    <row r="431" spans="1:26" ht="11.25" customHeight="1">
      <c r="A431" s="109"/>
      <c r="B431" s="109"/>
      <c r="C431" s="109"/>
      <c r="D431" s="109"/>
      <c r="E431" s="109"/>
      <c r="F431" s="109"/>
      <c r="G431" s="109"/>
      <c r="H431" s="109"/>
      <c r="I431" s="109"/>
      <c r="J431" s="109"/>
      <c r="K431" s="109"/>
      <c r="L431" s="109"/>
      <c r="M431" s="109"/>
      <c r="N431" s="109"/>
      <c r="O431" s="109"/>
      <c r="P431" s="109"/>
      <c r="Q431" s="109"/>
      <c r="R431" s="109"/>
      <c r="S431" s="109"/>
      <c r="T431" s="109"/>
      <c r="U431" s="109"/>
      <c r="V431" s="109"/>
      <c r="W431" s="109"/>
      <c r="X431" s="109"/>
      <c r="Y431" s="109"/>
      <c r="Z431" s="109"/>
    </row>
    <row r="432" spans="1:26" ht="11.25" customHeight="1">
      <c r="A432" s="109"/>
      <c r="B432" s="109"/>
      <c r="C432" s="109"/>
      <c r="D432" s="109"/>
      <c r="E432" s="109"/>
      <c r="F432" s="109"/>
      <c r="G432" s="109"/>
      <c r="H432" s="109"/>
      <c r="I432" s="109"/>
      <c r="J432" s="109"/>
      <c r="K432" s="109"/>
      <c r="L432" s="109"/>
      <c r="M432" s="109"/>
      <c r="N432" s="109"/>
      <c r="O432" s="109"/>
      <c r="P432" s="109"/>
      <c r="Q432" s="109"/>
      <c r="R432" s="109"/>
      <c r="S432" s="109"/>
      <c r="T432" s="109"/>
      <c r="U432" s="109"/>
      <c r="V432" s="109"/>
      <c r="W432" s="109"/>
      <c r="X432" s="109"/>
      <c r="Y432" s="109"/>
      <c r="Z432" s="109"/>
    </row>
    <row r="433" spans="1:26" ht="11.25" customHeight="1">
      <c r="A433" s="109"/>
      <c r="B433" s="109"/>
      <c r="C433" s="109"/>
      <c r="D433" s="109"/>
      <c r="E433" s="109"/>
      <c r="F433" s="109"/>
      <c r="G433" s="109"/>
      <c r="H433" s="109"/>
      <c r="I433" s="109"/>
      <c r="J433" s="109"/>
      <c r="K433" s="109"/>
      <c r="L433" s="109"/>
      <c r="M433" s="109"/>
      <c r="N433" s="109"/>
      <c r="O433" s="109"/>
      <c r="P433" s="109"/>
      <c r="Q433" s="109"/>
      <c r="R433" s="109"/>
      <c r="S433" s="109"/>
      <c r="T433" s="109"/>
      <c r="U433" s="109"/>
      <c r="V433" s="109"/>
      <c r="W433" s="109"/>
      <c r="X433" s="109"/>
      <c r="Y433" s="109"/>
      <c r="Z433" s="109"/>
    </row>
    <row r="434" spans="1:26" ht="11.25" customHeight="1">
      <c r="A434" s="109"/>
      <c r="B434" s="109"/>
      <c r="C434" s="109"/>
      <c r="D434" s="109"/>
      <c r="E434" s="109"/>
      <c r="F434" s="109"/>
      <c r="G434" s="109"/>
      <c r="H434" s="109"/>
      <c r="I434" s="109"/>
      <c r="J434" s="109"/>
      <c r="K434" s="109"/>
      <c r="L434" s="109"/>
      <c r="M434" s="109"/>
      <c r="N434" s="109"/>
      <c r="O434" s="109"/>
      <c r="P434" s="109"/>
      <c r="Q434" s="109"/>
      <c r="R434" s="109"/>
      <c r="S434" s="109"/>
      <c r="T434" s="109"/>
      <c r="U434" s="109"/>
      <c r="V434" s="109"/>
      <c r="W434" s="109"/>
      <c r="X434" s="109"/>
      <c r="Y434" s="109"/>
      <c r="Z434" s="109"/>
    </row>
    <row r="435" spans="1:26" ht="11.25" customHeight="1">
      <c r="A435" s="109"/>
      <c r="B435" s="109"/>
      <c r="C435" s="109"/>
      <c r="D435" s="109"/>
      <c r="E435" s="109"/>
      <c r="F435" s="109"/>
      <c r="G435" s="109"/>
      <c r="H435" s="109"/>
      <c r="I435" s="109"/>
      <c r="J435" s="109"/>
      <c r="K435" s="109"/>
      <c r="L435" s="109"/>
      <c r="M435" s="109"/>
      <c r="N435" s="109"/>
      <c r="O435" s="109"/>
      <c r="P435" s="109"/>
      <c r="Q435" s="109"/>
      <c r="R435" s="109"/>
      <c r="S435" s="109"/>
      <c r="T435" s="109"/>
      <c r="U435" s="109"/>
      <c r="V435" s="109"/>
      <c r="W435" s="109"/>
      <c r="X435" s="109"/>
      <c r="Y435" s="109"/>
      <c r="Z435" s="109"/>
    </row>
    <row r="436" spans="1:26" ht="11.25" customHeight="1">
      <c r="A436" s="109"/>
      <c r="B436" s="109"/>
      <c r="C436" s="109"/>
      <c r="D436" s="109"/>
      <c r="E436" s="109"/>
      <c r="F436" s="109"/>
      <c r="G436" s="109"/>
      <c r="H436" s="109"/>
      <c r="I436" s="109"/>
      <c r="J436" s="109"/>
      <c r="K436" s="109"/>
      <c r="L436" s="109"/>
      <c r="M436" s="109"/>
      <c r="N436" s="109"/>
      <c r="O436" s="109"/>
      <c r="P436" s="109"/>
      <c r="Q436" s="109"/>
      <c r="R436" s="109"/>
      <c r="S436" s="109"/>
      <c r="T436" s="109"/>
      <c r="U436" s="109"/>
      <c r="V436" s="109"/>
      <c r="W436" s="109"/>
      <c r="X436" s="109"/>
      <c r="Y436" s="109"/>
      <c r="Z436" s="109"/>
    </row>
    <row r="437" spans="1:26" ht="11.25" customHeight="1">
      <c r="A437" s="109"/>
      <c r="B437" s="109"/>
      <c r="C437" s="109"/>
      <c r="D437" s="109"/>
      <c r="E437" s="109"/>
      <c r="F437" s="109"/>
      <c r="G437" s="109"/>
      <c r="H437" s="109"/>
      <c r="I437" s="109"/>
      <c r="J437" s="109"/>
      <c r="K437" s="109"/>
      <c r="L437" s="109"/>
      <c r="M437" s="109"/>
      <c r="N437" s="109"/>
      <c r="O437" s="109"/>
      <c r="P437" s="109"/>
      <c r="Q437" s="109"/>
      <c r="R437" s="109"/>
      <c r="S437" s="109"/>
      <c r="T437" s="109"/>
      <c r="U437" s="109"/>
      <c r="V437" s="109"/>
      <c r="W437" s="109"/>
      <c r="X437" s="109"/>
      <c r="Y437" s="109"/>
      <c r="Z437" s="109"/>
    </row>
    <row r="438" spans="1:26" ht="11.25" customHeight="1">
      <c r="A438" s="109"/>
      <c r="B438" s="109"/>
      <c r="C438" s="109"/>
      <c r="D438" s="109"/>
      <c r="E438" s="109"/>
      <c r="F438" s="109"/>
      <c r="G438" s="109"/>
      <c r="H438" s="109"/>
      <c r="I438" s="109"/>
      <c r="J438" s="109"/>
      <c r="K438" s="109"/>
      <c r="L438" s="109"/>
      <c r="M438" s="109"/>
      <c r="N438" s="109"/>
      <c r="O438" s="109"/>
      <c r="P438" s="109"/>
      <c r="Q438" s="109"/>
      <c r="R438" s="109"/>
      <c r="S438" s="109"/>
      <c r="T438" s="109"/>
      <c r="U438" s="109"/>
      <c r="V438" s="109"/>
      <c r="W438" s="109"/>
      <c r="X438" s="109"/>
      <c r="Y438" s="109"/>
      <c r="Z438" s="109"/>
    </row>
    <row r="439" spans="1:26" ht="11.25" customHeight="1">
      <c r="A439" s="109"/>
      <c r="B439" s="109"/>
      <c r="C439" s="109"/>
      <c r="D439" s="109"/>
      <c r="E439" s="109"/>
      <c r="F439" s="109"/>
      <c r="G439" s="109"/>
      <c r="H439" s="109"/>
      <c r="I439" s="109"/>
      <c r="J439" s="109"/>
      <c r="K439" s="109"/>
      <c r="L439" s="109"/>
      <c r="M439" s="109"/>
      <c r="N439" s="109"/>
      <c r="O439" s="109"/>
      <c r="P439" s="109"/>
      <c r="Q439" s="109"/>
      <c r="R439" s="109"/>
      <c r="S439" s="109"/>
      <c r="T439" s="109"/>
      <c r="U439" s="109"/>
      <c r="V439" s="109"/>
      <c r="W439" s="109"/>
      <c r="X439" s="109"/>
      <c r="Y439" s="109"/>
      <c r="Z439" s="109"/>
    </row>
    <row r="440" spans="1:26" ht="11.25" customHeight="1">
      <c r="A440" s="109"/>
      <c r="B440" s="109"/>
      <c r="C440" s="109"/>
      <c r="D440" s="109"/>
      <c r="E440" s="109"/>
      <c r="F440" s="109"/>
      <c r="G440" s="109"/>
      <c r="H440" s="109"/>
      <c r="I440" s="109"/>
      <c r="J440" s="109"/>
      <c r="K440" s="109"/>
      <c r="L440" s="109"/>
      <c r="M440" s="109"/>
      <c r="N440" s="109"/>
      <c r="O440" s="109"/>
      <c r="P440" s="109"/>
      <c r="Q440" s="109"/>
      <c r="R440" s="109"/>
      <c r="S440" s="109"/>
      <c r="T440" s="109"/>
      <c r="U440" s="109"/>
      <c r="V440" s="109"/>
      <c r="W440" s="109"/>
      <c r="X440" s="109"/>
      <c r="Y440" s="109"/>
      <c r="Z440" s="109"/>
    </row>
    <row r="441" spans="1:26" ht="11.25" customHeight="1">
      <c r="A441" s="109"/>
      <c r="B441" s="109"/>
      <c r="C441" s="109"/>
      <c r="D441" s="109"/>
      <c r="E441" s="109"/>
      <c r="F441" s="109"/>
      <c r="G441" s="109"/>
      <c r="H441" s="109"/>
      <c r="I441" s="109"/>
      <c r="J441" s="109"/>
      <c r="K441" s="109"/>
      <c r="L441" s="109"/>
      <c r="M441" s="109"/>
      <c r="N441" s="109"/>
      <c r="O441" s="109"/>
      <c r="P441" s="109"/>
      <c r="Q441" s="109"/>
      <c r="R441" s="109"/>
      <c r="S441" s="109"/>
      <c r="T441" s="109"/>
      <c r="U441" s="109"/>
      <c r="V441" s="109"/>
      <c r="W441" s="109"/>
      <c r="X441" s="109"/>
      <c r="Y441" s="109"/>
      <c r="Z441" s="109"/>
    </row>
    <row r="442" spans="1:26" ht="11.25" customHeight="1">
      <c r="A442" s="109"/>
      <c r="B442" s="109"/>
      <c r="C442" s="109"/>
      <c r="D442" s="109"/>
      <c r="E442" s="109"/>
      <c r="F442" s="109"/>
      <c r="G442" s="109"/>
      <c r="H442" s="109"/>
      <c r="I442" s="109"/>
      <c r="J442" s="109"/>
      <c r="K442" s="109"/>
      <c r="L442" s="109"/>
      <c r="M442" s="109"/>
      <c r="N442" s="109"/>
      <c r="O442" s="109"/>
      <c r="P442" s="109"/>
      <c r="Q442" s="109"/>
      <c r="R442" s="109"/>
      <c r="S442" s="109"/>
      <c r="T442" s="109"/>
      <c r="U442" s="109"/>
      <c r="V442" s="109"/>
      <c r="W442" s="109"/>
      <c r="X442" s="109"/>
      <c r="Y442" s="109"/>
      <c r="Z442" s="109"/>
    </row>
    <row r="443" spans="1:26" ht="11.25" customHeight="1">
      <c r="A443" s="109"/>
      <c r="B443" s="109"/>
      <c r="C443" s="109"/>
      <c r="D443" s="109"/>
      <c r="E443" s="109"/>
      <c r="F443" s="109"/>
      <c r="G443" s="109"/>
      <c r="H443" s="109"/>
      <c r="I443" s="109"/>
      <c r="J443" s="109"/>
      <c r="K443" s="109"/>
      <c r="L443" s="109"/>
      <c r="M443" s="109"/>
      <c r="N443" s="109"/>
      <c r="O443" s="109"/>
      <c r="P443" s="109"/>
      <c r="Q443" s="109"/>
      <c r="R443" s="109"/>
      <c r="S443" s="109"/>
      <c r="T443" s="109"/>
      <c r="U443" s="109"/>
      <c r="V443" s="109"/>
      <c r="W443" s="109"/>
      <c r="X443" s="109"/>
      <c r="Y443" s="109"/>
      <c r="Z443" s="109"/>
    </row>
    <row r="444" spans="1:26" ht="11.25" customHeight="1">
      <c r="A444" s="109"/>
      <c r="B444" s="109"/>
      <c r="C444" s="109"/>
      <c r="D444" s="109"/>
      <c r="E444" s="109"/>
      <c r="F444" s="109"/>
      <c r="G444" s="109"/>
      <c r="H444" s="109"/>
      <c r="I444" s="109"/>
      <c r="J444" s="109"/>
      <c r="K444" s="109"/>
      <c r="L444" s="109"/>
      <c r="M444" s="109"/>
      <c r="N444" s="109"/>
      <c r="O444" s="109"/>
      <c r="P444" s="109"/>
      <c r="Q444" s="109"/>
      <c r="R444" s="109"/>
      <c r="S444" s="109"/>
      <c r="T444" s="109"/>
      <c r="U444" s="109"/>
      <c r="V444" s="109"/>
      <c r="W444" s="109"/>
      <c r="X444" s="109"/>
      <c r="Y444" s="109"/>
      <c r="Z444" s="109"/>
    </row>
    <row r="445" spans="1:26" ht="11.25" customHeight="1">
      <c r="A445" s="109"/>
      <c r="B445" s="109"/>
      <c r="C445" s="109"/>
      <c r="D445" s="109"/>
      <c r="E445" s="109"/>
      <c r="F445" s="109"/>
      <c r="G445" s="109"/>
      <c r="H445" s="109"/>
      <c r="I445" s="109"/>
      <c r="J445" s="109"/>
      <c r="K445" s="109"/>
      <c r="L445" s="109"/>
      <c r="M445" s="109"/>
      <c r="N445" s="109"/>
      <c r="O445" s="109"/>
      <c r="P445" s="109"/>
      <c r="Q445" s="109"/>
      <c r="R445" s="109"/>
      <c r="S445" s="109"/>
      <c r="T445" s="109"/>
      <c r="U445" s="109"/>
      <c r="V445" s="109"/>
      <c r="W445" s="109"/>
      <c r="X445" s="109"/>
      <c r="Y445" s="109"/>
      <c r="Z445" s="109"/>
    </row>
    <row r="446" spans="1:26" ht="11.25" customHeight="1">
      <c r="A446" s="109"/>
      <c r="B446" s="109"/>
      <c r="C446" s="109"/>
      <c r="D446" s="109"/>
      <c r="E446" s="109"/>
      <c r="F446" s="109"/>
      <c r="G446" s="109"/>
      <c r="H446" s="109"/>
      <c r="I446" s="109"/>
      <c r="J446" s="109"/>
      <c r="K446" s="109"/>
      <c r="L446" s="109"/>
      <c r="M446" s="109"/>
      <c r="N446" s="109"/>
      <c r="O446" s="109"/>
      <c r="P446" s="109"/>
      <c r="Q446" s="109"/>
      <c r="R446" s="109"/>
      <c r="S446" s="109"/>
      <c r="T446" s="109"/>
      <c r="U446" s="109"/>
      <c r="V446" s="109"/>
      <c r="W446" s="109"/>
      <c r="X446" s="109"/>
      <c r="Y446" s="109"/>
      <c r="Z446" s="109"/>
    </row>
    <row r="447" spans="1:26" ht="11.25" customHeight="1">
      <c r="A447" s="109"/>
      <c r="B447" s="109"/>
      <c r="C447" s="109"/>
      <c r="D447" s="109"/>
      <c r="E447" s="109"/>
      <c r="F447" s="109"/>
      <c r="G447" s="109"/>
      <c r="H447" s="109"/>
      <c r="I447" s="109"/>
      <c r="J447" s="109"/>
      <c r="K447" s="109"/>
      <c r="L447" s="109"/>
      <c r="M447" s="109"/>
      <c r="N447" s="109"/>
      <c r="O447" s="109"/>
      <c r="P447" s="109"/>
      <c r="Q447" s="109"/>
      <c r="R447" s="109"/>
      <c r="S447" s="109"/>
      <c r="T447" s="109"/>
      <c r="U447" s="109"/>
      <c r="V447" s="109"/>
      <c r="W447" s="109"/>
      <c r="X447" s="109"/>
      <c r="Y447" s="109"/>
      <c r="Z447" s="109"/>
    </row>
    <row r="448" spans="1:26" ht="11.25" customHeight="1">
      <c r="A448" s="109"/>
      <c r="B448" s="109"/>
      <c r="C448" s="109"/>
      <c r="D448" s="109"/>
      <c r="E448" s="109"/>
      <c r="F448" s="109"/>
      <c r="G448" s="109"/>
      <c r="H448" s="109"/>
      <c r="I448" s="109"/>
      <c r="J448" s="109"/>
      <c r="K448" s="109"/>
      <c r="L448" s="109"/>
      <c r="M448" s="109"/>
      <c r="N448" s="109"/>
      <c r="O448" s="109"/>
      <c r="P448" s="109"/>
      <c r="Q448" s="109"/>
      <c r="R448" s="109"/>
      <c r="S448" s="109"/>
      <c r="T448" s="109"/>
      <c r="U448" s="109"/>
      <c r="V448" s="109"/>
      <c r="W448" s="109"/>
      <c r="X448" s="109"/>
      <c r="Y448" s="109"/>
      <c r="Z448" s="109"/>
    </row>
    <row r="449" spans="1:26" ht="11.25" customHeight="1">
      <c r="A449" s="109"/>
      <c r="B449" s="109"/>
      <c r="C449" s="109"/>
      <c r="D449" s="109"/>
      <c r="E449" s="109"/>
      <c r="F449" s="109"/>
      <c r="G449" s="109"/>
      <c r="H449" s="109"/>
      <c r="I449" s="109"/>
      <c r="J449" s="109"/>
      <c r="K449" s="109"/>
      <c r="L449" s="109"/>
      <c r="M449" s="109"/>
      <c r="N449" s="109"/>
      <c r="O449" s="109"/>
      <c r="P449" s="109"/>
      <c r="Q449" s="109"/>
      <c r="R449" s="109"/>
      <c r="S449" s="109"/>
      <c r="T449" s="109"/>
      <c r="U449" s="109"/>
      <c r="V449" s="109"/>
      <c r="W449" s="109"/>
      <c r="X449" s="109"/>
      <c r="Y449" s="109"/>
      <c r="Z449" s="109"/>
    </row>
    <row r="450" spans="1:26" ht="11.25" customHeight="1">
      <c r="A450" s="109"/>
      <c r="B450" s="109"/>
      <c r="C450" s="109"/>
      <c r="D450" s="109"/>
      <c r="E450" s="109"/>
      <c r="F450" s="109"/>
      <c r="G450" s="109"/>
      <c r="H450" s="109"/>
      <c r="I450" s="109"/>
      <c r="J450" s="109"/>
      <c r="K450" s="109"/>
      <c r="L450" s="109"/>
      <c r="M450" s="109"/>
      <c r="N450" s="109"/>
      <c r="O450" s="109"/>
      <c r="P450" s="109"/>
      <c r="Q450" s="109"/>
      <c r="R450" s="109"/>
      <c r="S450" s="109"/>
      <c r="T450" s="109"/>
      <c r="U450" s="109"/>
      <c r="V450" s="109"/>
      <c r="W450" s="109"/>
      <c r="X450" s="109"/>
      <c r="Y450" s="109"/>
      <c r="Z450" s="109"/>
    </row>
    <row r="451" spans="1:26" ht="11.25" customHeight="1">
      <c r="A451" s="109"/>
      <c r="B451" s="109"/>
      <c r="C451" s="109"/>
      <c r="D451" s="109"/>
      <c r="E451" s="109"/>
      <c r="F451" s="109"/>
      <c r="G451" s="109"/>
      <c r="H451" s="109"/>
      <c r="I451" s="109"/>
      <c r="J451" s="109"/>
      <c r="K451" s="109"/>
      <c r="L451" s="109"/>
      <c r="M451" s="109"/>
      <c r="N451" s="109"/>
      <c r="O451" s="109"/>
      <c r="P451" s="109"/>
      <c r="Q451" s="109"/>
      <c r="R451" s="109"/>
      <c r="S451" s="109"/>
      <c r="T451" s="109"/>
      <c r="U451" s="109"/>
      <c r="V451" s="109"/>
      <c r="W451" s="109"/>
      <c r="X451" s="109"/>
      <c r="Y451" s="109"/>
      <c r="Z451" s="109"/>
    </row>
    <row r="452" spans="1:26" ht="11.25" customHeight="1">
      <c r="A452" s="109"/>
      <c r="B452" s="109"/>
      <c r="C452" s="109"/>
      <c r="D452" s="109"/>
      <c r="E452" s="109"/>
      <c r="F452" s="109"/>
      <c r="G452" s="109"/>
      <c r="H452" s="109"/>
      <c r="I452" s="109"/>
      <c r="J452" s="109"/>
      <c r="K452" s="109"/>
      <c r="L452" s="109"/>
      <c r="M452" s="109"/>
      <c r="N452" s="109"/>
      <c r="O452" s="109"/>
      <c r="P452" s="109"/>
      <c r="Q452" s="109"/>
      <c r="R452" s="109"/>
      <c r="S452" s="109"/>
      <c r="T452" s="109"/>
      <c r="U452" s="109"/>
      <c r="V452" s="109"/>
      <c r="W452" s="109"/>
      <c r="X452" s="109"/>
      <c r="Y452" s="109"/>
      <c r="Z452" s="109"/>
    </row>
    <row r="453" spans="1:26" ht="11.25" customHeight="1">
      <c r="A453" s="109"/>
      <c r="B453" s="109"/>
      <c r="C453" s="109"/>
      <c r="D453" s="109"/>
      <c r="E453" s="109"/>
      <c r="F453" s="109"/>
      <c r="G453" s="109"/>
      <c r="H453" s="109"/>
      <c r="I453" s="109"/>
      <c r="J453" s="109"/>
      <c r="K453" s="109"/>
      <c r="L453" s="109"/>
      <c r="M453" s="109"/>
      <c r="N453" s="109"/>
      <c r="O453" s="109"/>
      <c r="P453" s="109"/>
      <c r="Q453" s="109"/>
      <c r="R453" s="109"/>
      <c r="S453" s="109"/>
      <c r="T453" s="109"/>
      <c r="U453" s="109"/>
      <c r="V453" s="109"/>
      <c r="W453" s="109"/>
      <c r="X453" s="109"/>
      <c r="Y453" s="109"/>
      <c r="Z453" s="109"/>
    </row>
    <row r="454" spans="1:26" ht="11.25" customHeight="1">
      <c r="A454" s="109"/>
      <c r="B454" s="109"/>
      <c r="C454" s="109"/>
      <c r="D454" s="109"/>
      <c r="E454" s="109"/>
      <c r="F454" s="109"/>
      <c r="G454" s="109"/>
      <c r="H454" s="109"/>
      <c r="I454" s="109"/>
      <c r="J454" s="109"/>
      <c r="K454" s="109"/>
      <c r="L454" s="109"/>
      <c r="M454" s="109"/>
      <c r="N454" s="109"/>
      <c r="O454" s="109"/>
      <c r="P454" s="109"/>
      <c r="Q454" s="109"/>
      <c r="R454" s="109"/>
      <c r="S454" s="109"/>
      <c r="T454" s="109"/>
      <c r="U454" s="109"/>
      <c r="V454" s="109"/>
      <c r="W454" s="109"/>
      <c r="X454" s="109"/>
      <c r="Y454" s="109"/>
      <c r="Z454" s="109"/>
    </row>
    <row r="455" spans="1:26" ht="11.25" customHeight="1">
      <c r="A455" s="109"/>
      <c r="B455" s="109"/>
      <c r="C455" s="109"/>
      <c r="D455" s="109"/>
      <c r="E455" s="109"/>
      <c r="F455" s="109"/>
      <c r="G455" s="109"/>
      <c r="H455" s="109"/>
      <c r="I455" s="109"/>
      <c r="J455" s="109"/>
      <c r="K455" s="109"/>
      <c r="L455" s="109"/>
      <c r="M455" s="109"/>
      <c r="N455" s="109"/>
      <c r="O455" s="109"/>
      <c r="P455" s="109"/>
      <c r="Q455" s="109"/>
      <c r="R455" s="109"/>
      <c r="S455" s="109"/>
      <c r="T455" s="109"/>
      <c r="U455" s="109"/>
      <c r="V455" s="109"/>
      <c r="W455" s="109"/>
      <c r="X455" s="109"/>
      <c r="Y455" s="109"/>
      <c r="Z455" s="109"/>
    </row>
    <row r="456" spans="1:26" ht="11.25" customHeight="1">
      <c r="A456" s="109"/>
      <c r="B456" s="109"/>
      <c r="C456" s="109"/>
      <c r="D456" s="109"/>
      <c r="E456" s="109"/>
      <c r="F456" s="109"/>
      <c r="G456" s="109"/>
      <c r="H456" s="109"/>
      <c r="I456" s="109"/>
      <c r="J456" s="109"/>
      <c r="K456" s="109"/>
      <c r="L456" s="109"/>
      <c r="M456" s="109"/>
      <c r="N456" s="109"/>
      <c r="O456" s="109"/>
      <c r="P456" s="109"/>
      <c r="Q456" s="109"/>
      <c r="R456" s="109"/>
      <c r="S456" s="109"/>
      <c r="T456" s="109"/>
      <c r="U456" s="109"/>
      <c r="V456" s="109"/>
      <c r="W456" s="109"/>
      <c r="X456" s="109"/>
      <c r="Y456" s="109"/>
      <c r="Z456" s="109"/>
    </row>
    <row r="457" spans="1:26" ht="11.25" customHeight="1">
      <c r="A457" s="109"/>
      <c r="B457" s="109"/>
      <c r="C457" s="109"/>
      <c r="D457" s="109"/>
      <c r="E457" s="109"/>
      <c r="F457" s="109"/>
      <c r="G457" s="109"/>
      <c r="H457" s="109"/>
      <c r="I457" s="109"/>
      <c r="J457" s="109"/>
      <c r="K457" s="109"/>
      <c r="L457" s="109"/>
      <c r="M457" s="109"/>
      <c r="N457" s="109"/>
      <c r="O457" s="109"/>
      <c r="P457" s="109"/>
      <c r="Q457" s="109"/>
      <c r="R457" s="109"/>
      <c r="S457" s="109"/>
      <c r="T457" s="109"/>
      <c r="U457" s="109"/>
      <c r="V457" s="109"/>
      <c r="W457" s="109"/>
      <c r="X457" s="109"/>
      <c r="Y457" s="109"/>
      <c r="Z457" s="109"/>
    </row>
    <row r="458" spans="1:26" ht="11.25" customHeight="1">
      <c r="A458" s="109"/>
      <c r="B458" s="109"/>
      <c r="C458" s="109"/>
      <c r="D458" s="109"/>
      <c r="E458" s="109"/>
      <c r="F458" s="109"/>
      <c r="G458" s="109"/>
      <c r="H458" s="109"/>
      <c r="I458" s="109"/>
      <c r="J458" s="109"/>
      <c r="K458" s="109"/>
      <c r="L458" s="109"/>
      <c r="M458" s="109"/>
      <c r="N458" s="109"/>
      <c r="O458" s="109"/>
      <c r="P458" s="109"/>
      <c r="Q458" s="109"/>
      <c r="R458" s="109"/>
      <c r="S458" s="109"/>
      <c r="T458" s="109"/>
      <c r="U458" s="109"/>
      <c r="V458" s="109"/>
      <c r="W458" s="109"/>
      <c r="X458" s="109"/>
      <c r="Y458" s="109"/>
      <c r="Z458" s="109"/>
    </row>
    <row r="459" spans="1:26" ht="11.25" customHeight="1">
      <c r="A459" s="109"/>
      <c r="B459" s="109"/>
      <c r="C459" s="109"/>
      <c r="D459" s="109"/>
      <c r="E459" s="109"/>
      <c r="F459" s="109"/>
      <c r="G459" s="109"/>
      <c r="H459" s="109"/>
      <c r="I459" s="109"/>
      <c r="J459" s="109"/>
      <c r="K459" s="109"/>
      <c r="L459" s="109"/>
      <c r="M459" s="109"/>
      <c r="N459" s="109"/>
      <c r="O459" s="109"/>
      <c r="P459" s="109"/>
      <c r="Q459" s="109"/>
      <c r="R459" s="109"/>
      <c r="S459" s="109"/>
      <c r="T459" s="109"/>
      <c r="U459" s="109"/>
      <c r="V459" s="109"/>
      <c r="W459" s="109"/>
      <c r="X459" s="109"/>
      <c r="Y459" s="109"/>
      <c r="Z459" s="109"/>
    </row>
    <row r="460" spans="1:26" ht="11.25" customHeight="1">
      <c r="A460" s="109"/>
      <c r="B460" s="109"/>
      <c r="C460" s="109"/>
      <c r="D460" s="109"/>
      <c r="E460" s="109"/>
      <c r="F460" s="109"/>
      <c r="G460" s="109"/>
      <c r="H460" s="109"/>
      <c r="I460" s="109"/>
      <c r="J460" s="109"/>
      <c r="K460" s="109"/>
      <c r="L460" s="109"/>
      <c r="M460" s="109"/>
      <c r="N460" s="109"/>
      <c r="O460" s="109"/>
      <c r="P460" s="109"/>
      <c r="Q460" s="109"/>
      <c r="R460" s="109"/>
      <c r="S460" s="109"/>
      <c r="T460" s="109"/>
      <c r="U460" s="109"/>
      <c r="V460" s="109"/>
      <c r="W460" s="109"/>
      <c r="X460" s="109"/>
      <c r="Y460" s="109"/>
      <c r="Z460" s="109"/>
    </row>
    <row r="461" spans="1:26" ht="11.25" customHeight="1">
      <c r="A461" s="109"/>
      <c r="B461" s="109"/>
      <c r="C461" s="109"/>
      <c r="D461" s="109"/>
      <c r="E461" s="109"/>
      <c r="F461" s="109"/>
      <c r="G461" s="109"/>
      <c r="H461" s="109"/>
      <c r="I461" s="109"/>
      <c r="J461" s="109"/>
      <c r="K461" s="109"/>
      <c r="L461" s="109"/>
      <c r="M461" s="109"/>
      <c r="N461" s="109"/>
      <c r="O461" s="109"/>
      <c r="P461" s="109"/>
      <c r="Q461" s="109"/>
      <c r="R461" s="109"/>
      <c r="S461" s="109"/>
      <c r="T461" s="109"/>
      <c r="U461" s="109"/>
      <c r="V461" s="109"/>
      <c r="W461" s="109"/>
      <c r="X461" s="109"/>
      <c r="Y461" s="109"/>
      <c r="Z461" s="109"/>
    </row>
    <row r="462" spans="1:26" ht="11.25" customHeight="1">
      <c r="A462" s="109"/>
      <c r="B462" s="109"/>
      <c r="C462" s="109"/>
      <c r="D462" s="109"/>
      <c r="E462" s="109"/>
      <c r="F462" s="109"/>
      <c r="G462" s="109"/>
      <c r="H462" s="109"/>
      <c r="I462" s="109"/>
      <c r="J462" s="109"/>
      <c r="K462" s="109"/>
      <c r="L462" s="109"/>
      <c r="M462" s="109"/>
      <c r="N462" s="109"/>
      <c r="O462" s="109"/>
      <c r="P462" s="109"/>
      <c r="Q462" s="109"/>
      <c r="R462" s="109"/>
      <c r="S462" s="109"/>
      <c r="T462" s="109"/>
      <c r="U462" s="109"/>
      <c r="V462" s="109"/>
      <c r="W462" s="109"/>
      <c r="X462" s="109"/>
      <c r="Y462" s="109"/>
      <c r="Z462" s="109"/>
    </row>
    <row r="463" spans="1:26" ht="11.25" customHeight="1">
      <c r="A463" s="109"/>
      <c r="B463" s="109"/>
      <c r="C463" s="109"/>
      <c r="D463" s="109"/>
      <c r="E463" s="109"/>
      <c r="F463" s="109"/>
      <c r="G463" s="109"/>
      <c r="H463" s="109"/>
      <c r="I463" s="109"/>
      <c r="J463" s="109"/>
      <c r="K463" s="109"/>
      <c r="L463" s="109"/>
      <c r="M463" s="109"/>
      <c r="N463" s="109"/>
      <c r="O463" s="109"/>
      <c r="P463" s="109"/>
      <c r="Q463" s="109"/>
      <c r="R463" s="109"/>
      <c r="S463" s="109"/>
      <c r="T463" s="109"/>
      <c r="U463" s="109"/>
      <c r="V463" s="109"/>
      <c r="W463" s="109"/>
      <c r="X463" s="109"/>
      <c r="Y463" s="109"/>
      <c r="Z463" s="109"/>
    </row>
    <row r="464" spans="1:26" ht="11.25" customHeight="1">
      <c r="A464" s="109"/>
      <c r="B464" s="109"/>
      <c r="C464" s="109"/>
      <c r="D464" s="109"/>
      <c r="E464" s="109"/>
      <c r="F464" s="109"/>
      <c r="G464" s="109"/>
      <c r="H464" s="109"/>
      <c r="I464" s="109"/>
      <c r="J464" s="109"/>
      <c r="K464" s="109"/>
      <c r="L464" s="109"/>
      <c r="M464" s="109"/>
      <c r="N464" s="109"/>
      <c r="O464" s="109"/>
      <c r="P464" s="109"/>
      <c r="Q464" s="109"/>
      <c r="R464" s="109"/>
      <c r="S464" s="109"/>
      <c r="T464" s="109"/>
      <c r="U464" s="109"/>
      <c r="V464" s="109"/>
      <c r="W464" s="109"/>
      <c r="X464" s="109"/>
      <c r="Y464" s="109"/>
      <c r="Z464" s="109"/>
    </row>
    <row r="465" spans="1:26" ht="11.25" customHeight="1">
      <c r="A465" s="109"/>
      <c r="B465" s="109"/>
      <c r="C465" s="109"/>
      <c r="D465" s="109"/>
      <c r="E465" s="109"/>
      <c r="F465" s="109"/>
      <c r="G465" s="109"/>
      <c r="H465" s="109"/>
      <c r="I465" s="109"/>
      <c r="J465" s="109"/>
      <c r="K465" s="109"/>
      <c r="L465" s="109"/>
      <c r="M465" s="109"/>
      <c r="N465" s="109"/>
      <c r="O465" s="109"/>
      <c r="P465" s="109"/>
      <c r="Q465" s="109"/>
      <c r="R465" s="109"/>
      <c r="S465" s="109"/>
      <c r="T465" s="109"/>
      <c r="U465" s="109"/>
      <c r="V465" s="109"/>
      <c r="W465" s="109"/>
      <c r="X465" s="109"/>
      <c r="Y465" s="109"/>
      <c r="Z465" s="109"/>
    </row>
    <row r="466" spans="1:26" ht="11.25" customHeight="1">
      <c r="A466" s="109"/>
      <c r="B466" s="109"/>
      <c r="C466" s="109"/>
      <c r="D466" s="109"/>
      <c r="E466" s="109"/>
      <c r="F466" s="109"/>
      <c r="G466" s="109"/>
      <c r="H466" s="109"/>
      <c r="I466" s="109"/>
      <c r="J466" s="109"/>
      <c r="K466" s="109"/>
      <c r="L466" s="109"/>
      <c r="M466" s="109"/>
      <c r="N466" s="109"/>
      <c r="O466" s="109"/>
      <c r="P466" s="109"/>
      <c r="Q466" s="109"/>
      <c r="R466" s="109"/>
      <c r="S466" s="109"/>
      <c r="T466" s="109"/>
      <c r="U466" s="109"/>
      <c r="V466" s="109"/>
      <c r="W466" s="109"/>
      <c r="X466" s="109"/>
      <c r="Y466" s="109"/>
      <c r="Z466" s="109"/>
    </row>
    <row r="467" spans="1:26" ht="11.25" customHeight="1">
      <c r="A467" s="109"/>
      <c r="B467" s="109"/>
      <c r="C467" s="109"/>
      <c r="D467" s="109"/>
      <c r="E467" s="109"/>
      <c r="F467" s="109"/>
      <c r="G467" s="109"/>
      <c r="H467" s="109"/>
      <c r="I467" s="109"/>
      <c r="J467" s="109"/>
      <c r="K467" s="109"/>
      <c r="L467" s="109"/>
      <c r="M467" s="109"/>
      <c r="N467" s="109"/>
      <c r="O467" s="109"/>
      <c r="P467" s="109"/>
      <c r="Q467" s="109"/>
      <c r="R467" s="109"/>
      <c r="S467" s="109"/>
      <c r="T467" s="109"/>
      <c r="U467" s="109"/>
      <c r="V467" s="109"/>
      <c r="W467" s="109"/>
      <c r="X467" s="109"/>
      <c r="Y467" s="109"/>
      <c r="Z467" s="109"/>
    </row>
    <row r="468" spans="1:26" ht="11.25" customHeight="1">
      <c r="A468" s="109"/>
      <c r="B468" s="109"/>
      <c r="C468" s="109"/>
      <c r="D468" s="109"/>
      <c r="E468" s="109"/>
      <c r="F468" s="109"/>
      <c r="G468" s="109"/>
      <c r="H468" s="109"/>
      <c r="I468" s="109"/>
      <c r="J468" s="109"/>
      <c r="K468" s="109"/>
      <c r="L468" s="109"/>
      <c r="M468" s="109"/>
      <c r="N468" s="109"/>
      <c r="O468" s="109"/>
      <c r="P468" s="109"/>
      <c r="Q468" s="109"/>
      <c r="R468" s="109"/>
      <c r="S468" s="109"/>
      <c r="T468" s="109"/>
      <c r="U468" s="109"/>
      <c r="V468" s="109"/>
      <c r="W468" s="109"/>
      <c r="X468" s="109"/>
      <c r="Y468" s="109"/>
      <c r="Z468" s="109"/>
    </row>
    <row r="469" spans="1:26" ht="11.25" customHeight="1">
      <c r="A469" s="109"/>
      <c r="B469" s="109"/>
      <c r="C469" s="109"/>
      <c r="D469" s="109"/>
      <c r="E469" s="109"/>
      <c r="F469" s="109"/>
      <c r="G469" s="109"/>
      <c r="H469" s="109"/>
      <c r="I469" s="109"/>
      <c r="J469" s="109"/>
      <c r="K469" s="109"/>
      <c r="L469" s="109"/>
      <c r="M469" s="109"/>
      <c r="N469" s="109"/>
      <c r="O469" s="109"/>
      <c r="P469" s="109"/>
      <c r="Q469" s="109"/>
      <c r="R469" s="109"/>
      <c r="S469" s="109"/>
      <c r="T469" s="109"/>
      <c r="U469" s="109"/>
      <c r="V469" s="109"/>
      <c r="W469" s="109"/>
      <c r="X469" s="109"/>
      <c r="Y469" s="109"/>
      <c r="Z469" s="109"/>
    </row>
    <row r="470" spans="1:26" ht="11.25" customHeight="1">
      <c r="A470" s="109"/>
      <c r="B470" s="109"/>
      <c r="C470" s="109"/>
      <c r="D470" s="109"/>
      <c r="E470" s="109"/>
      <c r="F470" s="109"/>
      <c r="G470" s="109"/>
      <c r="H470" s="109"/>
      <c r="I470" s="109"/>
      <c r="J470" s="109"/>
      <c r="K470" s="109"/>
      <c r="L470" s="109"/>
      <c r="M470" s="109"/>
      <c r="N470" s="109"/>
      <c r="O470" s="109"/>
      <c r="P470" s="109"/>
      <c r="Q470" s="109"/>
      <c r="R470" s="109"/>
      <c r="S470" s="109"/>
      <c r="T470" s="109"/>
      <c r="U470" s="109"/>
      <c r="V470" s="109"/>
      <c r="W470" s="109"/>
      <c r="X470" s="109"/>
      <c r="Y470" s="109"/>
      <c r="Z470" s="109"/>
    </row>
    <row r="471" spans="1:26" ht="11.25" customHeight="1">
      <c r="A471" s="109"/>
      <c r="B471" s="109"/>
      <c r="C471" s="109"/>
      <c r="D471" s="109"/>
      <c r="E471" s="109"/>
      <c r="F471" s="109"/>
      <c r="G471" s="109"/>
      <c r="H471" s="109"/>
      <c r="I471" s="109"/>
      <c r="J471" s="109"/>
      <c r="K471" s="109"/>
      <c r="L471" s="109"/>
      <c r="M471" s="109"/>
      <c r="N471" s="109"/>
      <c r="O471" s="109"/>
      <c r="P471" s="109"/>
      <c r="Q471" s="109"/>
      <c r="R471" s="109"/>
      <c r="S471" s="109"/>
      <c r="T471" s="109"/>
      <c r="U471" s="109"/>
      <c r="V471" s="109"/>
      <c r="W471" s="109"/>
      <c r="X471" s="109"/>
      <c r="Y471" s="109"/>
      <c r="Z471" s="109"/>
    </row>
    <row r="472" spans="1:26" ht="11.25" customHeight="1">
      <c r="A472" s="109"/>
      <c r="B472" s="109"/>
      <c r="C472" s="109"/>
      <c r="D472" s="109"/>
      <c r="E472" s="109"/>
      <c r="F472" s="109"/>
      <c r="G472" s="109"/>
      <c r="H472" s="109"/>
      <c r="I472" s="109"/>
      <c r="J472" s="109"/>
      <c r="K472" s="109"/>
      <c r="L472" s="109"/>
      <c r="M472" s="109"/>
      <c r="N472" s="109"/>
      <c r="O472" s="109"/>
      <c r="P472" s="109"/>
      <c r="Q472" s="109"/>
      <c r="R472" s="109"/>
      <c r="S472" s="109"/>
      <c r="T472" s="109"/>
      <c r="U472" s="109"/>
      <c r="V472" s="109"/>
      <c r="W472" s="109"/>
      <c r="X472" s="109"/>
      <c r="Y472" s="109"/>
      <c r="Z472" s="109"/>
    </row>
    <row r="473" spans="1:26" ht="11.25" customHeight="1">
      <c r="A473" s="109"/>
      <c r="B473" s="109"/>
      <c r="C473" s="109"/>
      <c r="D473" s="109"/>
      <c r="E473" s="109"/>
      <c r="F473" s="109"/>
      <c r="G473" s="109"/>
      <c r="H473" s="109"/>
      <c r="I473" s="109"/>
      <c r="J473" s="109"/>
      <c r="K473" s="109"/>
      <c r="L473" s="109"/>
      <c r="M473" s="109"/>
      <c r="N473" s="109"/>
      <c r="O473" s="109"/>
      <c r="P473" s="109"/>
      <c r="Q473" s="109"/>
      <c r="R473" s="109"/>
      <c r="S473" s="109"/>
      <c r="T473" s="109"/>
      <c r="U473" s="109"/>
      <c r="V473" s="109"/>
      <c r="W473" s="109"/>
      <c r="X473" s="109"/>
      <c r="Y473" s="109"/>
      <c r="Z473" s="109"/>
    </row>
    <row r="474" spans="1:26" ht="11.25" customHeight="1">
      <c r="A474" s="109"/>
      <c r="B474" s="109"/>
      <c r="C474" s="109"/>
      <c r="D474" s="109"/>
      <c r="E474" s="109"/>
      <c r="F474" s="109"/>
      <c r="G474" s="109"/>
      <c r="H474" s="109"/>
      <c r="I474" s="109"/>
      <c r="J474" s="109"/>
      <c r="K474" s="109"/>
      <c r="L474" s="109"/>
      <c r="M474" s="109"/>
      <c r="N474" s="109"/>
      <c r="O474" s="109"/>
      <c r="P474" s="109"/>
      <c r="Q474" s="109"/>
      <c r="R474" s="109"/>
      <c r="S474" s="109"/>
      <c r="T474" s="109"/>
      <c r="U474" s="109"/>
      <c r="V474" s="109"/>
      <c r="W474" s="109"/>
      <c r="X474" s="109"/>
      <c r="Y474" s="109"/>
      <c r="Z474" s="109"/>
    </row>
    <row r="475" spans="1:26" ht="11.25" customHeight="1">
      <c r="A475" s="109"/>
      <c r="B475" s="109"/>
      <c r="C475" s="109"/>
      <c r="D475" s="109"/>
      <c r="E475" s="109"/>
      <c r="F475" s="109"/>
      <c r="G475" s="109"/>
      <c r="H475" s="109"/>
      <c r="I475" s="109"/>
      <c r="J475" s="109"/>
      <c r="K475" s="109"/>
      <c r="L475" s="109"/>
      <c r="M475" s="109"/>
      <c r="N475" s="109"/>
      <c r="O475" s="109"/>
      <c r="P475" s="109"/>
      <c r="Q475" s="109"/>
      <c r="R475" s="109"/>
      <c r="S475" s="109"/>
      <c r="T475" s="109"/>
      <c r="U475" s="109"/>
      <c r="V475" s="109"/>
      <c r="W475" s="109"/>
      <c r="X475" s="109"/>
      <c r="Y475" s="109"/>
      <c r="Z475" s="109"/>
    </row>
    <row r="476" spans="1:26" ht="11.25" customHeight="1">
      <c r="A476" s="109"/>
      <c r="B476" s="109"/>
      <c r="C476" s="109"/>
      <c r="D476" s="109"/>
      <c r="E476" s="109"/>
      <c r="F476" s="109"/>
      <c r="G476" s="109"/>
      <c r="H476" s="109"/>
      <c r="I476" s="109"/>
      <c r="J476" s="109"/>
      <c r="K476" s="109"/>
      <c r="L476" s="109"/>
      <c r="M476" s="109"/>
      <c r="N476" s="109"/>
      <c r="O476" s="109"/>
      <c r="P476" s="109"/>
      <c r="Q476" s="109"/>
      <c r="R476" s="109"/>
      <c r="S476" s="109"/>
      <c r="T476" s="109"/>
      <c r="U476" s="109"/>
      <c r="V476" s="109"/>
      <c r="W476" s="109"/>
      <c r="X476" s="109"/>
      <c r="Y476" s="109"/>
      <c r="Z476" s="109"/>
    </row>
    <row r="477" spans="1:26" ht="11.25" customHeight="1">
      <c r="A477" s="109"/>
      <c r="B477" s="109"/>
      <c r="C477" s="109"/>
      <c r="D477" s="109"/>
      <c r="E477" s="109"/>
      <c r="F477" s="109"/>
      <c r="G477" s="109"/>
      <c r="H477" s="109"/>
      <c r="I477" s="109"/>
      <c r="J477" s="109"/>
      <c r="K477" s="109"/>
      <c r="L477" s="109"/>
      <c r="M477" s="109"/>
      <c r="N477" s="109"/>
      <c r="O477" s="109"/>
      <c r="P477" s="109"/>
      <c r="Q477" s="109"/>
      <c r="R477" s="109"/>
      <c r="S477" s="109"/>
      <c r="T477" s="109"/>
      <c r="U477" s="109"/>
      <c r="V477" s="109"/>
      <c r="W477" s="109"/>
      <c r="X477" s="109"/>
      <c r="Y477" s="109"/>
      <c r="Z477" s="109"/>
    </row>
    <row r="478" spans="1:26" ht="11.25" customHeight="1">
      <c r="A478" s="109"/>
      <c r="B478" s="109"/>
      <c r="C478" s="109"/>
      <c r="D478" s="109"/>
      <c r="E478" s="109"/>
      <c r="F478" s="109"/>
      <c r="G478" s="109"/>
      <c r="H478" s="109"/>
      <c r="I478" s="109"/>
      <c r="J478" s="109"/>
      <c r="K478" s="109"/>
      <c r="L478" s="109"/>
      <c r="M478" s="109"/>
      <c r="N478" s="109"/>
      <c r="O478" s="109"/>
      <c r="P478" s="109"/>
      <c r="Q478" s="109"/>
      <c r="R478" s="109"/>
      <c r="S478" s="109"/>
      <c r="T478" s="109"/>
      <c r="U478" s="109"/>
      <c r="V478" s="109"/>
      <c r="W478" s="109"/>
      <c r="X478" s="109"/>
      <c r="Y478" s="109"/>
      <c r="Z478" s="109"/>
    </row>
    <row r="479" spans="1:26" ht="11.25" customHeight="1">
      <c r="A479" s="109"/>
      <c r="B479" s="109"/>
      <c r="C479" s="109"/>
      <c r="D479" s="109"/>
      <c r="E479" s="109"/>
      <c r="F479" s="109"/>
      <c r="G479" s="109"/>
      <c r="H479" s="109"/>
      <c r="I479" s="109"/>
      <c r="J479" s="109"/>
      <c r="K479" s="109"/>
      <c r="L479" s="109"/>
      <c r="M479" s="109"/>
      <c r="N479" s="109"/>
      <c r="O479" s="109"/>
      <c r="P479" s="109"/>
      <c r="Q479" s="109"/>
      <c r="R479" s="109"/>
      <c r="S479" s="109"/>
      <c r="T479" s="109"/>
      <c r="U479" s="109"/>
      <c r="V479" s="109"/>
      <c r="W479" s="109"/>
      <c r="X479" s="109"/>
      <c r="Y479" s="109"/>
      <c r="Z479" s="109"/>
    </row>
    <row r="480" spans="1:26" ht="11.25" customHeight="1">
      <c r="A480" s="109"/>
      <c r="B480" s="109"/>
      <c r="C480" s="109"/>
      <c r="D480" s="109"/>
      <c r="E480" s="109"/>
      <c r="F480" s="109"/>
      <c r="G480" s="109"/>
      <c r="H480" s="109"/>
      <c r="I480" s="109"/>
      <c r="J480" s="109"/>
      <c r="K480" s="109"/>
      <c r="L480" s="109"/>
      <c r="M480" s="109"/>
      <c r="N480" s="109"/>
      <c r="O480" s="109"/>
      <c r="P480" s="109"/>
      <c r="Q480" s="109"/>
      <c r="R480" s="109"/>
      <c r="S480" s="109"/>
      <c r="T480" s="109"/>
      <c r="U480" s="109"/>
      <c r="V480" s="109"/>
      <c r="W480" s="109"/>
      <c r="X480" s="109"/>
      <c r="Y480" s="109"/>
      <c r="Z480" s="109"/>
    </row>
    <row r="481" spans="1:26" ht="11.25" customHeight="1">
      <c r="A481" s="109"/>
      <c r="B481" s="109"/>
      <c r="C481" s="109"/>
      <c r="D481" s="109"/>
      <c r="E481" s="109"/>
      <c r="F481" s="109"/>
      <c r="G481" s="109"/>
      <c r="H481" s="109"/>
      <c r="I481" s="109"/>
      <c r="J481" s="109"/>
      <c r="K481" s="109"/>
      <c r="L481" s="109"/>
      <c r="M481" s="109"/>
      <c r="N481" s="109"/>
      <c r="O481" s="109"/>
      <c r="P481" s="109"/>
      <c r="Q481" s="109"/>
      <c r="R481" s="109"/>
      <c r="S481" s="109"/>
      <c r="T481" s="109"/>
      <c r="U481" s="109"/>
      <c r="V481" s="109"/>
      <c r="W481" s="109"/>
      <c r="X481" s="109"/>
      <c r="Y481" s="109"/>
      <c r="Z481" s="109"/>
    </row>
    <row r="482" spans="1:26" ht="11.25" customHeight="1">
      <c r="A482" s="109"/>
      <c r="B482" s="109"/>
      <c r="C482" s="109"/>
      <c r="D482" s="109"/>
      <c r="E482" s="109"/>
      <c r="F482" s="109"/>
      <c r="G482" s="109"/>
      <c r="H482" s="109"/>
      <c r="I482" s="109"/>
      <c r="J482" s="109"/>
      <c r="K482" s="109"/>
      <c r="L482" s="109"/>
      <c r="M482" s="109"/>
      <c r="N482" s="109"/>
      <c r="O482" s="109"/>
      <c r="P482" s="109"/>
      <c r="Q482" s="109"/>
      <c r="R482" s="109"/>
      <c r="S482" s="109"/>
      <c r="T482" s="109"/>
      <c r="U482" s="109"/>
      <c r="V482" s="109"/>
      <c r="W482" s="109"/>
      <c r="X482" s="109"/>
      <c r="Y482" s="109"/>
      <c r="Z482" s="109"/>
    </row>
    <row r="483" spans="1:26" ht="11.25" customHeight="1">
      <c r="A483" s="109"/>
      <c r="B483" s="109"/>
      <c r="C483" s="109"/>
      <c r="D483" s="109"/>
      <c r="E483" s="109"/>
      <c r="F483" s="109"/>
      <c r="G483" s="109"/>
      <c r="H483" s="109"/>
      <c r="I483" s="109"/>
      <c r="J483" s="109"/>
      <c r="K483" s="109"/>
      <c r="L483" s="109"/>
      <c r="M483" s="109"/>
      <c r="N483" s="109"/>
      <c r="O483" s="109"/>
      <c r="P483" s="109"/>
      <c r="Q483" s="109"/>
      <c r="R483" s="109"/>
      <c r="S483" s="109"/>
      <c r="T483" s="109"/>
      <c r="U483" s="109"/>
      <c r="V483" s="109"/>
      <c r="W483" s="109"/>
      <c r="X483" s="109"/>
      <c r="Y483" s="109"/>
      <c r="Z483" s="109"/>
    </row>
    <row r="484" spans="1:26" ht="11.25" customHeight="1">
      <c r="A484" s="109"/>
      <c r="B484" s="109"/>
      <c r="C484" s="109"/>
      <c r="D484" s="109"/>
      <c r="E484" s="109"/>
      <c r="F484" s="109"/>
      <c r="G484" s="109"/>
      <c r="H484" s="109"/>
      <c r="I484" s="109"/>
      <c r="J484" s="109"/>
      <c r="K484" s="109"/>
      <c r="L484" s="109"/>
      <c r="M484" s="109"/>
      <c r="N484" s="109"/>
      <c r="O484" s="109"/>
      <c r="P484" s="109"/>
      <c r="Q484" s="109"/>
      <c r="R484" s="109"/>
      <c r="S484" s="109"/>
      <c r="T484" s="109"/>
      <c r="U484" s="109"/>
      <c r="V484" s="109"/>
      <c r="W484" s="109"/>
      <c r="X484" s="109"/>
      <c r="Y484" s="109"/>
      <c r="Z484" s="109"/>
    </row>
    <row r="485" spans="1:26" ht="11.25" customHeight="1">
      <c r="A485" s="109"/>
      <c r="B485" s="109"/>
      <c r="C485" s="109"/>
      <c r="D485" s="109"/>
      <c r="E485" s="109"/>
      <c r="F485" s="109"/>
      <c r="G485" s="109"/>
      <c r="H485" s="109"/>
      <c r="I485" s="109"/>
      <c r="J485" s="109"/>
      <c r="K485" s="109"/>
      <c r="L485" s="109"/>
      <c r="M485" s="109"/>
      <c r="N485" s="109"/>
      <c r="O485" s="109"/>
      <c r="P485" s="109"/>
      <c r="Q485" s="109"/>
      <c r="R485" s="109"/>
      <c r="S485" s="109"/>
      <c r="T485" s="109"/>
      <c r="U485" s="109"/>
      <c r="V485" s="109"/>
      <c r="W485" s="109"/>
      <c r="X485" s="109"/>
      <c r="Y485" s="109"/>
      <c r="Z485" s="109"/>
    </row>
    <row r="486" spans="1:26" ht="11.25" customHeight="1">
      <c r="A486" s="109"/>
      <c r="B486" s="109"/>
      <c r="C486" s="109"/>
      <c r="D486" s="109"/>
      <c r="E486" s="109"/>
      <c r="F486" s="109"/>
      <c r="G486" s="109"/>
      <c r="H486" s="109"/>
      <c r="I486" s="109"/>
      <c r="J486" s="109"/>
      <c r="K486" s="109"/>
      <c r="L486" s="109"/>
      <c r="M486" s="109"/>
      <c r="N486" s="109"/>
      <c r="O486" s="109"/>
      <c r="P486" s="109"/>
      <c r="Q486" s="109"/>
      <c r="R486" s="109"/>
      <c r="S486" s="109"/>
      <c r="T486" s="109"/>
      <c r="U486" s="109"/>
      <c r="V486" s="109"/>
      <c r="W486" s="109"/>
      <c r="X486" s="109"/>
      <c r="Y486" s="109"/>
      <c r="Z486" s="109"/>
    </row>
    <row r="487" spans="1:26" ht="11.25" customHeight="1">
      <c r="A487" s="109"/>
      <c r="B487" s="109"/>
      <c r="C487" s="109"/>
      <c r="D487" s="109"/>
      <c r="E487" s="109"/>
      <c r="F487" s="109"/>
      <c r="G487" s="109"/>
      <c r="H487" s="109"/>
      <c r="I487" s="109"/>
      <c r="J487" s="109"/>
      <c r="K487" s="109"/>
      <c r="L487" s="109"/>
      <c r="M487" s="109"/>
      <c r="N487" s="109"/>
      <c r="O487" s="109"/>
      <c r="P487" s="109"/>
      <c r="Q487" s="109"/>
      <c r="R487" s="109"/>
      <c r="S487" s="109"/>
      <c r="T487" s="109"/>
      <c r="U487" s="109"/>
      <c r="V487" s="109"/>
      <c r="W487" s="109"/>
      <c r="X487" s="109"/>
      <c r="Y487" s="109"/>
      <c r="Z487" s="109"/>
    </row>
    <row r="488" spans="1:26" ht="11.25" customHeight="1">
      <c r="A488" s="109"/>
      <c r="B488" s="109"/>
      <c r="C488" s="109"/>
      <c r="D488" s="109"/>
      <c r="E488" s="109"/>
      <c r="F488" s="109"/>
      <c r="G488" s="109"/>
      <c r="H488" s="109"/>
      <c r="I488" s="109"/>
      <c r="J488" s="109"/>
      <c r="K488" s="109"/>
      <c r="L488" s="109"/>
      <c r="M488" s="109"/>
      <c r="N488" s="109"/>
      <c r="O488" s="109"/>
      <c r="P488" s="109"/>
      <c r="Q488" s="109"/>
      <c r="R488" s="109"/>
      <c r="S488" s="109"/>
      <c r="T488" s="109"/>
      <c r="U488" s="109"/>
      <c r="V488" s="109"/>
      <c r="W488" s="109"/>
      <c r="X488" s="109"/>
      <c r="Y488" s="109"/>
      <c r="Z488" s="109"/>
    </row>
    <row r="489" spans="1:26" ht="11.25" customHeight="1">
      <c r="A489" s="109"/>
      <c r="B489" s="109"/>
      <c r="C489" s="109"/>
      <c r="D489" s="109"/>
      <c r="E489" s="109"/>
      <c r="F489" s="109"/>
      <c r="G489" s="109"/>
      <c r="H489" s="109"/>
      <c r="I489" s="109"/>
      <c r="J489" s="109"/>
      <c r="K489" s="109"/>
      <c r="L489" s="109"/>
      <c r="M489" s="109"/>
      <c r="N489" s="109"/>
      <c r="O489" s="109"/>
      <c r="P489" s="109"/>
      <c r="Q489" s="109"/>
      <c r="R489" s="109"/>
      <c r="S489" s="109"/>
      <c r="T489" s="109"/>
      <c r="U489" s="109"/>
      <c r="V489" s="109"/>
      <c r="W489" s="109"/>
      <c r="X489" s="109"/>
      <c r="Y489" s="109"/>
      <c r="Z489" s="109"/>
    </row>
    <row r="490" spans="1:26" ht="11.25" customHeight="1">
      <c r="A490" s="109"/>
      <c r="B490" s="109"/>
      <c r="C490" s="109"/>
      <c r="D490" s="109"/>
      <c r="E490" s="109"/>
      <c r="F490" s="109"/>
      <c r="G490" s="109"/>
      <c r="H490" s="109"/>
      <c r="I490" s="109"/>
      <c r="J490" s="109"/>
      <c r="K490" s="109"/>
      <c r="L490" s="109"/>
      <c r="M490" s="109"/>
      <c r="N490" s="109"/>
      <c r="O490" s="109"/>
      <c r="P490" s="109"/>
      <c r="Q490" s="109"/>
      <c r="R490" s="109"/>
      <c r="S490" s="109"/>
      <c r="T490" s="109"/>
      <c r="U490" s="109"/>
      <c r="V490" s="109"/>
      <c r="W490" s="109"/>
      <c r="X490" s="109"/>
      <c r="Y490" s="109"/>
      <c r="Z490" s="109"/>
    </row>
    <row r="491" spans="1:26" ht="11.25" customHeight="1">
      <c r="A491" s="109"/>
      <c r="B491" s="109"/>
      <c r="C491" s="109"/>
      <c r="D491" s="109"/>
      <c r="E491" s="109"/>
      <c r="F491" s="109"/>
      <c r="G491" s="109"/>
      <c r="H491" s="109"/>
      <c r="I491" s="109"/>
      <c r="J491" s="109"/>
      <c r="K491" s="109"/>
      <c r="L491" s="109"/>
      <c r="M491" s="109"/>
      <c r="N491" s="109"/>
      <c r="O491" s="109"/>
      <c r="P491" s="109"/>
      <c r="Q491" s="109"/>
      <c r="R491" s="109"/>
      <c r="S491" s="109"/>
      <c r="T491" s="109"/>
      <c r="U491" s="109"/>
      <c r="V491" s="109"/>
      <c r="W491" s="109"/>
      <c r="X491" s="109"/>
      <c r="Y491" s="109"/>
      <c r="Z491" s="109"/>
    </row>
    <row r="492" spans="1:26" ht="11.25" customHeight="1">
      <c r="A492" s="109"/>
      <c r="B492" s="109"/>
      <c r="C492" s="109"/>
      <c r="D492" s="109"/>
      <c r="E492" s="109"/>
      <c r="F492" s="109"/>
      <c r="G492" s="109"/>
      <c r="H492" s="109"/>
      <c r="I492" s="109"/>
      <c r="J492" s="109"/>
      <c r="K492" s="109"/>
      <c r="L492" s="109"/>
      <c r="M492" s="109"/>
      <c r="N492" s="109"/>
      <c r="O492" s="109"/>
      <c r="P492" s="109"/>
      <c r="Q492" s="109"/>
      <c r="R492" s="109"/>
      <c r="S492" s="109"/>
      <c r="T492" s="109"/>
      <c r="U492" s="109"/>
      <c r="V492" s="109"/>
      <c r="W492" s="109"/>
      <c r="X492" s="109"/>
      <c r="Y492" s="109"/>
      <c r="Z492" s="109"/>
    </row>
    <row r="493" spans="1:26" ht="11.25" customHeight="1">
      <c r="A493" s="109"/>
      <c r="B493" s="109"/>
      <c r="C493" s="109"/>
      <c r="D493" s="109"/>
      <c r="E493" s="109"/>
      <c r="F493" s="109"/>
      <c r="G493" s="109"/>
      <c r="H493" s="109"/>
      <c r="I493" s="109"/>
      <c r="J493" s="109"/>
      <c r="K493" s="109"/>
      <c r="L493" s="109"/>
      <c r="M493" s="109"/>
      <c r="N493" s="109"/>
      <c r="O493" s="109"/>
      <c r="P493" s="109"/>
      <c r="Q493" s="109"/>
      <c r="R493" s="109"/>
      <c r="S493" s="109"/>
      <c r="T493" s="109"/>
      <c r="U493" s="109"/>
      <c r="V493" s="109"/>
      <c r="W493" s="109"/>
      <c r="X493" s="109"/>
      <c r="Y493" s="109"/>
      <c r="Z493" s="109"/>
    </row>
    <row r="494" spans="1:26" ht="11.25" customHeight="1">
      <c r="A494" s="109"/>
      <c r="B494" s="109"/>
      <c r="C494" s="109"/>
      <c r="D494" s="109"/>
      <c r="E494" s="109"/>
      <c r="F494" s="109"/>
      <c r="G494" s="109"/>
      <c r="H494" s="109"/>
      <c r="I494" s="109"/>
      <c r="J494" s="109"/>
      <c r="K494" s="109"/>
      <c r="L494" s="109"/>
      <c r="M494" s="109"/>
      <c r="N494" s="109"/>
      <c r="O494" s="109"/>
      <c r="P494" s="109"/>
      <c r="Q494" s="109"/>
      <c r="R494" s="109"/>
      <c r="S494" s="109"/>
      <c r="T494" s="109"/>
      <c r="U494" s="109"/>
      <c r="V494" s="109"/>
      <c r="W494" s="109"/>
      <c r="X494" s="109"/>
      <c r="Y494" s="109"/>
      <c r="Z494" s="109"/>
    </row>
    <row r="495" spans="1:26" ht="11.25" customHeight="1">
      <c r="A495" s="109"/>
      <c r="B495" s="109"/>
      <c r="C495" s="109"/>
      <c r="D495" s="109"/>
      <c r="E495" s="109"/>
      <c r="F495" s="109"/>
      <c r="G495" s="109"/>
      <c r="H495" s="109"/>
      <c r="I495" s="109"/>
      <c r="J495" s="109"/>
      <c r="K495" s="109"/>
      <c r="L495" s="109"/>
      <c r="M495" s="109"/>
      <c r="N495" s="109"/>
      <c r="O495" s="109"/>
      <c r="P495" s="109"/>
      <c r="Q495" s="109"/>
      <c r="R495" s="109"/>
      <c r="S495" s="109"/>
      <c r="T495" s="109"/>
      <c r="U495" s="109"/>
      <c r="V495" s="109"/>
      <c r="W495" s="109"/>
      <c r="X495" s="109"/>
      <c r="Y495" s="109"/>
      <c r="Z495" s="109"/>
    </row>
    <row r="496" spans="1:26" ht="11.25" customHeight="1">
      <c r="A496" s="109"/>
      <c r="B496" s="109"/>
      <c r="C496" s="109"/>
      <c r="D496" s="109"/>
      <c r="E496" s="109"/>
      <c r="F496" s="109"/>
      <c r="G496" s="109"/>
      <c r="H496" s="109"/>
      <c r="I496" s="109"/>
      <c r="J496" s="109"/>
      <c r="K496" s="109"/>
      <c r="L496" s="109"/>
      <c r="M496" s="109"/>
      <c r="N496" s="109"/>
      <c r="O496" s="109"/>
      <c r="P496" s="109"/>
      <c r="Q496" s="109"/>
      <c r="R496" s="109"/>
      <c r="S496" s="109"/>
      <c r="T496" s="109"/>
      <c r="U496" s="109"/>
      <c r="V496" s="109"/>
      <c r="W496" s="109"/>
      <c r="X496" s="109"/>
      <c r="Y496" s="109"/>
      <c r="Z496" s="109"/>
    </row>
    <row r="497" spans="1:26" ht="11.25" customHeight="1">
      <c r="A497" s="109"/>
      <c r="B497" s="109"/>
      <c r="C497" s="109"/>
      <c r="D497" s="109"/>
      <c r="E497" s="109"/>
      <c r="F497" s="109"/>
      <c r="G497" s="109"/>
      <c r="H497" s="109"/>
      <c r="I497" s="109"/>
      <c r="J497" s="109"/>
      <c r="K497" s="109"/>
      <c r="L497" s="109"/>
      <c r="M497" s="109"/>
      <c r="N497" s="109"/>
      <c r="O497" s="109"/>
      <c r="P497" s="109"/>
      <c r="Q497" s="109"/>
      <c r="R497" s="109"/>
      <c r="S497" s="109"/>
      <c r="T497" s="109"/>
      <c r="U497" s="109"/>
      <c r="V497" s="109"/>
      <c r="W497" s="109"/>
      <c r="X497" s="109"/>
      <c r="Y497" s="109"/>
      <c r="Z497" s="109"/>
    </row>
    <row r="498" spans="1:26" ht="11.25" customHeight="1">
      <c r="A498" s="109"/>
      <c r="B498" s="109"/>
      <c r="C498" s="109"/>
      <c r="D498" s="109"/>
      <c r="E498" s="109"/>
      <c r="F498" s="109"/>
      <c r="G498" s="109"/>
      <c r="H498" s="109"/>
      <c r="I498" s="109"/>
      <c r="J498" s="109"/>
      <c r="K498" s="109"/>
      <c r="L498" s="109"/>
      <c r="M498" s="109"/>
      <c r="N498" s="109"/>
      <c r="O498" s="109"/>
      <c r="P498" s="109"/>
      <c r="Q498" s="109"/>
      <c r="R498" s="109"/>
      <c r="S498" s="109"/>
      <c r="T498" s="109"/>
      <c r="U498" s="109"/>
      <c r="V498" s="109"/>
      <c r="W498" s="109"/>
      <c r="X498" s="109"/>
      <c r="Y498" s="109"/>
      <c r="Z498" s="109"/>
    </row>
    <row r="499" spans="1:26" ht="11.25" customHeight="1">
      <c r="A499" s="109"/>
      <c r="B499" s="109"/>
      <c r="C499" s="109"/>
      <c r="D499" s="109"/>
      <c r="E499" s="109"/>
      <c r="F499" s="109"/>
      <c r="G499" s="109"/>
      <c r="H499" s="109"/>
      <c r="I499" s="109"/>
      <c r="J499" s="109"/>
      <c r="K499" s="109"/>
      <c r="L499" s="109"/>
      <c r="M499" s="109"/>
      <c r="N499" s="109"/>
      <c r="O499" s="109"/>
      <c r="P499" s="109"/>
      <c r="Q499" s="109"/>
      <c r="R499" s="109"/>
      <c r="S499" s="109"/>
      <c r="T499" s="109"/>
      <c r="U499" s="109"/>
      <c r="V499" s="109"/>
      <c r="W499" s="109"/>
      <c r="X499" s="109"/>
      <c r="Y499" s="109"/>
      <c r="Z499" s="109"/>
    </row>
    <row r="500" spans="1:26" ht="11.25" customHeight="1">
      <c r="A500" s="109"/>
      <c r="B500" s="109"/>
      <c r="C500" s="109"/>
      <c r="D500" s="109"/>
      <c r="E500" s="109"/>
      <c r="F500" s="109"/>
      <c r="G500" s="109"/>
      <c r="H500" s="109"/>
      <c r="I500" s="109"/>
      <c r="J500" s="109"/>
      <c r="K500" s="109"/>
      <c r="L500" s="109"/>
      <c r="M500" s="109"/>
      <c r="N500" s="109"/>
      <c r="O500" s="109"/>
      <c r="P500" s="109"/>
      <c r="Q500" s="109"/>
      <c r="R500" s="109"/>
      <c r="S500" s="109"/>
      <c r="T500" s="109"/>
      <c r="U500" s="109"/>
      <c r="V500" s="109"/>
      <c r="W500" s="109"/>
      <c r="X500" s="109"/>
      <c r="Y500" s="109"/>
      <c r="Z500" s="109"/>
    </row>
    <row r="501" spans="1:26" ht="11.25" customHeight="1">
      <c r="A501" s="109"/>
      <c r="B501" s="109"/>
      <c r="C501" s="109"/>
      <c r="D501" s="109"/>
      <c r="E501" s="109"/>
      <c r="F501" s="109"/>
      <c r="G501" s="109"/>
      <c r="H501" s="109"/>
      <c r="I501" s="109"/>
      <c r="J501" s="109"/>
      <c r="K501" s="109"/>
      <c r="L501" s="109"/>
      <c r="M501" s="109"/>
      <c r="N501" s="109"/>
      <c r="O501" s="109"/>
      <c r="P501" s="109"/>
      <c r="Q501" s="109"/>
      <c r="R501" s="109"/>
      <c r="S501" s="109"/>
      <c r="T501" s="109"/>
      <c r="U501" s="109"/>
      <c r="V501" s="109"/>
      <c r="W501" s="109"/>
      <c r="X501" s="109"/>
      <c r="Y501" s="109"/>
      <c r="Z501" s="109"/>
    </row>
    <row r="502" spans="1:26" ht="11.25" customHeight="1">
      <c r="A502" s="109"/>
      <c r="B502" s="109"/>
      <c r="C502" s="109"/>
      <c r="D502" s="109"/>
      <c r="E502" s="109"/>
      <c r="F502" s="109"/>
      <c r="G502" s="109"/>
      <c r="H502" s="109"/>
      <c r="I502" s="109"/>
      <c r="J502" s="109"/>
      <c r="K502" s="109"/>
      <c r="L502" s="109"/>
      <c r="M502" s="109"/>
      <c r="N502" s="109"/>
      <c r="O502" s="109"/>
      <c r="P502" s="109"/>
      <c r="Q502" s="109"/>
      <c r="R502" s="109"/>
      <c r="S502" s="109"/>
      <c r="T502" s="109"/>
      <c r="U502" s="109"/>
      <c r="V502" s="109"/>
      <c r="W502" s="109"/>
      <c r="X502" s="109"/>
      <c r="Y502" s="109"/>
      <c r="Z502" s="109"/>
    </row>
    <row r="503" spans="1:26" ht="11.25" customHeight="1">
      <c r="A503" s="109"/>
      <c r="B503" s="109"/>
      <c r="C503" s="109"/>
      <c r="D503" s="109"/>
      <c r="E503" s="109"/>
      <c r="F503" s="109"/>
      <c r="G503" s="109"/>
      <c r="H503" s="109"/>
      <c r="I503" s="109"/>
      <c r="J503" s="109"/>
      <c r="K503" s="109"/>
      <c r="L503" s="109"/>
      <c r="M503" s="109"/>
      <c r="N503" s="109"/>
      <c r="O503" s="109"/>
      <c r="P503" s="109"/>
      <c r="Q503" s="109"/>
      <c r="R503" s="109"/>
      <c r="S503" s="109"/>
      <c r="T503" s="109"/>
      <c r="U503" s="109"/>
      <c r="V503" s="109"/>
      <c r="W503" s="109"/>
      <c r="X503" s="109"/>
      <c r="Y503" s="109"/>
      <c r="Z503" s="109"/>
    </row>
    <row r="504" spans="1:26" ht="11.25" customHeight="1">
      <c r="A504" s="109"/>
      <c r="B504" s="109"/>
      <c r="C504" s="109"/>
      <c r="D504" s="109"/>
      <c r="E504" s="109"/>
      <c r="F504" s="109"/>
      <c r="G504" s="109"/>
      <c r="H504" s="109"/>
      <c r="I504" s="109"/>
      <c r="J504" s="109"/>
      <c r="K504" s="109"/>
      <c r="L504" s="109"/>
      <c r="M504" s="109"/>
      <c r="N504" s="109"/>
      <c r="O504" s="109"/>
      <c r="P504" s="109"/>
      <c r="Q504" s="109"/>
      <c r="R504" s="109"/>
      <c r="S504" s="109"/>
      <c r="T504" s="109"/>
      <c r="U504" s="109"/>
      <c r="V504" s="109"/>
      <c r="W504" s="109"/>
      <c r="X504" s="109"/>
      <c r="Y504" s="109"/>
      <c r="Z504" s="109"/>
    </row>
    <row r="505" spans="1:26" ht="11.25" customHeight="1">
      <c r="A505" s="109"/>
      <c r="B505" s="109"/>
      <c r="C505" s="109"/>
      <c r="D505" s="109"/>
      <c r="E505" s="109"/>
      <c r="F505" s="109"/>
      <c r="G505" s="109"/>
      <c r="H505" s="109"/>
      <c r="I505" s="109"/>
      <c r="J505" s="109"/>
      <c r="K505" s="109"/>
      <c r="L505" s="109"/>
      <c r="M505" s="109"/>
      <c r="N505" s="109"/>
      <c r="O505" s="109"/>
      <c r="P505" s="109"/>
      <c r="Q505" s="109"/>
      <c r="R505" s="109"/>
      <c r="S505" s="109"/>
      <c r="T505" s="109"/>
      <c r="U505" s="109"/>
      <c r="V505" s="109"/>
      <c r="W505" s="109"/>
      <c r="X505" s="109"/>
      <c r="Y505" s="109"/>
      <c r="Z505" s="109"/>
    </row>
    <row r="506" spans="1:26" ht="11.25" customHeight="1">
      <c r="A506" s="109"/>
      <c r="B506" s="109"/>
      <c r="C506" s="109"/>
      <c r="D506" s="109"/>
      <c r="E506" s="109"/>
      <c r="F506" s="109"/>
      <c r="G506" s="109"/>
      <c r="H506" s="109"/>
      <c r="I506" s="109"/>
      <c r="J506" s="109"/>
      <c r="K506" s="109"/>
      <c r="L506" s="109"/>
      <c r="M506" s="109"/>
      <c r="N506" s="109"/>
      <c r="O506" s="109"/>
      <c r="P506" s="109"/>
      <c r="Q506" s="109"/>
      <c r="R506" s="109"/>
      <c r="S506" s="109"/>
      <c r="T506" s="109"/>
      <c r="U506" s="109"/>
      <c r="V506" s="109"/>
      <c r="W506" s="109"/>
      <c r="X506" s="109"/>
      <c r="Y506" s="109"/>
      <c r="Z506" s="109"/>
    </row>
    <row r="507" spans="1:26" ht="11.25" customHeight="1">
      <c r="A507" s="109"/>
      <c r="B507" s="109"/>
      <c r="C507" s="109"/>
      <c r="D507" s="109"/>
      <c r="E507" s="109"/>
      <c r="F507" s="109"/>
      <c r="G507" s="109"/>
      <c r="H507" s="109"/>
      <c r="I507" s="109"/>
      <c r="J507" s="109"/>
      <c r="K507" s="109"/>
      <c r="L507" s="109"/>
      <c r="M507" s="109"/>
      <c r="N507" s="109"/>
      <c r="O507" s="109"/>
      <c r="P507" s="109"/>
      <c r="Q507" s="109"/>
      <c r="R507" s="109"/>
      <c r="S507" s="109"/>
      <c r="T507" s="109"/>
      <c r="U507" s="109"/>
      <c r="V507" s="109"/>
      <c r="W507" s="109"/>
      <c r="X507" s="109"/>
      <c r="Y507" s="109"/>
      <c r="Z507" s="109"/>
    </row>
    <row r="508" spans="1:26" ht="11.25" customHeight="1">
      <c r="A508" s="109"/>
      <c r="B508" s="109"/>
      <c r="C508" s="109"/>
      <c r="D508" s="109"/>
      <c r="E508" s="109"/>
      <c r="F508" s="109"/>
      <c r="G508" s="109"/>
      <c r="H508" s="109"/>
      <c r="I508" s="109"/>
      <c r="J508" s="109"/>
      <c r="K508" s="109"/>
      <c r="L508" s="109"/>
      <c r="M508" s="109"/>
      <c r="N508" s="109"/>
      <c r="O508" s="109"/>
      <c r="P508" s="109"/>
      <c r="Q508" s="109"/>
      <c r="R508" s="109"/>
      <c r="S508" s="109"/>
      <c r="T508" s="109"/>
      <c r="U508" s="109"/>
      <c r="V508" s="109"/>
      <c r="W508" s="109"/>
      <c r="X508" s="109"/>
      <c r="Y508" s="109"/>
      <c r="Z508" s="109"/>
    </row>
    <row r="509" spans="1:26" ht="11.25" customHeight="1">
      <c r="A509" s="109"/>
      <c r="B509" s="109"/>
      <c r="C509" s="109"/>
      <c r="D509" s="109"/>
      <c r="E509" s="109"/>
      <c r="F509" s="109"/>
      <c r="G509" s="109"/>
      <c r="H509" s="109"/>
      <c r="I509" s="109"/>
      <c r="J509" s="109"/>
      <c r="K509" s="109"/>
      <c r="L509" s="109"/>
      <c r="M509" s="109"/>
      <c r="N509" s="109"/>
      <c r="O509" s="109"/>
      <c r="P509" s="109"/>
      <c r="Q509" s="109"/>
      <c r="R509" s="109"/>
      <c r="S509" s="109"/>
      <c r="T509" s="109"/>
      <c r="U509" s="109"/>
      <c r="V509" s="109"/>
      <c r="W509" s="109"/>
      <c r="X509" s="109"/>
      <c r="Y509" s="109"/>
      <c r="Z509" s="109"/>
    </row>
    <row r="510" spans="1:26" ht="11.25" customHeight="1">
      <c r="A510" s="109"/>
      <c r="B510" s="109"/>
      <c r="C510" s="109"/>
      <c r="D510" s="109"/>
      <c r="E510" s="109"/>
      <c r="F510" s="109"/>
      <c r="G510" s="109"/>
      <c r="H510" s="109"/>
      <c r="I510" s="109"/>
      <c r="J510" s="109"/>
      <c r="K510" s="109"/>
      <c r="L510" s="109"/>
      <c r="M510" s="109"/>
      <c r="N510" s="109"/>
      <c r="O510" s="109"/>
      <c r="P510" s="109"/>
      <c r="Q510" s="109"/>
      <c r="R510" s="109"/>
      <c r="S510" s="109"/>
      <c r="T510" s="109"/>
      <c r="U510" s="109"/>
      <c r="V510" s="109"/>
      <c r="W510" s="109"/>
      <c r="X510" s="109"/>
      <c r="Y510" s="109"/>
      <c r="Z510" s="109"/>
    </row>
    <row r="511" spans="1:26" ht="11.25" customHeight="1">
      <c r="A511" s="109"/>
      <c r="B511" s="109"/>
      <c r="C511" s="109"/>
      <c r="D511" s="109"/>
      <c r="E511" s="109"/>
      <c r="F511" s="109"/>
      <c r="G511" s="109"/>
      <c r="H511" s="109"/>
      <c r="I511" s="109"/>
      <c r="J511" s="109"/>
      <c r="K511" s="109"/>
      <c r="L511" s="109"/>
      <c r="M511" s="109"/>
      <c r="N511" s="109"/>
      <c r="O511" s="109"/>
      <c r="P511" s="109"/>
      <c r="Q511" s="109"/>
      <c r="R511" s="109"/>
      <c r="S511" s="109"/>
      <c r="T511" s="109"/>
      <c r="U511" s="109"/>
      <c r="V511" s="109"/>
      <c r="W511" s="109"/>
      <c r="X511" s="109"/>
      <c r="Y511" s="109"/>
      <c r="Z511" s="109"/>
    </row>
    <row r="512" spans="1:26" ht="11.25" customHeight="1">
      <c r="A512" s="109"/>
      <c r="B512" s="109"/>
      <c r="C512" s="109"/>
      <c r="D512" s="109"/>
      <c r="E512" s="109"/>
      <c r="F512" s="109"/>
      <c r="G512" s="109"/>
      <c r="H512" s="109"/>
      <c r="I512" s="109"/>
      <c r="J512" s="109"/>
      <c r="K512" s="109"/>
      <c r="L512" s="109"/>
      <c r="M512" s="109"/>
      <c r="N512" s="109"/>
      <c r="O512" s="109"/>
      <c r="P512" s="109"/>
      <c r="Q512" s="109"/>
      <c r="R512" s="109"/>
      <c r="S512" s="109"/>
      <c r="T512" s="109"/>
      <c r="U512" s="109"/>
      <c r="V512" s="109"/>
      <c r="W512" s="109"/>
      <c r="X512" s="109"/>
      <c r="Y512" s="109"/>
      <c r="Z512" s="109"/>
    </row>
    <row r="513" spans="1:26" ht="11.25" customHeight="1">
      <c r="A513" s="109"/>
      <c r="B513" s="109"/>
      <c r="C513" s="109"/>
      <c r="D513" s="109"/>
      <c r="E513" s="109"/>
      <c r="F513" s="109"/>
      <c r="G513" s="109"/>
      <c r="H513" s="109"/>
      <c r="I513" s="109"/>
      <c r="J513" s="109"/>
      <c r="K513" s="109"/>
      <c r="L513" s="109"/>
      <c r="M513" s="109"/>
      <c r="N513" s="109"/>
      <c r="O513" s="109"/>
      <c r="P513" s="109"/>
      <c r="Q513" s="109"/>
      <c r="R513" s="109"/>
      <c r="S513" s="109"/>
      <c r="T513" s="109"/>
      <c r="U513" s="109"/>
      <c r="V513" s="109"/>
      <c r="W513" s="109"/>
      <c r="X513" s="109"/>
      <c r="Y513" s="109"/>
      <c r="Z513" s="109"/>
    </row>
    <row r="514" spans="1:26" ht="11.25" customHeight="1">
      <c r="A514" s="109"/>
      <c r="B514" s="109"/>
      <c r="C514" s="109"/>
      <c r="D514" s="109"/>
      <c r="E514" s="109"/>
      <c r="F514" s="109"/>
      <c r="G514" s="109"/>
      <c r="H514" s="109"/>
      <c r="I514" s="109"/>
      <c r="J514" s="109"/>
      <c r="K514" s="109"/>
      <c r="L514" s="109"/>
      <c r="M514" s="109"/>
      <c r="N514" s="109"/>
      <c r="O514" s="109"/>
      <c r="P514" s="109"/>
      <c r="Q514" s="109"/>
      <c r="R514" s="109"/>
      <c r="S514" s="109"/>
      <c r="T514" s="109"/>
      <c r="U514" s="109"/>
      <c r="V514" s="109"/>
      <c r="W514" s="109"/>
      <c r="X514" s="109"/>
      <c r="Y514" s="109"/>
      <c r="Z514" s="109"/>
    </row>
    <row r="515" spans="1:26" ht="11.25" customHeight="1">
      <c r="A515" s="109"/>
      <c r="B515" s="109"/>
      <c r="C515" s="109"/>
      <c r="D515" s="109"/>
      <c r="E515" s="109"/>
      <c r="F515" s="109"/>
      <c r="G515" s="109"/>
      <c r="H515" s="109"/>
      <c r="I515" s="109"/>
      <c r="J515" s="109"/>
      <c r="K515" s="109"/>
      <c r="L515" s="109"/>
      <c r="M515" s="109"/>
      <c r="N515" s="109"/>
      <c r="O515" s="109"/>
      <c r="P515" s="109"/>
      <c r="Q515" s="109"/>
      <c r="R515" s="109"/>
      <c r="S515" s="109"/>
      <c r="T515" s="109"/>
      <c r="U515" s="109"/>
      <c r="V515" s="109"/>
      <c r="W515" s="109"/>
      <c r="X515" s="109"/>
      <c r="Y515" s="109"/>
      <c r="Z515" s="109"/>
    </row>
    <row r="516" spans="1:26" ht="11.25" customHeight="1">
      <c r="A516" s="109"/>
      <c r="B516" s="109"/>
      <c r="C516" s="109"/>
      <c r="D516" s="109"/>
      <c r="E516" s="109"/>
      <c r="F516" s="109"/>
      <c r="G516" s="109"/>
      <c r="H516" s="109"/>
      <c r="I516" s="109"/>
      <c r="J516" s="109"/>
      <c r="K516" s="109"/>
      <c r="L516" s="109"/>
      <c r="M516" s="109"/>
      <c r="N516" s="109"/>
      <c r="O516" s="109"/>
      <c r="P516" s="109"/>
      <c r="Q516" s="109"/>
      <c r="R516" s="109"/>
      <c r="S516" s="109"/>
      <c r="T516" s="109"/>
      <c r="U516" s="109"/>
      <c r="V516" s="109"/>
      <c r="W516" s="109"/>
      <c r="X516" s="109"/>
      <c r="Y516" s="109"/>
      <c r="Z516" s="109"/>
    </row>
    <row r="517" spans="1:26" ht="11.25" customHeight="1">
      <c r="A517" s="109"/>
      <c r="B517" s="109"/>
      <c r="C517" s="109"/>
      <c r="D517" s="109"/>
      <c r="E517" s="109"/>
      <c r="F517" s="109"/>
      <c r="G517" s="109"/>
      <c r="H517" s="109"/>
      <c r="I517" s="109"/>
      <c r="J517" s="109"/>
      <c r="K517" s="109"/>
      <c r="L517" s="109"/>
      <c r="M517" s="109"/>
      <c r="N517" s="109"/>
      <c r="O517" s="109"/>
      <c r="P517" s="109"/>
      <c r="Q517" s="109"/>
      <c r="R517" s="109"/>
      <c r="S517" s="109"/>
      <c r="T517" s="109"/>
      <c r="U517" s="109"/>
      <c r="V517" s="109"/>
      <c r="W517" s="109"/>
      <c r="X517" s="109"/>
      <c r="Y517" s="109"/>
      <c r="Z517" s="109"/>
    </row>
    <row r="518" spans="1:26" ht="11.25" customHeight="1">
      <c r="A518" s="109"/>
      <c r="B518" s="109"/>
      <c r="C518" s="109"/>
      <c r="D518" s="109"/>
      <c r="E518" s="109"/>
      <c r="F518" s="109"/>
      <c r="G518" s="109"/>
      <c r="H518" s="109"/>
      <c r="I518" s="109"/>
      <c r="J518" s="109"/>
      <c r="K518" s="109"/>
      <c r="L518" s="109"/>
      <c r="M518" s="109"/>
      <c r="N518" s="109"/>
      <c r="O518" s="109"/>
      <c r="P518" s="109"/>
      <c r="Q518" s="109"/>
      <c r="R518" s="109"/>
      <c r="S518" s="109"/>
      <c r="T518" s="109"/>
      <c r="U518" s="109"/>
      <c r="V518" s="109"/>
      <c r="W518" s="109"/>
      <c r="X518" s="109"/>
      <c r="Y518" s="109"/>
      <c r="Z518" s="109"/>
    </row>
    <row r="519" spans="1:26" ht="11.25" customHeight="1">
      <c r="A519" s="109"/>
      <c r="B519" s="109"/>
      <c r="C519" s="109"/>
      <c r="D519" s="109"/>
      <c r="E519" s="109"/>
      <c r="F519" s="109"/>
      <c r="G519" s="109"/>
      <c r="H519" s="109"/>
      <c r="I519" s="109"/>
      <c r="J519" s="109"/>
      <c r="K519" s="109"/>
      <c r="L519" s="109"/>
      <c r="M519" s="109"/>
      <c r="N519" s="109"/>
      <c r="O519" s="109"/>
      <c r="P519" s="109"/>
      <c r="Q519" s="109"/>
      <c r="R519" s="109"/>
      <c r="S519" s="109"/>
      <c r="T519" s="109"/>
      <c r="U519" s="109"/>
      <c r="V519" s="109"/>
      <c r="W519" s="109"/>
      <c r="X519" s="109"/>
      <c r="Y519" s="109"/>
      <c r="Z519" s="109"/>
    </row>
    <row r="520" spans="1:26" ht="11.25" customHeight="1">
      <c r="A520" s="109"/>
      <c r="B520" s="109"/>
      <c r="C520" s="109"/>
      <c r="D520" s="109"/>
      <c r="E520" s="109"/>
      <c r="F520" s="109"/>
      <c r="G520" s="109"/>
      <c r="H520" s="109"/>
      <c r="I520" s="109"/>
      <c r="J520" s="109"/>
      <c r="K520" s="109"/>
      <c r="L520" s="109"/>
      <c r="M520" s="109"/>
      <c r="N520" s="109"/>
      <c r="O520" s="109"/>
      <c r="P520" s="109"/>
      <c r="Q520" s="109"/>
      <c r="R520" s="109"/>
      <c r="S520" s="109"/>
      <c r="T520" s="109"/>
      <c r="U520" s="109"/>
      <c r="V520" s="109"/>
      <c r="W520" s="109"/>
      <c r="X520" s="109"/>
      <c r="Y520" s="109"/>
      <c r="Z520" s="109"/>
    </row>
    <row r="521" spans="1:26" ht="11.25" customHeight="1">
      <c r="A521" s="109"/>
      <c r="B521" s="109"/>
      <c r="C521" s="109"/>
      <c r="D521" s="109"/>
      <c r="E521" s="109"/>
      <c r="F521" s="109"/>
      <c r="G521" s="109"/>
      <c r="H521" s="109"/>
      <c r="I521" s="109"/>
      <c r="J521" s="109"/>
      <c r="K521" s="109"/>
      <c r="L521" s="109"/>
      <c r="M521" s="109"/>
      <c r="N521" s="109"/>
      <c r="O521" s="109"/>
      <c r="P521" s="109"/>
      <c r="Q521" s="109"/>
      <c r="R521" s="109"/>
      <c r="S521" s="109"/>
      <c r="T521" s="109"/>
      <c r="U521" s="109"/>
      <c r="V521" s="109"/>
      <c r="W521" s="109"/>
      <c r="X521" s="109"/>
      <c r="Y521" s="109"/>
      <c r="Z521" s="109"/>
    </row>
    <row r="522" spans="1:26" ht="11.25" customHeight="1">
      <c r="A522" s="109"/>
      <c r="B522" s="109"/>
      <c r="C522" s="109"/>
      <c r="D522" s="109"/>
      <c r="E522" s="109"/>
      <c r="F522" s="109"/>
      <c r="G522" s="109"/>
      <c r="H522" s="109"/>
      <c r="I522" s="109"/>
      <c r="J522" s="109"/>
      <c r="K522" s="109"/>
      <c r="L522" s="109"/>
      <c r="M522" s="109"/>
      <c r="N522" s="109"/>
      <c r="O522" s="109"/>
      <c r="P522" s="109"/>
      <c r="Q522" s="109"/>
      <c r="R522" s="109"/>
      <c r="S522" s="109"/>
      <c r="T522" s="109"/>
      <c r="U522" s="109"/>
      <c r="V522" s="109"/>
      <c r="W522" s="109"/>
      <c r="X522" s="109"/>
      <c r="Y522" s="109"/>
      <c r="Z522" s="109"/>
    </row>
    <row r="523" spans="1:26" ht="11.25" customHeight="1">
      <c r="A523" s="109"/>
      <c r="B523" s="109"/>
      <c r="C523" s="109"/>
      <c r="D523" s="109"/>
      <c r="E523" s="109"/>
      <c r="F523" s="109"/>
      <c r="G523" s="109"/>
      <c r="H523" s="109"/>
      <c r="I523" s="109"/>
      <c r="J523" s="109"/>
      <c r="K523" s="109"/>
      <c r="L523" s="109"/>
      <c r="M523" s="109"/>
      <c r="N523" s="109"/>
      <c r="O523" s="109"/>
      <c r="P523" s="109"/>
      <c r="Q523" s="109"/>
      <c r="R523" s="109"/>
      <c r="S523" s="109"/>
      <c r="T523" s="109"/>
      <c r="U523" s="109"/>
      <c r="V523" s="109"/>
      <c r="W523" s="109"/>
      <c r="X523" s="109"/>
      <c r="Y523" s="109"/>
      <c r="Z523" s="109"/>
    </row>
    <row r="524" spans="1:26" ht="11.25" customHeight="1">
      <c r="A524" s="109"/>
      <c r="B524" s="109"/>
      <c r="C524" s="109"/>
      <c r="D524" s="109"/>
      <c r="E524" s="109"/>
      <c r="F524" s="109"/>
      <c r="G524" s="109"/>
      <c r="H524" s="109"/>
      <c r="I524" s="109"/>
      <c r="J524" s="109"/>
      <c r="K524" s="109"/>
      <c r="L524" s="109"/>
      <c r="M524" s="109"/>
      <c r="N524" s="109"/>
      <c r="O524" s="109"/>
      <c r="P524" s="109"/>
      <c r="Q524" s="109"/>
      <c r="R524" s="109"/>
      <c r="S524" s="109"/>
      <c r="T524" s="109"/>
      <c r="U524" s="109"/>
      <c r="V524" s="109"/>
      <c r="W524" s="109"/>
      <c r="X524" s="109"/>
      <c r="Y524" s="109"/>
      <c r="Z524" s="109"/>
    </row>
    <row r="525" spans="1:26" ht="11.25" customHeight="1">
      <c r="A525" s="109"/>
      <c r="B525" s="109"/>
      <c r="C525" s="109"/>
      <c r="D525" s="109"/>
      <c r="E525" s="109"/>
      <c r="F525" s="109"/>
      <c r="G525" s="109"/>
      <c r="H525" s="109"/>
      <c r="I525" s="109"/>
      <c r="J525" s="109"/>
      <c r="K525" s="109"/>
      <c r="L525" s="109"/>
      <c r="M525" s="109"/>
      <c r="N525" s="109"/>
      <c r="O525" s="109"/>
      <c r="P525" s="109"/>
      <c r="Q525" s="109"/>
      <c r="R525" s="109"/>
      <c r="S525" s="109"/>
      <c r="T525" s="109"/>
      <c r="U525" s="109"/>
      <c r="V525" s="109"/>
      <c r="W525" s="109"/>
      <c r="X525" s="109"/>
      <c r="Y525" s="109"/>
      <c r="Z525" s="109"/>
    </row>
    <row r="526" spans="1:26" ht="11.25" customHeight="1">
      <c r="A526" s="109"/>
      <c r="B526" s="109"/>
      <c r="C526" s="109"/>
      <c r="D526" s="109"/>
      <c r="E526" s="109"/>
      <c r="F526" s="109"/>
      <c r="G526" s="109"/>
      <c r="H526" s="109"/>
      <c r="I526" s="109"/>
      <c r="J526" s="109"/>
      <c r="K526" s="109"/>
      <c r="L526" s="109"/>
      <c r="M526" s="109"/>
      <c r="N526" s="109"/>
      <c r="O526" s="109"/>
      <c r="P526" s="109"/>
      <c r="Q526" s="109"/>
      <c r="R526" s="109"/>
      <c r="S526" s="109"/>
      <c r="T526" s="109"/>
      <c r="U526" s="109"/>
      <c r="V526" s="109"/>
      <c r="W526" s="109"/>
      <c r="X526" s="109"/>
      <c r="Y526" s="109"/>
      <c r="Z526" s="109"/>
    </row>
    <row r="527" spans="1:26" ht="11.25" customHeight="1">
      <c r="A527" s="109"/>
      <c r="B527" s="109"/>
      <c r="C527" s="109"/>
      <c r="D527" s="109"/>
      <c r="E527" s="109"/>
      <c r="F527" s="109"/>
      <c r="G527" s="109"/>
      <c r="H527" s="109"/>
      <c r="I527" s="109"/>
      <c r="J527" s="109"/>
      <c r="K527" s="109"/>
      <c r="L527" s="109"/>
      <c r="M527" s="109"/>
      <c r="N527" s="109"/>
      <c r="O527" s="109"/>
      <c r="P527" s="109"/>
      <c r="Q527" s="109"/>
      <c r="R527" s="109"/>
      <c r="S527" s="109"/>
      <c r="T527" s="109"/>
      <c r="U527" s="109"/>
      <c r="V527" s="109"/>
      <c r="W527" s="109"/>
      <c r="X527" s="109"/>
      <c r="Y527" s="109"/>
      <c r="Z527" s="109"/>
    </row>
    <row r="528" spans="1:26" ht="11.25" customHeight="1">
      <c r="A528" s="109"/>
      <c r="B528" s="109"/>
      <c r="C528" s="109"/>
      <c r="D528" s="109"/>
      <c r="E528" s="109"/>
      <c r="F528" s="109"/>
      <c r="G528" s="109"/>
      <c r="H528" s="109"/>
      <c r="I528" s="109"/>
      <c r="J528" s="109"/>
      <c r="K528" s="109"/>
      <c r="L528" s="109"/>
      <c r="M528" s="109"/>
      <c r="N528" s="109"/>
      <c r="O528" s="109"/>
      <c r="P528" s="109"/>
      <c r="Q528" s="109"/>
      <c r="R528" s="109"/>
      <c r="S528" s="109"/>
      <c r="T528" s="109"/>
      <c r="U528" s="109"/>
      <c r="V528" s="109"/>
      <c r="W528" s="109"/>
      <c r="X528" s="109"/>
      <c r="Y528" s="109"/>
      <c r="Z528" s="109"/>
    </row>
    <row r="529" spans="1:26" ht="11.25" customHeight="1">
      <c r="A529" s="109"/>
      <c r="B529" s="109"/>
      <c r="C529" s="109"/>
      <c r="D529" s="109"/>
      <c r="E529" s="109"/>
      <c r="F529" s="109"/>
      <c r="G529" s="109"/>
      <c r="H529" s="109"/>
      <c r="I529" s="109"/>
      <c r="J529" s="109"/>
      <c r="K529" s="109"/>
      <c r="L529" s="109"/>
      <c r="M529" s="109"/>
      <c r="N529" s="109"/>
      <c r="O529" s="109"/>
      <c r="P529" s="109"/>
      <c r="Q529" s="109"/>
      <c r="R529" s="109"/>
      <c r="S529" s="109"/>
      <c r="T529" s="109"/>
      <c r="U529" s="109"/>
      <c r="V529" s="109"/>
      <c r="W529" s="109"/>
      <c r="X529" s="109"/>
      <c r="Y529" s="109"/>
      <c r="Z529" s="109"/>
    </row>
    <row r="530" spans="1:26" ht="11.25" customHeight="1">
      <c r="A530" s="109"/>
      <c r="B530" s="109"/>
      <c r="C530" s="109"/>
      <c r="D530" s="109"/>
      <c r="E530" s="109"/>
      <c r="F530" s="109"/>
      <c r="G530" s="109"/>
      <c r="H530" s="109"/>
      <c r="I530" s="109"/>
      <c r="J530" s="109"/>
      <c r="K530" s="109"/>
      <c r="L530" s="109"/>
      <c r="M530" s="109"/>
      <c r="N530" s="109"/>
      <c r="O530" s="109"/>
      <c r="P530" s="109"/>
      <c r="Q530" s="109"/>
      <c r="R530" s="109"/>
      <c r="S530" s="109"/>
      <c r="T530" s="109"/>
      <c r="U530" s="109"/>
      <c r="V530" s="109"/>
      <c r="W530" s="109"/>
      <c r="X530" s="109"/>
      <c r="Y530" s="109"/>
      <c r="Z530" s="109"/>
    </row>
    <row r="531" spans="1:26" ht="11.25" customHeight="1">
      <c r="A531" s="109"/>
      <c r="B531" s="109"/>
      <c r="C531" s="109"/>
      <c r="D531" s="109"/>
      <c r="E531" s="109"/>
      <c r="F531" s="109"/>
      <c r="G531" s="109"/>
      <c r="H531" s="109"/>
      <c r="I531" s="109"/>
      <c r="J531" s="109"/>
      <c r="K531" s="109"/>
      <c r="L531" s="109"/>
      <c r="M531" s="109"/>
      <c r="N531" s="109"/>
      <c r="O531" s="109"/>
      <c r="P531" s="109"/>
      <c r="Q531" s="109"/>
      <c r="R531" s="109"/>
      <c r="S531" s="109"/>
      <c r="T531" s="109"/>
      <c r="U531" s="109"/>
      <c r="V531" s="109"/>
      <c r="W531" s="109"/>
      <c r="X531" s="109"/>
      <c r="Y531" s="109"/>
      <c r="Z531" s="109"/>
    </row>
    <row r="532" spans="1:26" ht="11.25" customHeight="1">
      <c r="A532" s="109"/>
      <c r="B532" s="109"/>
      <c r="C532" s="109"/>
      <c r="D532" s="109"/>
      <c r="E532" s="109"/>
      <c r="F532" s="109"/>
      <c r="G532" s="109"/>
      <c r="H532" s="109"/>
      <c r="I532" s="109"/>
      <c r="J532" s="109"/>
      <c r="K532" s="109"/>
      <c r="L532" s="109"/>
      <c r="M532" s="109"/>
      <c r="N532" s="109"/>
      <c r="O532" s="109"/>
      <c r="P532" s="109"/>
      <c r="Q532" s="109"/>
      <c r="R532" s="109"/>
      <c r="S532" s="109"/>
      <c r="T532" s="109"/>
      <c r="U532" s="109"/>
      <c r="V532" s="109"/>
      <c r="W532" s="109"/>
      <c r="X532" s="109"/>
      <c r="Y532" s="109"/>
      <c r="Z532" s="109"/>
    </row>
    <row r="533" spans="1:26" ht="11.25" customHeight="1">
      <c r="A533" s="109"/>
      <c r="B533" s="109"/>
      <c r="C533" s="109"/>
      <c r="D533" s="109"/>
      <c r="E533" s="109"/>
      <c r="F533" s="109"/>
      <c r="G533" s="109"/>
      <c r="H533" s="109"/>
      <c r="I533" s="109"/>
      <c r="J533" s="109"/>
      <c r="K533" s="109"/>
      <c r="L533" s="109"/>
      <c r="M533" s="109"/>
      <c r="N533" s="109"/>
      <c r="O533" s="109"/>
      <c r="P533" s="109"/>
      <c r="Q533" s="109"/>
      <c r="R533" s="109"/>
      <c r="S533" s="109"/>
      <c r="T533" s="109"/>
      <c r="U533" s="109"/>
      <c r="V533" s="109"/>
      <c r="W533" s="109"/>
      <c r="X533" s="109"/>
      <c r="Y533" s="109"/>
      <c r="Z533" s="109"/>
    </row>
    <row r="534" spans="1:26" ht="11.25" customHeight="1">
      <c r="A534" s="109"/>
      <c r="B534" s="109"/>
      <c r="C534" s="109"/>
      <c r="D534" s="109"/>
      <c r="E534" s="109"/>
      <c r="F534" s="109"/>
      <c r="G534" s="109"/>
      <c r="H534" s="109"/>
      <c r="I534" s="109"/>
      <c r="J534" s="109"/>
      <c r="K534" s="109"/>
      <c r="L534" s="109"/>
      <c r="M534" s="109"/>
      <c r="N534" s="109"/>
      <c r="O534" s="109"/>
      <c r="P534" s="109"/>
      <c r="Q534" s="109"/>
      <c r="R534" s="109"/>
      <c r="S534" s="109"/>
      <c r="T534" s="109"/>
      <c r="U534" s="109"/>
      <c r="V534" s="109"/>
      <c r="W534" s="109"/>
      <c r="X534" s="109"/>
      <c r="Y534" s="109"/>
      <c r="Z534" s="109"/>
    </row>
    <row r="535" spans="1:26" ht="11.25" customHeight="1">
      <c r="A535" s="109"/>
      <c r="B535" s="109"/>
      <c r="C535" s="109"/>
      <c r="D535" s="109"/>
      <c r="E535" s="109"/>
      <c r="F535" s="109"/>
      <c r="G535" s="109"/>
      <c r="H535" s="109"/>
      <c r="I535" s="109"/>
      <c r="J535" s="109"/>
      <c r="K535" s="109"/>
      <c r="L535" s="109"/>
      <c r="M535" s="109"/>
      <c r="N535" s="109"/>
      <c r="O535" s="109"/>
      <c r="P535" s="109"/>
      <c r="Q535" s="109"/>
      <c r="R535" s="109"/>
      <c r="S535" s="109"/>
      <c r="T535" s="109"/>
      <c r="U535" s="109"/>
      <c r="V535" s="109"/>
      <c r="W535" s="109"/>
      <c r="X535" s="109"/>
      <c r="Y535" s="109"/>
      <c r="Z535" s="109"/>
    </row>
    <row r="536" spans="1:26" ht="11.25" customHeight="1">
      <c r="A536" s="109"/>
      <c r="B536" s="109"/>
      <c r="C536" s="109"/>
      <c r="D536" s="109"/>
      <c r="E536" s="109"/>
      <c r="F536" s="109"/>
      <c r="G536" s="109"/>
      <c r="H536" s="109"/>
      <c r="I536" s="109"/>
      <c r="J536" s="109"/>
      <c r="K536" s="109"/>
      <c r="L536" s="109"/>
      <c r="M536" s="109"/>
      <c r="N536" s="109"/>
      <c r="O536" s="109"/>
      <c r="P536" s="109"/>
      <c r="Q536" s="109"/>
      <c r="R536" s="109"/>
      <c r="S536" s="109"/>
      <c r="T536" s="109"/>
      <c r="U536" s="109"/>
      <c r="V536" s="109"/>
      <c r="W536" s="109"/>
      <c r="X536" s="109"/>
      <c r="Y536" s="109"/>
      <c r="Z536" s="109"/>
    </row>
    <row r="537" spans="1:26" ht="11.25" customHeight="1">
      <c r="A537" s="109"/>
      <c r="B537" s="109"/>
      <c r="C537" s="109"/>
      <c r="D537" s="109"/>
      <c r="E537" s="109"/>
      <c r="F537" s="109"/>
      <c r="G537" s="109"/>
      <c r="H537" s="109"/>
      <c r="I537" s="109"/>
      <c r="J537" s="109"/>
      <c r="K537" s="109"/>
      <c r="L537" s="109"/>
      <c r="M537" s="109"/>
      <c r="N537" s="109"/>
      <c r="O537" s="109"/>
      <c r="P537" s="109"/>
      <c r="Q537" s="109"/>
      <c r="R537" s="109"/>
      <c r="S537" s="109"/>
      <c r="T537" s="109"/>
      <c r="U537" s="109"/>
      <c r="V537" s="109"/>
      <c r="W537" s="109"/>
      <c r="X537" s="109"/>
      <c r="Y537" s="109"/>
      <c r="Z537" s="109"/>
    </row>
    <row r="538" spans="1:26" ht="11.25" customHeight="1">
      <c r="A538" s="109"/>
      <c r="B538" s="109"/>
      <c r="C538" s="109"/>
      <c r="D538" s="109"/>
      <c r="E538" s="109"/>
      <c r="F538" s="109"/>
      <c r="G538" s="109"/>
      <c r="H538" s="109"/>
      <c r="I538" s="109"/>
      <c r="J538" s="109"/>
      <c r="K538" s="109"/>
      <c r="L538" s="109"/>
      <c r="M538" s="109"/>
      <c r="N538" s="109"/>
      <c r="O538" s="109"/>
      <c r="P538" s="109"/>
      <c r="Q538" s="109"/>
      <c r="R538" s="109"/>
      <c r="S538" s="109"/>
      <c r="T538" s="109"/>
      <c r="U538" s="109"/>
      <c r="V538" s="109"/>
      <c r="W538" s="109"/>
      <c r="X538" s="109"/>
      <c r="Y538" s="109"/>
      <c r="Z538" s="109"/>
    </row>
    <row r="539" spans="1:26" ht="11.25" customHeight="1">
      <c r="A539" s="109"/>
      <c r="B539" s="109"/>
      <c r="C539" s="109"/>
      <c r="D539" s="109"/>
      <c r="E539" s="109"/>
      <c r="F539" s="109"/>
      <c r="G539" s="109"/>
      <c r="H539" s="109"/>
      <c r="I539" s="109"/>
      <c r="J539" s="109"/>
      <c r="K539" s="109"/>
      <c r="L539" s="109"/>
      <c r="M539" s="109"/>
      <c r="N539" s="109"/>
      <c r="O539" s="109"/>
      <c r="P539" s="109"/>
      <c r="Q539" s="109"/>
      <c r="R539" s="109"/>
      <c r="S539" s="109"/>
      <c r="T539" s="109"/>
      <c r="U539" s="109"/>
      <c r="V539" s="109"/>
      <c r="W539" s="109"/>
      <c r="X539" s="109"/>
      <c r="Y539" s="109"/>
      <c r="Z539" s="109"/>
    </row>
    <row r="540" spans="1:26" ht="11.25" customHeight="1">
      <c r="A540" s="109"/>
      <c r="B540" s="109"/>
      <c r="C540" s="109"/>
      <c r="D540" s="109"/>
      <c r="E540" s="109"/>
      <c r="F540" s="109"/>
      <c r="G540" s="109"/>
      <c r="H540" s="109"/>
      <c r="I540" s="109"/>
      <c r="J540" s="109"/>
      <c r="K540" s="109"/>
      <c r="L540" s="109"/>
      <c r="M540" s="109"/>
      <c r="N540" s="109"/>
      <c r="O540" s="109"/>
      <c r="P540" s="109"/>
      <c r="Q540" s="109"/>
      <c r="R540" s="109"/>
      <c r="S540" s="109"/>
      <c r="T540" s="109"/>
      <c r="U540" s="109"/>
      <c r="V540" s="109"/>
      <c r="W540" s="109"/>
      <c r="X540" s="109"/>
      <c r="Y540" s="109"/>
      <c r="Z540" s="109"/>
    </row>
    <row r="541" spans="1:26" ht="11.25" customHeight="1">
      <c r="A541" s="109"/>
      <c r="B541" s="109"/>
      <c r="C541" s="109"/>
      <c r="D541" s="109"/>
      <c r="E541" s="109"/>
      <c r="F541" s="109"/>
      <c r="G541" s="109"/>
      <c r="H541" s="109"/>
      <c r="I541" s="109"/>
      <c r="J541" s="109"/>
      <c r="K541" s="109"/>
      <c r="L541" s="109"/>
      <c r="M541" s="109"/>
      <c r="N541" s="109"/>
      <c r="O541" s="109"/>
      <c r="P541" s="109"/>
      <c r="Q541" s="109"/>
      <c r="R541" s="109"/>
      <c r="S541" s="109"/>
      <c r="T541" s="109"/>
      <c r="U541" s="109"/>
      <c r="V541" s="109"/>
      <c r="W541" s="109"/>
      <c r="X541" s="109"/>
      <c r="Y541" s="109"/>
      <c r="Z541" s="109"/>
    </row>
    <row r="542" spans="1:26" ht="11.25" customHeight="1">
      <c r="A542" s="109"/>
      <c r="B542" s="109"/>
      <c r="C542" s="109"/>
      <c r="D542" s="109"/>
      <c r="E542" s="109"/>
      <c r="F542" s="109"/>
      <c r="G542" s="109"/>
      <c r="H542" s="109"/>
      <c r="I542" s="109"/>
      <c r="J542" s="109"/>
      <c r="K542" s="109"/>
      <c r="L542" s="109"/>
      <c r="M542" s="109"/>
      <c r="N542" s="109"/>
      <c r="O542" s="109"/>
      <c r="P542" s="109"/>
      <c r="Q542" s="109"/>
      <c r="R542" s="109"/>
      <c r="S542" s="109"/>
      <c r="T542" s="109"/>
      <c r="U542" s="109"/>
      <c r="V542" s="109"/>
      <c r="W542" s="109"/>
      <c r="X542" s="109"/>
      <c r="Y542" s="109"/>
      <c r="Z542" s="109"/>
    </row>
    <row r="543" spans="1:26" ht="11.25" customHeight="1">
      <c r="A543" s="109"/>
      <c r="B543" s="109"/>
      <c r="C543" s="109"/>
      <c r="D543" s="109"/>
      <c r="E543" s="109"/>
      <c r="F543" s="109"/>
      <c r="G543" s="109"/>
      <c r="H543" s="109"/>
      <c r="I543" s="109"/>
      <c r="J543" s="109"/>
      <c r="K543" s="109"/>
      <c r="L543" s="109"/>
      <c r="M543" s="109"/>
      <c r="N543" s="109"/>
      <c r="O543" s="109"/>
      <c r="P543" s="109"/>
      <c r="Q543" s="109"/>
      <c r="R543" s="109"/>
      <c r="S543" s="109"/>
      <c r="T543" s="109"/>
      <c r="U543" s="109"/>
      <c r="V543" s="109"/>
      <c r="W543" s="109"/>
      <c r="X543" s="109"/>
      <c r="Y543" s="109"/>
      <c r="Z543" s="109"/>
    </row>
    <row r="544" spans="1:26" ht="11.25" customHeight="1">
      <c r="A544" s="109"/>
      <c r="B544" s="109"/>
      <c r="C544" s="109"/>
      <c r="D544" s="109"/>
      <c r="E544" s="109"/>
      <c r="F544" s="109"/>
      <c r="G544" s="109"/>
      <c r="H544" s="109"/>
      <c r="I544" s="109"/>
      <c r="J544" s="109"/>
      <c r="K544" s="109"/>
      <c r="L544" s="109"/>
      <c r="M544" s="109"/>
      <c r="N544" s="109"/>
      <c r="O544" s="109"/>
      <c r="P544" s="109"/>
      <c r="Q544" s="109"/>
      <c r="R544" s="109"/>
      <c r="S544" s="109"/>
      <c r="T544" s="109"/>
      <c r="U544" s="109"/>
      <c r="V544" s="109"/>
      <c r="W544" s="109"/>
      <c r="X544" s="109"/>
      <c r="Y544" s="109"/>
      <c r="Z544" s="109"/>
    </row>
    <row r="545" spans="1:26" ht="11.25" customHeight="1">
      <c r="A545" s="109"/>
      <c r="B545" s="109"/>
      <c r="C545" s="109"/>
      <c r="D545" s="109"/>
      <c r="E545" s="109"/>
      <c r="F545" s="109"/>
      <c r="G545" s="109"/>
      <c r="H545" s="109"/>
      <c r="I545" s="109"/>
      <c r="J545" s="109"/>
      <c r="K545" s="109"/>
      <c r="L545" s="109"/>
      <c r="M545" s="109"/>
      <c r="N545" s="109"/>
      <c r="O545" s="109"/>
      <c r="P545" s="109"/>
      <c r="Q545" s="109"/>
      <c r="R545" s="109"/>
      <c r="S545" s="109"/>
      <c r="T545" s="109"/>
      <c r="U545" s="109"/>
      <c r="V545" s="109"/>
      <c r="W545" s="109"/>
      <c r="X545" s="109"/>
      <c r="Y545" s="109"/>
      <c r="Z545" s="109"/>
    </row>
    <row r="546" spans="1:26" ht="11.25" customHeight="1">
      <c r="A546" s="109"/>
      <c r="B546" s="109"/>
      <c r="C546" s="109"/>
      <c r="D546" s="109"/>
      <c r="E546" s="109"/>
      <c r="F546" s="109"/>
      <c r="G546" s="109"/>
      <c r="H546" s="109"/>
      <c r="I546" s="109"/>
      <c r="J546" s="109"/>
      <c r="K546" s="109"/>
      <c r="L546" s="109"/>
      <c r="M546" s="109"/>
      <c r="N546" s="109"/>
      <c r="O546" s="109"/>
      <c r="P546" s="109"/>
      <c r="Q546" s="109"/>
      <c r="R546" s="109"/>
      <c r="S546" s="109"/>
      <c r="T546" s="109"/>
      <c r="U546" s="109"/>
      <c r="V546" s="109"/>
      <c r="W546" s="109"/>
      <c r="X546" s="109"/>
      <c r="Y546" s="109"/>
      <c r="Z546" s="109"/>
    </row>
    <row r="547" spans="1:26" ht="11.25" customHeight="1">
      <c r="A547" s="109"/>
      <c r="B547" s="109"/>
      <c r="C547" s="109"/>
      <c r="D547" s="109"/>
      <c r="E547" s="109"/>
      <c r="F547" s="109"/>
      <c r="G547" s="109"/>
      <c r="H547" s="109"/>
      <c r="I547" s="109"/>
      <c r="J547" s="109"/>
      <c r="K547" s="109"/>
      <c r="L547" s="109"/>
      <c r="M547" s="109"/>
      <c r="N547" s="109"/>
      <c r="O547" s="109"/>
      <c r="P547" s="109"/>
      <c r="Q547" s="109"/>
      <c r="R547" s="109"/>
      <c r="S547" s="109"/>
      <c r="T547" s="109"/>
      <c r="U547" s="109"/>
      <c r="V547" s="109"/>
      <c r="W547" s="109"/>
      <c r="X547" s="109"/>
      <c r="Y547" s="109"/>
      <c r="Z547" s="109"/>
    </row>
    <row r="548" spans="1:26" ht="11.25" customHeight="1">
      <c r="A548" s="109"/>
      <c r="B548" s="109"/>
      <c r="C548" s="109"/>
      <c r="D548" s="109"/>
      <c r="E548" s="109"/>
      <c r="F548" s="109"/>
      <c r="G548" s="109"/>
      <c r="H548" s="109"/>
      <c r="I548" s="109"/>
      <c r="J548" s="109"/>
      <c r="K548" s="109"/>
      <c r="L548" s="109"/>
      <c r="M548" s="109"/>
      <c r="N548" s="109"/>
      <c r="O548" s="109"/>
      <c r="P548" s="109"/>
      <c r="Q548" s="109"/>
      <c r="R548" s="109"/>
      <c r="S548" s="109"/>
      <c r="T548" s="109"/>
      <c r="U548" s="109"/>
      <c r="V548" s="109"/>
      <c r="W548" s="109"/>
      <c r="X548" s="109"/>
      <c r="Y548" s="109"/>
      <c r="Z548" s="109"/>
    </row>
    <row r="549" spans="1:26" ht="11.25" customHeight="1">
      <c r="A549" s="109"/>
      <c r="B549" s="109"/>
      <c r="C549" s="109"/>
      <c r="D549" s="109"/>
      <c r="E549" s="109"/>
      <c r="F549" s="109"/>
      <c r="G549" s="109"/>
      <c r="H549" s="109"/>
      <c r="I549" s="109"/>
      <c r="J549" s="109"/>
      <c r="K549" s="109"/>
      <c r="L549" s="109"/>
      <c r="M549" s="109"/>
      <c r="N549" s="109"/>
      <c r="O549" s="109"/>
      <c r="P549" s="109"/>
      <c r="Q549" s="109"/>
      <c r="R549" s="109"/>
      <c r="S549" s="109"/>
      <c r="T549" s="109"/>
      <c r="U549" s="109"/>
      <c r="V549" s="109"/>
      <c r="W549" s="109"/>
      <c r="X549" s="109"/>
      <c r="Y549" s="109"/>
      <c r="Z549" s="109"/>
    </row>
    <row r="550" spans="1:26" ht="11.25" customHeight="1">
      <c r="A550" s="109"/>
      <c r="B550" s="109"/>
      <c r="C550" s="109"/>
      <c r="D550" s="109"/>
      <c r="E550" s="109"/>
      <c r="F550" s="109"/>
      <c r="G550" s="109"/>
      <c r="H550" s="109"/>
      <c r="I550" s="109"/>
      <c r="J550" s="109"/>
      <c r="K550" s="109"/>
      <c r="L550" s="109"/>
      <c r="M550" s="109"/>
      <c r="N550" s="109"/>
      <c r="O550" s="109"/>
      <c r="P550" s="109"/>
      <c r="Q550" s="109"/>
      <c r="R550" s="109"/>
      <c r="S550" s="109"/>
      <c r="T550" s="109"/>
      <c r="U550" s="109"/>
      <c r="V550" s="109"/>
      <c r="W550" s="109"/>
      <c r="X550" s="109"/>
      <c r="Y550" s="109"/>
      <c r="Z550" s="109"/>
    </row>
    <row r="551" spans="1:26" ht="11.25" customHeight="1">
      <c r="A551" s="109"/>
      <c r="B551" s="109"/>
      <c r="C551" s="109"/>
      <c r="D551" s="109"/>
      <c r="E551" s="109"/>
      <c r="F551" s="109"/>
      <c r="G551" s="109"/>
      <c r="H551" s="109"/>
      <c r="I551" s="109"/>
      <c r="J551" s="109"/>
      <c r="K551" s="109"/>
      <c r="L551" s="109"/>
      <c r="M551" s="109"/>
      <c r="N551" s="109"/>
      <c r="O551" s="109"/>
      <c r="P551" s="109"/>
      <c r="Q551" s="109"/>
      <c r="R551" s="109"/>
      <c r="S551" s="109"/>
      <c r="T551" s="109"/>
      <c r="U551" s="109"/>
      <c r="V551" s="109"/>
      <c r="W551" s="109"/>
      <c r="X551" s="109"/>
      <c r="Y551" s="109"/>
      <c r="Z551" s="109"/>
    </row>
    <row r="552" spans="1:26" ht="11.25" customHeight="1">
      <c r="A552" s="109"/>
      <c r="B552" s="109"/>
      <c r="C552" s="109"/>
      <c r="D552" s="109"/>
      <c r="E552" s="109"/>
      <c r="F552" s="109"/>
      <c r="G552" s="109"/>
      <c r="H552" s="109"/>
      <c r="I552" s="109"/>
      <c r="J552" s="109"/>
      <c r="K552" s="109"/>
      <c r="L552" s="109"/>
      <c r="M552" s="109"/>
      <c r="N552" s="109"/>
      <c r="O552" s="109"/>
      <c r="P552" s="109"/>
      <c r="Q552" s="109"/>
      <c r="R552" s="109"/>
      <c r="S552" s="109"/>
      <c r="T552" s="109"/>
      <c r="U552" s="109"/>
      <c r="V552" s="109"/>
      <c r="W552" s="109"/>
      <c r="X552" s="109"/>
      <c r="Y552" s="109"/>
      <c r="Z552" s="109"/>
    </row>
    <row r="553" spans="1:26" ht="11.25" customHeight="1">
      <c r="A553" s="109"/>
      <c r="B553" s="109"/>
      <c r="C553" s="109"/>
      <c r="D553" s="109"/>
      <c r="E553" s="109"/>
      <c r="F553" s="109"/>
      <c r="G553" s="109"/>
      <c r="H553" s="109"/>
      <c r="I553" s="109"/>
      <c r="J553" s="109"/>
      <c r="K553" s="109"/>
      <c r="L553" s="109"/>
      <c r="M553" s="109"/>
      <c r="N553" s="109"/>
      <c r="O553" s="109"/>
      <c r="P553" s="109"/>
      <c r="Q553" s="109"/>
      <c r="R553" s="109"/>
      <c r="S553" s="109"/>
      <c r="T553" s="109"/>
      <c r="U553" s="109"/>
      <c r="V553" s="109"/>
      <c r="W553" s="109"/>
      <c r="X553" s="109"/>
      <c r="Y553" s="109"/>
      <c r="Z553" s="109"/>
    </row>
    <row r="554" spans="1:26" ht="11.25" customHeight="1">
      <c r="A554" s="109"/>
      <c r="B554" s="109"/>
      <c r="C554" s="109"/>
      <c r="D554" s="109"/>
      <c r="E554" s="109"/>
      <c r="F554" s="109"/>
      <c r="G554" s="109"/>
      <c r="H554" s="109"/>
      <c r="I554" s="109"/>
      <c r="J554" s="109"/>
      <c r="K554" s="109"/>
      <c r="L554" s="109"/>
      <c r="M554" s="109"/>
      <c r="N554" s="109"/>
      <c r="O554" s="109"/>
      <c r="P554" s="109"/>
      <c r="Q554" s="109"/>
      <c r="R554" s="109"/>
      <c r="S554" s="109"/>
      <c r="T554" s="109"/>
      <c r="U554" s="109"/>
      <c r="V554" s="109"/>
      <c r="W554" s="109"/>
      <c r="X554" s="109"/>
      <c r="Y554" s="109"/>
      <c r="Z554" s="109"/>
    </row>
    <row r="555" spans="1:26" ht="11.25" customHeight="1">
      <c r="A555" s="109"/>
      <c r="B555" s="109"/>
      <c r="C555" s="109"/>
      <c r="D555" s="109"/>
      <c r="E555" s="109"/>
      <c r="F555" s="109"/>
      <c r="G555" s="109"/>
      <c r="H555" s="109"/>
      <c r="I555" s="109"/>
      <c r="J555" s="109"/>
      <c r="K555" s="109"/>
      <c r="L555" s="109"/>
      <c r="M555" s="109"/>
      <c r="N555" s="109"/>
      <c r="O555" s="109"/>
      <c r="P555" s="109"/>
      <c r="Q555" s="109"/>
      <c r="R555" s="109"/>
      <c r="S555" s="109"/>
      <c r="T555" s="109"/>
      <c r="U555" s="109"/>
      <c r="V555" s="109"/>
      <c r="W555" s="109"/>
      <c r="X555" s="109"/>
      <c r="Y555" s="109"/>
      <c r="Z555" s="109"/>
    </row>
    <row r="556" spans="1:26" ht="11.25" customHeight="1">
      <c r="A556" s="109"/>
      <c r="B556" s="109"/>
      <c r="C556" s="109"/>
      <c r="D556" s="109"/>
      <c r="E556" s="109"/>
      <c r="F556" s="109"/>
      <c r="G556" s="109"/>
      <c r="H556" s="109"/>
      <c r="I556" s="109"/>
      <c r="J556" s="109"/>
      <c r="K556" s="109"/>
      <c r="L556" s="109"/>
      <c r="M556" s="109"/>
      <c r="N556" s="109"/>
      <c r="O556" s="109"/>
      <c r="P556" s="109"/>
      <c r="Q556" s="109"/>
      <c r="R556" s="109"/>
      <c r="S556" s="109"/>
      <c r="T556" s="109"/>
      <c r="U556" s="109"/>
      <c r="V556" s="109"/>
      <c r="W556" s="109"/>
      <c r="X556" s="109"/>
      <c r="Y556" s="109"/>
      <c r="Z556" s="109"/>
    </row>
    <row r="557" spans="1:26" ht="11.25" customHeight="1">
      <c r="A557" s="109"/>
      <c r="B557" s="109"/>
      <c r="C557" s="109"/>
      <c r="D557" s="109"/>
      <c r="E557" s="109"/>
      <c r="F557" s="109"/>
      <c r="G557" s="109"/>
      <c r="H557" s="109"/>
      <c r="I557" s="109"/>
      <c r="J557" s="109"/>
      <c r="K557" s="109"/>
      <c r="L557" s="109"/>
      <c r="M557" s="109"/>
      <c r="N557" s="109"/>
      <c r="O557" s="109"/>
      <c r="P557" s="109"/>
      <c r="Q557" s="109"/>
      <c r="R557" s="109"/>
      <c r="S557" s="109"/>
      <c r="T557" s="109"/>
      <c r="U557" s="109"/>
      <c r="V557" s="109"/>
      <c r="W557" s="109"/>
      <c r="X557" s="109"/>
      <c r="Y557" s="109"/>
      <c r="Z557" s="109"/>
    </row>
    <row r="558" spans="1:26" ht="11.25" customHeight="1">
      <c r="A558" s="109"/>
      <c r="B558" s="109"/>
      <c r="C558" s="109"/>
      <c r="D558" s="109"/>
      <c r="E558" s="109"/>
      <c r="F558" s="109"/>
      <c r="G558" s="109"/>
      <c r="H558" s="109"/>
      <c r="I558" s="109"/>
      <c r="J558" s="109"/>
      <c r="K558" s="109"/>
      <c r="L558" s="109"/>
      <c r="M558" s="109"/>
      <c r="N558" s="109"/>
      <c r="O558" s="109"/>
      <c r="P558" s="109"/>
      <c r="Q558" s="109"/>
      <c r="R558" s="109"/>
      <c r="S558" s="109"/>
      <c r="T558" s="109"/>
      <c r="U558" s="109"/>
      <c r="V558" s="109"/>
      <c r="W558" s="109"/>
      <c r="X558" s="109"/>
      <c r="Y558" s="109"/>
      <c r="Z558" s="109"/>
    </row>
    <row r="559" spans="1:26" ht="11.25" customHeight="1">
      <c r="A559" s="109"/>
      <c r="B559" s="109"/>
      <c r="C559" s="109"/>
      <c r="D559" s="109"/>
      <c r="E559" s="109"/>
      <c r="F559" s="109"/>
      <c r="G559" s="109"/>
      <c r="H559" s="109"/>
      <c r="I559" s="109"/>
      <c r="J559" s="109"/>
      <c r="K559" s="109"/>
      <c r="L559" s="109"/>
      <c r="M559" s="109"/>
      <c r="N559" s="109"/>
      <c r="O559" s="109"/>
      <c r="P559" s="109"/>
      <c r="Q559" s="109"/>
      <c r="R559" s="109"/>
      <c r="S559" s="109"/>
      <c r="T559" s="109"/>
      <c r="U559" s="109"/>
      <c r="V559" s="109"/>
      <c r="W559" s="109"/>
      <c r="X559" s="109"/>
      <c r="Y559" s="109"/>
      <c r="Z559" s="109"/>
    </row>
    <row r="560" spans="1:26" ht="11.25" customHeight="1">
      <c r="A560" s="109"/>
      <c r="B560" s="109"/>
      <c r="C560" s="109"/>
      <c r="D560" s="109"/>
      <c r="E560" s="109"/>
      <c r="F560" s="109"/>
      <c r="G560" s="109"/>
      <c r="H560" s="109"/>
      <c r="I560" s="109"/>
      <c r="J560" s="109"/>
      <c r="K560" s="109"/>
      <c r="L560" s="109"/>
      <c r="M560" s="109"/>
      <c r="N560" s="109"/>
      <c r="O560" s="109"/>
      <c r="P560" s="109"/>
      <c r="Q560" s="109"/>
      <c r="R560" s="109"/>
      <c r="S560" s="109"/>
      <c r="T560" s="109"/>
      <c r="U560" s="109"/>
      <c r="V560" s="109"/>
      <c r="W560" s="109"/>
      <c r="X560" s="109"/>
      <c r="Y560" s="109"/>
      <c r="Z560" s="109"/>
    </row>
    <row r="561" spans="1:26" ht="11.25" customHeight="1">
      <c r="A561" s="109"/>
      <c r="B561" s="109"/>
      <c r="C561" s="109"/>
      <c r="D561" s="109"/>
      <c r="E561" s="109"/>
      <c r="F561" s="109"/>
      <c r="G561" s="109"/>
      <c r="H561" s="109"/>
      <c r="I561" s="109"/>
      <c r="J561" s="109"/>
      <c r="K561" s="109"/>
      <c r="L561" s="109"/>
      <c r="M561" s="109"/>
      <c r="N561" s="109"/>
      <c r="O561" s="109"/>
      <c r="P561" s="109"/>
      <c r="Q561" s="109"/>
      <c r="R561" s="109"/>
      <c r="S561" s="109"/>
      <c r="T561" s="109"/>
      <c r="U561" s="109"/>
      <c r="V561" s="109"/>
      <c r="W561" s="109"/>
      <c r="X561" s="109"/>
      <c r="Y561" s="109"/>
      <c r="Z561" s="109"/>
    </row>
    <row r="562" spans="1:26" ht="11.25" customHeight="1">
      <c r="A562" s="109"/>
      <c r="B562" s="109"/>
      <c r="C562" s="109"/>
      <c r="D562" s="109"/>
      <c r="E562" s="109"/>
      <c r="F562" s="109"/>
      <c r="G562" s="109"/>
      <c r="H562" s="109"/>
      <c r="I562" s="109"/>
      <c r="J562" s="109"/>
      <c r="K562" s="109"/>
      <c r="L562" s="109"/>
      <c r="M562" s="109"/>
      <c r="N562" s="109"/>
      <c r="O562" s="109"/>
      <c r="P562" s="109"/>
      <c r="Q562" s="109"/>
      <c r="R562" s="109"/>
      <c r="S562" s="109"/>
      <c r="T562" s="109"/>
      <c r="U562" s="109"/>
      <c r="V562" s="109"/>
      <c r="W562" s="109"/>
      <c r="X562" s="109"/>
      <c r="Y562" s="109"/>
      <c r="Z562" s="109"/>
    </row>
    <row r="563" spans="1:26" ht="11.25" customHeight="1">
      <c r="A563" s="109"/>
      <c r="B563" s="109"/>
      <c r="C563" s="109"/>
      <c r="D563" s="109"/>
      <c r="E563" s="109"/>
      <c r="F563" s="109"/>
      <c r="G563" s="109"/>
      <c r="H563" s="109"/>
      <c r="I563" s="109"/>
      <c r="J563" s="109"/>
      <c r="K563" s="109"/>
      <c r="L563" s="109"/>
      <c r="M563" s="109"/>
      <c r="N563" s="109"/>
      <c r="O563" s="109"/>
      <c r="P563" s="109"/>
      <c r="Q563" s="109"/>
      <c r="R563" s="109"/>
      <c r="S563" s="109"/>
      <c r="T563" s="109"/>
      <c r="U563" s="109"/>
      <c r="V563" s="109"/>
      <c r="W563" s="109"/>
      <c r="X563" s="109"/>
      <c r="Y563" s="109"/>
      <c r="Z563" s="109"/>
    </row>
    <row r="564" spans="1:26" ht="11.25" customHeight="1">
      <c r="A564" s="109"/>
      <c r="B564" s="109"/>
      <c r="C564" s="109"/>
      <c r="D564" s="109"/>
      <c r="E564" s="109"/>
      <c r="F564" s="109"/>
      <c r="G564" s="109"/>
      <c r="H564" s="109"/>
      <c r="I564" s="109"/>
      <c r="J564" s="109"/>
      <c r="K564" s="109"/>
      <c r="L564" s="109"/>
      <c r="M564" s="109"/>
      <c r="N564" s="109"/>
      <c r="O564" s="109"/>
      <c r="P564" s="109"/>
      <c r="Q564" s="109"/>
      <c r="R564" s="109"/>
      <c r="S564" s="109"/>
      <c r="T564" s="109"/>
      <c r="U564" s="109"/>
      <c r="V564" s="109"/>
      <c r="W564" s="109"/>
      <c r="X564" s="109"/>
      <c r="Y564" s="109"/>
      <c r="Z564" s="109"/>
    </row>
    <row r="565" spans="1:26" ht="11.25" customHeight="1">
      <c r="A565" s="109"/>
      <c r="B565" s="109"/>
      <c r="C565" s="109"/>
      <c r="D565" s="109"/>
      <c r="E565" s="109"/>
      <c r="F565" s="109"/>
      <c r="G565" s="109"/>
      <c r="H565" s="109"/>
      <c r="I565" s="109"/>
      <c r="J565" s="109"/>
      <c r="K565" s="109"/>
      <c r="L565" s="109"/>
      <c r="M565" s="109"/>
      <c r="N565" s="109"/>
      <c r="O565" s="109"/>
      <c r="P565" s="109"/>
      <c r="Q565" s="109"/>
      <c r="R565" s="109"/>
      <c r="S565" s="109"/>
      <c r="T565" s="109"/>
      <c r="U565" s="109"/>
      <c r="V565" s="109"/>
      <c r="W565" s="109"/>
      <c r="X565" s="109"/>
      <c r="Y565" s="109"/>
      <c r="Z565" s="109"/>
    </row>
    <row r="566" spans="1:26" ht="11.25" customHeight="1">
      <c r="A566" s="109"/>
      <c r="B566" s="109"/>
      <c r="C566" s="109"/>
      <c r="D566" s="109"/>
      <c r="E566" s="109"/>
      <c r="F566" s="109"/>
      <c r="G566" s="109"/>
      <c r="H566" s="109"/>
      <c r="I566" s="109"/>
      <c r="J566" s="109"/>
      <c r="K566" s="109"/>
      <c r="L566" s="109"/>
      <c r="M566" s="109"/>
      <c r="N566" s="109"/>
      <c r="O566" s="109"/>
      <c r="P566" s="109"/>
      <c r="Q566" s="109"/>
      <c r="R566" s="109"/>
      <c r="S566" s="109"/>
      <c r="T566" s="109"/>
      <c r="U566" s="109"/>
      <c r="V566" s="109"/>
      <c r="W566" s="109"/>
      <c r="X566" s="109"/>
      <c r="Y566" s="109"/>
      <c r="Z566" s="109"/>
    </row>
    <row r="567" spans="1:26" ht="11.25" customHeight="1">
      <c r="A567" s="109"/>
      <c r="B567" s="109"/>
      <c r="C567" s="109"/>
      <c r="D567" s="109"/>
      <c r="E567" s="109"/>
      <c r="F567" s="109"/>
      <c r="G567" s="109"/>
      <c r="H567" s="109"/>
      <c r="I567" s="109"/>
      <c r="J567" s="109"/>
      <c r="K567" s="109"/>
      <c r="L567" s="109"/>
      <c r="M567" s="109"/>
      <c r="N567" s="109"/>
      <c r="O567" s="109"/>
      <c r="P567" s="109"/>
      <c r="Q567" s="109"/>
      <c r="R567" s="109"/>
      <c r="S567" s="109"/>
      <c r="T567" s="109"/>
      <c r="U567" s="109"/>
      <c r="V567" s="109"/>
      <c r="W567" s="109"/>
      <c r="X567" s="109"/>
      <c r="Y567" s="109"/>
      <c r="Z567" s="109"/>
    </row>
    <row r="568" spans="1:26" ht="11.25" customHeight="1">
      <c r="A568" s="109"/>
      <c r="B568" s="109"/>
      <c r="C568" s="109"/>
      <c r="D568" s="109"/>
      <c r="E568" s="109"/>
      <c r="F568" s="109"/>
      <c r="G568" s="109"/>
      <c r="H568" s="109"/>
      <c r="I568" s="109"/>
      <c r="J568" s="109"/>
      <c r="K568" s="109"/>
      <c r="L568" s="109"/>
      <c r="M568" s="109"/>
      <c r="N568" s="109"/>
      <c r="O568" s="109"/>
      <c r="P568" s="109"/>
      <c r="Q568" s="109"/>
      <c r="R568" s="109"/>
      <c r="S568" s="109"/>
      <c r="T568" s="109"/>
      <c r="U568" s="109"/>
      <c r="V568" s="109"/>
      <c r="W568" s="109"/>
      <c r="X568" s="109"/>
      <c r="Y568" s="109"/>
      <c r="Z568" s="109"/>
    </row>
    <row r="569" spans="1:26" ht="11.25" customHeight="1">
      <c r="A569" s="109"/>
      <c r="B569" s="109"/>
      <c r="C569" s="109"/>
      <c r="D569" s="109"/>
      <c r="E569" s="109"/>
      <c r="F569" s="109"/>
      <c r="G569" s="109"/>
      <c r="H569" s="109"/>
      <c r="I569" s="109"/>
      <c r="J569" s="109"/>
      <c r="K569" s="109"/>
      <c r="L569" s="109"/>
      <c r="M569" s="109"/>
      <c r="N569" s="109"/>
      <c r="O569" s="109"/>
      <c r="P569" s="109"/>
      <c r="Q569" s="109"/>
      <c r="R569" s="109"/>
      <c r="S569" s="109"/>
      <c r="T569" s="109"/>
      <c r="U569" s="109"/>
      <c r="V569" s="109"/>
      <c r="W569" s="109"/>
      <c r="X569" s="109"/>
      <c r="Y569" s="109"/>
      <c r="Z569" s="109"/>
    </row>
    <row r="570" spans="1:26" ht="11.25" customHeight="1">
      <c r="A570" s="109"/>
      <c r="B570" s="109"/>
      <c r="C570" s="109"/>
      <c r="D570" s="109"/>
      <c r="E570" s="109"/>
      <c r="F570" s="109"/>
      <c r="G570" s="109"/>
      <c r="H570" s="109"/>
      <c r="I570" s="109"/>
      <c r="J570" s="109"/>
      <c r="K570" s="109"/>
      <c r="L570" s="109"/>
      <c r="M570" s="109"/>
      <c r="N570" s="109"/>
      <c r="O570" s="109"/>
      <c r="P570" s="109"/>
      <c r="Q570" s="109"/>
      <c r="R570" s="109"/>
      <c r="S570" s="109"/>
      <c r="T570" s="109"/>
      <c r="U570" s="109"/>
      <c r="V570" s="109"/>
      <c r="W570" s="109"/>
      <c r="X570" s="109"/>
      <c r="Y570" s="109"/>
      <c r="Z570" s="109"/>
    </row>
    <row r="571" spans="1:26" ht="11.25" customHeight="1">
      <c r="A571" s="109"/>
      <c r="B571" s="109"/>
      <c r="C571" s="109"/>
      <c r="D571" s="109"/>
      <c r="E571" s="109"/>
      <c r="F571" s="109"/>
      <c r="G571" s="109"/>
      <c r="H571" s="109"/>
      <c r="I571" s="109"/>
      <c r="J571" s="109"/>
      <c r="K571" s="109"/>
      <c r="L571" s="109"/>
      <c r="M571" s="109"/>
      <c r="N571" s="109"/>
      <c r="O571" s="109"/>
      <c r="P571" s="109"/>
      <c r="Q571" s="109"/>
      <c r="R571" s="109"/>
      <c r="S571" s="109"/>
      <c r="T571" s="109"/>
      <c r="U571" s="109"/>
      <c r="V571" s="109"/>
      <c r="W571" s="109"/>
      <c r="X571" s="109"/>
      <c r="Y571" s="109"/>
      <c r="Z571" s="109"/>
    </row>
    <row r="572" spans="1:26" ht="11.25" customHeight="1">
      <c r="A572" s="109"/>
      <c r="B572" s="109"/>
      <c r="C572" s="109"/>
      <c r="D572" s="109"/>
      <c r="E572" s="109"/>
      <c r="F572" s="109"/>
      <c r="G572" s="109"/>
      <c r="H572" s="109"/>
      <c r="I572" s="109"/>
      <c r="J572" s="109"/>
      <c r="K572" s="109"/>
      <c r="L572" s="109"/>
      <c r="M572" s="109"/>
      <c r="N572" s="109"/>
      <c r="O572" s="109"/>
      <c r="P572" s="109"/>
      <c r="Q572" s="109"/>
      <c r="R572" s="109"/>
      <c r="S572" s="109"/>
      <c r="T572" s="109"/>
      <c r="U572" s="109"/>
      <c r="V572" s="109"/>
      <c r="W572" s="109"/>
      <c r="X572" s="109"/>
      <c r="Y572" s="109"/>
      <c r="Z572" s="109"/>
    </row>
    <row r="573" spans="1:26" ht="11.25" customHeight="1">
      <c r="A573" s="109"/>
      <c r="B573" s="109"/>
      <c r="C573" s="109"/>
      <c r="D573" s="109"/>
      <c r="E573" s="109"/>
      <c r="F573" s="109"/>
      <c r="G573" s="109"/>
      <c r="H573" s="109"/>
      <c r="I573" s="109"/>
      <c r="J573" s="109"/>
      <c r="K573" s="109"/>
      <c r="L573" s="109"/>
      <c r="M573" s="109"/>
      <c r="N573" s="109"/>
      <c r="O573" s="109"/>
      <c r="P573" s="109"/>
      <c r="Q573" s="109"/>
      <c r="R573" s="109"/>
      <c r="S573" s="109"/>
      <c r="T573" s="109"/>
      <c r="U573" s="109"/>
      <c r="V573" s="109"/>
      <c r="W573" s="109"/>
      <c r="X573" s="109"/>
      <c r="Y573" s="109"/>
      <c r="Z573" s="109"/>
    </row>
    <row r="574" spans="1:26" ht="11.25" customHeight="1">
      <c r="A574" s="109"/>
      <c r="B574" s="109"/>
      <c r="C574" s="109"/>
      <c r="D574" s="109"/>
      <c r="E574" s="109"/>
      <c r="F574" s="109"/>
      <c r="G574" s="109"/>
      <c r="H574" s="109"/>
      <c r="I574" s="109"/>
      <c r="J574" s="109"/>
      <c r="K574" s="109"/>
      <c r="L574" s="109"/>
      <c r="M574" s="109"/>
      <c r="N574" s="109"/>
      <c r="O574" s="109"/>
      <c r="P574" s="109"/>
      <c r="Q574" s="109"/>
      <c r="R574" s="109"/>
      <c r="S574" s="109"/>
      <c r="T574" s="109"/>
      <c r="U574" s="109"/>
      <c r="V574" s="109"/>
      <c r="W574" s="109"/>
      <c r="X574" s="109"/>
      <c r="Y574" s="109"/>
      <c r="Z574" s="109"/>
    </row>
    <row r="575" spans="1:26" ht="11.25" customHeight="1">
      <c r="A575" s="109"/>
      <c r="B575" s="109"/>
      <c r="C575" s="109"/>
      <c r="D575" s="109"/>
      <c r="E575" s="109"/>
      <c r="F575" s="109"/>
      <c r="G575" s="109"/>
      <c r="H575" s="109"/>
      <c r="I575" s="109"/>
      <c r="J575" s="109"/>
      <c r="K575" s="109"/>
      <c r="L575" s="109"/>
      <c r="M575" s="109"/>
      <c r="N575" s="109"/>
      <c r="O575" s="109"/>
      <c r="P575" s="109"/>
      <c r="Q575" s="109"/>
      <c r="R575" s="109"/>
      <c r="S575" s="109"/>
      <c r="T575" s="109"/>
      <c r="U575" s="109"/>
      <c r="V575" s="109"/>
      <c r="W575" s="109"/>
      <c r="X575" s="109"/>
      <c r="Y575" s="109"/>
      <c r="Z575" s="109"/>
    </row>
    <row r="576" spans="1:26" ht="11.25" customHeight="1">
      <c r="A576" s="109"/>
      <c r="B576" s="109"/>
      <c r="C576" s="109"/>
      <c r="D576" s="109"/>
      <c r="E576" s="109"/>
      <c r="F576" s="109"/>
      <c r="G576" s="109"/>
      <c r="H576" s="109"/>
      <c r="I576" s="109"/>
      <c r="J576" s="109"/>
      <c r="K576" s="109"/>
      <c r="L576" s="109"/>
      <c r="M576" s="109"/>
      <c r="N576" s="109"/>
      <c r="O576" s="109"/>
      <c r="P576" s="109"/>
      <c r="Q576" s="109"/>
      <c r="R576" s="109"/>
      <c r="S576" s="109"/>
      <c r="T576" s="109"/>
      <c r="U576" s="109"/>
      <c r="V576" s="109"/>
      <c r="W576" s="109"/>
      <c r="X576" s="109"/>
      <c r="Y576" s="109"/>
      <c r="Z576" s="109"/>
    </row>
    <row r="577" spans="1:26" ht="11.25" customHeight="1">
      <c r="A577" s="109"/>
      <c r="B577" s="109"/>
      <c r="C577" s="109"/>
      <c r="D577" s="109"/>
      <c r="E577" s="109"/>
      <c r="F577" s="109"/>
      <c r="G577" s="109"/>
      <c r="H577" s="109"/>
      <c r="I577" s="109"/>
      <c r="J577" s="109"/>
      <c r="K577" s="109"/>
      <c r="L577" s="109"/>
      <c r="M577" s="109"/>
      <c r="N577" s="109"/>
      <c r="O577" s="109"/>
      <c r="P577" s="109"/>
      <c r="Q577" s="109"/>
      <c r="R577" s="109"/>
      <c r="S577" s="109"/>
      <c r="T577" s="109"/>
      <c r="U577" s="109"/>
      <c r="V577" s="109"/>
      <c r="W577" s="109"/>
      <c r="X577" s="109"/>
      <c r="Y577" s="109"/>
      <c r="Z577" s="109"/>
    </row>
    <row r="578" spans="1:26" ht="11.25" customHeight="1">
      <c r="A578" s="109"/>
      <c r="B578" s="109"/>
      <c r="C578" s="109"/>
      <c r="D578" s="109"/>
      <c r="E578" s="109"/>
      <c r="F578" s="109"/>
      <c r="G578" s="109"/>
      <c r="H578" s="109"/>
      <c r="I578" s="109"/>
      <c r="J578" s="109"/>
      <c r="K578" s="109"/>
      <c r="L578" s="109"/>
      <c r="M578" s="109"/>
      <c r="N578" s="109"/>
      <c r="O578" s="109"/>
      <c r="P578" s="109"/>
      <c r="Q578" s="109"/>
      <c r="R578" s="109"/>
      <c r="S578" s="109"/>
      <c r="T578" s="109"/>
      <c r="U578" s="109"/>
      <c r="V578" s="109"/>
      <c r="W578" s="109"/>
      <c r="X578" s="109"/>
      <c r="Y578" s="109"/>
      <c r="Z578" s="109"/>
    </row>
    <row r="579" spans="1:26" ht="11.25" customHeight="1">
      <c r="A579" s="109"/>
      <c r="B579" s="109"/>
      <c r="C579" s="109"/>
      <c r="D579" s="109"/>
      <c r="E579" s="109"/>
      <c r="F579" s="109"/>
      <c r="G579" s="109"/>
      <c r="H579" s="109"/>
      <c r="I579" s="109"/>
      <c r="J579" s="109"/>
      <c r="K579" s="109"/>
      <c r="L579" s="109"/>
      <c r="M579" s="109"/>
      <c r="N579" s="109"/>
      <c r="O579" s="109"/>
      <c r="P579" s="109"/>
      <c r="Q579" s="109"/>
      <c r="R579" s="109"/>
      <c r="S579" s="109"/>
      <c r="T579" s="109"/>
      <c r="U579" s="109"/>
      <c r="V579" s="109"/>
      <c r="W579" s="109"/>
      <c r="X579" s="109"/>
      <c r="Y579" s="109"/>
      <c r="Z579" s="109"/>
    </row>
    <row r="580" spans="1:26" ht="11.25" customHeight="1">
      <c r="A580" s="109"/>
      <c r="B580" s="109"/>
      <c r="C580" s="109"/>
      <c r="D580" s="109"/>
      <c r="E580" s="109"/>
      <c r="F580" s="109"/>
      <c r="G580" s="109"/>
      <c r="H580" s="109"/>
      <c r="I580" s="109"/>
      <c r="J580" s="109"/>
      <c r="K580" s="109"/>
      <c r="L580" s="109"/>
      <c r="M580" s="109"/>
      <c r="N580" s="109"/>
      <c r="O580" s="109"/>
      <c r="P580" s="109"/>
      <c r="Q580" s="109"/>
      <c r="R580" s="109"/>
      <c r="S580" s="109"/>
      <c r="T580" s="109"/>
      <c r="U580" s="109"/>
      <c r="V580" s="109"/>
      <c r="W580" s="109"/>
      <c r="X580" s="109"/>
      <c r="Y580" s="109"/>
      <c r="Z580" s="109"/>
    </row>
    <row r="581" spans="1:26" ht="11.25" customHeight="1">
      <c r="A581" s="109"/>
      <c r="B581" s="109"/>
      <c r="C581" s="109"/>
      <c r="D581" s="109"/>
      <c r="E581" s="109"/>
      <c r="F581" s="109"/>
      <c r="G581" s="109"/>
      <c r="H581" s="109"/>
      <c r="I581" s="109"/>
      <c r="J581" s="109"/>
      <c r="K581" s="109"/>
      <c r="L581" s="109"/>
      <c r="M581" s="109"/>
      <c r="N581" s="109"/>
      <c r="O581" s="109"/>
      <c r="P581" s="109"/>
      <c r="Q581" s="109"/>
      <c r="R581" s="109"/>
      <c r="S581" s="109"/>
      <c r="T581" s="109"/>
      <c r="U581" s="109"/>
      <c r="V581" s="109"/>
      <c r="W581" s="109"/>
      <c r="X581" s="109"/>
      <c r="Y581" s="109"/>
      <c r="Z581" s="109"/>
    </row>
    <row r="582" spans="1:26" ht="11.25" customHeight="1">
      <c r="A582" s="109"/>
      <c r="B582" s="109"/>
      <c r="C582" s="109"/>
      <c r="D582" s="109"/>
      <c r="E582" s="109"/>
      <c r="F582" s="109"/>
      <c r="G582" s="109"/>
      <c r="H582" s="109"/>
      <c r="I582" s="109"/>
      <c r="J582" s="109"/>
      <c r="K582" s="109"/>
      <c r="L582" s="109"/>
      <c r="M582" s="109"/>
      <c r="N582" s="109"/>
      <c r="O582" s="109"/>
      <c r="P582" s="109"/>
      <c r="Q582" s="109"/>
      <c r="R582" s="109"/>
      <c r="S582" s="109"/>
      <c r="T582" s="109"/>
      <c r="U582" s="109"/>
      <c r="V582" s="109"/>
      <c r="W582" s="109"/>
      <c r="X582" s="109"/>
      <c r="Y582" s="109"/>
      <c r="Z582" s="109"/>
    </row>
    <row r="583" spans="1:26" ht="11.25" customHeight="1">
      <c r="A583" s="109"/>
      <c r="B583" s="109"/>
      <c r="C583" s="109"/>
      <c r="D583" s="109"/>
      <c r="E583" s="109"/>
      <c r="F583" s="109"/>
      <c r="G583" s="109"/>
      <c r="H583" s="109"/>
      <c r="I583" s="109"/>
      <c r="J583" s="109"/>
      <c r="K583" s="109"/>
      <c r="L583" s="109"/>
      <c r="M583" s="109"/>
      <c r="N583" s="109"/>
      <c r="O583" s="109"/>
      <c r="P583" s="109"/>
      <c r="Q583" s="109"/>
      <c r="R583" s="109"/>
      <c r="S583" s="109"/>
      <c r="T583" s="109"/>
      <c r="U583" s="109"/>
      <c r="V583" s="109"/>
      <c r="W583" s="109"/>
      <c r="X583" s="109"/>
      <c r="Y583" s="109"/>
      <c r="Z583" s="109"/>
    </row>
    <row r="584" spans="1:26" ht="11.25" customHeight="1">
      <c r="A584" s="109"/>
      <c r="B584" s="109"/>
      <c r="C584" s="109"/>
      <c r="D584" s="109"/>
      <c r="E584" s="109"/>
      <c r="F584" s="109"/>
      <c r="G584" s="109"/>
      <c r="H584" s="109"/>
      <c r="I584" s="109"/>
      <c r="J584" s="109"/>
      <c r="K584" s="109"/>
      <c r="L584" s="109"/>
      <c r="M584" s="109"/>
      <c r="N584" s="109"/>
      <c r="O584" s="109"/>
      <c r="P584" s="109"/>
      <c r="Q584" s="109"/>
      <c r="R584" s="109"/>
      <c r="S584" s="109"/>
      <c r="T584" s="109"/>
      <c r="U584" s="109"/>
      <c r="V584" s="109"/>
      <c r="W584" s="109"/>
      <c r="X584" s="109"/>
      <c r="Y584" s="109"/>
      <c r="Z584" s="109"/>
    </row>
    <row r="585" spans="1:26" ht="11.25" customHeight="1">
      <c r="A585" s="109"/>
      <c r="B585" s="109"/>
      <c r="C585" s="109"/>
      <c r="D585" s="109"/>
      <c r="E585" s="109"/>
      <c r="F585" s="109"/>
      <c r="G585" s="109"/>
      <c r="H585" s="109"/>
      <c r="I585" s="109"/>
      <c r="J585" s="109"/>
      <c r="K585" s="109"/>
      <c r="L585" s="109"/>
      <c r="M585" s="109"/>
      <c r="N585" s="109"/>
      <c r="O585" s="109"/>
      <c r="P585" s="109"/>
      <c r="Q585" s="109"/>
      <c r="R585" s="109"/>
      <c r="S585" s="109"/>
      <c r="T585" s="109"/>
      <c r="U585" s="109"/>
      <c r="V585" s="109"/>
      <c r="W585" s="109"/>
      <c r="X585" s="109"/>
      <c r="Y585" s="109"/>
      <c r="Z585" s="109"/>
    </row>
    <row r="586" spans="1:26" ht="11.25" customHeight="1">
      <c r="A586" s="109"/>
      <c r="B586" s="109"/>
      <c r="C586" s="109"/>
      <c r="D586" s="109"/>
      <c r="E586" s="109"/>
      <c r="F586" s="109"/>
      <c r="G586" s="109"/>
      <c r="H586" s="109"/>
      <c r="I586" s="109"/>
      <c r="J586" s="109"/>
      <c r="K586" s="109"/>
      <c r="L586" s="109"/>
      <c r="M586" s="109"/>
      <c r="N586" s="109"/>
      <c r="O586" s="109"/>
      <c r="P586" s="109"/>
      <c r="Q586" s="109"/>
      <c r="R586" s="109"/>
      <c r="S586" s="109"/>
      <c r="T586" s="109"/>
      <c r="U586" s="109"/>
      <c r="V586" s="109"/>
      <c r="W586" s="109"/>
      <c r="X586" s="109"/>
      <c r="Y586" s="109"/>
      <c r="Z586" s="109"/>
    </row>
    <row r="587" spans="1:26" ht="11.25" customHeight="1">
      <c r="A587" s="109"/>
      <c r="B587" s="109"/>
      <c r="C587" s="109"/>
      <c r="D587" s="109"/>
      <c r="E587" s="109"/>
      <c r="F587" s="109"/>
      <c r="G587" s="109"/>
      <c r="H587" s="109"/>
      <c r="I587" s="109"/>
      <c r="J587" s="109"/>
      <c r="K587" s="109"/>
      <c r="L587" s="109"/>
      <c r="M587" s="109"/>
      <c r="N587" s="109"/>
      <c r="O587" s="109"/>
      <c r="P587" s="109"/>
      <c r="Q587" s="109"/>
      <c r="R587" s="109"/>
      <c r="S587" s="109"/>
      <c r="T587" s="109"/>
      <c r="U587" s="109"/>
      <c r="V587" s="109"/>
      <c r="W587" s="109"/>
      <c r="X587" s="109"/>
      <c r="Y587" s="109"/>
      <c r="Z587" s="109"/>
    </row>
    <row r="588" spans="1:26" ht="11.25" customHeight="1">
      <c r="A588" s="109"/>
      <c r="B588" s="109"/>
      <c r="C588" s="109"/>
      <c r="D588" s="109"/>
      <c r="E588" s="109"/>
      <c r="F588" s="109"/>
      <c r="G588" s="109"/>
      <c r="H588" s="109"/>
      <c r="I588" s="109"/>
      <c r="J588" s="109"/>
      <c r="K588" s="109"/>
      <c r="L588" s="109"/>
      <c r="M588" s="109"/>
      <c r="N588" s="109"/>
      <c r="O588" s="109"/>
      <c r="P588" s="109"/>
      <c r="Q588" s="109"/>
      <c r="R588" s="109"/>
      <c r="S588" s="109"/>
      <c r="T588" s="109"/>
      <c r="U588" s="109"/>
      <c r="V588" s="109"/>
      <c r="W588" s="109"/>
      <c r="X588" s="109"/>
      <c r="Y588" s="109"/>
      <c r="Z588" s="109"/>
    </row>
    <row r="589" spans="1:26" ht="11.25" customHeight="1">
      <c r="A589" s="109"/>
      <c r="B589" s="109"/>
      <c r="C589" s="109"/>
      <c r="D589" s="109"/>
      <c r="E589" s="109"/>
      <c r="F589" s="109"/>
      <c r="G589" s="109"/>
      <c r="H589" s="109"/>
      <c r="I589" s="109"/>
      <c r="J589" s="109"/>
      <c r="K589" s="109"/>
      <c r="L589" s="109"/>
      <c r="M589" s="109"/>
      <c r="N589" s="109"/>
      <c r="O589" s="109"/>
      <c r="P589" s="109"/>
      <c r="Q589" s="109"/>
      <c r="R589" s="109"/>
      <c r="S589" s="109"/>
      <c r="T589" s="109"/>
      <c r="U589" s="109"/>
      <c r="V589" s="109"/>
      <c r="W589" s="109"/>
      <c r="X589" s="109"/>
      <c r="Y589" s="109"/>
      <c r="Z589" s="109"/>
    </row>
    <row r="590" spans="1:26" ht="11.25" customHeight="1">
      <c r="A590" s="109"/>
      <c r="B590" s="109"/>
      <c r="C590" s="109"/>
      <c r="D590" s="109"/>
      <c r="E590" s="109"/>
      <c r="F590" s="109"/>
      <c r="G590" s="109"/>
      <c r="H590" s="109"/>
      <c r="I590" s="109"/>
      <c r="J590" s="109"/>
      <c r="K590" s="109"/>
      <c r="L590" s="109"/>
      <c r="M590" s="109"/>
      <c r="N590" s="109"/>
      <c r="O590" s="109"/>
      <c r="P590" s="109"/>
      <c r="Q590" s="109"/>
      <c r="R590" s="109"/>
      <c r="S590" s="109"/>
      <c r="T590" s="109"/>
      <c r="U590" s="109"/>
      <c r="V590" s="109"/>
      <c r="W590" s="109"/>
      <c r="X590" s="109"/>
      <c r="Y590" s="109"/>
      <c r="Z590" s="109"/>
    </row>
    <row r="591" spans="1:26" ht="11.25" customHeight="1">
      <c r="A591" s="109"/>
      <c r="B591" s="109"/>
      <c r="C591" s="109"/>
      <c r="D591" s="109"/>
      <c r="E591" s="109"/>
      <c r="F591" s="109"/>
      <c r="G591" s="109"/>
      <c r="H591" s="109"/>
      <c r="I591" s="109"/>
      <c r="J591" s="109"/>
      <c r="K591" s="109"/>
      <c r="L591" s="109"/>
      <c r="M591" s="109"/>
      <c r="N591" s="109"/>
      <c r="O591" s="109"/>
      <c r="P591" s="109"/>
      <c r="Q591" s="109"/>
      <c r="R591" s="109"/>
      <c r="S591" s="109"/>
      <c r="T591" s="109"/>
      <c r="U591" s="109"/>
      <c r="V591" s="109"/>
      <c r="W591" s="109"/>
      <c r="X591" s="109"/>
      <c r="Y591" s="109"/>
      <c r="Z591" s="109"/>
    </row>
    <row r="592" spans="1:26" ht="11.25" customHeight="1">
      <c r="A592" s="109"/>
      <c r="B592" s="109"/>
      <c r="C592" s="109"/>
      <c r="D592" s="109"/>
      <c r="E592" s="109"/>
      <c r="F592" s="109"/>
      <c r="G592" s="109"/>
      <c r="H592" s="109"/>
      <c r="I592" s="109"/>
      <c r="J592" s="109"/>
      <c r="K592" s="109"/>
      <c r="L592" s="109"/>
      <c r="M592" s="109"/>
      <c r="N592" s="109"/>
      <c r="O592" s="109"/>
      <c r="P592" s="109"/>
      <c r="Q592" s="109"/>
      <c r="R592" s="109"/>
      <c r="S592" s="109"/>
      <c r="T592" s="109"/>
      <c r="U592" s="109"/>
      <c r="V592" s="109"/>
      <c r="W592" s="109"/>
      <c r="X592" s="109"/>
      <c r="Y592" s="109"/>
      <c r="Z592" s="109"/>
    </row>
    <row r="593" spans="1:26" ht="11.25" customHeight="1">
      <c r="A593" s="109"/>
      <c r="B593" s="109"/>
      <c r="C593" s="109"/>
      <c r="D593" s="109"/>
      <c r="E593" s="109"/>
      <c r="F593" s="109"/>
      <c r="G593" s="109"/>
      <c r="H593" s="109"/>
      <c r="I593" s="109"/>
      <c r="J593" s="109"/>
      <c r="K593" s="109"/>
      <c r="L593" s="109"/>
      <c r="M593" s="109"/>
      <c r="N593" s="109"/>
      <c r="O593" s="109"/>
      <c r="P593" s="109"/>
      <c r="Q593" s="109"/>
      <c r="R593" s="109"/>
      <c r="S593" s="109"/>
      <c r="T593" s="109"/>
      <c r="U593" s="109"/>
      <c r="V593" s="109"/>
      <c r="W593" s="109"/>
      <c r="X593" s="109"/>
      <c r="Y593" s="109"/>
      <c r="Z593" s="109"/>
    </row>
    <row r="594" spans="1:26" ht="11.25" customHeight="1">
      <c r="A594" s="109"/>
      <c r="B594" s="109"/>
      <c r="C594" s="109"/>
      <c r="D594" s="109"/>
      <c r="E594" s="109"/>
      <c r="F594" s="109"/>
      <c r="G594" s="109"/>
      <c r="H594" s="109"/>
      <c r="I594" s="109"/>
      <c r="J594" s="109"/>
      <c r="K594" s="109"/>
      <c r="L594" s="109"/>
      <c r="M594" s="109"/>
      <c r="N594" s="109"/>
      <c r="O594" s="109"/>
      <c r="P594" s="109"/>
      <c r="Q594" s="109"/>
      <c r="R594" s="109"/>
      <c r="S594" s="109"/>
      <c r="T594" s="109"/>
      <c r="U594" s="109"/>
      <c r="V594" s="109"/>
      <c r="W594" s="109"/>
      <c r="X594" s="109"/>
      <c r="Y594" s="109"/>
      <c r="Z594" s="109"/>
    </row>
    <row r="595" spans="1:26" ht="11.25" customHeight="1">
      <c r="A595" s="109"/>
      <c r="B595" s="109"/>
      <c r="C595" s="109"/>
      <c r="D595" s="109"/>
      <c r="E595" s="109"/>
      <c r="F595" s="109"/>
      <c r="G595" s="109"/>
      <c r="H595" s="109"/>
      <c r="I595" s="109"/>
      <c r="J595" s="109"/>
      <c r="K595" s="109"/>
      <c r="L595" s="109"/>
      <c r="M595" s="109"/>
      <c r="N595" s="109"/>
      <c r="O595" s="109"/>
      <c r="P595" s="109"/>
      <c r="Q595" s="109"/>
      <c r="R595" s="109"/>
      <c r="S595" s="109"/>
      <c r="T595" s="109"/>
      <c r="U595" s="109"/>
      <c r="V595" s="109"/>
      <c r="W595" s="109"/>
      <c r="X595" s="109"/>
      <c r="Y595" s="109"/>
      <c r="Z595" s="109"/>
    </row>
    <row r="596" spans="1:26" ht="11.25" customHeight="1">
      <c r="A596" s="109"/>
      <c r="B596" s="109"/>
      <c r="C596" s="109"/>
      <c r="D596" s="109"/>
      <c r="E596" s="109"/>
      <c r="F596" s="109"/>
      <c r="G596" s="109"/>
      <c r="H596" s="109"/>
      <c r="I596" s="109"/>
      <c r="J596" s="109"/>
      <c r="K596" s="109"/>
      <c r="L596" s="109"/>
      <c r="M596" s="109"/>
      <c r="N596" s="109"/>
      <c r="O596" s="109"/>
      <c r="P596" s="109"/>
      <c r="Q596" s="109"/>
      <c r="R596" s="109"/>
      <c r="S596" s="109"/>
      <c r="T596" s="109"/>
      <c r="U596" s="109"/>
      <c r="V596" s="109"/>
      <c r="W596" s="109"/>
      <c r="X596" s="109"/>
      <c r="Y596" s="109"/>
      <c r="Z596" s="109"/>
    </row>
    <row r="597" spans="1:26" ht="11.25" customHeight="1">
      <c r="A597" s="109"/>
      <c r="B597" s="109"/>
      <c r="C597" s="109"/>
      <c r="D597" s="109"/>
      <c r="E597" s="109"/>
      <c r="F597" s="109"/>
      <c r="G597" s="109"/>
      <c r="H597" s="109"/>
      <c r="I597" s="109"/>
      <c r="J597" s="109"/>
      <c r="K597" s="109"/>
      <c r="L597" s="109"/>
      <c r="M597" s="109"/>
      <c r="N597" s="109"/>
      <c r="O597" s="109"/>
      <c r="P597" s="109"/>
      <c r="Q597" s="109"/>
      <c r="R597" s="109"/>
      <c r="S597" s="109"/>
      <c r="T597" s="109"/>
      <c r="U597" s="109"/>
      <c r="V597" s="109"/>
      <c r="W597" s="109"/>
      <c r="X597" s="109"/>
      <c r="Y597" s="109"/>
      <c r="Z597" s="109"/>
    </row>
    <row r="598" spans="1:26" ht="11.25" customHeight="1">
      <c r="A598" s="109"/>
      <c r="B598" s="109"/>
      <c r="C598" s="109"/>
      <c r="D598" s="109"/>
      <c r="E598" s="109"/>
      <c r="F598" s="109"/>
      <c r="G598" s="109"/>
      <c r="H598" s="109"/>
      <c r="I598" s="109"/>
      <c r="J598" s="109"/>
      <c r="K598" s="109"/>
      <c r="L598" s="109"/>
      <c r="M598" s="109"/>
      <c r="N598" s="109"/>
      <c r="O598" s="109"/>
      <c r="P598" s="109"/>
      <c r="Q598" s="109"/>
      <c r="R598" s="109"/>
      <c r="S598" s="109"/>
      <c r="T598" s="109"/>
      <c r="U598" s="109"/>
      <c r="V598" s="109"/>
      <c r="W598" s="109"/>
      <c r="X598" s="109"/>
      <c r="Y598" s="109"/>
      <c r="Z598" s="109"/>
    </row>
    <row r="599" spans="1:26" ht="11.25" customHeight="1">
      <c r="A599" s="109"/>
      <c r="B599" s="109"/>
      <c r="C599" s="109"/>
      <c r="D599" s="109"/>
      <c r="E599" s="109"/>
      <c r="F599" s="109"/>
      <c r="G599" s="109"/>
      <c r="H599" s="109"/>
      <c r="I599" s="109"/>
      <c r="J599" s="109"/>
      <c r="K599" s="109"/>
      <c r="L599" s="109"/>
      <c r="M599" s="109"/>
      <c r="N599" s="109"/>
      <c r="O599" s="109"/>
      <c r="P599" s="109"/>
      <c r="Q599" s="109"/>
      <c r="R599" s="109"/>
      <c r="S599" s="109"/>
      <c r="T599" s="109"/>
      <c r="U599" s="109"/>
      <c r="V599" s="109"/>
      <c r="W599" s="109"/>
      <c r="X599" s="109"/>
      <c r="Y599" s="109"/>
      <c r="Z599" s="109"/>
    </row>
    <row r="600" spans="1:26" ht="11.25" customHeight="1">
      <c r="A600" s="109"/>
      <c r="B600" s="109"/>
      <c r="C600" s="109"/>
      <c r="D600" s="109"/>
      <c r="E600" s="109"/>
      <c r="F600" s="109"/>
      <c r="G600" s="109"/>
      <c r="H600" s="109"/>
      <c r="I600" s="109"/>
      <c r="J600" s="109"/>
      <c r="K600" s="109"/>
      <c r="L600" s="109"/>
      <c r="M600" s="109"/>
      <c r="N600" s="109"/>
      <c r="O600" s="109"/>
      <c r="P600" s="109"/>
      <c r="Q600" s="109"/>
      <c r="R600" s="109"/>
      <c r="S600" s="109"/>
      <c r="T600" s="109"/>
      <c r="U600" s="109"/>
      <c r="V600" s="109"/>
      <c r="W600" s="109"/>
      <c r="X600" s="109"/>
      <c r="Y600" s="109"/>
      <c r="Z600" s="109"/>
    </row>
    <row r="601" spans="1:26" ht="11.25" customHeight="1">
      <c r="A601" s="109"/>
      <c r="B601" s="109"/>
      <c r="C601" s="109"/>
      <c r="D601" s="109"/>
      <c r="E601" s="109"/>
      <c r="F601" s="109"/>
      <c r="G601" s="109"/>
      <c r="H601" s="109"/>
      <c r="I601" s="109"/>
      <c r="J601" s="109"/>
      <c r="K601" s="109"/>
      <c r="L601" s="109"/>
      <c r="M601" s="109"/>
      <c r="N601" s="109"/>
      <c r="O601" s="109"/>
      <c r="P601" s="109"/>
      <c r="Q601" s="109"/>
      <c r="R601" s="109"/>
      <c r="S601" s="109"/>
      <c r="T601" s="109"/>
      <c r="U601" s="109"/>
      <c r="V601" s="109"/>
      <c r="W601" s="109"/>
      <c r="X601" s="109"/>
      <c r="Y601" s="109"/>
      <c r="Z601" s="109"/>
    </row>
    <row r="602" spans="1:26" ht="11.25" customHeight="1">
      <c r="A602" s="109"/>
      <c r="B602" s="109"/>
      <c r="C602" s="109"/>
      <c r="D602" s="109"/>
      <c r="E602" s="109"/>
      <c r="F602" s="109"/>
      <c r="G602" s="109"/>
      <c r="H602" s="109"/>
      <c r="I602" s="109"/>
      <c r="J602" s="109"/>
      <c r="K602" s="109"/>
      <c r="L602" s="109"/>
      <c r="M602" s="109"/>
      <c r="N602" s="109"/>
      <c r="O602" s="109"/>
      <c r="P602" s="109"/>
      <c r="Q602" s="109"/>
      <c r="R602" s="109"/>
      <c r="S602" s="109"/>
      <c r="T602" s="109"/>
      <c r="U602" s="109"/>
      <c r="V602" s="109"/>
      <c r="W602" s="109"/>
      <c r="X602" s="109"/>
      <c r="Y602" s="109"/>
      <c r="Z602" s="109"/>
    </row>
    <row r="603" spans="1:26" ht="11.25" customHeight="1">
      <c r="A603" s="109"/>
      <c r="B603" s="109"/>
      <c r="C603" s="109"/>
      <c r="D603" s="109"/>
      <c r="E603" s="109"/>
      <c r="F603" s="109"/>
      <c r="G603" s="109"/>
      <c r="H603" s="109"/>
      <c r="I603" s="109"/>
      <c r="J603" s="109"/>
      <c r="K603" s="109"/>
      <c r="L603" s="109"/>
      <c r="M603" s="109"/>
      <c r="N603" s="109"/>
      <c r="O603" s="109"/>
      <c r="P603" s="109"/>
      <c r="Q603" s="109"/>
      <c r="R603" s="109"/>
      <c r="S603" s="109"/>
      <c r="T603" s="109"/>
      <c r="U603" s="109"/>
      <c r="V603" s="109"/>
      <c r="W603" s="109"/>
      <c r="X603" s="109"/>
      <c r="Y603" s="109"/>
      <c r="Z603" s="109"/>
    </row>
    <row r="604" spans="1:26" ht="11.25" customHeight="1">
      <c r="A604" s="109"/>
      <c r="B604" s="109"/>
      <c r="C604" s="109"/>
      <c r="D604" s="109"/>
      <c r="E604" s="109"/>
      <c r="F604" s="109"/>
      <c r="G604" s="109"/>
      <c r="H604" s="109"/>
      <c r="I604" s="109"/>
      <c r="J604" s="109"/>
      <c r="K604" s="109"/>
      <c r="L604" s="109"/>
      <c r="M604" s="109"/>
      <c r="N604" s="109"/>
      <c r="O604" s="109"/>
      <c r="P604" s="109"/>
      <c r="Q604" s="109"/>
      <c r="R604" s="109"/>
      <c r="S604" s="109"/>
      <c r="T604" s="109"/>
      <c r="U604" s="109"/>
      <c r="V604" s="109"/>
      <c r="W604" s="109"/>
      <c r="X604" s="109"/>
      <c r="Y604" s="109"/>
      <c r="Z604" s="109"/>
    </row>
    <row r="605" spans="1:26" ht="11.25" customHeight="1">
      <c r="A605" s="109"/>
      <c r="B605" s="109"/>
      <c r="C605" s="109"/>
      <c r="D605" s="109"/>
      <c r="E605" s="109"/>
      <c r="F605" s="109"/>
      <c r="G605" s="109"/>
      <c r="H605" s="109"/>
      <c r="I605" s="109"/>
      <c r="J605" s="109"/>
      <c r="K605" s="109"/>
      <c r="L605" s="109"/>
      <c r="M605" s="109"/>
      <c r="N605" s="109"/>
      <c r="O605" s="109"/>
      <c r="P605" s="109"/>
      <c r="Q605" s="109"/>
      <c r="R605" s="109"/>
      <c r="S605" s="109"/>
      <c r="T605" s="109"/>
      <c r="U605" s="109"/>
      <c r="V605" s="109"/>
      <c r="W605" s="109"/>
      <c r="X605" s="109"/>
      <c r="Y605" s="109"/>
      <c r="Z605" s="109"/>
    </row>
    <row r="606" spans="1:26" ht="11.25" customHeight="1">
      <c r="A606" s="109"/>
      <c r="B606" s="109"/>
      <c r="C606" s="109"/>
      <c r="D606" s="109"/>
      <c r="E606" s="109"/>
      <c r="F606" s="109"/>
      <c r="G606" s="109"/>
      <c r="H606" s="109"/>
      <c r="I606" s="109"/>
      <c r="J606" s="109"/>
      <c r="K606" s="109"/>
      <c r="L606" s="109"/>
      <c r="M606" s="109"/>
      <c r="N606" s="109"/>
      <c r="O606" s="109"/>
      <c r="P606" s="109"/>
      <c r="Q606" s="109"/>
      <c r="R606" s="109"/>
      <c r="S606" s="109"/>
      <c r="T606" s="109"/>
      <c r="U606" s="109"/>
      <c r="V606" s="109"/>
      <c r="W606" s="109"/>
      <c r="X606" s="109"/>
      <c r="Y606" s="109"/>
      <c r="Z606" s="109"/>
    </row>
    <row r="607" spans="1:26" ht="11.25" customHeight="1">
      <c r="A607" s="109"/>
      <c r="B607" s="109"/>
      <c r="C607" s="109"/>
      <c r="D607" s="109"/>
      <c r="E607" s="109"/>
      <c r="F607" s="109"/>
      <c r="G607" s="109"/>
      <c r="H607" s="109"/>
      <c r="I607" s="109"/>
      <c r="J607" s="109"/>
      <c r="K607" s="109"/>
      <c r="L607" s="109"/>
      <c r="M607" s="109"/>
      <c r="N607" s="109"/>
      <c r="O607" s="109"/>
      <c r="P607" s="109"/>
      <c r="Q607" s="109"/>
      <c r="R607" s="109"/>
      <c r="S607" s="109"/>
      <c r="T607" s="109"/>
      <c r="U607" s="109"/>
      <c r="V607" s="109"/>
      <c r="W607" s="109"/>
      <c r="X607" s="109"/>
      <c r="Y607" s="109"/>
      <c r="Z607" s="109"/>
    </row>
    <row r="608" spans="1:26" ht="11.25" customHeight="1">
      <c r="A608" s="109"/>
      <c r="B608" s="109"/>
      <c r="C608" s="109"/>
      <c r="D608" s="109"/>
      <c r="E608" s="109"/>
      <c r="F608" s="109"/>
      <c r="G608" s="109"/>
      <c r="H608" s="109"/>
      <c r="I608" s="109"/>
      <c r="J608" s="109"/>
      <c r="K608" s="109"/>
      <c r="L608" s="109"/>
      <c r="M608" s="109"/>
      <c r="N608" s="109"/>
      <c r="O608" s="109"/>
      <c r="P608" s="109"/>
      <c r="Q608" s="109"/>
      <c r="R608" s="109"/>
      <c r="S608" s="109"/>
      <c r="T608" s="109"/>
      <c r="U608" s="109"/>
      <c r="V608" s="109"/>
      <c r="W608" s="109"/>
      <c r="X608" s="109"/>
      <c r="Y608" s="109"/>
      <c r="Z608" s="109"/>
    </row>
    <row r="609" spans="1:26" ht="11.25" customHeight="1">
      <c r="A609" s="109"/>
      <c r="B609" s="109"/>
      <c r="C609" s="109"/>
      <c r="D609" s="109"/>
      <c r="E609" s="109"/>
      <c r="F609" s="109"/>
      <c r="G609" s="109"/>
      <c r="H609" s="109"/>
      <c r="I609" s="109"/>
      <c r="J609" s="109"/>
      <c r="K609" s="109"/>
      <c r="L609" s="109"/>
      <c r="M609" s="109"/>
      <c r="N609" s="109"/>
      <c r="O609" s="109"/>
      <c r="P609" s="109"/>
      <c r="Q609" s="109"/>
      <c r="R609" s="109"/>
      <c r="S609" s="109"/>
      <c r="T609" s="109"/>
      <c r="U609" s="109"/>
      <c r="V609" s="109"/>
      <c r="W609" s="109"/>
      <c r="X609" s="109"/>
      <c r="Y609" s="109"/>
      <c r="Z609" s="109"/>
    </row>
    <row r="610" spans="1:26" ht="11.25" customHeight="1">
      <c r="A610" s="109"/>
      <c r="B610" s="109"/>
      <c r="C610" s="109"/>
      <c r="D610" s="109"/>
      <c r="E610" s="109"/>
      <c r="F610" s="109"/>
      <c r="G610" s="109"/>
      <c r="H610" s="109"/>
      <c r="I610" s="109"/>
      <c r="J610" s="109"/>
      <c r="K610" s="109"/>
      <c r="L610" s="109"/>
      <c r="M610" s="109"/>
      <c r="N610" s="109"/>
      <c r="O610" s="109"/>
      <c r="P610" s="109"/>
      <c r="Q610" s="109"/>
      <c r="R610" s="109"/>
      <c r="S610" s="109"/>
      <c r="T610" s="109"/>
      <c r="U610" s="109"/>
      <c r="V610" s="109"/>
      <c r="W610" s="109"/>
      <c r="X610" s="109"/>
      <c r="Y610" s="109"/>
      <c r="Z610" s="109"/>
    </row>
    <row r="611" spans="1:26" ht="11.25" customHeight="1">
      <c r="A611" s="109"/>
      <c r="B611" s="109"/>
      <c r="C611" s="109"/>
      <c r="D611" s="109"/>
      <c r="E611" s="109"/>
      <c r="F611" s="109"/>
      <c r="G611" s="109"/>
      <c r="H611" s="109"/>
      <c r="I611" s="109"/>
      <c r="J611" s="109"/>
      <c r="K611" s="109"/>
      <c r="L611" s="109"/>
      <c r="M611" s="109"/>
      <c r="N611" s="109"/>
      <c r="O611" s="109"/>
      <c r="P611" s="109"/>
      <c r="Q611" s="109"/>
      <c r="R611" s="109"/>
      <c r="S611" s="109"/>
      <c r="T611" s="109"/>
      <c r="U611" s="109"/>
      <c r="V611" s="109"/>
      <c r="W611" s="109"/>
      <c r="X611" s="109"/>
      <c r="Y611" s="109"/>
      <c r="Z611" s="109"/>
    </row>
    <row r="612" spans="1:26" ht="11.25" customHeight="1">
      <c r="A612" s="109"/>
      <c r="B612" s="109"/>
      <c r="C612" s="109"/>
      <c r="D612" s="109"/>
      <c r="E612" s="109"/>
      <c r="F612" s="109"/>
      <c r="G612" s="109"/>
      <c r="H612" s="109"/>
      <c r="I612" s="109"/>
      <c r="J612" s="109"/>
      <c r="K612" s="109"/>
      <c r="L612" s="109"/>
      <c r="M612" s="109"/>
      <c r="N612" s="109"/>
      <c r="O612" s="109"/>
      <c r="P612" s="109"/>
      <c r="Q612" s="109"/>
      <c r="R612" s="109"/>
      <c r="S612" s="109"/>
      <c r="T612" s="109"/>
      <c r="U612" s="109"/>
      <c r="V612" s="109"/>
      <c r="W612" s="109"/>
      <c r="X612" s="109"/>
      <c r="Y612" s="109"/>
      <c r="Z612" s="109"/>
    </row>
    <row r="613" spans="1:26" ht="11.25" customHeight="1">
      <c r="A613" s="109"/>
      <c r="B613" s="109"/>
      <c r="C613" s="109"/>
      <c r="D613" s="109"/>
      <c r="E613" s="109"/>
      <c r="F613" s="109"/>
      <c r="G613" s="109"/>
      <c r="H613" s="109"/>
      <c r="I613" s="109"/>
      <c r="J613" s="109"/>
      <c r="K613" s="109"/>
      <c r="L613" s="109"/>
      <c r="M613" s="109"/>
      <c r="N613" s="109"/>
      <c r="O613" s="109"/>
      <c r="P613" s="109"/>
      <c r="Q613" s="109"/>
      <c r="R613" s="109"/>
      <c r="S613" s="109"/>
      <c r="T613" s="109"/>
      <c r="U613" s="109"/>
      <c r="V613" s="109"/>
      <c r="W613" s="109"/>
      <c r="X613" s="109"/>
      <c r="Y613" s="109"/>
      <c r="Z613" s="109"/>
    </row>
    <row r="614" spans="1:26" ht="11.25" customHeight="1">
      <c r="A614" s="109"/>
      <c r="B614" s="109"/>
      <c r="C614" s="109"/>
      <c r="D614" s="109"/>
      <c r="E614" s="109"/>
      <c r="F614" s="109"/>
      <c r="G614" s="109"/>
      <c r="H614" s="109"/>
      <c r="I614" s="109"/>
      <c r="J614" s="109"/>
      <c r="K614" s="109"/>
      <c r="L614" s="109"/>
      <c r="M614" s="109"/>
      <c r="N614" s="109"/>
      <c r="O614" s="109"/>
      <c r="P614" s="109"/>
      <c r="Q614" s="109"/>
      <c r="R614" s="109"/>
      <c r="S614" s="109"/>
      <c r="T614" s="109"/>
      <c r="U614" s="109"/>
      <c r="V614" s="109"/>
      <c r="W614" s="109"/>
      <c r="X614" s="109"/>
      <c r="Y614" s="109"/>
      <c r="Z614" s="109"/>
    </row>
    <row r="615" spans="1:26" ht="11.25" customHeight="1">
      <c r="A615" s="109"/>
      <c r="B615" s="109"/>
      <c r="C615" s="109"/>
      <c r="D615" s="109"/>
      <c r="E615" s="109"/>
      <c r="F615" s="109"/>
      <c r="G615" s="109"/>
      <c r="H615" s="109"/>
      <c r="I615" s="109"/>
      <c r="J615" s="109"/>
      <c r="K615" s="109"/>
      <c r="L615" s="109"/>
      <c r="M615" s="109"/>
      <c r="N615" s="109"/>
      <c r="O615" s="109"/>
      <c r="P615" s="109"/>
      <c r="Q615" s="109"/>
      <c r="R615" s="109"/>
      <c r="S615" s="109"/>
      <c r="T615" s="109"/>
      <c r="U615" s="109"/>
      <c r="V615" s="109"/>
      <c r="W615" s="109"/>
      <c r="X615" s="109"/>
      <c r="Y615" s="109"/>
      <c r="Z615" s="109"/>
    </row>
    <row r="616" spans="1:26" ht="11.25" customHeight="1">
      <c r="A616" s="109"/>
      <c r="B616" s="109"/>
      <c r="C616" s="109"/>
      <c r="D616" s="109"/>
      <c r="E616" s="109"/>
      <c r="F616" s="109"/>
      <c r="G616" s="109"/>
      <c r="H616" s="109"/>
      <c r="I616" s="109"/>
      <c r="J616" s="109"/>
      <c r="K616" s="109"/>
      <c r="L616" s="109"/>
      <c r="M616" s="109"/>
      <c r="N616" s="109"/>
      <c r="O616" s="109"/>
      <c r="P616" s="109"/>
      <c r="Q616" s="109"/>
      <c r="R616" s="109"/>
      <c r="S616" s="109"/>
      <c r="T616" s="109"/>
      <c r="U616" s="109"/>
      <c r="V616" s="109"/>
      <c r="W616" s="109"/>
      <c r="X616" s="109"/>
      <c r="Y616" s="109"/>
      <c r="Z616" s="109"/>
    </row>
    <row r="617" spans="1:26" ht="11.25" customHeight="1">
      <c r="A617" s="109"/>
      <c r="B617" s="109"/>
      <c r="C617" s="109"/>
      <c r="D617" s="109"/>
      <c r="E617" s="109"/>
      <c r="F617" s="109"/>
      <c r="G617" s="109"/>
      <c r="H617" s="109"/>
      <c r="I617" s="109"/>
      <c r="J617" s="109"/>
      <c r="K617" s="109"/>
      <c r="L617" s="109"/>
      <c r="M617" s="109"/>
      <c r="N617" s="109"/>
      <c r="O617" s="109"/>
      <c r="P617" s="109"/>
      <c r="Q617" s="109"/>
      <c r="R617" s="109"/>
      <c r="S617" s="109"/>
      <c r="T617" s="109"/>
      <c r="U617" s="109"/>
      <c r="V617" s="109"/>
      <c r="W617" s="109"/>
      <c r="X617" s="109"/>
      <c r="Y617" s="109"/>
      <c r="Z617" s="109"/>
    </row>
    <row r="618" spans="1:26" ht="11.25" customHeight="1">
      <c r="A618" s="109"/>
      <c r="B618" s="109"/>
      <c r="C618" s="109"/>
      <c r="D618" s="109"/>
      <c r="E618" s="109"/>
      <c r="F618" s="109"/>
      <c r="G618" s="109"/>
      <c r="H618" s="109"/>
      <c r="I618" s="109"/>
      <c r="J618" s="109"/>
      <c r="K618" s="109"/>
      <c r="L618" s="109"/>
      <c r="M618" s="109"/>
      <c r="N618" s="109"/>
      <c r="O618" s="109"/>
      <c r="P618" s="109"/>
      <c r="Q618" s="109"/>
      <c r="R618" s="109"/>
      <c r="S618" s="109"/>
      <c r="T618" s="109"/>
      <c r="U618" s="109"/>
      <c r="V618" s="109"/>
      <c r="W618" s="109"/>
      <c r="X618" s="109"/>
      <c r="Y618" s="109"/>
      <c r="Z618" s="109"/>
    </row>
    <row r="619" spans="1:26" ht="11.25" customHeight="1">
      <c r="A619" s="109"/>
      <c r="B619" s="109"/>
      <c r="C619" s="109"/>
      <c r="D619" s="109"/>
      <c r="E619" s="109"/>
      <c r="F619" s="109"/>
      <c r="G619" s="109"/>
      <c r="H619" s="109"/>
      <c r="I619" s="109"/>
      <c r="J619" s="109"/>
      <c r="K619" s="109"/>
      <c r="L619" s="109"/>
      <c r="M619" s="109"/>
      <c r="N619" s="109"/>
      <c r="O619" s="109"/>
      <c r="P619" s="109"/>
      <c r="Q619" s="109"/>
      <c r="R619" s="109"/>
      <c r="S619" s="109"/>
      <c r="T619" s="109"/>
      <c r="U619" s="109"/>
      <c r="V619" s="109"/>
      <c r="W619" s="109"/>
      <c r="X619" s="109"/>
      <c r="Y619" s="109"/>
      <c r="Z619" s="109"/>
    </row>
    <row r="620" spans="1:26" ht="11.25" customHeight="1">
      <c r="A620" s="109"/>
      <c r="B620" s="109"/>
      <c r="C620" s="109"/>
      <c r="D620" s="109"/>
      <c r="E620" s="109"/>
      <c r="F620" s="109"/>
      <c r="G620" s="109"/>
      <c r="H620" s="109"/>
      <c r="I620" s="109"/>
      <c r="J620" s="109"/>
      <c r="K620" s="109"/>
      <c r="L620" s="109"/>
      <c r="M620" s="109"/>
      <c r="N620" s="109"/>
      <c r="O620" s="109"/>
      <c r="P620" s="109"/>
      <c r="Q620" s="109"/>
      <c r="R620" s="109"/>
      <c r="S620" s="109"/>
      <c r="T620" s="109"/>
      <c r="U620" s="109"/>
      <c r="V620" s="109"/>
      <c r="W620" s="109"/>
      <c r="X620" s="109"/>
      <c r="Y620" s="109"/>
      <c r="Z620" s="109"/>
    </row>
    <row r="621" spans="1:26" ht="11.25" customHeight="1">
      <c r="A621" s="109"/>
      <c r="B621" s="109"/>
      <c r="C621" s="109"/>
      <c r="D621" s="109"/>
      <c r="E621" s="109"/>
      <c r="F621" s="109"/>
      <c r="G621" s="109"/>
      <c r="H621" s="109"/>
      <c r="I621" s="109"/>
      <c r="J621" s="109"/>
      <c r="K621" s="109"/>
      <c r="L621" s="109"/>
      <c r="M621" s="109"/>
      <c r="N621" s="109"/>
      <c r="O621" s="109"/>
      <c r="P621" s="109"/>
      <c r="Q621" s="109"/>
      <c r="R621" s="109"/>
      <c r="S621" s="109"/>
      <c r="T621" s="109"/>
      <c r="U621" s="109"/>
      <c r="V621" s="109"/>
      <c r="W621" s="109"/>
      <c r="X621" s="109"/>
      <c r="Y621" s="109"/>
      <c r="Z621" s="109"/>
    </row>
    <row r="622" spans="1:26" ht="11.25" customHeight="1">
      <c r="A622" s="109"/>
      <c r="B622" s="109"/>
      <c r="C622" s="109"/>
      <c r="D622" s="109"/>
      <c r="E622" s="109"/>
      <c r="F622" s="109"/>
      <c r="G622" s="109"/>
      <c r="H622" s="109"/>
      <c r="I622" s="109"/>
      <c r="J622" s="109"/>
      <c r="K622" s="109"/>
      <c r="L622" s="109"/>
      <c r="M622" s="109"/>
      <c r="N622" s="109"/>
      <c r="O622" s="109"/>
      <c r="P622" s="109"/>
      <c r="Q622" s="109"/>
      <c r="R622" s="109"/>
      <c r="S622" s="109"/>
      <c r="T622" s="109"/>
      <c r="U622" s="109"/>
      <c r="V622" s="109"/>
      <c r="W622" s="109"/>
      <c r="X622" s="109"/>
      <c r="Y622" s="109"/>
      <c r="Z622" s="109"/>
    </row>
    <row r="623" spans="1:26" ht="11.25" customHeight="1">
      <c r="A623" s="109"/>
      <c r="B623" s="109"/>
      <c r="C623" s="109"/>
      <c r="D623" s="109"/>
      <c r="E623" s="109"/>
      <c r="F623" s="109"/>
      <c r="G623" s="109"/>
      <c r="H623" s="109"/>
      <c r="I623" s="109"/>
      <c r="J623" s="109"/>
      <c r="K623" s="109"/>
      <c r="L623" s="109"/>
      <c r="M623" s="109"/>
      <c r="N623" s="109"/>
      <c r="O623" s="109"/>
      <c r="P623" s="109"/>
      <c r="Q623" s="109"/>
      <c r="R623" s="109"/>
      <c r="S623" s="109"/>
      <c r="T623" s="109"/>
      <c r="U623" s="109"/>
      <c r="V623" s="109"/>
      <c r="W623" s="109"/>
      <c r="X623" s="109"/>
      <c r="Y623" s="109"/>
      <c r="Z623" s="109"/>
    </row>
    <row r="624" spans="1:26" ht="11.25" customHeight="1">
      <c r="A624" s="109"/>
      <c r="B624" s="109"/>
      <c r="C624" s="109"/>
      <c r="D624" s="109"/>
      <c r="E624" s="109"/>
      <c r="F624" s="109"/>
      <c r="G624" s="109"/>
      <c r="H624" s="109"/>
      <c r="I624" s="109"/>
      <c r="J624" s="109"/>
      <c r="K624" s="109"/>
      <c r="L624" s="109"/>
      <c r="M624" s="109"/>
      <c r="N624" s="109"/>
      <c r="O624" s="109"/>
      <c r="P624" s="109"/>
      <c r="Q624" s="109"/>
      <c r="R624" s="109"/>
      <c r="S624" s="109"/>
      <c r="T624" s="109"/>
      <c r="U624" s="109"/>
      <c r="V624" s="109"/>
      <c r="W624" s="109"/>
      <c r="X624" s="109"/>
      <c r="Y624" s="109"/>
      <c r="Z624" s="109"/>
    </row>
    <row r="625" spans="1:26" ht="11.25" customHeight="1">
      <c r="A625" s="109"/>
      <c r="B625" s="109"/>
      <c r="C625" s="109"/>
      <c r="D625" s="109"/>
      <c r="E625" s="109"/>
      <c r="F625" s="109"/>
      <c r="G625" s="109"/>
      <c r="H625" s="109"/>
      <c r="I625" s="109"/>
      <c r="J625" s="109"/>
      <c r="K625" s="109"/>
      <c r="L625" s="109"/>
      <c r="M625" s="109"/>
      <c r="N625" s="109"/>
      <c r="O625" s="109"/>
      <c r="P625" s="109"/>
      <c r="Q625" s="109"/>
      <c r="R625" s="109"/>
      <c r="S625" s="109"/>
      <c r="T625" s="109"/>
      <c r="U625" s="109"/>
      <c r="V625" s="109"/>
      <c r="W625" s="109"/>
      <c r="X625" s="109"/>
      <c r="Y625" s="109"/>
      <c r="Z625" s="109"/>
    </row>
    <row r="626" spans="1:26" ht="11.25" customHeight="1">
      <c r="A626" s="109"/>
      <c r="B626" s="109"/>
      <c r="C626" s="109"/>
      <c r="D626" s="109"/>
      <c r="E626" s="109"/>
      <c r="F626" s="109"/>
      <c r="G626" s="109"/>
      <c r="H626" s="109"/>
      <c r="I626" s="109"/>
      <c r="J626" s="109"/>
      <c r="K626" s="109"/>
      <c r="L626" s="109"/>
      <c r="M626" s="109"/>
      <c r="N626" s="109"/>
      <c r="O626" s="109"/>
      <c r="P626" s="109"/>
      <c r="Q626" s="109"/>
      <c r="R626" s="109"/>
      <c r="S626" s="109"/>
      <c r="T626" s="109"/>
      <c r="U626" s="109"/>
      <c r="V626" s="109"/>
      <c r="W626" s="109"/>
      <c r="X626" s="109"/>
      <c r="Y626" s="109"/>
      <c r="Z626" s="109"/>
    </row>
    <row r="627" spans="1:26" ht="11.25" customHeight="1">
      <c r="A627" s="109"/>
      <c r="B627" s="109"/>
      <c r="C627" s="109"/>
      <c r="D627" s="109"/>
      <c r="E627" s="109"/>
      <c r="F627" s="109"/>
      <c r="G627" s="109"/>
      <c r="H627" s="109"/>
      <c r="I627" s="109"/>
      <c r="J627" s="109"/>
      <c r="K627" s="109"/>
      <c r="L627" s="109"/>
      <c r="M627" s="109"/>
      <c r="N627" s="109"/>
      <c r="O627" s="109"/>
      <c r="P627" s="109"/>
      <c r="Q627" s="109"/>
      <c r="R627" s="109"/>
      <c r="S627" s="109"/>
      <c r="T627" s="109"/>
      <c r="U627" s="109"/>
      <c r="V627" s="109"/>
      <c r="W627" s="109"/>
      <c r="X627" s="109"/>
      <c r="Y627" s="109"/>
      <c r="Z627" s="109"/>
    </row>
    <row r="628" spans="1:26" ht="11.25" customHeight="1">
      <c r="A628" s="109"/>
      <c r="B628" s="109"/>
      <c r="C628" s="109"/>
      <c r="D628" s="109"/>
      <c r="E628" s="109"/>
      <c r="F628" s="109"/>
      <c r="G628" s="109"/>
      <c r="H628" s="109"/>
      <c r="I628" s="109"/>
      <c r="J628" s="109"/>
      <c r="K628" s="109"/>
      <c r="L628" s="109"/>
      <c r="M628" s="109"/>
      <c r="N628" s="109"/>
      <c r="O628" s="109"/>
      <c r="P628" s="109"/>
      <c r="Q628" s="109"/>
      <c r="R628" s="109"/>
      <c r="S628" s="109"/>
      <c r="T628" s="109"/>
      <c r="U628" s="109"/>
      <c r="V628" s="109"/>
      <c r="W628" s="109"/>
      <c r="X628" s="109"/>
      <c r="Y628" s="109"/>
      <c r="Z628" s="109"/>
    </row>
    <row r="629" spans="1:26" ht="11.25" customHeight="1">
      <c r="A629" s="109"/>
      <c r="B629" s="109"/>
      <c r="C629" s="109"/>
      <c r="D629" s="109"/>
      <c r="E629" s="109"/>
      <c r="F629" s="109"/>
      <c r="G629" s="109"/>
      <c r="H629" s="109"/>
      <c r="I629" s="109"/>
      <c r="J629" s="109"/>
      <c r="K629" s="109"/>
      <c r="L629" s="109"/>
      <c r="M629" s="109"/>
      <c r="N629" s="109"/>
      <c r="O629" s="109"/>
      <c r="P629" s="109"/>
      <c r="Q629" s="109"/>
      <c r="R629" s="109"/>
      <c r="S629" s="109"/>
      <c r="T629" s="109"/>
      <c r="U629" s="109"/>
      <c r="V629" s="109"/>
      <c r="W629" s="109"/>
      <c r="X629" s="109"/>
      <c r="Y629" s="109"/>
      <c r="Z629" s="109"/>
    </row>
    <row r="630" spans="1:26" ht="11.25" customHeight="1">
      <c r="A630" s="109"/>
      <c r="B630" s="109"/>
      <c r="C630" s="109"/>
      <c r="D630" s="109"/>
      <c r="E630" s="109"/>
      <c r="F630" s="109"/>
      <c r="G630" s="109"/>
      <c r="H630" s="109"/>
      <c r="I630" s="109"/>
      <c r="J630" s="109"/>
      <c r="K630" s="109"/>
      <c r="L630" s="109"/>
      <c r="M630" s="109"/>
      <c r="N630" s="109"/>
      <c r="O630" s="109"/>
      <c r="P630" s="109"/>
      <c r="Q630" s="109"/>
      <c r="R630" s="109"/>
      <c r="S630" s="109"/>
      <c r="T630" s="109"/>
      <c r="U630" s="109"/>
      <c r="V630" s="109"/>
      <c r="W630" s="109"/>
      <c r="X630" s="109"/>
      <c r="Y630" s="109"/>
      <c r="Z630" s="109"/>
    </row>
    <row r="631" spans="1:26" ht="11.25" customHeight="1">
      <c r="A631" s="109"/>
      <c r="B631" s="109"/>
      <c r="C631" s="109"/>
      <c r="D631" s="109"/>
      <c r="E631" s="109"/>
      <c r="F631" s="109"/>
      <c r="G631" s="109"/>
      <c r="H631" s="109"/>
      <c r="I631" s="109"/>
      <c r="J631" s="109"/>
      <c r="K631" s="109"/>
      <c r="L631" s="109"/>
      <c r="M631" s="109"/>
      <c r="N631" s="109"/>
      <c r="O631" s="109"/>
      <c r="P631" s="109"/>
      <c r="Q631" s="109"/>
      <c r="R631" s="109"/>
      <c r="S631" s="109"/>
      <c r="T631" s="109"/>
      <c r="U631" s="109"/>
      <c r="V631" s="109"/>
      <c r="W631" s="109"/>
      <c r="X631" s="109"/>
      <c r="Y631" s="109"/>
      <c r="Z631" s="109"/>
    </row>
    <row r="632" spans="1:26" ht="11.25" customHeight="1">
      <c r="A632" s="109"/>
      <c r="B632" s="109"/>
      <c r="C632" s="109"/>
      <c r="D632" s="109"/>
      <c r="E632" s="109"/>
      <c r="F632" s="109"/>
      <c r="G632" s="109"/>
      <c r="H632" s="109"/>
      <c r="I632" s="109"/>
      <c r="J632" s="109"/>
      <c r="K632" s="109"/>
      <c r="L632" s="109"/>
      <c r="M632" s="109"/>
      <c r="N632" s="109"/>
      <c r="O632" s="109"/>
      <c r="P632" s="109"/>
      <c r="Q632" s="109"/>
      <c r="R632" s="109"/>
      <c r="S632" s="109"/>
      <c r="T632" s="109"/>
      <c r="U632" s="109"/>
      <c r="V632" s="109"/>
      <c r="W632" s="109"/>
      <c r="X632" s="109"/>
      <c r="Y632" s="109"/>
      <c r="Z632" s="109"/>
    </row>
    <row r="633" spans="1:26" ht="11.25" customHeight="1">
      <c r="A633" s="109"/>
      <c r="B633" s="109"/>
      <c r="C633" s="109"/>
      <c r="D633" s="109"/>
      <c r="E633" s="109"/>
      <c r="F633" s="109"/>
      <c r="G633" s="109"/>
      <c r="H633" s="109"/>
      <c r="I633" s="109"/>
      <c r="J633" s="109"/>
      <c r="K633" s="109"/>
      <c r="L633" s="109"/>
      <c r="M633" s="109"/>
      <c r="N633" s="109"/>
      <c r="O633" s="109"/>
      <c r="P633" s="109"/>
      <c r="Q633" s="109"/>
      <c r="R633" s="109"/>
      <c r="S633" s="109"/>
      <c r="T633" s="109"/>
      <c r="U633" s="109"/>
      <c r="V633" s="109"/>
      <c r="W633" s="109"/>
      <c r="X633" s="109"/>
      <c r="Y633" s="109"/>
      <c r="Z633" s="109"/>
    </row>
    <row r="634" spans="1:26" ht="11.25" customHeight="1">
      <c r="A634" s="109"/>
      <c r="B634" s="109"/>
      <c r="C634" s="109"/>
      <c r="D634" s="109"/>
      <c r="E634" s="109"/>
      <c r="F634" s="109"/>
      <c r="G634" s="109"/>
      <c r="H634" s="109"/>
      <c r="I634" s="109"/>
      <c r="J634" s="109"/>
      <c r="K634" s="109"/>
      <c r="L634" s="109"/>
      <c r="M634" s="109"/>
      <c r="N634" s="109"/>
      <c r="O634" s="109"/>
      <c r="P634" s="109"/>
      <c r="Q634" s="109"/>
      <c r="R634" s="109"/>
      <c r="S634" s="109"/>
      <c r="T634" s="109"/>
      <c r="U634" s="109"/>
      <c r="V634" s="109"/>
      <c r="W634" s="109"/>
      <c r="X634" s="109"/>
      <c r="Y634" s="109"/>
      <c r="Z634" s="109"/>
    </row>
    <row r="635" spans="1:26" ht="11.25" customHeight="1">
      <c r="A635" s="109"/>
      <c r="B635" s="109"/>
      <c r="C635" s="109"/>
      <c r="D635" s="109"/>
      <c r="E635" s="109"/>
      <c r="F635" s="109"/>
      <c r="G635" s="109"/>
      <c r="H635" s="109"/>
      <c r="I635" s="109"/>
      <c r="J635" s="109"/>
      <c r="K635" s="109"/>
      <c r="L635" s="109"/>
      <c r="M635" s="109"/>
      <c r="N635" s="109"/>
      <c r="O635" s="109"/>
      <c r="P635" s="109"/>
      <c r="Q635" s="109"/>
      <c r="R635" s="109"/>
      <c r="S635" s="109"/>
      <c r="T635" s="109"/>
      <c r="U635" s="109"/>
      <c r="V635" s="109"/>
      <c r="W635" s="109"/>
      <c r="X635" s="109"/>
      <c r="Y635" s="109"/>
      <c r="Z635" s="109"/>
    </row>
    <row r="636" spans="1:26" ht="11.25" customHeight="1">
      <c r="A636" s="109"/>
      <c r="B636" s="109"/>
      <c r="C636" s="109"/>
      <c r="D636" s="109"/>
      <c r="E636" s="109"/>
      <c r="F636" s="109"/>
      <c r="G636" s="109"/>
      <c r="H636" s="109"/>
      <c r="I636" s="109"/>
      <c r="J636" s="109"/>
      <c r="K636" s="109"/>
      <c r="L636" s="109"/>
      <c r="M636" s="109"/>
      <c r="N636" s="109"/>
      <c r="O636" s="109"/>
      <c r="P636" s="109"/>
      <c r="Q636" s="109"/>
      <c r="R636" s="109"/>
      <c r="S636" s="109"/>
      <c r="T636" s="109"/>
      <c r="U636" s="109"/>
      <c r="V636" s="109"/>
      <c r="W636" s="109"/>
      <c r="X636" s="109"/>
      <c r="Y636" s="109"/>
      <c r="Z636" s="109"/>
    </row>
    <row r="637" spans="1:26" ht="11.25" customHeight="1">
      <c r="A637" s="109"/>
      <c r="B637" s="109"/>
      <c r="C637" s="109"/>
      <c r="D637" s="109"/>
      <c r="E637" s="109"/>
      <c r="F637" s="109"/>
      <c r="G637" s="109"/>
      <c r="H637" s="109"/>
      <c r="I637" s="109"/>
      <c r="J637" s="109"/>
      <c r="K637" s="109"/>
      <c r="L637" s="109"/>
      <c r="M637" s="109"/>
      <c r="N637" s="109"/>
      <c r="O637" s="109"/>
      <c r="P637" s="109"/>
      <c r="Q637" s="109"/>
      <c r="R637" s="109"/>
      <c r="S637" s="109"/>
      <c r="T637" s="109"/>
      <c r="U637" s="109"/>
      <c r="V637" s="109"/>
      <c r="W637" s="109"/>
      <c r="X637" s="109"/>
      <c r="Y637" s="109"/>
      <c r="Z637" s="109"/>
    </row>
    <row r="638" spans="1:26" ht="11.25" customHeight="1">
      <c r="A638" s="109"/>
      <c r="B638" s="109"/>
      <c r="C638" s="109"/>
      <c r="D638" s="109"/>
      <c r="E638" s="109"/>
      <c r="F638" s="109"/>
      <c r="G638" s="109"/>
      <c r="H638" s="109"/>
      <c r="I638" s="109"/>
      <c r="J638" s="109"/>
      <c r="K638" s="109"/>
      <c r="L638" s="109"/>
      <c r="M638" s="109"/>
      <c r="N638" s="109"/>
      <c r="O638" s="109"/>
      <c r="P638" s="109"/>
      <c r="Q638" s="109"/>
      <c r="R638" s="109"/>
      <c r="S638" s="109"/>
      <c r="T638" s="109"/>
      <c r="U638" s="109"/>
      <c r="V638" s="109"/>
      <c r="W638" s="109"/>
      <c r="X638" s="109"/>
      <c r="Y638" s="109"/>
      <c r="Z638" s="109"/>
    </row>
    <row r="639" spans="1:26" ht="11.25" customHeight="1">
      <c r="A639" s="109"/>
      <c r="B639" s="109"/>
      <c r="C639" s="109"/>
      <c r="D639" s="109"/>
      <c r="E639" s="109"/>
      <c r="F639" s="109"/>
      <c r="G639" s="109"/>
      <c r="H639" s="109"/>
      <c r="I639" s="109"/>
      <c r="J639" s="109"/>
      <c r="K639" s="109"/>
      <c r="L639" s="109"/>
      <c r="M639" s="109"/>
      <c r="N639" s="109"/>
      <c r="O639" s="109"/>
      <c r="P639" s="109"/>
      <c r="Q639" s="109"/>
      <c r="R639" s="109"/>
      <c r="S639" s="109"/>
      <c r="T639" s="109"/>
      <c r="U639" s="109"/>
      <c r="V639" s="109"/>
      <c r="W639" s="109"/>
      <c r="X639" s="109"/>
      <c r="Y639" s="109"/>
      <c r="Z639" s="109"/>
    </row>
    <row r="640" spans="1:26" ht="11.25" customHeight="1">
      <c r="A640" s="109"/>
      <c r="B640" s="109"/>
      <c r="C640" s="109"/>
      <c r="D640" s="109"/>
      <c r="E640" s="109"/>
      <c r="F640" s="109"/>
      <c r="G640" s="109"/>
      <c r="H640" s="109"/>
      <c r="I640" s="109"/>
      <c r="J640" s="109"/>
      <c r="K640" s="109"/>
      <c r="L640" s="109"/>
      <c r="M640" s="109"/>
      <c r="N640" s="109"/>
      <c r="O640" s="109"/>
      <c r="P640" s="109"/>
      <c r="Q640" s="109"/>
      <c r="R640" s="109"/>
      <c r="S640" s="109"/>
      <c r="T640" s="109"/>
      <c r="U640" s="109"/>
      <c r="V640" s="109"/>
      <c r="W640" s="109"/>
      <c r="X640" s="109"/>
      <c r="Y640" s="109"/>
      <c r="Z640" s="109"/>
    </row>
    <row r="641" spans="1:26" ht="11.25" customHeight="1">
      <c r="A641" s="109"/>
      <c r="B641" s="109"/>
      <c r="C641" s="109"/>
      <c r="D641" s="109"/>
      <c r="E641" s="109"/>
      <c r="F641" s="109"/>
      <c r="G641" s="109"/>
      <c r="H641" s="109"/>
      <c r="I641" s="109"/>
      <c r="J641" s="109"/>
      <c r="K641" s="109"/>
      <c r="L641" s="109"/>
      <c r="M641" s="109"/>
      <c r="N641" s="109"/>
      <c r="O641" s="109"/>
      <c r="P641" s="109"/>
      <c r="Q641" s="109"/>
      <c r="R641" s="109"/>
      <c r="S641" s="109"/>
      <c r="T641" s="109"/>
      <c r="U641" s="109"/>
      <c r="V641" s="109"/>
      <c r="W641" s="109"/>
      <c r="X641" s="109"/>
      <c r="Y641" s="109"/>
      <c r="Z641" s="109"/>
    </row>
    <row r="642" spans="1:26" ht="11.25" customHeight="1">
      <c r="A642" s="109"/>
      <c r="B642" s="109"/>
      <c r="C642" s="109"/>
      <c r="D642" s="109"/>
      <c r="E642" s="109"/>
      <c r="F642" s="109"/>
      <c r="G642" s="109"/>
      <c r="H642" s="109"/>
      <c r="I642" s="109"/>
      <c r="J642" s="109"/>
      <c r="K642" s="109"/>
      <c r="L642" s="109"/>
      <c r="M642" s="109"/>
      <c r="N642" s="109"/>
      <c r="O642" s="109"/>
      <c r="P642" s="109"/>
      <c r="Q642" s="109"/>
      <c r="R642" s="109"/>
      <c r="S642" s="109"/>
      <c r="T642" s="109"/>
      <c r="U642" s="109"/>
      <c r="V642" s="109"/>
      <c r="W642" s="109"/>
      <c r="X642" s="109"/>
      <c r="Y642" s="109"/>
      <c r="Z642" s="109"/>
    </row>
    <row r="643" spans="1:26" ht="11.25" customHeight="1">
      <c r="A643" s="109"/>
      <c r="B643" s="109"/>
      <c r="C643" s="109"/>
      <c r="D643" s="109"/>
      <c r="E643" s="109"/>
      <c r="F643" s="109"/>
      <c r="G643" s="109"/>
      <c r="H643" s="109"/>
      <c r="I643" s="109"/>
      <c r="J643" s="109"/>
      <c r="K643" s="109"/>
      <c r="L643" s="109"/>
      <c r="M643" s="109"/>
      <c r="N643" s="109"/>
      <c r="O643" s="109"/>
      <c r="P643" s="109"/>
      <c r="Q643" s="109"/>
      <c r="R643" s="109"/>
      <c r="S643" s="109"/>
      <c r="T643" s="109"/>
      <c r="U643" s="109"/>
      <c r="V643" s="109"/>
      <c r="W643" s="109"/>
      <c r="X643" s="109"/>
      <c r="Y643" s="109"/>
      <c r="Z643" s="109"/>
    </row>
    <row r="644" spans="1:26" ht="11.25" customHeight="1">
      <c r="A644" s="109"/>
      <c r="B644" s="109"/>
      <c r="C644" s="109"/>
      <c r="D644" s="109"/>
      <c r="E644" s="109"/>
      <c r="F644" s="109"/>
      <c r="G644" s="109"/>
      <c r="H644" s="109"/>
      <c r="I644" s="109"/>
      <c r="J644" s="109"/>
      <c r="K644" s="109"/>
      <c r="L644" s="109"/>
      <c r="M644" s="109"/>
      <c r="N644" s="109"/>
      <c r="O644" s="109"/>
      <c r="P644" s="109"/>
      <c r="Q644" s="109"/>
      <c r="R644" s="109"/>
      <c r="S644" s="109"/>
      <c r="T644" s="109"/>
      <c r="U644" s="109"/>
      <c r="V644" s="109"/>
      <c r="W644" s="109"/>
      <c r="X644" s="109"/>
      <c r="Y644" s="109"/>
      <c r="Z644" s="109"/>
    </row>
    <row r="645" spans="1:26" ht="11.25" customHeight="1">
      <c r="A645" s="109"/>
      <c r="B645" s="109"/>
      <c r="C645" s="109"/>
      <c r="D645" s="109"/>
      <c r="E645" s="109"/>
      <c r="F645" s="109"/>
      <c r="G645" s="109"/>
      <c r="H645" s="109"/>
      <c r="I645" s="109"/>
      <c r="J645" s="109"/>
      <c r="K645" s="109"/>
      <c r="L645" s="109"/>
      <c r="M645" s="109"/>
      <c r="N645" s="109"/>
      <c r="O645" s="109"/>
      <c r="P645" s="109"/>
      <c r="Q645" s="109"/>
      <c r="R645" s="109"/>
      <c r="S645" s="109"/>
      <c r="T645" s="109"/>
      <c r="U645" s="109"/>
      <c r="V645" s="109"/>
      <c r="W645" s="109"/>
      <c r="X645" s="109"/>
      <c r="Y645" s="109"/>
      <c r="Z645" s="109"/>
    </row>
    <row r="646" spans="1:26" ht="11.25" customHeight="1">
      <c r="A646" s="109"/>
      <c r="B646" s="109"/>
      <c r="C646" s="109"/>
      <c r="D646" s="109"/>
      <c r="E646" s="109"/>
      <c r="F646" s="109"/>
      <c r="G646" s="109"/>
      <c r="H646" s="109"/>
      <c r="I646" s="109"/>
      <c r="J646" s="109"/>
      <c r="K646" s="109"/>
      <c r="L646" s="109"/>
      <c r="M646" s="109"/>
      <c r="N646" s="109"/>
      <c r="O646" s="109"/>
      <c r="P646" s="109"/>
      <c r="Q646" s="109"/>
      <c r="R646" s="109"/>
      <c r="S646" s="109"/>
      <c r="T646" s="109"/>
      <c r="U646" s="109"/>
      <c r="V646" s="109"/>
      <c r="W646" s="109"/>
      <c r="X646" s="109"/>
      <c r="Y646" s="109"/>
      <c r="Z646" s="109"/>
    </row>
    <row r="647" spans="1:26" ht="11.25" customHeight="1">
      <c r="A647" s="109"/>
      <c r="B647" s="109"/>
      <c r="C647" s="109"/>
      <c r="D647" s="109"/>
      <c r="E647" s="109"/>
      <c r="F647" s="109"/>
      <c r="G647" s="109"/>
      <c r="H647" s="109"/>
      <c r="I647" s="109"/>
      <c r="J647" s="109"/>
      <c r="K647" s="109"/>
      <c r="L647" s="109"/>
      <c r="M647" s="109"/>
      <c r="N647" s="109"/>
      <c r="O647" s="109"/>
      <c r="P647" s="109"/>
      <c r="Q647" s="109"/>
      <c r="R647" s="109"/>
      <c r="S647" s="109"/>
      <c r="T647" s="109"/>
      <c r="U647" s="109"/>
      <c r="V647" s="109"/>
      <c r="W647" s="109"/>
      <c r="X647" s="109"/>
      <c r="Y647" s="109"/>
      <c r="Z647" s="109"/>
    </row>
    <row r="648" spans="1:26" ht="11.25" customHeight="1">
      <c r="A648" s="109"/>
      <c r="B648" s="109"/>
      <c r="C648" s="109"/>
      <c r="D648" s="109"/>
      <c r="E648" s="109"/>
      <c r="F648" s="109"/>
      <c r="G648" s="109"/>
      <c r="H648" s="109"/>
      <c r="I648" s="109"/>
      <c r="J648" s="109"/>
      <c r="K648" s="109"/>
      <c r="L648" s="109"/>
      <c r="M648" s="109"/>
      <c r="N648" s="109"/>
      <c r="O648" s="109"/>
      <c r="P648" s="109"/>
      <c r="Q648" s="109"/>
      <c r="R648" s="109"/>
      <c r="S648" s="109"/>
      <c r="T648" s="109"/>
      <c r="U648" s="109"/>
      <c r="V648" s="109"/>
      <c r="W648" s="109"/>
      <c r="X648" s="109"/>
      <c r="Y648" s="109"/>
      <c r="Z648" s="109"/>
    </row>
    <row r="649" spans="1:26" ht="11.25" customHeight="1">
      <c r="A649" s="109"/>
      <c r="B649" s="109"/>
      <c r="C649" s="109"/>
      <c r="D649" s="109"/>
      <c r="E649" s="109"/>
      <c r="F649" s="109"/>
      <c r="G649" s="109"/>
      <c r="H649" s="109"/>
      <c r="I649" s="109"/>
      <c r="J649" s="109"/>
      <c r="K649" s="109"/>
      <c r="L649" s="109"/>
      <c r="M649" s="109"/>
      <c r="N649" s="109"/>
      <c r="O649" s="109"/>
      <c r="P649" s="109"/>
      <c r="Q649" s="109"/>
      <c r="R649" s="109"/>
      <c r="S649" s="109"/>
      <c r="T649" s="109"/>
      <c r="U649" s="109"/>
      <c r="V649" s="109"/>
      <c r="W649" s="109"/>
      <c r="X649" s="109"/>
      <c r="Y649" s="109"/>
      <c r="Z649" s="109"/>
    </row>
    <row r="650" spans="1:26" ht="11.25" customHeight="1">
      <c r="A650" s="109"/>
      <c r="B650" s="109"/>
      <c r="C650" s="109"/>
      <c r="D650" s="109"/>
      <c r="E650" s="109"/>
      <c r="F650" s="109"/>
      <c r="G650" s="109"/>
      <c r="H650" s="109"/>
      <c r="I650" s="109"/>
      <c r="J650" s="109"/>
      <c r="K650" s="109"/>
      <c r="L650" s="109"/>
      <c r="M650" s="109"/>
      <c r="N650" s="109"/>
      <c r="O650" s="109"/>
      <c r="P650" s="109"/>
      <c r="Q650" s="109"/>
      <c r="R650" s="109"/>
      <c r="S650" s="109"/>
      <c r="T650" s="109"/>
      <c r="U650" s="109"/>
      <c r="V650" s="109"/>
      <c r="W650" s="109"/>
      <c r="X650" s="109"/>
      <c r="Y650" s="109"/>
      <c r="Z650" s="109"/>
    </row>
    <row r="651" spans="1:26" ht="11.25" customHeight="1">
      <c r="A651" s="109"/>
      <c r="B651" s="109"/>
      <c r="C651" s="109"/>
      <c r="D651" s="109"/>
      <c r="E651" s="109"/>
      <c r="F651" s="109"/>
      <c r="G651" s="109"/>
      <c r="H651" s="109"/>
      <c r="I651" s="109"/>
      <c r="J651" s="109"/>
      <c r="K651" s="109"/>
      <c r="L651" s="109"/>
      <c r="M651" s="109"/>
      <c r="N651" s="109"/>
      <c r="O651" s="109"/>
      <c r="P651" s="109"/>
      <c r="Q651" s="109"/>
      <c r="R651" s="109"/>
      <c r="S651" s="109"/>
      <c r="T651" s="109"/>
      <c r="U651" s="109"/>
      <c r="V651" s="109"/>
      <c r="W651" s="109"/>
      <c r="X651" s="109"/>
      <c r="Y651" s="109"/>
      <c r="Z651" s="109"/>
    </row>
    <row r="652" spans="1:26" ht="11.25" customHeight="1">
      <c r="A652" s="109"/>
      <c r="B652" s="109"/>
      <c r="C652" s="109"/>
      <c r="D652" s="109"/>
      <c r="E652" s="109"/>
      <c r="F652" s="109"/>
      <c r="G652" s="109"/>
      <c r="H652" s="109"/>
      <c r="I652" s="109"/>
      <c r="J652" s="109"/>
      <c r="K652" s="109"/>
      <c r="L652" s="109"/>
      <c r="M652" s="109"/>
      <c r="N652" s="109"/>
      <c r="O652" s="109"/>
      <c r="P652" s="109"/>
      <c r="Q652" s="109"/>
      <c r="R652" s="109"/>
      <c r="S652" s="109"/>
      <c r="T652" s="109"/>
      <c r="U652" s="109"/>
      <c r="V652" s="109"/>
      <c r="W652" s="109"/>
      <c r="X652" s="109"/>
      <c r="Y652" s="109"/>
      <c r="Z652" s="109"/>
    </row>
    <row r="653" spans="1:26" ht="11.25" customHeight="1">
      <c r="A653" s="109"/>
      <c r="B653" s="109"/>
      <c r="C653" s="109"/>
      <c r="D653" s="109"/>
      <c r="E653" s="109"/>
      <c r="F653" s="109"/>
      <c r="G653" s="109"/>
      <c r="H653" s="109"/>
      <c r="I653" s="109"/>
      <c r="J653" s="109"/>
      <c r="K653" s="109"/>
      <c r="L653" s="109"/>
      <c r="M653" s="109"/>
      <c r="N653" s="109"/>
      <c r="O653" s="109"/>
      <c r="P653" s="109"/>
      <c r="Q653" s="109"/>
      <c r="R653" s="109"/>
      <c r="S653" s="109"/>
      <c r="T653" s="109"/>
      <c r="U653" s="109"/>
      <c r="V653" s="109"/>
      <c r="W653" s="109"/>
      <c r="X653" s="109"/>
      <c r="Y653" s="109"/>
      <c r="Z653" s="109"/>
    </row>
    <row r="654" spans="1:26" ht="11.25" customHeight="1">
      <c r="A654" s="109"/>
      <c r="B654" s="109"/>
      <c r="C654" s="109"/>
      <c r="D654" s="109"/>
      <c r="E654" s="109"/>
      <c r="F654" s="109"/>
      <c r="G654" s="109"/>
      <c r="H654" s="109"/>
      <c r="I654" s="109"/>
      <c r="J654" s="109"/>
      <c r="K654" s="109"/>
      <c r="L654" s="109"/>
      <c r="M654" s="109"/>
      <c r="N654" s="109"/>
      <c r="O654" s="109"/>
      <c r="P654" s="109"/>
      <c r="Q654" s="109"/>
      <c r="R654" s="109"/>
      <c r="S654" s="109"/>
      <c r="T654" s="109"/>
      <c r="U654" s="109"/>
      <c r="V654" s="109"/>
      <c r="W654" s="109"/>
      <c r="X654" s="109"/>
      <c r="Y654" s="109"/>
      <c r="Z654" s="109"/>
    </row>
    <row r="655" spans="1:26" ht="11.25" customHeight="1">
      <c r="A655" s="109"/>
      <c r="B655" s="109"/>
      <c r="C655" s="109"/>
      <c r="D655" s="109"/>
      <c r="E655" s="109"/>
      <c r="F655" s="109"/>
      <c r="G655" s="109"/>
      <c r="H655" s="109"/>
      <c r="I655" s="109"/>
      <c r="J655" s="109"/>
      <c r="K655" s="109"/>
      <c r="L655" s="109"/>
      <c r="M655" s="109"/>
      <c r="N655" s="109"/>
      <c r="O655" s="109"/>
      <c r="P655" s="109"/>
      <c r="Q655" s="109"/>
      <c r="R655" s="109"/>
      <c r="S655" s="109"/>
      <c r="T655" s="109"/>
      <c r="U655" s="109"/>
      <c r="V655" s="109"/>
      <c r="W655" s="109"/>
      <c r="X655" s="109"/>
      <c r="Y655" s="109"/>
      <c r="Z655" s="109"/>
    </row>
    <row r="656" spans="1:26" ht="11.25" customHeight="1">
      <c r="A656" s="109"/>
      <c r="B656" s="109"/>
      <c r="C656" s="109"/>
      <c r="D656" s="109"/>
      <c r="E656" s="109"/>
      <c r="F656" s="109"/>
      <c r="G656" s="109"/>
      <c r="H656" s="109"/>
      <c r="I656" s="109"/>
      <c r="J656" s="109"/>
      <c r="K656" s="109"/>
      <c r="L656" s="109"/>
      <c r="M656" s="109"/>
      <c r="N656" s="109"/>
      <c r="O656" s="109"/>
      <c r="P656" s="109"/>
      <c r="Q656" s="109"/>
      <c r="R656" s="109"/>
      <c r="S656" s="109"/>
      <c r="T656" s="109"/>
      <c r="U656" s="109"/>
      <c r="V656" s="109"/>
      <c r="W656" s="109"/>
      <c r="X656" s="109"/>
      <c r="Y656" s="109"/>
      <c r="Z656" s="109"/>
    </row>
    <row r="657" spans="1:26" ht="11.25" customHeight="1">
      <c r="A657" s="109"/>
      <c r="B657" s="109"/>
      <c r="C657" s="109"/>
      <c r="D657" s="109"/>
      <c r="E657" s="109"/>
      <c r="F657" s="109"/>
      <c r="G657" s="109"/>
      <c r="H657" s="109"/>
      <c r="I657" s="109"/>
      <c r="J657" s="109"/>
      <c r="K657" s="109"/>
      <c r="L657" s="109"/>
      <c r="M657" s="109"/>
      <c r="N657" s="109"/>
      <c r="O657" s="109"/>
      <c r="P657" s="109"/>
      <c r="Q657" s="109"/>
      <c r="R657" s="109"/>
      <c r="S657" s="109"/>
      <c r="T657" s="109"/>
      <c r="U657" s="109"/>
      <c r="V657" s="109"/>
      <c r="W657" s="109"/>
      <c r="X657" s="109"/>
      <c r="Y657" s="109"/>
      <c r="Z657" s="109"/>
    </row>
    <row r="658" spans="1:26" ht="11.25" customHeight="1">
      <c r="A658" s="109"/>
      <c r="B658" s="109"/>
      <c r="C658" s="109"/>
      <c r="D658" s="109"/>
      <c r="E658" s="109"/>
      <c r="F658" s="109"/>
      <c r="G658" s="109"/>
      <c r="H658" s="109"/>
      <c r="I658" s="109"/>
      <c r="J658" s="109"/>
      <c r="K658" s="109"/>
      <c r="L658" s="109"/>
      <c r="M658" s="109"/>
      <c r="N658" s="109"/>
      <c r="O658" s="109"/>
      <c r="P658" s="109"/>
      <c r="Q658" s="109"/>
      <c r="R658" s="109"/>
      <c r="S658" s="109"/>
      <c r="T658" s="109"/>
      <c r="U658" s="109"/>
      <c r="V658" s="109"/>
      <c r="W658" s="109"/>
      <c r="X658" s="109"/>
      <c r="Y658" s="109"/>
      <c r="Z658" s="109"/>
    </row>
    <row r="659" spans="1:26" ht="11.25" customHeight="1">
      <c r="A659" s="109"/>
      <c r="B659" s="109"/>
      <c r="C659" s="109"/>
      <c r="D659" s="109"/>
      <c r="E659" s="109"/>
      <c r="F659" s="109"/>
      <c r="G659" s="109"/>
      <c r="H659" s="109"/>
      <c r="I659" s="109"/>
      <c r="J659" s="109"/>
      <c r="K659" s="109"/>
      <c r="L659" s="109"/>
      <c r="M659" s="109"/>
      <c r="N659" s="109"/>
      <c r="O659" s="109"/>
      <c r="P659" s="109"/>
      <c r="Q659" s="109"/>
      <c r="R659" s="109"/>
      <c r="S659" s="109"/>
      <c r="T659" s="109"/>
      <c r="U659" s="109"/>
      <c r="V659" s="109"/>
      <c r="W659" s="109"/>
      <c r="X659" s="109"/>
      <c r="Y659" s="109"/>
      <c r="Z659" s="109"/>
    </row>
    <row r="660" spans="1:26" ht="11.25" customHeight="1">
      <c r="A660" s="109"/>
      <c r="B660" s="109"/>
      <c r="C660" s="109"/>
      <c r="D660" s="109"/>
      <c r="E660" s="109"/>
      <c r="F660" s="109"/>
      <c r="G660" s="109"/>
      <c r="H660" s="109"/>
      <c r="I660" s="109"/>
      <c r="J660" s="109"/>
      <c r="K660" s="109"/>
      <c r="L660" s="109"/>
      <c r="M660" s="109"/>
      <c r="N660" s="109"/>
      <c r="O660" s="109"/>
      <c r="P660" s="109"/>
      <c r="Q660" s="109"/>
      <c r="R660" s="109"/>
      <c r="S660" s="109"/>
      <c r="T660" s="109"/>
      <c r="U660" s="109"/>
      <c r="V660" s="109"/>
      <c r="W660" s="109"/>
      <c r="X660" s="109"/>
      <c r="Y660" s="109"/>
      <c r="Z660" s="109"/>
    </row>
    <row r="661" spans="1:26" ht="11.25" customHeight="1">
      <c r="A661" s="109"/>
      <c r="B661" s="109"/>
      <c r="C661" s="109"/>
      <c r="D661" s="109"/>
      <c r="E661" s="109"/>
      <c r="F661" s="109"/>
      <c r="G661" s="109"/>
      <c r="H661" s="109"/>
      <c r="I661" s="109"/>
      <c r="J661" s="109"/>
      <c r="K661" s="109"/>
      <c r="L661" s="109"/>
      <c r="M661" s="109"/>
      <c r="N661" s="109"/>
      <c r="O661" s="109"/>
      <c r="P661" s="109"/>
      <c r="Q661" s="109"/>
      <c r="R661" s="109"/>
      <c r="S661" s="109"/>
      <c r="T661" s="109"/>
      <c r="U661" s="109"/>
      <c r="V661" s="109"/>
      <c r="W661" s="109"/>
      <c r="X661" s="109"/>
      <c r="Y661" s="109"/>
      <c r="Z661" s="109"/>
    </row>
    <row r="662" spans="1:26" ht="11.25" customHeight="1">
      <c r="A662" s="109"/>
      <c r="B662" s="109"/>
      <c r="C662" s="109"/>
      <c r="D662" s="109"/>
      <c r="E662" s="109"/>
      <c r="F662" s="109"/>
      <c r="G662" s="109"/>
      <c r="H662" s="109"/>
      <c r="I662" s="109"/>
      <c r="J662" s="109"/>
      <c r="K662" s="109"/>
      <c r="L662" s="109"/>
      <c r="M662" s="109"/>
      <c r="N662" s="109"/>
      <c r="O662" s="109"/>
      <c r="P662" s="109"/>
      <c r="Q662" s="109"/>
      <c r="R662" s="109"/>
      <c r="S662" s="109"/>
      <c r="T662" s="109"/>
      <c r="U662" s="109"/>
      <c r="V662" s="109"/>
      <c r="W662" s="109"/>
      <c r="X662" s="109"/>
      <c r="Y662" s="109"/>
      <c r="Z662" s="109"/>
    </row>
    <row r="663" spans="1:26" ht="11.25" customHeight="1">
      <c r="A663" s="109"/>
      <c r="B663" s="109"/>
      <c r="C663" s="109"/>
      <c r="D663" s="109"/>
      <c r="E663" s="109"/>
      <c r="F663" s="109"/>
      <c r="G663" s="109"/>
      <c r="H663" s="109"/>
      <c r="I663" s="109"/>
      <c r="J663" s="109"/>
      <c r="K663" s="109"/>
      <c r="L663" s="109"/>
      <c r="M663" s="109"/>
      <c r="N663" s="109"/>
      <c r="O663" s="109"/>
      <c r="P663" s="109"/>
      <c r="Q663" s="109"/>
      <c r="R663" s="109"/>
      <c r="S663" s="109"/>
      <c r="T663" s="109"/>
      <c r="U663" s="109"/>
      <c r="V663" s="109"/>
      <c r="W663" s="109"/>
      <c r="X663" s="109"/>
      <c r="Y663" s="109"/>
      <c r="Z663" s="109"/>
    </row>
    <row r="664" spans="1:26" ht="11.25" customHeight="1">
      <c r="A664" s="109"/>
      <c r="B664" s="109"/>
      <c r="C664" s="109"/>
      <c r="D664" s="109"/>
      <c r="E664" s="109"/>
      <c r="F664" s="109"/>
      <c r="G664" s="109"/>
      <c r="H664" s="109"/>
      <c r="I664" s="109"/>
      <c r="J664" s="109"/>
      <c r="K664" s="109"/>
      <c r="L664" s="109"/>
      <c r="M664" s="109"/>
      <c r="N664" s="109"/>
      <c r="O664" s="109"/>
      <c r="P664" s="109"/>
      <c r="Q664" s="109"/>
      <c r="R664" s="109"/>
      <c r="S664" s="109"/>
      <c r="T664" s="109"/>
      <c r="U664" s="109"/>
      <c r="V664" s="109"/>
      <c r="W664" s="109"/>
      <c r="X664" s="109"/>
      <c r="Y664" s="109"/>
      <c r="Z664" s="109"/>
    </row>
    <row r="665" spans="1:26" ht="11.25" customHeight="1">
      <c r="A665" s="109"/>
      <c r="B665" s="109"/>
      <c r="C665" s="109"/>
      <c r="D665" s="109"/>
      <c r="E665" s="109"/>
      <c r="F665" s="109"/>
      <c r="G665" s="109"/>
      <c r="H665" s="109"/>
      <c r="I665" s="109"/>
      <c r="J665" s="109"/>
      <c r="K665" s="109"/>
      <c r="L665" s="109"/>
      <c r="M665" s="109"/>
      <c r="N665" s="109"/>
      <c r="O665" s="109"/>
      <c r="P665" s="109"/>
      <c r="Q665" s="109"/>
      <c r="R665" s="109"/>
      <c r="S665" s="109"/>
      <c r="T665" s="109"/>
      <c r="U665" s="109"/>
      <c r="V665" s="109"/>
      <c r="W665" s="109"/>
      <c r="X665" s="109"/>
      <c r="Y665" s="109"/>
      <c r="Z665" s="109"/>
    </row>
    <row r="666" spans="1:26" ht="11.25" customHeight="1">
      <c r="A666" s="109"/>
      <c r="B666" s="109"/>
      <c r="C666" s="109"/>
      <c r="D666" s="109"/>
      <c r="E666" s="109"/>
      <c r="F666" s="109"/>
      <c r="G666" s="109"/>
      <c r="H666" s="109"/>
      <c r="I666" s="109"/>
      <c r="J666" s="109"/>
      <c r="K666" s="109"/>
      <c r="L666" s="109"/>
      <c r="M666" s="109"/>
      <c r="N666" s="109"/>
      <c r="O666" s="109"/>
      <c r="P666" s="109"/>
      <c r="Q666" s="109"/>
      <c r="R666" s="109"/>
      <c r="S666" s="109"/>
      <c r="T666" s="109"/>
      <c r="U666" s="109"/>
      <c r="V666" s="109"/>
      <c r="W666" s="109"/>
      <c r="X666" s="109"/>
      <c r="Y666" s="109"/>
      <c r="Z666" s="109"/>
    </row>
    <row r="667" spans="1:26" ht="11.25" customHeight="1">
      <c r="A667" s="109"/>
      <c r="B667" s="109"/>
      <c r="C667" s="109"/>
      <c r="D667" s="109"/>
      <c r="E667" s="109"/>
      <c r="F667" s="109"/>
      <c r="G667" s="109"/>
      <c r="H667" s="109"/>
      <c r="I667" s="109"/>
      <c r="J667" s="109"/>
      <c r="K667" s="109"/>
      <c r="L667" s="109"/>
      <c r="M667" s="109"/>
      <c r="N667" s="109"/>
      <c r="O667" s="109"/>
      <c r="P667" s="109"/>
      <c r="Q667" s="109"/>
      <c r="R667" s="109"/>
      <c r="S667" s="109"/>
      <c r="T667" s="109"/>
      <c r="U667" s="109"/>
      <c r="V667" s="109"/>
      <c r="W667" s="109"/>
      <c r="X667" s="109"/>
      <c r="Y667" s="109"/>
      <c r="Z667" s="109"/>
    </row>
    <row r="668" spans="1:26" ht="11.25" customHeight="1">
      <c r="A668" s="109"/>
      <c r="B668" s="109"/>
      <c r="C668" s="109"/>
      <c r="D668" s="109"/>
      <c r="E668" s="109"/>
      <c r="F668" s="109"/>
      <c r="G668" s="109"/>
      <c r="H668" s="109"/>
      <c r="I668" s="109"/>
      <c r="J668" s="109"/>
      <c r="K668" s="109"/>
      <c r="L668" s="109"/>
      <c r="M668" s="109"/>
      <c r="N668" s="109"/>
      <c r="O668" s="109"/>
      <c r="P668" s="109"/>
      <c r="Q668" s="109"/>
      <c r="R668" s="109"/>
      <c r="S668" s="109"/>
      <c r="T668" s="109"/>
      <c r="U668" s="109"/>
      <c r="V668" s="109"/>
      <c r="W668" s="109"/>
      <c r="X668" s="109"/>
      <c r="Y668" s="109"/>
      <c r="Z668" s="109"/>
    </row>
    <row r="669" spans="1:26" ht="11.25" customHeight="1">
      <c r="A669" s="109"/>
      <c r="B669" s="109"/>
      <c r="C669" s="109"/>
      <c r="D669" s="109"/>
      <c r="E669" s="109"/>
      <c r="F669" s="109"/>
      <c r="G669" s="109"/>
      <c r="H669" s="109"/>
      <c r="I669" s="109"/>
      <c r="J669" s="109"/>
      <c r="K669" s="109"/>
      <c r="L669" s="109"/>
      <c r="M669" s="109"/>
      <c r="N669" s="109"/>
      <c r="O669" s="109"/>
      <c r="P669" s="109"/>
      <c r="Q669" s="109"/>
      <c r="R669" s="109"/>
      <c r="S669" s="109"/>
      <c r="T669" s="109"/>
      <c r="U669" s="109"/>
      <c r="V669" s="109"/>
      <c r="W669" s="109"/>
      <c r="X669" s="109"/>
      <c r="Y669" s="109"/>
      <c r="Z669" s="109"/>
    </row>
    <row r="670" spans="1:26" ht="11.25" customHeight="1">
      <c r="A670" s="109"/>
      <c r="B670" s="109"/>
      <c r="C670" s="109"/>
      <c r="D670" s="109"/>
      <c r="E670" s="109"/>
      <c r="F670" s="109"/>
      <c r="G670" s="109"/>
      <c r="H670" s="109"/>
      <c r="I670" s="109"/>
      <c r="J670" s="109"/>
      <c r="K670" s="109"/>
      <c r="L670" s="109"/>
      <c r="M670" s="109"/>
      <c r="N670" s="109"/>
      <c r="O670" s="109"/>
      <c r="P670" s="109"/>
      <c r="Q670" s="109"/>
      <c r="R670" s="109"/>
      <c r="S670" s="109"/>
      <c r="T670" s="109"/>
      <c r="U670" s="109"/>
      <c r="V670" s="109"/>
      <c r="W670" s="109"/>
      <c r="X670" s="109"/>
      <c r="Y670" s="109"/>
      <c r="Z670" s="109"/>
    </row>
    <row r="671" spans="1:26" ht="11.25" customHeight="1">
      <c r="A671" s="109"/>
      <c r="B671" s="109"/>
      <c r="C671" s="109"/>
      <c r="D671" s="109"/>
      <c r="E671" s="109"/>
      <c r="F671" s="109"/>
      <c r="G671" s="109"/>
      <c r="H671" s="109"/>
      <c r="I671" s="109"/>
      <c r="J671" s="109"/>
      <c r="K671" s="109"/>
      <c r="L671" s="109"/>
      <c r="M671" s="109"/>
      <c r="N671" s="109"/>
      <c r="O671" s="109"/>
      <c r="P671" s="109"/>
      <c r="Q671" s="109"/>
      <c r="R671" s="109"/>
      <c r="S671" s="109"/>
      <c r="T671" s="109"/>
      <c r="U671" s="109"/>
      <c r="V671" s="109"/>
      <c r="W671" s="109"/>
      <c r="X671" s="109"/>
      <c r="Y671" s="109"/>
      <c r="Z671" s="109"/>
    </row>
    <row r="672" spans="1:26" ht="11.25" customHeight="1">
      <c r="A672" s="109"/>
      <c r="B672" s="109"/>
      <c r="C672" s="109"/>
      <c r="D672" s="109"/>
      <c r="E672" s="109"/>
      <c r="F672" s="109"/>
      <c r="G672" s="109"/>
      <c r="H672" s="109"/>
      <c r="I672" s="109"/>
      <c r="J672" s="109"/>
      <c r="K672" s="109"/>
      <c r="L672" s="109"/>
      <c r="M672" s="109"/>
      <c r="N672" s="109"/>
      <c r="O672" s="109"/>
      <c r="P672" s="109"/>
      <c r="Q672" s="109"/>
      <c r="R672" s="109"/>
      <c r="S672" s="109"/>
      <c r="T672" s="109"/>
      <c r="U672" s="109"/>
      <c r="V672" s="109"/>
      <c r="W672" s="109"/>
      <c r="X672" s="109"/>
      <c r="Y672" s="109"/>
      <c r="Z672" s="109"/>
    </row>
    <row r="673" spans="1:26" ht="11.25" customHeight="1">
      <c r="A673" s="109"/>
      <c r="B673" s="109"/>
      <c r="C673" s="109"/>
      <c r="D673" s="109"/>
      <c r="E673" s="109"/>
      <c r="F673" s="109"/>
      <c r="G673" s="109"/>
      <c r="H673" s="109"/>
      <c r="I673" s="109"/>
      <c r="J673" s="109"/>
      <c r="K673" s="109"/>
      <c r="L673" s="109"/>
      <c r="M673" s="109"/>
      <c r="N673" s="109"/>
      <c r="O673" s="109"/>
      <c r="P673" s="109"/>
      <c r="Q673" s="109"/>
      <c r="R673" s="109"/>
      <c r="S673" s="109"/>
      <c r="T673" s="109"/>
      <c r="U673" s="109"/>
      <c r="V673" s="109"/>
      <c r="W673" s="109"/>
      <c r="X673" s="109"/>
      <c r="Y673" s="109"/>
      <c r="Z673" s="109"/>
    </row>
    <row r="674" spans="1:26" ht="11.25" customHeight="1">
      <c r="A674" s="109"/>
      <c r="B674" s="109"/>
      <c r="C674" s="109"/>
      <c r="D674" s="109"/>
      <c r="E674" s="109"/>
      <c r="F674" s="109"/>
      <c r="G674" s="109"/>
      <c r="H674" s="109"/>
      <c r="I674" s="109"/>
      <c r="J674" s="109"/>
      <c r="K674" s="109"/>
      <c r="L674" s="109"/>
      <c r="M674" s="109"/>
      <c r="N674" s="109"/>
      <c r="O674" s="109"/>
      <c r="P674" s="109"/>
      <c r="Q674" s="109"/>
      <c r="R674" s="109"/>
      <c r="S674" s="109"/>
      <c r="T674" s="109"/>
      <c r="U674" s="109"/>
      <c r="V674" s="109"/>
      <c r="W674" s="109"/>
      <c r="X674" s="109"/>
      <c r="Y674" s="109"/>
      <c r="Z674" s="109"/>
    </row>
    <row r="675" spans="1:26" ht="11.25" customHeight="1">
      <c r="A675" s="109"/>
      <c r="B675" s="109"/>
      <c r="C675" s="109"/>
      <c r="D675" s="109"/>
      <c r="E675" s="109"/>
      <c r="F675" s="109"/>
      <c r="G675" s="109"/>
      <c r="H675" s="109"/>
      <c r="I675" s="109"/>
      <c r="J675" s="109"/>
      <c r="K675" s="109"/>
      <c r="L675" s="109"/>
      <c r="M675" s="109"/>
      <c r="N675" s="109"/>
      <c r="O675" s="109"/>
      <c r="P675" s="109"/>
      <c r="Q675" s="109"/>
      <c r="R675" s="109"/>
      <c r="S675" s="109"/>
      <c r="T675" s="109"/>
      <c r="U675" s="109"/>
      <c r="V675" s="109"/>
      <c r="W675" s="109"/>
      <c r="X675" s="109"/>
      <c r="Y675" s="109"/>
      <c r="Z675" s="109"/>
    </row>
    <row r="676" spans="1:26" ht="11.25" customHeight="1">
      <c r="A676" s="109"/>
      <c r="B676" s="109"/>
      <c r="C676" s="109"/>
      <c r="D676" s="109"/>
      <c r="E676" s="109"/>
      <c r="F676" s="109"/>
      <c r="G676" s="109"/>
      <c r="H676" s="109"/>
      <c r="I676" s="109"/>
      <c r="J676" s="109"/>
      <c r="K676" s="109"/>
      <c r="L676" s="109"/>
      <c r="M676" s="109"/>
      <c r="N676" s="109"/>
      <c r="O676" s="109"/>
      <c r="P676" s="109"/>
      <c r="Q676" s="109"/>
      <c r="R676" s="109"/>
      <c r="S676" s="109"/>
      <c r="T676" s="109"/>
      <c r="U676" s="109"/>
      <c r="V676" s="109"/>
      <c r="W676" s="109"/>
      <c r="X676" s="109"/>
      <c r="Y676" s="109"/>
      <c r="Z676" s="109"/>
    </row>
    <row r="677" spans="1:26" ht="11.25" customHeight="1">
      <c r="A677" s="109"/>
      <c r="B677" s="109"/>
      <c r="C677" s="109"/>
      <c r="D677" s="109"/>
      <c r="E677" s="109"/>
      <c r="F677" s="109"/>
      <c r="G677" s="109"/>
      <c r="H677" s="109"/>
      <c r="I677" s="109"/>
      <c r="J677" s="109"/>
      <c r="K677" s="109"/>
      <c r="L677" s="109"/>
      <c r="M677" s="109"/>
      <c r="N677" s="109"/>
      <c r="O677" s="109"/>
      <c r="P677" s="109"/>
      <c r="Q677" s="109"/>
      <c r="R677" s="109"/>
      <c r="S677" s="109"/>
      <c r="T677" s="109"/>
      <c r="U677" s="109"/>
      <c r="V677" s="109"/>
      <c r="W677" s="109"/>
      <c r="X677" s="109"/>
      <c r="Y677" s="109"/>
      <c r="Z677" s="109"/>
    </row>
    <row r="678" spans="1:26" ht="11.25" customHeight="1">
      <c r="A678" s="109"/>
      <c r="B678" s="109"/>
      <c r="C678" s="109"/>
      <c r="D678" s="109"/>
      <c r="E678" s="109"/>
      <c r="F678" s="109"/>
      <c r="G678" s="109"/>
      <c r="H678" s="109"/>
      <c r="I678" s="109"/>
      <c r="J678" s="109"/>
      <c r="K678" s="109"/>
      <c r="L678" s="109"/>
      <c r="M678" s="109"/>
      <c r="N678" s="109"/>
      <c r="O678" s="109"/>
      <c r="P678" s="109"/>
      <c r="Q678" s="109"/>
      <c r="R678" s="109"/>
      <c r="S678" s="109"/>
      <c r="T678" s="109"/>
      <c r="U678" s="109"/>
      <c r="V678" s="109"/>
      <c r="W678" s="109"/>
      <c r="X678" s="109"/>
      <c r="Y678" s="109"/>
      <c r="Z678" s="109"/>
    </row>
    <row r="679" spans="1:26" ht="11.25" customHeight="1">
      <c r="A679" s="109"/>
      <c r="B679" s="109"/>
      <c r="C679" s="109"/>
      <c r="D679" s="109"/>
      <c r="E679" s="109"/>
      <c r="F679" s="109"/>
      <c r="G679" s="109"/>
      <c r="H679" s="109"/>
      <c r="I679" s="109"/>
      <c r="J679" s="109"/>
      <c r="K679" s="109"/>
      <c r="L679" s="109"/>
      <c r="M679" s="109"/>
      <c r="N679" s="109"/>
      <c r="O679" s="109"/>
      <c r="P679" s="109"/>
      <c r="Q679" s="109"/>
      <c r="R679" s="109"/>
      <c r="S679" s="109"/>
      <c r="T679" s="109"/>
      <c r="U679" s="109"/>
      <c r="V679" s="109"/>
      <c r="W679" s="109"/>
      <c r="X679" s="109"/>
      <c r="Y679" s="109"/>
      <c r="Z679" s="109"/>
    </row>
    <row r="680" spans="1:26" ht="11.25" customHeight="1">
      <c r="A680" s="109"/>
      <c r="B680" s="109"/>
      <c r="C680" s="109"/>
      <c r="D680" s="109"/>
      <c r="E680" s="109"/>
      <c r="F680" s="109"/>
      <c r="G680" s="109"/>
      <c r="H680" s="109"/>
      <c r="I680" s="109"/>
      <c r="J680" s="109"/>
      <c r="K680" s="109"/>
      <c r="L680" s="109"/>
      <c r="M680" s="109"/>
      <c r="N680" s="109"/>
      <c r="O680" s="109"/>
      <c r="P680" s="109"/>
      <c r="Q680" s="109"/>
      <c r="R680" s="109"/>
      <c r="S680" s="109"/>
      <c r="T680" s="109"/>
      <c r="U680" s="109"/>
      <c r="V680" s="109"/>
      <c r="W680" s="109"/>
      <c r="X680" s="109"/>
      <c r="Y680" s="109"/>
      <c r="Z680" s="109"/>
    </row>
    <row r="681" spans="1:26" ht="11.25" customHeight="1">
      <c r="A681" s="109"/>
      <c r="B681" s="109"/>
      <c r="C681" s="109"/>
      <c r="D681" s="109"/>
      <c r="E681" s="109"/>
      <c r="F681" s="109"/>
      <c r="G681" s="109"/>
      <c r="H681" s="109"/>
      <c r="I681" s="109"/>
      <c r="J681" s="109"/>
      <c r="K681" s="109"/>
      <c r="L681" s="109"/>
      <c r="M681" s="109"/>
      <c r="N681" s="109"/>
      <c r="O681" s="109"/>
      <c r="P681" s="109"/>
      <c r="Q681" s="109"/>
      <c r="R681" s="109"/>
      <c r="S681" s="109"/>
      <c r="T681" s="109"/>
      <c r="U681" s="109"/>
      <c r="V681" s="109"/>
      <c r="W681" s="109"/>
      <c r="X681" s="109"/>
      <c r="Y681" s="109"/>
      <c r="Z681" s="109"/>
    </row>
    <row r="682" spans="1:26" ht="11.25" customHeight="1">
      <c r="A682" s="109"/>
      <c r="B682" s="109"/>
      <c r="C682" s="109"/>
      <c r="D682" s="109"/>
      <c r="E682" s="109"/>
      <c r="F682" s="109"/>
      <c r="G682" s="109"/>
      <c r="H682" s="109"/>
      <c r="I682" s="109"/>
      <c r="J682" s="109"/>
      <c r="K682" s="109"/>
      <c r="L682" s="109"/>
      <c r="M682" s="109"/>
      <c r="N682" s="109"/>
      <c r="O682" s="109"/>
      <c r="P682" s="109"/>
      <c r="Q682" s="109"/>
      <c r="R682" s="109"/>
      <c r="S682" s="109"/>
      <c r="T682" s="109"/>
      <c r="U682" s="109"/>
      <c r="V682" s="109"/>
      <c r="W682" s="109"/>
      <c r="X682" s="109"/>
      <c r="Y682" s="109"/>
      <c r="Z682" s="109"/>
    </row>
    <row r="683" spans="1:26" ht="11.25" customHeight="1">
      <c r="A683" s="109"/>
      <c r="B683" s="109"/>
      <c r="C683" s="109"/>
      <c r="D683" s="109"/>
      <c r="E683" s="109"/>
      <c r="F683" s="109"/>
      <c r="G683" s="109"/>
      <c r="H683" s="109"/>
      <c r="I683" s="109"/>
      <c r="J683" s="109"/>
      <c r="K683" s="109"/>
      <c r="L683" s="109"/>
      <c r="M683" s="109"/>
      <c r="N683" s="109"/>
      <c r="O683" s="109"/>
      <c r="P683" s="109"/>
      <c r="Q683" s="109"/>
      <c r="R683" s="109"/>
      <c r="S683" s="109"/>
      <c r="T683" s="109"/>
      <c r="U683" s="109"/>
      <c r="V683" s="109"/>
      <c r="W683" s="109"/>
      <c r="X683" s="109"/>
      <c r="Y683" s="109"/>
      <c r="Z683" s="109"/>
    </row>
    <row r="684" spans="1:26" ht="11.25" customHeight="1">
      <c r="A684" s="109"/>
      <c r="B684" s="109"/>
      <c r="C684" s="109"/>
      <c r="D684" s="109"/>
      <c r="E684" s="109"/>
      <c r="F684" s="109"/>
      <c r="G684" s="109"/>
      <c r="H684" s="109"/>
      <c r="I684" s="109"/>
      <c r="J684" s="109"/>
      <c r="K684" s="109"/>
      <c r="L684" s="109"/>
      <c r="M684" s="109"/>
      <c r="N684" s="109"/>
      <c r="O684" s="109"/>
      <c r="P684" s="109"/>
      <c r="Q684" s="109"/>
      <c r="R684" s="109"/>
      <c r="S684" s="109"/>
      <c r="T684" s="109"/>
      <c r="U684" s="109"/>
      <c r="V684" s="109"/>
      <c r="W684" s="109"/>
      <c r="X684" s="109"/>
      <c r="Y684" s="109"/>
      <c r="Z684" s="109"/>
    </row>
    <row r="685" spans="1:26" ht="11.25" customHeight="1">
      <c r="A685" s="109"/>
      <c r="B685" s="109"/>
      <c r="C685" s="109"/>
      <c r="D685" s="109"/>
      <c r="E685" s="109"/>
      <c r="F685" s="109"/>
      <c r="G685" s="109"/>
      <c r="H685" s="109"/>
      <c r="I685" s="109"/>
      <c r="J685" s="109"/>
      <c r="K685" s="109"/>
      <c r="L685" s="109"/>
      <c r="M685" s="109"/>
      <c r="N685" s="109"/>
      <c r="O685" s="109"/>
      <c r="P685" s="109"/>
      <c r="Q685" s="109"/>
      <c r="R685" s="109"/>
      <c r="S685" s="109"/>
      <c r="T685" s="109"/>
      <c r="U685" s="109"/>
      <c r="V685" s="109"/>
      <c r="W685" s="109"/>
      <c r="X685" s="109"/>
      <c r="Y685" s="109"/>
      <c r="Z685" s="109"/>
    </row>
    <row r="686" spans="1:26" ht="11.25" customHeight="1">
      <c r="A686" s="109"/>
      <c r="B686" s="109"/>
      <c r="C686" s="109"/>
      <c r="D686" s="109"/>
      <c r="E686" s="109"/>
      <c r="F686" s="109"/>
      <c r="G686" s="109"/>
      <c r="H686" s="109"/>
      <c r="I686" s="109"/>
      <c r="J686" s="109"/>
      <c r="K686" s="109"/>
      <c r="L686" s="109"/>
      <c r="M686" s="109"/>
      <c r="N686" s="109"/>
      <c r="O686" s="109"/>
      <c r="P686" s="109"/>
      <c r="Q686" s="109"/>
      <c r="R686" s="109"/>
      <c r="S686" s="109"/>
      <c r="T686" s="109"/>
      <c r="U686" s="109"/>
      <c r="V686" s="109"/>
      <c r="W686" s="109"/>
      <c r="X686" s="109"/>
      <c r="Y686" s="109"/>
      <c r="Z686" s="109"/>
    </row>
    <row r="687" spans="1:26" ht="11.25" customHeight="1">
      <c r="A687" s="109"/>
      <c r="B687" s="109"/>
      <c r="C687" s="109"/>
      <c r="D687" s="109"/>
      <c r="E687" s="109"/>
      <c r="F687" s="109"/>
      <c r="G687" s="109"/>
      <c r="H687" s="109"/>
      <c r="I687" s="109"/>
      <c r="J687" s="109"/>
      <c r="K687" s="109"/>
      <c r="L687" s="109"/>
      <c r="M687" s="109"/>
      <c r="N687" s="109"/>
      <c r="O687" s="109"/>
      <c r="P687" s="109"/>
      <c r="Q687" s="109"/>
      <c r="R687" s="109"/>
      <c r="S687" s="109"/>
      <c r="T687" s="109"/>
      <c r="U687" s="109"/>
      <c r="V687" s="109"/>
      <c r="W687" s="109"/>
      <c r="X687" s="109"/>
      <c r="Y687" s="109"/>
      <c r="Z687" s="109"/>
    </row>
    <row r="688" spans="1:26" ht="11.25" customHeight="1">
      <c r="A688" s="109"/>
      <c r="B688" s="109"/>
      <c r="C688" s="109"/>
      <c r="D688" s="109"/>
      <c r="E688" s="109"/>
      <c r="F688" s="109"/>
      <c r="G688" s="109"/>
      <c r="H688" s="109"/>
      <c r="I688" s="109"/>
      <c r="J688" s="109"/>
      <c r="K688" s="109"/>
      <c r="L688" s="109"/>
      <c r="M688" s="109"/>
      <c r="N688" s="109"/>
      <c r="O688" s="109"/>
      <c r="P688" s="109"/>
      <c r="Q688" s="109"/>
      <c r="R688" s="109"/>
      <c r="S688" s="109"/>
      <c r="T688" s="109"/>
      <c r="U688" s="109"/>
      <c r="V688" s="109"/>
      <c r="W688" s="109"/>
      <c r="X688" s="109"/>
      <c r="Y688" s="109"/>
      <c r="Z688" s="109"/>
    </row>
    <row r="689" spans="1:26" ht="11.25" customHeight="1">
      <c r="A689" s="109"/>
      <c r="B689" s="109"/>
      <c r="C689" s="109"/>
      <c r="D689" s="109"/>
      <c r="E689" s="109"/>
      <c r="F689" s="109"/>
      <c r="G689" s="109"/>
      <c r="H689" s="109"/>
      <c r="I689" s="109"/>
      <c r="J689" s="109"/>
      <c r="K689" s="109"/>
      <c r="L689" s="109"/>
      <c r="M689" s="109"/>
      <c r="N689" s="109"/>
      <c r="O689" s="109"/>
      <c r="P689" s="109"/>
      <c r="Q689" s="109"/>
      <c r="R689" s="109"/>
      <c r="S689" s="109"/>
      <c r="T689" s="109"/>
      <c r="U689" s="109"/>
      <c r="V689" s="109"/>
      <c r="W689" s="109"/>
      <c r="X689" s="109"/>
      <c r="Y689" s="109"/>
      <c r="Z689" s="109"/>
    </row>
    <row r="690" spans="1:26" ht="11.25" customHeight="1">
      <c r="A690" s="109"/>
      <c r="B690" s="109"/>
      <c r="C690" s="109"/>
      <c r="D690" s="109"/>
      <c r="E690" s="109"/>
      <c r="F690" s="109"/>
      <c r="G690" s="109"/>
      <c r="H690" s="109"/>
      <c r="I690" s="109"/>
      <c r="J690" s="109"/>
      <c r="K690" s="109"/>
      <c r="L690" s="109"/>
      <c r="M690" s="109"/>
      <c r="N690" s="109"/>
      <c r="O690" s="109"/>
      <c r="P690" s="109"/>
      <c r="Q690" s="109"/>
      <c r="R690" s="109"/>
      <c r="S690" s="109"/>
      <c r="T690" s="109"/>
      <c r="U690" s="109"/>
      <c r="V690" s="109"/>
      <c r="W690" s="109"/>
      <c r="X690" s="109"/>
      <c r="Y690" s="109"/>
      <c r="Z690" s="109"/>
    </row>
    <row r="691" spans="1:26" ht="11.25" customHeight="1">
      <c r="A691" s="109"/>
      <c r="B691" s="109"/>
      <c r="C691" s="109"/>
      <c r="D691" s="109"/>
      <c r="E691" s="109"/>
      <c r="F691" s="109"/>
      <c r="G691" s="109"/>
      <c r="H691" s="109"/>
      <c r="I691" s="109"/>
      <c r="J691" s="109"/>
      <c r="K691" s="109"/>
      <c r="L691" s="109"/>
      <c r="M691" s="109"/>
      <c r="N691" s="109"/>
      <c r="O691" s="109"/>
      <c r="P691" s="109"/>
      <c r="Q691" s="109"/>
      <c r="R691" s="109"/>
      <c r="S691" s="109"/>
      <c r="T691" s="109"/>
      <c r="U691" s="109"/>
      <c r="V691" s="109"/>
      <c r="W691" s="109"/>
      <c r="X691" s="109"/>
      <c r="Y691" s="109"/>
      <c r="Z691" s="109"/>
    </row>
    <row r="692" spans="1:26" ht="11.25" customHeight="1">
      <c r="A692" s="109"/>
      <c r="B692" s="109"/>
      <c r="C692" s="109"/>
      <c r="D692" s="109"/>
      <c r="E692" s="109"/>
      <c r="F692" s="109"/>
      <c r="G692" s="109"/>
      <c r="H692" s="109"/>
      <c r="I692" s="109"/>
      <c r="J692" s="109"/>
      <c r="K692" s="109"/>
      <c r="L692" s="109"/>
      <c r="M692" s="109"/>
      <c r="N692" s="109"/>
      <c r="O692" s="109"/>
      <c r="P692" s="109"/>
      <c r="Q692" s="109"/>
      <c r="R692" s="109"/>
      <c r="S692" s="109"/>
      <c r="T692" s="109"/>
      <c r="U692" s="109"/>
      <c r="V692" s="109"/>
      <c r="W692" s="109"/>
      <c r="X692" s="109"/>
      <c r="Y692" s="109"/>
      <c r="Z692" s="109"/>
    </row>
    <row r="693" spans="1:26" ht="11.25" customHeight="1">
      <c r="A693" s="109"/>
      <c r="B693" s="109"/>
      <c r="C693" s="109"/>
      <c r="D693" s="109"/>
      <c r="E693" s="109"/>
      <c r="F693" s="109"/>
      <c r="G693" s="109"/>
      <c r="H693" s="109"/>
      <c r="I693" s="109"/>
      <c r="J693" s="109"/>
      <c r="K693" s="109"/>
      <c r="L693" s="109"/>
      <c r="M693" s="109"/>
      <c r="N693" s="109"/>
      <c r="O693" s="109"/>
      <c r="P693" s="109"/>
      <c r="Q693" s="109"/>
      <c r="R693" s="109"/>
      <c r="S693" s="109"/>
      <c r="T693" s="109"/>
      <c r="U693" s="109"/>
      <c r="V693" s="109"/>
      <c r="W693" s="109"/>
      <c r="X693" s="109"/>
      <c r="Y693" s="109"/>
      <c r="Z693" s="109"/>
    </row>
    <row r="694" spans="1:26" ht="11.25" customHeight="1">
      <c r="A694" s="109"/>
      <c r="B694" s="109"/>
      <c r="C694" s="109"/>
      <c r="D694" s="109"/>
      <c r="E694" s="109"/>
      <c r="F694" s="109"/>
      <c r="G694" s="109"/>
      <c r="H694" s="109"/>
      <c r="I694" s="109"/>
      <c r="J694" s="109"/>
      <c r="K694" s="109"/>
      <c r="L694" s="109"/>
      <c r="M694" s="109"/>
      <c r="N694" s="109"/>
      <c r="O694" s="109"/>
      <c r="P694" s="109"/>
      <c r="Q694" s="109"/>
      <c r="R694" s="109"/>
      <c r="S694" s="109"/>
      <c r="T694" s="109"/>
      <c r="U694" s="109"/>
      <c r="V694" s="109"/>
      <c r="W694" s="109"/>
      <c r="X694" s="109"/>
      <c r="Y694" s="109"/>
      <c r="Z694" s="109"/>
    </row>
    <row r="695" spans="1:26" ht="11.25" customHeight="1">
      <c r="A695" s="109"/>
      <c r="B695" s="109"/>
      <c r="C695" s="109"/>
      <c r="D695" s="109"/>
      <c r="E695" s="109"/>
      <c r="F695" s="109"/>
      <c r="G695" s="109"/>
      <c r="H695" s="109"/>
      <c r="I695" s="109"/>
      <c r="J695" s="109"/>
      <c r="K695" s="109"/>
      <c r="L695" s="109"/>
      <c r="M695" s="109"/>
      <c r="N695" s="109"/>
      <c r="O695" s="109"/>
      <c r="P695" s="109"/>
      <c r="Q695" s="109"/>
      <c r="R695" s="109"/>
      <c r="S695" s="109"/>
      <c r="T695" s="109"/>
      <c r="U695" s="109"/>
      <c r="V695" s="109"/>
      <c r="W695" s="109"/>
      <c r="X695" s="109"/>
      <c r="Y695" s="109"/>
      <c r="Z695" s="109"/>
    </row>
    <row r="696" spans="1:26" ht="11.25" customHeight="1">
      <c r="A696" s="109"/>
      <c r="B696" s="109"/>
      <c r="C696" s="109"/>
      <c r="D696" s="109"/>
      <c r="E696" s="109"/>
      <c r="F696" s="109"/>
      <c r="G696" s="109"/>
      <c r="H696" s="109"/>
      <c r="I696" s="109"/>
      <c r="J696" s="109"/>
      <c r="K696" s="109"/>
      <c r="L696" s="109"/>
      <c r="M696" s="109"/>
      <c r="N696" s="109"/>
      <c r="O696" s="109"/>
      <c r="P696" s="109"/>
      <c r="Q696" s="109"/>
      <c r="R696" s="109"/>
      <c r="S696" s="109"/>
      <c r="T696" s="109"/>
      <c r="U696" s="109"/>
      <c r="V696" s="109"/>
      <c r="W696" s="109"/>
      <c r="X696" s="109"/>
      <c r="Y696" s="109"/>
      <c r="Z696" s="109"/>
    </row>
    <row r="697" spans="1:26" ht="11.25" customHeight="1">
      <c r="A697" s="109"/>
      <c r="B697" s="109"/>
      <c r="C697" s="109"/>
      <c r="D697" s="109"/>
      <c r="E697" s="109"/>
      <c r="F697" s="109"/>
      <c r="G697" s="109"/>
      <c r="H697" s="109"/>
      <c r="I697" s="109"/>
      <c r="J697" s="109"/>
      <c r="K697" s="109"/>
      <c r="L697" s="109"/>
      <c r="M697" s="109"/>
      <c r="N697" s="109"/>
      <c r="O697" s="109"/>
      <c r="P697" s="109"/>
      <c r="Q697" s="109"/>
      <c r="R697" s="109"/>
      <c r="S697" s="109"/>
      <c r="T697" s="109"/>
      <c r="U697" s="109"/>
      <c r="V697" s="109"/>
      <c r="W697" s="109"/>
      <c r="X697" s="109"/>
      <c r="Y697" s="109"/>
      <c r="Z697" s="109"/>
    </row>
    <row r="698" spans="1:26" ht="11.25" customHeight="1">
      <c r="A698" s="109"/>
      <c r="B698" s="109"/>
      <c r="C698" s="109"/>
      <c r="D698" s="109"/>
      <c r="E698" s="109"/>
      <c r="F698" s="109"/>
      <c r="G698" s="109"/>
      <c r="H698" s="109"/>
      <c r="I698" s="109"/>
      <c r="J698" s="109"/>
      <c r="K698" s="109"/>
      <c r="L698" s="109"/>
      <c r="M698" s="109"/>
      <c r="N698" s="109"/>
      <c r="O698" s="109"/>
      <c r="P698" s="109"/>
      <c r="Q698" s="109"/>
      <c r="R698" s="109"/>
      <c r="S698" s="109"/>
      <c r="T698" s="109"/>
      <c r="U698" s="109"/>
      <c r="V698" s="109"/>
      <c r="W698" s="109"/>
      <c r="X698" s="109"/>
      <c r="Y698" s="109"/>
      <c r="Z698" s="109"/>
    </row>
    <row r="699" spans="1:26" ht="11.25" customHeight="1">
      <c r="A699" s="109"/>
      <c r="B699" s="109"/>
      <c r="C699" s="109"/>
      <c r="D699" s="109"/>
      <c r="E699" s="109"/>
      <c r="F699" s="109"/>
      <c r="G699" s="109"/>
      <c r="H699" s="109"/>
      <c r="I699" s="109"/>
      <c r="J699" s="109"/>
      <c r="K699" s="109"/>
      <c r="L699" s="109"/>
      <c r="M699" s="109"/>
      <c r="N699" s="109"/>
      <c r="O699" s="109"/>
      <c r="P699" s="109"/>
      <c r="Q699" s="109"/>
      <c r="R699" s="109"/>
      <c r="S699" s="109"/>
      <c r="T699" s="109"/>
      <c r="U699" s="109"/>
      <c r="V699" s="109"/>
      <c r="W699" s="109"/>
      <c r="X699" s="109"/>
      <c r="Y699" s="109"/>
      <c r="Z699" s="109"/>
    </row>
    <row r="700" spans="1:26" ht="11.25" customHeight="1">
      <c r="A700" s="109"/>
      <c r="B700" s="109"/>
      <c r="C700" s="109"/>
      <c r="D700" s="109"/>
      <c r="E700" s="109"/>
      <c r="F700" s="109"/>
      <c r="G700" s="109"/>
      <c r="H700" s="109"/>
      <c r="I700" s="109"/>
      <c r="J700" s="109"/>
      <c r="K700" s="109"/>
      <c r="L700" s="109"/>
      <c r="M700" s="109"/>
      <c r="N700" s="109"/>
      <c r="O700" s="109"/>
      <c r="P700" s="109"/>
      <c r="Q700" s="109"/>
      <c r="R700" s="109"/>
      <c r="S700" s="109"/>
      <c r="T700" s="109"/>
      <c r="U700" s="109"/>
      <c r="V700" s="109"/>
      <c r="W700" s="109"/>
      <c r="X700" s="109"/>
      <c r="Y700" s="109"/>
      <c r="Z700" s="109"/>
    </row>
    <row r="701" spans="1:26" ht="11.25" customHeight="1">
      <c r="A701" s="109"/>
      <c r="B701" s="109"/>
      <c r="C701" s="109"/>
      <c r="D701" s="109"/>
      <c r="E701" s="109"/>
      <c r="F701" s="109"/>
      <c r="G701" s="109"/>
      <c r="H701" s="109"/>
      <c r="I701" s="109"/>
      <c r="J701" s="109"/>
      <c r="K701" s="109"/>
      <c r="L701" s="109"/>
      <c r="M701" s="109"/>
      <c r="N701" s="109"/>
      <c r="O701" s="109"/>
      <c r="P701" s="109"/>
      <c r="Q701" s="109"/>
      <c r="R701" s="109"/>
      <c r="S701" s="109"/>
      <c r="T701" s="109"/>
      <c r="U701" s="109"/>
      <c r="V701" s="109"/>
      <c r="W701" s="109"/>
      <c r="X701" s="109"/>
      <c r="Y701" s="109"/>
      <c r="Z701" s="109"/>
    </row>
    <row r="702" spans="1:26" ht="11.25" customHeight="1">
      <c r="A702" s="109"/>
      <c r="B702" s="109"/>
      <c r="C702" s="109"/>
      <c r="D702" s="109"/>
      <c r="E702" s="109"/>
      <c r="F702" s="109"/>
      <c r="G702" s="109"/>
      <c r="H702" s="109"/>
      <c r="I702" s="109"/>
      <c r="J702" s="109"/>
      <c r="K702" s="109"/>
      <c r="L702" s="109"/>
      <c r="M702" s="109"/>
      <c r="N702" s="109"/>
      <c r="O702" s="109"/>
      <c r="P702" s="109"/>
      <c r="Q702" s="109"/>
      <c r="R702" s="109"/>
      <c r="S702" s="109"/>
      <c r="T702" s="109"/>
      <c r="U702" s="109"/>
      <c r="V702" s="109"/>
      <c r="W702" s="109"/>
      <c r="X702" s="109"/>
      <c r="Y702" s="109"/>
      <c r="Z702" s="109"/>
    </row>
    <row r="703" spans="1:26" ht="11.25" customHeight="1">
      <c r="A703" s="109"/>
      <c r="B703" s="109"/>
      <c r="C703" s="109"/>
      <c r="D703" s="109"/>
      <c r="E703" s="109"/>
      <c r="F703" s="109"/>
      <c r="G703" s="109"/>
      <c r="H703" s="109"/>
      <c r="I703" s="109"/>
      <c r="J703" s="109"/>
      <c r="K703" s="109"/>
      <c r="L703" s="109"/>
      <c r="M703" s="109"/>
      <c r="N703" s="109"/>
      <c r="O703" s="109"/>
      <c r="P703" s="109"/>
      <c r="Q703" s="109"/>
      <c r="R703" s="109"/>
      <c r="S703" s="109"/>
      <c r="T703" s="109"/>
      <c r="U703" s="109"/>
      <c r="V703" s="109"/>
      <c r="W703" s="109"/>
      <c r="X703" s="109"/>
      <c r="Y703" s="109"/>
      <c r="Z703" s="109"/>
    </row>
    <row r="704" spans="1:26" ht="11.25" customHeight="1">
      <c r="A704" s="109"/>
      <c r="B704" s="109"/>
      <c r="C704" s="109"/>
      <c r="D704" s="109"/>
      <c r="E704" s="109"/>
      <c r="F704" s="109"/>
      <c r="G704" s="109"/>
      <c r="H704" s="109"/>
      <c r="I704" s="109"/>
      <c r="J704" s="109"/>
      <c r="K704" s="109"/>
      <c r="L704" s="109"/>
      <c r="M704" s="109"/>
      <c r="N704" s="109"/>
      <c r="O704" s="109"/>
      <c r="P704" s="109"/>
      <c r="Q704" s="109"/>
      <c r="R704" s="109"/>
      <c r="S704" s="109"/>
      <c r="T704" s="109"/>
      <c r="U704" s="109"/>
      <c r="V704" s="109"/>
      <c r="W704" s="109"/>
      <c r="X704" s="109"/>
      <c r="Y704" s="109"/>
      <c r="Z704" s="109"/>
    </row>
    <row r="705" spans="1:26" ht="11.25" customHeight="1">
      <c r="A705" s="109"/>
      <c r="B705" s="109"/>
      <c r="C705" s="109"/>
      <c r="D705" s="109"/>
      <c r="E705" s="109"/>
      <c r="F705" s="109"/>
      <c r="G705" s="109"/>
      <c r="H705" s="109"/>
      <c r="I705" s="109"/>
      <c r="J705" s="109"/>
      <c r="K705" s="109"/>
      <c r="L705" s="109"/>
      <c r="M705" s="109"/>
      <c r="N705" s="109"/>
      <c r="O705" s="109"/>
      <c r="P705" s="109"/>
      <c r="Q705" s="109"/>
      <c r="R705" s="109"/>
      <c r="S705" s="109"/>
      <c r="T705" s="109"/>
      <c r="U705" s="109"/>
      <c r="V705" s="109"/>
      <c r="W705" s="109"/>
      <c r="X705" s="109"/>
      <c r="Y705" s="109"/>
      <c r="Z705" s="109"/>
    </row>
    <row r="706" spans="1:26" ht="11.25" customHeight="1">
      <c r="A706" s="109"/>
      <c r="B706" s="109"/>
      <c r="C706" s="109"/>
      <c r="D706" s="109"/>
      <c r="E706" s="109"/>
      <c r="F706" s="109"/>
      <c r="G706" s="109"/>
      <c r="H706" s="109"/>
      <c r="I706" s="109"/>
      <c r="J706" s="109"/>
      <c r="K706" s="109"/>
      <c r="L706" s="109"/>
      <c r="M706" s="109"/>
      <c r="N706" s="109"/>
      <c r="O706" s="109"/>
      <c r="P706" s="109"/>
      <c r="Q706" s="109"/>
      <c r="R706" s="109"/>
      <c r="S706" s="109"/>
      <c r="T706" s="109"/>
      <c r="U706" s="109"/>
      <c r="V706" s="109"/>
      <c r="W706" s="109"/>
      <c r="X706" s="109"/>
      <c r="Y706" s="109"/>
      <c r="Z706" s="109"/>
    </row>
    <row r="707" spans="1:26" ht="11.25" customHeight="1">
      <c r="A707" s="109"/>
      <c r="B707" s="109"/>
      <c r="C707" s="109"/>
      <c r="D707" s="109"/>
      <c r="E707" s="109"/>
      <c r="F707" s="109"/>
      <c r="G707" s="109"/>
      <c r="H707" s="109"/>
      <c r="I707" s="109"/>
      <c r="J707" s="109"/>
      <c r="K707" s="109"/>
      <c r="L707" s="109"/>
      <c r="M707" s="109"/>
      <c r="N707" s="109"/>
      <c r="O707" s="109"/>
      <c r="P707" s="109"/>
      <c r="Q707" s="109"/>
      <c r="R707" s="109"/>
      <c r="S707" s="109"/>
      <c r="T707" s="109"/>
      <c r="U707" s="109"/>
      <c r="V707" s="109"/>
      <c r="W707" s="109"/>
      <c r="X707" s="109"/>
      <c r="Y707" s="109"/>
      <c r="Z707" s="109"/>
    </row>
    <row r="708" spans="1:26" ht="11.25" customHeight="1">
      <c r="A708" s="109"/>
      <c r="B708" s="109"/>
      <c r="C708" s="109"/>
      <c r="D708" s="109"/>
      <c r="E708" s="109"/>
      <c r="F708" s="109"/>
      <c r="G708" s="109"/>
      <c r="H708" s="109"/>
      <c r="I708" s="109"/>
      <c r="J708" s="109"/>
      <c r="K708" s="109"/>
      <c r="L708" s="109"/>
      <c r="M708" s="109"/>
      <c r="N708" s="109"/>
      <c r="O708" s="109"/>
      <c r="P708" s="109"/>
      <c r="Q708" s="109"/>
      <c r="R708" s="109"/>
      <c r="S708" s="109"/>
      <c r="T708" s="109"/>
      <c r="U708" s="109"/>
      <c r="V708" s="109"/>
      <c r="W708" s="109"/>
      <c r="X708" s="109"/>
      <c r="Y708" s="109"/>
      <c r="Z708" s="109"/>
    </row>
    <row r="709" spans="1:26" ht="11.25" customHeight="1">
      <c r="A709" s="109"/>
      <c r="B709" s="109"/>
      <c r="C709" s="109"/>
      <c r="D709" s="109"/>
      <c r="E709" s="109"/>
      <c r="F709" s="109"/>
      <c r="G709" s="109"/>
      <c r="H709" s="109"/>
      <c r="I709" s="109"/>
      <c r="J709" s="109"/>
      <c r="K709" s="109"/>
      <c r="L709" s="109"/>
      <c r="M709" s="109"/>
      <c r="N709" s="109"/>
      <c r="O709" s="109"/>
      <c r="P709" s="109"/>
      <c r="Q709" s="109"/>
      <c r="R709" s="109"/>
      <c r="S709" s="109"/>
      <c r="T709" s="109"/>
      <c r="U709" s="109"/>
      <c r="V709" s="109"/>
      <c r="W709" s="109"/>
      <c r="X709" s="109"/>
      <c r="Y709" s="109"/>
      <c r="Z709" s="109"/>
    </row>
    <row r="710" spans="1:26" ht="11.25" customHeight="1">
      <c r="A710" s="109"/>
      <c r="B710" s="109"/>
      <c r="C710" s="109"/>
      <c r="D710" s="109"/>
      <c r="E710" s="109"/>
      <c r="F710" s="109"/>
      <c r="G710" s="109"/>
      <c r="H710" s="109"/>
      <c r="I710" s="109"/>
      <c r="J710" s="109"/>
      <c r="K710" s="109"/>
      <c r="L710" s="109"/>
      <c r="M710" s="109"/>
      <c r="N710" s="109"/>
      <c r="O710" s="109"/>
      <c r="P710" s="109"/>
      <c r="Q710" s="109"/>
      <c r="R710" s="109"/>
      <c r="S710" s="109"/>
      <c r="T710" s="109"/>
      <c r="U710" s="109"/>
      <c r="V710" s="109"/>
      <c r="W710" s="109"/>
      <c r="X710" s="109"/>
      <c r="Y710" s="109"/>
      <c r="Z710" s="109"/>
    </row>
    <row r="711" spans="1:26" ht="11.25" customHeight="1">
      <c r="A711" s="109"/>
      <c r="B711" s="109"/>
      <c r="C711" s="109"/>
      <c r="D711" s="109"/>
      <c r="E711" s="109"/>
      <c r="F711" s="109"/>
      <c r="G711" s="109"/>
      <c r="H711" s="109"/>
      <c r="I711" s="109"/>
      <c r="J711" s="109"/>
      <c r="K711" s="109"/>
      <c r="L711" s="109"/>
      <c r="M711" s="109"/>
      <c r="N711" s="109"/>
      <c r="O711" s="109"/>
      <c r="P711" s="109"/>
      <c r="Q711" s="109"/>
      <c r="R711" s="109"/>
      <c r="S711" s="109"/>
      <c r="T711" s="109"/>
      <c r="U711" s="109"/>
      <c r="V711" s="109"/>
      <c r="W711" s="109"/>
      <c r="X711" s="109"/>
      <c r="Y711" s="109"/>
      <c r="Z711" s="109"/>
    </row>
    <row r="712" spans="1:26" ht="11.25" customHeight="1">
      <c r="A712" s="109"/>
      <c r="B712" s="109"/>
      <c r="C712" s="109"/>
      <c r="D712" s="109"/>
      <c r="E712" s="109"/>
      <c r="F712" s="109"/>
      <c r="G712" s="109"/>
      <c r="H712" s="109"/>
      <c r="I712" s="109"/>
      <c r="J712" s="109"/>
      <c r="K712" s="109"/>
      <c r="L712" s="109"/>
      <c r="M712" s="109"/>
      <c r="N712" s="109"/>
      <c r="O712" s="109"/>
      <c r="P712" s="109"/>
      <c r="Q712" s="109"/>
      <c r="R712" s="109"/>
      <c r="S712" s="109"/>
      <c r="T712" s="109"/>
      <c r="U712" s="109"/>
      <c r="V712" s="109"/>
      <c r="W712" s="109"/>
      <c r="X712" s="109"/>
      <c r="Y712" s="109"/>
      <c r="Z712" s="109"/>
    </row>
    <row r="713" spans="1:26" ht="11.25" customHeight="1">
      <c r="A713" s="109"/>
      <c r="B713" s="109"/>
      <c r="C713" s="109"/>
      <c r="D713" s="109"/>
      <c r="E713" s="109"/>
      <c r="F713" s="109"/>
      <c r="G713" s="109"/>
      <c r="H713" s="109"/>
      <c r="I713" s="109"/>
      <c r="J713" s="109"/>
      <c r="K713" s="109"/>
      <c r="L713" s="109"/>
      <c r="M713" s="109"/>
      <c r="N713" s="109"/>
      <c r="O713" s="109"/>
      <c r="P713" s="109"/>
      <c r="Q713" s="109"/>
      <c r="R713" s="109"/>
      <c r="S713" s="109"/>
      <c r="T713" s="109"/>
      <c r="U713" s="109"/>
      <c r="V713" s="109"/>
      <c r="W713" s="109"/>
      <c r="X713" s="109"/>
      <c r="Y713" s="109"/>
      <c r="Z713" s="109"/>
    </row>
    <row r="714" spans="1:26" ht="11.25" customHeight="1">
      <c r="A714" s="109"/>
      <c r="B714" s="109"/>
      <c r="C714" s="109"/>
      <c r="D714" s="109"/>
      <c r="E714" s="109"/>
      <c r="F714" s="109"/>
      <c r="G714" s="109"/>
      <c r="H714" s="109"/>
      <c r="I714" s="109"/>
      <c r="J714" s="109"/>
      <c r="K714" s="109"/>
      <c r="L714" s="109"/>
      <c r="M714" s="109"/>
      <c r="N714" s="109"/>
      <c r="O714" s="109"/>
      <c r="P714" s="109"/>
      <c r="Q714" s="109"/>
      <c r="R714" s="109"/>
      <c r="S714" s="109"/>
      <c r="T714" s="109"/>
      <c r="U714" s="109"/>
      <c r="V714" s="109"/>
      <c r="W714" s="109"/>
      <c r="X714" s="109"/>
      <c r="Y714" s="109"/>
      <c r="Z714" s="109"/>
    </row>
    <row r="715" spans="1:26" ht="11.25" customHeight="1">
      <c r="A715" s="109"/>
      <c r="B715" s="109"/>
      <c r="C715" s="109"/>
      <c r="D715" s="109"/>
      <c r="E715" s="109"/>
      <c r="F715" s="109"/>
      <c r="G715" s="109"/>
      <c r="H715" s="109"/>
      <c r="I715" s="109"/>
      <c r="J715" s="109"/>
      <c r="K715" s="109"/>
      <c r="L715" s="109"/>
      <c r="M715" s="109"/>
      <c r="N715" s="109"/>
      <c r="O715" s="109"/>
      <c r="P715" s="109"/>
      <c r="Q715" s="109"/>
      <c r="R715" s="109"/>
      <c r="S715" s="109"/>
      <c r="T715" s="109"/>
      <c r="U715" s="109"/>
      <c r="V715" s="109"/>
      <c r="W715" s="109"/>
      <c r="X715" s="109"/>
      <c r="Y715" s="109"/>
      <c r="Z715" s="109"/>
    </row>
    <row r="716" spans="1:26" ht="11.25" customHeight="1">
      <c r="A716" s="109"/>
      <c r="B716" s="109"/>
      <c r="C716" s="109"/>
      <c r="D716" s="109"/>
      <c r="E716" s="109"/>
      <c r="F716" s="109"/>
      <c r="G716" s="109"/>
      <c r="H716" s="109"/>
      <c r="I716" s="109"/>
      <c r="J716" s="109"/>
      <c r="K716" s="109"/>
      <c r="L716" s="109"/>
      <c r="M716" s="109"/>
      <c r="N716" s="109"/>
      <c r="O716" s="109"/>
      <c r="P716" s="109"/>
      <c r="Q716" s="109"/>
      <c r="R716" s="109"/>
      <c r="S716" s="109"/>
      <c r="T716" s="109"/>
      <c r="U716" s="109"/>
      <c r="V716" s="109"/>
      <c r="W716" s="109"/>
      <c r="X716" s="109"/>
      <c r="Y716" s="109"/>
      <c r="Z716" s="109"/>
    </row>
    <row r="717" spans="1:26" ht="11.25" customHeight="1">
      <c r="A717" s="109"/>
      <c r="B717" s="109"/>
      <c r="C717" s="109"/>
      <c r="D717" s="109"/>
      <c r="E717" s="109"/>
      <c r="F717" s="109"/>
      <c r="G717" s="109"/>
      <c r="H717" s="109"/>
      <c r="I717" s="109"/>
      <c r="J717" s="109"/>
      <c r="K717" s="109"/>
      <c r="L717" s="109"/>
      <c r="M717" s="109"/>
      <c r="N717" s="109"/>
      <c r="O717" s="109"/>
      <c r="P717" s="109"/>
      <c r="Q717" s="109"/>
      <c r="R717" s="109"/>
      <c r="S717" s="109"/>
      <c r="T717" s="109"/>
      <c r="U717" s="109"/>
      <c r="V717" s="109"/>
      <c r="W717" s="109"/>
      <c r="X717" s="109"/>
      <c r="Y717" s="109"/>
      <c r="Z717" s="109"/>
    </row>
    <row r="718" spans="1:26" ht="11.25" customHeight="1">
      <c r="A718" s="109"/>
      <c r="B718" s="109"/>
      <c r="C718" s="109"/>
      <c r="D718" s="109"/>
      <c r="E718" s="109"/>
      <c r="F718" s="109"/>
      <c r="G718" s="109"/>
      <c r="H718" s="109"/>
      <c r="I718" s="109"/>
      <c r="J718" s="109"/>
      <c r="K718" s="109"/>
      <c r="L718" s="109"/>
      <c r="M718" s="109"/>
      <c r="N718" s="109"/>
      <c r="O718" s="109"/>
      <c r="P718" s="109"/>
      <c r="Q718" s="109"/>
      <c r="R718" s="109"/>
      <c r="S718" s="109"/>
      <c r="T718" s="109"/>
      <c r="U718" s="109"/>
      <c r="V718" s="109"/>
      <c r="W718" s="109"/>
      <c r="X718" s="109"/>
      <c r="Y718" s="109"/>
      <c r="Z718" s="109"/>
    </row>
    <row r="719" spans="1:26" ht="11.25" customHeight="1">
      <c r="A719" s="109"/>
      <c r="B719" s="109"/>
      <c r="C719" s="109"/>
      <c r="D719" s="109"/>
      <c r="E719" s="109"/>
      <c r="F719" s="109"/>
      <c r="G719" s="109"/>
      <c r="H719" s="109"/>
      <c r="I719" s="109"/>
      <c r="J719" s="109"/>
      <c r="K719" s="109"/>
      <c r="L719" s="109"/>
      <c r="M719" s="109"/>
      <c r="N719" s="109"/>
      <c r="O719" s="109"/>
      <c r="P719" s="109"/>
      <c r="Q719" s="109"/>
      <c r="R719" s="109"/>
      <c r="S719" s="109"/>
      <c r="T719" s="109"/>
      <c r="U719" s="109"/>
      <c r="V719" s="109"/>
      <c r="W719" s="109"/>
      <c r="X719" s="109"/>
      <c r="Y719" s="109"/>
      <c r="Z719" s="109"/>
    </row>
    <row r="720" spans="1:26" ht="11.25" customHeight="1">
      <c r="A720" s="109"/>
      <c r="B720" s="109"/>
      <c r="C720" s="109"/>
      <c r="D720" s="109"/>
      <c r="E720" s="109"/>
      <c r="F720" s="109"/>
      <c r="G720" s="109"/>
      <c r="H720" s="109"/>
      <c r="I720" s="109"/>
      <c r="J720" s="109"/>
      <c r="K720" s="109"/>
      <c r="L720" s="109"/>
      <c r="M720" s="109"/>
      <c r="N720" s="109"/>
      <c r="O720" s="109"/>
      <c r="P720" s="109"/>
      <c r="Q720" s="109"/>
      <c r="R720" s="109"/>
      <c r="S720" s="109"/>
      <c r="T720" s="109"/>
      <c r="U720" s="109"/>
      <c r="V720" s="109"/>
      <c r="W720" s="109"/>
      <c r="X720" s="109"/>
      <c r="Y720" s="109"/>
      <c r="Z720" s="109"/>
    </row>
    <row r="721" spans="1:26" ht="11.25" customHeight="1">
      <c r="A721" s="109"/>
      <c r="B721" s="109"/>
      <c r="C721" s="109"/>
      <c r="D721" s="109"/>
      <c r="E721" s="109"/>
      <c r="F721" s="109"/>
      <c r="G721" s="109"/>
      <c r="H721" s="109"/>
      <c r="I721" s="109"/>
      <c r="J721" s="109"/>
      <c r="K721" s="109"/>
      <c r="L721" s="109"/>
      <c r="M721" s="109"/>
      <c r="N721" s="109"/>
      <c r="O721" s="109"/>
      <c r="P721" s="109"/>
      <c r="Q721" s="109"/>
      <c r="R721" s="109"/>
      <c r="S721" s="109"/>
      <c r="T721" s="109"/>
      <c r="U721" s="109"/>
      <c r="V721" s="109"/>
      <c r="W721" s="109"/>
      <c r="X721" s="109"/>
      <c r="Y721" s="109"/>
      <c r="Z721" s="109"/>
    </row>
    <row r="722" spans="1:26" ht="11.25" customHeight="1">
      <c r="A722" s="109"/>
      <c r="B722" s="109"/>
      <c r="C722" s="109"/>
      <c r="D722" s="109"/>
      <c r="E722" s="109"/>
      <c r="F722" s="109"/>
      <c r="G722" s="109"/>
      <c r="H722" s="109"/>
      <c r="I722" s="109"/>
      <c r="J722" s="109"/>
      <c r="K722" s="109"/>
      <c r="L722" s="109"/>
      <c r="M722" s="109"/>
      <c r="N722" s="109"/>
      <c r="O722" s="109"/>
      <c r="P722" s="109"/>
      <c r="Q722" s="109"/>
      <c r="R722" s="109"/>
      <c r="S722" s="109"/>
      <c r="T722" s="109"/>
      <c r="U722" s="109"/>
      <c r="V722" s="109"/>
      <c r="W722" s="109"/>
      <c r="X722" s="109"/>
      <c r="Y722" s="109"/>
      <c r="Z722" s="109"/>
    </row>
    <row r="723" spans="1:26" ht="11.25" customHeight="1">
      <c r="A723" s="109"/>
      <c r="B723" s="109"/>
      <c r="C723" s="109"/>
      <c r="D723" s="109"/>
      <c r="E723" s="109"/>
      <c r="F723" s="109"/>
      <c r="G723" s="109"/>
      <c r="H723" s="109"/>
      <c r="I723" s="109"/>
      <c r="J723" s="109"/>
      <c r="K723" s="109"/>
      <c r="L723" s="109"/>
      <c r="M723" s="109"/>
      <c r="N723" s="109"/>
      <c r="O723" s="109"/>
      <c r="P723" s="109"/>
      <c r="Q723" s="109"/>
      <c r="R723" s="109"/>
      <c r="S723" s="109"/>
      <c r="T723" s="109"/>
      <c r="U723" s="109"/>
      <c r="V723" s="109"/>
      <c r="W723" s="109"/>
      <c r="X723" s="109"/>
      <c r="Y723" s="109"/>
      <c r="Z723" s="109"/>
    </row>
    <row r="724" spans="1:26" ht="11.25" customHeight="1">
      <c r="A724" s="109"/>
      <c r="B724" s="109"/>
      <c r="C724" s="109"/>
      <c r="D724" s="109"/>
      <c r="E724" s="109"/>
      <c r="F724" s="109"/>
      <c r="G724" s="109"/>
      <c r="H724" s="109"/>
      <c r="I724" s="109"/>
      <c r="J724" s="109"/>
      <c r="K724" s="109"/>
      <c r="L724" s="109"/>
      <c r="M724" s="109"/>
      <c r="N724" s="109"/>
      <c r="O724" s="109"/>
      <c r="P724" s="109"/>
      <c r="Q724" s="109"/>
      <c r="R724" s="109"/>
      <c r="S724" s="109"/>
      <c r="T724" s="109"/>
      <c r="U724" s="109"/>
      <c r="V724" s="109"/>
      <c r="W724" s="109"/>
      <c r="X724" s="109"/>
      <c r="Y724" s="109"/>
      <c r="Z724" s="109"/>
    </row>
    <row r="725" spans="1:26" ht="11.25" customHeight="1">
      <c r="A725" s="109"/>
      <c r="B725" s="109"/>
      <c r="C725" s="109"/>
      <c r="D725" s="109"/>
      <c r="E725" s="109"/>
      <c r="F725" s="109"/>
      <c r="G725" s="109"/>
      <c r="H725" s="109"/>
      <c r="I725" s="109"/>
      <c r="J725" s="109"/>
      <c r="K725" s="109"/>
      <c r="L725" s="109"/>
      <c r="M725" s="109"/>
      <c r="N725" s="109"/>
      <c r="O725" s="109"/>
      <c r="P725" s="109"/>
      <c r="Q725" s="109"/>
      <c r="R725" s="109"/>
      <c r="S725" s="109"/>
      <c r="T725" s="109"/>
      <c r="U725" s="109"/>
      <c r="V725" s="109"/>
      <c r="W725" s="109"/>
      <c r="X725" s="109"/>
      <c r="Y725" s="109"/>
      <c r="Z725" s="109"/>
    </row>
    <row r="726" spans="1:26" ht="11.25" customHeight="1">
      <c r="A726" s="109"/>
      <c r="B726" s="109"/>
      <c r="C726" s="109"/>
      <c r="D726" s="109"/>
      <c r="E726" s="109"/>
      <c r="F726" s="109"/>
      <c r="G726" s="109"/>
      <c r="H726" s="109"/>
      <c r="I726" s="109"/>
      <c r="J726" s="109"/>
      <c r="K726" s="109"/>
      <c r="L726" s="109"/>
      <c r="M726" s="109"/>
      <c r="N726" s="109"/>
      <c r="O726" s="109"/>
      <c r="P726" s="109"/>
      <c r="Q726" s="109"/>
      <c r="R726" s="109"/>
      <c r="S726" s="109"/>
      <c r="T726" s="109"/>
      <c r="U726" s="109"/>
      <c r="V726" s="109"/>
      <c r="W726" s="109"/>
      <c r="X726" s="109"/>
      <c r="Y726" s="109"/>
      <c r="Z726" s="109"/>
    </row>
    <row r="727" spans="1:26" ht="11.25" customHeight="1">
      <c r="A727" s="109"/>
      <c r="B727" s="109"/>
      <c r="C727" s="109"/>
      <c r="D727" s="109"/>
      <c r="E727" s="109"/>
      <c r="F727" s="109"/>
      <c r="G727" s="109"/>
      <c r="H727" s="109"/>
      <c r="I727" s="109"/>
      <c r="J727" s="109"/>
      <c r="K727" s="109"/>
      <c r="L727" s="109"/>
      <c r="M727" s="109"/>
      <c r="N727" s="109"/>
      <c r="O727" s="109"/>
      <c r="P727" s="109"/>
      <c r="Q727" s="109"/>
      <c r="R727" s="109"/>
      <c r="S727" s="109"/>
      <c r="T727" s="109"/>
      <c r="U727" s="109"/>
      <c r="V727" s="109"/>
      <c r="W727" s="109"/>
      <c r="X727" s="109"/>
      <c r="Y727" s="109"/>
      <c r="Z727" s="109"/>
    </row>
    <row r="728" spans="1:26" ht="11.25" customHeight="1">
      <c r="A728" s="109"/>
      <c r="B728" s="109"/>
      <c r="C728" s="109"/>
      <c r="D728" s="109"/>
      <c r="E728" s="109"/>
      <c r="F728" s="109"/>
      <c r="G728" s="109"/>
      <c r="H728" s="109"/>
      <c r="I728" s="109"/>
      <c r="J728" s="109"/>
      <c r="K728" s="109"/>
      <c r="L728" s="109"/>
      <c r="M728" s="109"/>
      <c r="N728" s="109"/>
      <c r="O728" s="109"/>
      <c r="P728" s="109"/>
      <c r="Q728" s="109"/>
      <c r="R728" s="109"/>
      <c r="S728" s="109"/>
      <c r="T728" s="109"/>
      <c r="U728" s="109"/>
      <c r="V728" s="109"/>
      <c r="W728" s="109"/>
      <c r="X728" s="109"/>
      <c r="Y728" s="109"/>
      <c r="Z728" s="109"/>
    </row>
    <row r="729" spans="1:26" ht="11.25" customHeight="1">
      <c r="A729" s="109"/>
      <c r="B729" s="109"/>
      <c r="C729" s="109"/>
      <c r="D729" s="109"/>
      <c r="E729" s="109"/>
      <c r="F729" s="109"/>
      <c r="G729" s="109"/>
      <c r="H729" s="109"/>
      <c r="I729" s="109"/>
      <c r="J729" s="109"/>
      <c r="K729" s="109"/>
      <c r="L729" s="109"/>
      <c r="M729" s="109"/>
      <c r="N729" s="109"/>
      <c r="O729" s="109"/>
      <c r="P729" s="109"/>
      <c r="Q729" s="109"/>
      <c r="R729" s="109"/>
      <c r="S729" s="109"/>
      <c r="T729" s="109"/>
      <c r="U729" s="109"/>
      <c r="V729" s="109"/>
      <c r="W729" s="109"/>
      <c r="X729" s="109"/>
      <c r="Y729" s="109"/>
      <c r="Z729" s="109"/>
    </row>
    <row r="730" spans="1:26" ht="11.25" customHeight="1">
      <c r="A730" s="109"/>
      <c r="B730" s="109"/>
      <c r="C730" s="109"/>
      <c r="D730" s="109"/>
      <c r="E730" s="109"/>
      <c r="F730" s="109"/>
      <c r="G730" s="109"/>
      <c r="H730" s="109"/>
      <c r="I730" s="109"/>
      <c r="J730" s="109"/>
      <c r="K730" s="109"/>
      <c r="L730" s="109"/>
      <c r="M730" s="109"/>
      <c r="N730" s="109"/>
      <c r="O730" s="109"/>
      <c r="P730" s="109"/>
      <c r="Q730" s="109"/>
      <c r="R730" s="109"/>
      <c r="S730" s="109"/>
      <c r="T730" s="109"/>
      <c r="U730" s="109"/>
      <c r="V730" s="109"/>
      <c r="W730" s="109"/>
      <c r="X730" s="109"/>
      <c r="Y730" s="109"/>
      <c r="Z730" s="109"/>
    </row>
    <row r="731" spans="1:26" ht="11.25" customHeight="1">
      <c r="A731" s="109"/>
      <c r="B731" s="109"/>
      <c r="C731" s="109"/>
      <c r="D731" s="109"/>
      <c r="E731" s="109"/>
      <c r="F731" s="109"/>
      <c r="G731" s="109"/>
      <c r="H731" s="109"/>
      <c r="I731" s="109"/>
      <c r="J731" s="109"/>
      <c r="K731" s="109"/>
      <c r="L731" s="109"/>
      <c r="M731" s="109"/>
      <c r="N731" s="109"/>
      <c r="O731" s="109"/>
      <c r="P731" s="109"/>
      <c r="Q731" s="109"/>
      <c r="R731" s="109"/>
      <c r="S731" s="109"/>
      <c r="T731" s="109"/>
      <c r="U731" s="109"/>
      <c r="V731" s="109"/>
      <c r="W731" s="109"/>
      <c r="X731" s="109"/>
      <c r="Y731" s="109"/>
      <c r="Z731" s="109"/>
    </row>
    <row r="732" spans="1:26" ht="11.25" customHeight="1">
      <c r="A732" s="109"/>
      <c r="B732" s="109"/>
      <c r="C732" s="109"/>
      <c r="D732" s="109"/>
      <c r="E732" s="109"/>
      <c r="F732" s="109"/>
      <c r="G732" s="109"/>
      <c r="H732" s="109"/>
      <c r="I732" s="109"/>
      <c r="J732" s="109"/>
      <c r="K732" s="109"/>
      <c r="L732" s="109"/>
      <c r="M732" s="109"/>
      <c r="N732" s="109"/>
      <c r="O732" s="109"/>
      <c r="P732" s="109"/>
      <c r="Q732" s="109"/>
      <c r="R732" s="109"/>
      <c r="S732" s="109"/>
      <c r="T732" s="109"/>
      <c r="U732" s="109"/>
      <c r="V732" s="109"/>
      <c r="W732" s="109"/>
      <c r="X732" s="109"/>
      <c r="Y732" s="109"/>
      <c r="Z732" s="109"/>
    </row>
    <row r="733" spans="1:26" ht="11.25" customHeight="1">
      <c r="A733" s="109"/>
      <c r="B733" s="109"/>
      <c r="C733" s="109"/>
      <c r="D733" s="109"/>
      <c r="E733" s="109"/>
      <c r="F733" s="109"/>
      <c r="G733" s="109"/>
      <c r="H733" s="109"/>
      <c r="I733" s="109"/>
      <c r="J733" s="109"/>
      <c r="K733" s="109"/>
      <c r="L733" s="109"/>
      <c r="M733" s="109"/>
      <c r="N733" s="109"/>
      <c r="O733" s="109"/>
      <c r="P733" s="109"/>
      <c r="Q733" s="109"/>
      <c r="R733" s="109"/>
      <c r="S733" s="109"/>
      <c r="T733" s="109"/>
      <c r="U733" s="109"/>
      <c r="V733" s="109"/>
      <c r="W733" s="109"/>
      <c r="X733" s="109"/>
      <c r="Y733" s="109"/>
      <c r="Z733" s="109"/>
    </row>
    <row r="734" spans="1:26" ht="11.25" customHeight="1">
      <c r="A734" s="109"/>
      <c r="B734" s="109"/>
      <c r="C734" s="109"/>
      <c r="D734" s="109"/>
      <c r="E734" s="109"/>
      <c r="F734" s="109"/>
      <c r="G734" s="109"/>
      <c r="H734" s="109"/>
      <c r="I734" s="109"/>
      <c r="J734" s="109"/>
      <c r="K734" s="109"/>
      <c r="L734" s="109"/>
      <c r="M734" s="109"/>
      <c r="N734" s="109"/>
      <c r="O734" s="109"/>
      <c r="P734" s="109"/>
      <c r="Q734" s="109"/>
      <c r="R734" s="109"/>
      <c r="S734" s="109"/>
      <c r="T734" s="109"/>
      <c r="U734" s="109"/>
      <c r="V734" s="109"/>
      <c r="W734" s="109"/>
      <c r="X734" s="109"/>
      <c r="Y734" s="109"/>
      <c r="Z734" s="109"/>
    </row>
    <row r="735" spans="1:26" ht="11.25" customHeight="1">
      <c r="A735" s="109"/>
      <c r="B735" s="109"/>
      <c r="C735" s="109"/>
      <c r="D735" s="109"/>
      <c r="E735" s="109"/>
      <c r="F735" s="109"/>
      <c r="G735" s="109"/>
      <c r="H735" s="109"/>
      <c r="I735" s="109"/>
      <c r="J735" s="109"/>
      <c r="K735" s="109"/>
      <c r="L735" s="109"/>
      <c r="M735" s="109"/>
      <c r="N735" s="109"/>
      <c r="O735" s="109"/>
      <c r="P735" s="109"/>
      <c r="Q735" s="109"/>
      <c r="R735" s="109"/>
      <c r="S735" s="109"/>
      <c r="T735" s="109"/>
      <c r="U735" s="109"/>
      <c r="V735" s="109"/>
      <c r="W735" s="109"/>
      <c r="X735" s="109"/>
      <c r="Y735" s="109"/>
      <c r="Z735" s="109"/>
    </row>
    <row r="736" spans="1:26" ht="11.25" customHeight="1">
      <c r="A736" s="109"/>
      <c r="B736" s="109"/>
      <c r="C736" s="109"/>
      <c r="D736" s="109"/>
      <c r="E736" s="109"/>
      <c r="F736" s="109"/>
      <c r="G736" s="109"/>
      <c r="H736" s="109"/>
      <c r="I736" s="109"/>
      <c r="J736" s="109"/>
      <c r="K736" s="109"/>
      <c r="L736" s="109"/>
      <c r="M736" s="109"/>
      <c r="N736" s="109"/>
      <c r="O736" s="109"/>
      <c r="P736" s="109"/>
      <c r="Q736" s="109"/>
      <c r="R736" s="109"/>
      <c r="S736" s="109"/>
      <c r="T736" s="109"/>
      <c r="U736" s="109"/>
      <c r="V736" s="109"/>
      <c r="W736" s="109"/>
      <c r="X736" s="109"/>
      <c r="Y736" s="109"/>
      <c r="Z736" s="109"/>
    </row>
    <row r="737" spans="1:26" ht="11.25" customHeight="1">
      <c r="A737" s="109"/>
      <c r="B737" s="109"/>
      <c r="C737" s="109"/>
      <c r="D737" s="109"/>
      <c r="E737" s="109"/>
      <c r="F737" s="109"/>
      <c r="G737" s="109"/>
      <c r="H737" s="109"/>
      <c r="I737" s="109"/>
      <c r="J737" s="109"/>
      <c r="K737" s="109"/>
      <c r="L737" s="109"/>
      <c r="M737" s="109"/>
      <c r="N737" s="109"/>
      <c r="O737" s="109"/>
      <c r="P737" s="109"/>
      <c r="Q737" s="109"/>
      <c r="R737" s="109"/>
      <c r="S737" s="109"/>
      <c r="T737" s="109"/>
      <c r="U737" s="109"/>
      <c r="V737" s="109"/>
      <c r="W737" s="109"/>
      <c r="X737" s="109"/>
      <c r="Y737" s="109"/>
      <c r="Z737" s="109"/>
    </row>
    <row r="738" spans="1:26" ht="11.25" customHeight="1">
      <c r="A738" s="109"/>
      <c r="B738" s="109"/>
      <c r="C738" s="109"/>
      <c r="D738" s="109"/>
      <c r="E738" s="109"/>
      <c r="F738" s="109"/>
      <c r="G738" s="109"/>
      <c r="H738" s="109"/>
      <c r="I738" s="109"/>
      <c r="J738" s="109"/>
      <c r="K738" s="109"/>
      <c r="L738" s="109"/>
      <c r="M738" s="109"/>
      <c r="N738" s="109"/>
      <c r="O738" s="109"/>
      <c r="P738" s="109"/>
      <c r="Q738" s="109"/>
      <c r="R738" s="109"/>
      <c r="S738" s="109"/>
      <c r="T738" s="109"/>
      <c r="U738" s="109"/>
      <c r="V738" s="109"/>
      <c r="W738" s="109"/>
      <c r="X738" s="109"/>
      <c r="Y738" s="109"/>
      <c r="Z738" s="109"/>
    </row>
    <row r="739" spans="1:26" ht="11.25" customHeight="1">
      <c r="A739" s="109"/>
      <c r="B739" s="109"/>
      <c r="C739" s="109"/>
      <c r="D739" s="109"/>
      <c r="E739" s="109"/>
      <c r="F739" s="109"/>
      <c r="G739" s="109"/>
      <c r="H739" s="109"/>
      <c r="I739" s="109"/>
      <c r="J739" s="109"/>
      <c r="K739" s="109"/>
      <c r="L739" s="109"/>
      <c r="M739" s="109"/>
      <c r="N739" s="109"/>
      <c r="O739" s="109"/>
      <c r="P739" s="109"/>
      <c r="Q739" s="109"/>
      <c r="R739" s="109"/>
      <c r="S739" s="109"/>
      <c r="T739" s="109"/>
      <c r="U739" s="109"/>
      <c r="V739" s="109"/>
      <c r="W739" s="109"/>
      <c r="X739" s="109"/>
      <c r="Y739" s="109"/>
      <c r="Z739" s="109"/>
    </row>
    <row r="740" spans="1:26" ht="11.25" customHeight="1">
      <c r="A740" s="109"/>
      <c r="B740" s="109"/>
      <c r="C740" s="109"/>
      <c r="D740" s="109"/>
      <c r="E740" s="109"/>
      <c r="F740" s="109"/>
      <c r="G740" s="109"/>
      <c r="H740" s="109"/>
      <c r="I740" s="109"/>
      <c r="J740" s="109"/>
      <c r="K740" s="109"/>
      <c r="L740" s="109"/>
      <c r="M740" s="109"/>
      <c r="N740" s="109"/>
      <c r="O740" s="109"/>
      <c r="P740" s="109"/>
      <c r="Q740" s="109"/>
      <c r="R740" s="109"/>
      <c r="S740" s="109"/>
      <c r="T740" s="109"/>
      <c r="U740" s="109"/>
      <c r="V740" s="109"/>
      <c r="W740" s="109"/>
      <c r="X740" s="109"/>
      <c r="Y740" s="109"/>
      <c r="Z740" s="109"/>
    </row>
    <row r="741" spans="1:26" ht="11.25" customHeight="1">
      <c r="A741" s="109"/>
      <c r="B741" s="109"/>
      <c r="C741" s="109"/>
      <c r="D741" s="109"/>
      <c r="E741" s="109"/>
      <c r="F741" s="109"/>
      <c r="G741" s="109"/>
      <c r="H741" s="109"/>
      <c r="I741" s="109"/>
      <c r="J741" s="109"/>
      <c r="K741" s="109"/>
      <c r="L741" s="109"/>
      <c r="M741" s="109"/>
      <c r="N741" s="109"/>
      <c r="O741" s="109"/>
      <c r="P741" s="109"/>
      <c r="Q741" s="109"/>
      <c r="R741" s="109"/>
      <c r="S741" s="109"/>
      <c r="T741" s="109"/>
      <c r="U741" s="109"/>
      <c r="V741" s="109"/>
      <c r="W741" s="109"/>
      <c r="X741" s="109"/>
      <c r="Y741" s="109"/>
      <c r="Z741" s="109"/>
    </row>
    <row r="742" spans="1:26" ht="11.25" customHeight="1">
      <c r="A742" s="109"/>
      <c r="B742" s="109"/>
      <c r="C742" s="109"/>
      <c r="D742" s="109"/>
      <c r="E742" s="109"/>
      <c r="F742" s="109"/>
      <c r="G742" s="109"/>
      <c r="H742" s="109"/>
      <c r="I742" s="109"/>
      <c r="J742" s="109"/>
      <c r="K742" s="109"/>
      <c r="L742" s="109"/>
      <c r="M742" s="109"/>
      <c r="N742" s="109"/>
      <c r="O742" s="109"/>
      <c r="P742" s="109"/>
      <c r="Q742" s="109"/>
      <c r="R742" s="109"/>
      <c r="S742" s="109"/>
      <c r="T742" s="109"/>
      <c r="U742" s="109"/>
      <c r="V742" s="109"/>
      <c r="W742" s="109"/>
      <c r="X742" s="109"/>
      <c r="Y742" s="109"/>
      <c r="Z742" s="109"/>
    </row>
    <row r="743" spans="1:26" ht="11.25" customHeight="1">
      <c r="A743" s="109"/>
      <c r="B743" s="109"/>
      <c r="C743" s="109"/>
      <c r="D743" s="109"/>
      <c r="E743" s="109"/>
      <c r="F743" s="109"/>
      <c r="G743" s="109"/>
      <c r="H743" s="109"/>
      <c r="I743" s="109"/>
      <c r="J743" s="109"/>
      <c r="K743" s="109"/>
      <c r="L743" s="109"/>
      <c r="M743" s="109"/>
      <c r="N743" s="109"/>
      <c r="O743" s="109"/>
      <c r="P743" s="109"/>
      <c r="Q743" s="109"/>
      <c r="R743" s="109"/>
      <c r="S743" s="109"/>
      <c r="T743" s="109"/>
      <c r="U743" s="109"/>
      <c r="V743" s="109"/>
      <c r="W743" s="109"/>
      <c r="X743" s="109"/>
      <c r="Y743" s="109"/>
      <c r="Z743" s="109"/>
    </row>
    <row r="744" spans="1:26" ht="11.25" customHeight="1">
      <c r="A744" s="109"/>
      <c r="B744" s="109"/>
      <c r="C744" s="109"/>
      <c r="D744" s="109"/>
      <c r="E744" s="109"/>
      <c r="F744" s="109"/>
      <c r="G744" s="109"/>
      <c r="H744" s="109"/>
      <c r="I744" s="109"/>
      <c r="J744" s="109"/>
      <c r="K744" s="109"/>
      <c r="L744" s="109"/>
      <c r="M744" s="109"/>
      <c r="N744" s="109"/>
      <c r="O744" s="109"/>
      <c r="P744" s="109"/>
      <c r="Q744" s="109"/>
      <c r="R744" s="109"/>
      <c r="S744" s="109"/>
      <c r="T744" s="109"/>
      <c r="U744" s="109"/>
      <c r="V744" s="109"/>
      <c r="W744" s="109"/>
      <c r="X744" s="109"/>
      <c r="Y744" s="109"/>
      <c r="Z744" s="109"/>
    </row>
    <row r="745" spans="1:26" ht="11.25" customHeight="1">
      <c r="A745" s="109"/>
      <c r="B745" s="109"/>
      <c r="C745" s="109"/>
      <c r="D745" s="109"/>
      <c r="E745" s="109"/>
      <c r="F745" s="109"/>
      <c r="G745" s="109"/>
      <c r="H745" s="109"/>
      <c r="I745" s="109"/>
      <c r="J745" s="109"/>
      <c r="K745" s="109"/>
      <c r="L745" s="109"/>
      <c r="M745" s="109"/>
      <c r="N745" s="109"/>
      <c r="O745" s="109"/>
      <c r="P745" s="109"/>
      <c r="Q745" s="109"/>
      <c r="R745" s="109"/>
      <c r="S745" s="109"/>
      <c r="T745" s="109"/>
      <c r="U745" s="109"/>
      <c r="V745" s="109"/>
      <c r="W745" s="109"/>
      <c r="X745" s="109"/>
      <c r="Y745" s="109"/>
      <c r="Z745" s="109"/>
    </row>
    <row r="746" spans="1:26" ht="11.25" customHeight="1">
      <c r="A746" s="109"/>
      <c r="B746" s="109"/>
      <c r="C746" s="109"/>
      <c r="D746" s="109"/>
      <c r="E746" s="109"/>
      <c r="F746" s="109"/>
      <c r="G746" s="109"/>
      <c r="H746" s="109"/>
      <c r="I746" s="109"/>
      <c r="J746" s="109"/>
      <c r="K746" s="109"/>
      <c r="L746" s="109"/>
      <c r="M746" s="109"/>
      <c r="N746" s="109"/>
      <c r="O746" s="109"/>
      <c r="P746" s="109"/>
      <c r="Q746" s="109"/>
      <c r="R746" s="109"/>
      <c r="S746" s="109"/>
      <c r="T746" s="109"/>
      <c r="U746" s="109"/>
      <c r="V746" s="109"/>
      <c r="W746" s="109"/>
      <c r="X746" s="109"/>
      <c r="Y746" s="109"/>
      <c r="Z746" s="109"/>
    </row>
    <row r="747" spans="1:26" ht="11.25" customHeight="1">
      <c r="A747" s="109"/>
      <c r="B747" s="109"/>
      <c r="C747" s="109"/>
      <c r="D747" s="109"/>
      <c r="E747" s="109"/>
      <c r="F747" s="109"/>
      <c r="G747" s="109"/>
      <c r="H747" s="109"/>
      <c r="I747" s="109"/>
      <c r="J747" s="109"/>
      <c r="K747" s="109"/>
      <c r="L747" s="109"/>
      <c r="M747" s="109"/>
      <c r="N747" s="109"/>
      <c r="O747" s="109"/>
      <c r="P747" s="109"/>
      <c r="Q747" s="109"/>
      <c r="R747" s="109"/>
      <c r="S747" s="109"/>
      <c r="T747" s="109"/>
      <c r="U747" s="109"/>
      <c r="V747" s="109"/>
      <c r="W747" s="109"/>
      <c r="X747" s="109"/>
      <c r="Y747" s="109"/>
      <c r="Z747" s="109"/>
    </row>
    <row r="748" spans="1:26" ht="11.25" customHeight="1">
      <c r="A748" s="109"/>
      <c r="B748" s="109"/>
      <c r="C748" s="109"/>
      <c r="D748" s="109"/>
      <c r="E748" s="109"/>
      <c r="F748" s="109"/>
      <c r="G748" s="109"/>
      <c r="H748" s="109"/>
      <c r="I748" s="109"/>
      <c r="J748" s="109"/>
      <c r="K748" s="109"/>
      <c r="L748" s="109"/>
      <c r="M748" s="109"/>
      <c r="N748" s="109"/>
      <c r="O748" s="109"/>
      <c r="P748" s="109"/>
      <c r="Q748" s="109"/>
      <c r="R748" s="109"/>
      <c r="S748" s="109"/>
      <c r="T748" s="109"/>
      <c r="U748" s="109"/>
      <c r="V748" s="109"/>
      <c r="W748" s="109"/>
      <c r="X748" s="109"/>
      <c r="Y748" s="109"/>
      <c r="Z748" s="109"/>
    </row>
    <row r="749" spans="1:26" ht="11.25" customHeight="1">
      <c r="A749" s="109"/>
      <c r="B749" s="109"/>
      <c r="C749" s="109"/>
      <c r="D749" s="109"/>
      <c r="E749" s="109"/>
      <c r="F749" s="109"/>
      <c r="G749" s="109"/>
      <c r="H749" s="109"/>
      <c r="I749" s="109"/>
      <c r="J749" s="109"/>
      <c r="K749" s="109"/>
      <c r="L749" s="109"/>
      <c r="M749" s="109"/>
      <c r="N749" s="109"/>
      <c r="O749" s="109"/>
      <c r="P749" s="109"/>
      <c r="Q749" s="109"/>
      <c r="R749" s="109"/>
      <c r="S749" s="109"/>
      <c r="T749" s="109"/>
      <c r="U749" s="109"/>
      <c r="V749" s="109"/>
      <c r="W749" s="109"/>
      <c r="X749" s="109"/>
      <c r="Y749" s="109"/>
      <c r="Z749" s="109"/>
    </row>
    <row r="750" spans="1:26" ht="11.25" customHeight="1">
      <c r="A750" s="109"/>
      <c r="B750" s="109"/>
      <c r="C750" s="109"/>
      <c r="D750" s="109"/>
      <c r="E750" s="109"/>
      <c r="F750" s="109"/>
      <c r="G750" s="109"/>
      <c r="H750" s="109"/>
      <c r="I750" s="109"/>
      <c r="J750" s="109"/>
      <c r="K750" s="109"/>
      <c r="L750" s="109"/>
      <c r="M750" s="109"/>
      <c r="N750" s="109"/>
      <c r="O750" s="109"/>
      <c r="P750" s="109"/>
      <c r="Q750" s="109"/>
      <c r="R750" s="109"/>
      <c r="S750" s="109"/>
      <c r="T750" s="109"/>
      <c r="U750" s="109"/>
      <c r="V750" s="109"/>
      <c r="W750" s="109"/>
      <c r="X750" s="109"/>
      <c r="Y750" s="109"/>
      <c r="Z750" s="109"/>
    </row>
    <row r="751" spans="1:26" ht="11.25" customHeight="1">
      <c r="A751" s="109"/>
      <c r="B751" s="109"/>
      <c r="C751" s="109"/>
      <c r="D751" s="109"/>
      <c r="E751" s="109"/>
      <c r="F751" s="109"/>
      <c r="G751" s="109"/>
      <c r="H751" s="109"/>
      <c r="I751" s="109"/>
      <c r="J751" s="109"/>
      <c r="K751" s="109"/>
      <c r="L751" s="109"/>
      <c r="M751" s="109"/>
      <c r="N751" s="109"/>
      <c r="O751" s="109"/>
      <c r="P751" s="109"/>
      <c r="Q751" s="109"/>
      <c r="R751" s="109"/>
      <c r="S751" s="109"/>
      <c r="T751" s="109"/>
      <c r="U751" s="109"/>
      <c r="V751" s="109"/>
      <c r="W751" s="109"/>
      <c r="X751" s="109"/>
      <c r="Y751" s="109"/>
      <c r="Z751" s="109"/>
    </row>
    <row r="752" spans="1:26" ht="11.25" customHeight="1">
      <c r="A752" s="109"/>
      <c r="B752" s="109"/>
      <c r="C752" s="109"/>
      <c r="D752" s="109"/>
      <c r="E752" s="109"/>
      <c r="F752" s="109"/>
      <c r="G752" s="109"/>
      <c r="H752" s="109"/>
      <c r="I752" s="109"/>
      <c r="J752" s="109"/>
      <c r="K752" s="109"/>
      <c r="L752" s="109"/>
      <c r="M752" s="109"/>
      <c r="N752" s="109"/>
      <c r="O752" s="109"/>
      <c r="P752" s="109"/>
      <c r="Q752" s="109"/>
      <c r="R752" s="109"/>
      <c r="S752" s="109"/>
      <c r="T752" s="109"/>
      <c r="U752" s="109"/>
      <c r="V752" s="109"/>
      <c r="W752" s="109"/>
      <c r="X752" s="109"/>
      <c r="Y752" s="109"/>
      <c r="Z752" s="109"/>
    </row>
    <row r="753" spans="1:26" ht="11.25" customHeight="1">
      <c r="A753" s="109"/>
      <c r="B753" s="109"/>
      <c r="C753" s="109"/>
      <c r="D753" s="109"/>
      <c r="E753" s="109"/>
      <c r="F753" s="109"/>
      <c r="G753" s="109"/>
      <c r="H753" s="109"/>
      <c r="I753" s="109"/>
      <c r="J753" s="109"/>
      <c r="K753" s="109"/>
      <c r="L753" s="109"/>
      <c r="M753" s="109"/>
      <c r="N753" s="109"/>
      <c r="O753" s="109"/>
      <c r="P753" s="109"/>
      <c r="Q753" s="109"/>
      <c r="R753" s="109"/>
      <c r="S753" s="109"/>
      <c r="T753" s="109"/>
      <c r="U753" s="109"/>
      <c r="V753" s="109"/>
      <c r="W753" s="109"/>
      <c r="X753" s="109"/>
      <c r="Y753" s="109"/>
      <c r="Z753" s="109"/>
    </row>
    <row r="754" spans="1:26" ht="11.25" customHeight="1">
      <c r="A754" s="109"/>
      <c r="B754" s="109"/>
      <c r="C754" s="109"/>
      <c r="D754" s="109"/>
      <c r="E754" s="109"/>
      <c r="F754" s="109"/>
      <c r="G754" s="109"/>
      <c r="H754" s="109"/>
      <c r="I754" s="109"/>
      <c r="J754" s="109"/>
      <c r="K754" s="109"/>
      <c r="L754" s="109"/>
      <c r="M754" s="109"/>
      <c r="N754" s="109"/>
      <c r="O754" s="109"/>
      <c r="P754" s="109"/>
      <c r="Q754" s="109"/>
      <c r="R754" s="109"/>
      <c r="S754" s="109"/>
      <c r="T754" s="109"/>
      <c r="U754" s="109"/>
      <c r="V754" s="109"/>
      <c r="W754" s="109"/>
      <c r="X754" s="109"/>
      <c r="Y754" s="109"/>
      <c r="Z754" s="109"/>
    </row>
    <row r="755" spans="1:26" ht="11.25" customHeight="1">
      <c r="A755" s="109"/>
      <c r="B755" s="109"/>
      <c r="C755" s="109"/>
      <c r="D755" s="109"/>
      <c r="E755" s="109"/>
      <c r="F755" s="109"/>
      <c r="G755" s="109"/>
      <c r="H755" s="109"/>
      <c r="I755" s="109"/>
      <c r="J755" s="109"/>
      <c r="K755" s="109"/>
      <c r="L755" s="109"/>
      <c r="M755" s="109"/>
      <c r="N755" s="109"/>
      <c r="O755" s="109"/>
      <c r="P755" s="109"/>
      <c r="Q755" s="109"/>
      <c r="R755" s="109"/>
      <c r="S755" s="109"/>
      <c r="T755" s="109"/>
      <c r="U755" s="109"/>
      <c r="V755" s="109"/>
      <c r="W755" s="109"/>
      <c r="X755" s="109"/>
      <c r="Y755" s="109"/>
      <c r="Z755" s="109"/>
    </row>
    <row r="756" spans="1:26" ht="11.25" customHeight="1">
      <c r="A756" s="109"/>
      <c r="B756" s="109"/>
      <c r="C756" s="109"/>
      <c r="D756" s="109"/>
      <c r="E756" s="109"/>
      <c r="F756" s="109"/>
      <c r="G756" s="109"/>
      <c r="H756" s="109"/>
      <c r="I756" s="109"/>
      <c r="J756" s="109"/>
      <c r="K756" s="109"/>
      <c r="L756" s="109"/>
      <c r="M756" s="109"/>
      <c r="N756" s="109"/>
      <c r="O756" s="109"/>
      <c r="P756" s="109"/>
      <c r="Q756" s="109"/>
      <c r="R756" s="109"/>
      <c r="S756" s="109"/>
      <c r="T756" s="109"/>
      <c r="U756" s="109"/>
      <c r="V756" s="109"/>
      <c r="W756" s="109"/>
      <c r="X756" s="109"/>
      <c r="Y756" s="109"/>
      <c r="Z756" s="109"/>
    </row>
    <row r="757" spans="1:26" ht="11.25" customHeight="1">
      <c r="A757" s="109"/>
      <c r="B757" s="109"/>
      <c r="C757" s="109"/>
      <c r="D757" s="109"/>
      <c r="E757" s="109"/>
      <c r="F757" s="109"/>
      <c r="G757" s="109"/>
      <c r="H757" s="109"/>
      <c r="I757" s="109"/>
      <c r="J757" s="109"/>
      <c r="K757" s="109"/>
      <c r="L757" s="109"/>
      <c r="M757" s="109"/>
      <c r="N757" s="109"/>
      <c r="O757" s="109"/>
      <c r="P757" s="109"/>
      <c r="Q757" s="109"/>
      <c r="R757" s="109"/>
      <c r="S757" s="109"/>
      <c r="T757" s="109"/>
      <c r="U757" s="109"/>
      <c r="V757" s="109"/>
      <c r="W757" s="109"/>
      <c r="X757" s="109"/>
      <c r="Y757" s="109"/>
      <c r="Z757" s="109"/>
    </row>
    <row r="758" spans="1:26" ht="11.25" customHeight="1">
      <c r="A758" s="109"/>
      <c r="B758" s="109"/>
      <c r="C758" s="109"/>
      <c r="D758" s="109"/>
      <c r="E758" s="109"/>
      <c r="F758" s="109"/>
      <c r="G758" s="109"/>
      <c r="H758" s="109"/>
      <c r="I758" s="109"/>
      <c r="J758" s="109"/>
      <c r="K758" s="109"/>
      <c r="L758" s="109"/>
      <c r="M758" s="109"/>
      <c r="N758" s="109"/>
      <c r="O758" s="109"/>
      <c r="P758" s="109"/>
      <c r="Q758" s="109"/>
      <c r="R758" s="109"/>
      <c r="S758" s="109"/>
      <c r="T758" s="109"/>
      <c r="U758" s="109"/>
      <c r="V758" s="109"/>
      <c r="W758" s="109"/>
      <c r="X758" s="109"/>
      <c r="Y758" s="109"/>
      <c r="Z758" s="109"/>
    </row>
    <row r="759" spans="1:26" ht="11.25" customHeight="1">
      <c r="A759" s="109"/>
      <c r="B759" s="109"/>
      <c r="C759" s="109"/>
      <c r="D759" s="109"/>
      <c r="E759" s="109"/>
      <c r="F759" s="109"/>
      <c r="G759" s="109"/>
      <c r="H759" s="109"/>
      <c r="I759" s="109"/>
      <c r="J759" s="109"/>
      <c r="K759" s="109"/>
      <c r="L759" s="109"/>
      <c r="M759" s="109"/>
      <c r="N759" s="109"/>
      <c r="O759" s="109"/>
      <c r="P759" s="109"/>
      <c r="Q759" s="109"/>
      <c r="R759" s="109"/>
      <c r="S759" s="109"/>
      <c r="T759" s="109"/>
      <c r="U759" s="109"/>
      <c r="V759" s="109"/>
      <c r="W759" s="109"/>
      <c r="X759" s="109"/>
      <c r="Y759" s="109"/>
      <c r="Z759" s="109"/>
    </row>
    <row r="760" spans="1:26" ht="11.25" customHeight="1">
      <c r="A760" s="109"/>
      <c r="B760" s="109"/>
      <c r="C760" s="109"/>
      <c r="D760" s="109"/>
      <c r="E760" s="109"/>
      <c r="F760" s="109"/>
      <c r="G760" s="109"/>
      <c r="H760" s="109"/>
      <c r="I760" s="109"/>
      <c r="J760" s="109"/>
      <c r="K760" s="109"/>
      <c r="L760" s="109"/>
      <c r="M760" s="109"/>
      <c r="N760" s="109"/>
      <c r="O760" s="109"/>
      <c r="P760" s="109"/>
      <c r="Q760" s="109"/>
      <c r="R760" s="109"/>
      <c r="S760" s="109"/>
      <c r="T760" s="109"/>
      <c r="U760" s="109"/>
      <c r="V760" s="109"/>
      <c r="W760" s="109"/>
      <c r="X760" s="109"/>
      <c r="Y760" s="109"/>
      <c r="Z760" s="109"/>
    </row>
    <row r="761" spans="1:26" ht="11.25" customHeight="1">
      <c r="A761" s="109"/>
      <c r="B761" s="109"/>
      <c r="C761" s="109"/>
      <c r="D761" s="109"/>
      <c r="E761" s="109"/>
      <c r="F761" s="109"/>
      <c r="G761" s="109"/>
      <c r="H761" s="109"/>
      <c r="I761" s="109"/>
      <c r="J761" s="109"/>
      <c r="K761" s="109"/>
      <c r="L761" s="109"/>
      <c r="M761" s="109"/>
      <c r="N761" s="109"/>
      <c r="O761" s="109"/>
      <c r="P761" s="109"/>
      <c r="Q761" s="109"/>
      <c r="R761" s="109"/>
      <c r="S761" s="109"/>
      <c r="T761" s="109"/>
      <c r="U761" s="109"/>
      <c r="V761" s="109"/>
      <c r="W761" s="109"/>
      <c r="X761" s="109"/>
      <c r="Y761" s="109"/>
      <c r="Z761" s="109"/>
    </row>
    <row r="762" spans="1:26" ht="11.25" customHeight="1">
      <c r="A762" s="109"/>
      <c r="B762" s="109"/>
      <c r="C762" s="109"/>
      <c r="D762" s="109"/>
      <c r="E762" s="109"/>
      <c r="F762" s="109"/>
      <c r="G762" s="109"/>
      <c r="H762" s="109"/>
      <c r="I762" s="109"/>
      <c r="J762" s="109"/>
      <c r="K762" s="109"/>
      <c r="L762" s="109"/>
      <c r="M762" s="109"/>
      <c r="N762" s="109"/>
      <c r="O762" s="109"/>
      <c r="P762" s="109"/>
      <c r="Q762" s="109"/>
      <c r="R762" s="109"/>
      <c r="S762" s="109"/>
      <c r="T762" s="109"/>
      <c r="U762" s="109"/>
      <c r="V762" s="109"/>
      <c r="W762" s="109"/>
      <c r="X762" s="109"/>
      <c r="Y762" s="109"/>
      <c r="Z762" s="109"/>
    </row>
    <row r="763" spans="1:26" ht="11.25" customHeight="1">
      <c r="A763" s="109"/>
      <c r="B763" s="109"/>
      <c r="C763" s="109"/>
      <c r="D763" s="109"/>
      <c r="E763" s="109"/>
      <c r="F763" s="109"/>
      <c r="G763" s="109"/>
      <c r="H763" s="109"/>
      <c r="I763" s="109"/>
      <c r="J763" s="109"/>
      <c r="K763" s="109"/>
      <c r="L763" s="109"/>
      <c r="M763" s="109"/>
      <c r="N763" s="109"/>
      <c r="O763" s="109"/>
      <c r="P763" s="109"/>
      <c r="Q763" s="109"/>
      <c r="R763" s="109"/>
      <c r="S763" s="109"/>
      <c r="T763" s="109"/>
      <c r="U763" s="109"/>
      <c r="V763" s="109"/>
      <c r="W763" s="109"/>
      <c r="X763" s="109"/>
      <c r="Y763" s="109"/>
      <c r="Z763" s="109"/>
    </row>
    <row r="764" spans="1:26" ht="11.25" customHeight="1">
      <c r="A764" s="109"/>
      <c r="B764" s="109"/>
      <c r="C764" s="109"/>
      <c r="D764" s="109"/>
      <c r="E764" s="109"/>
      <c r="F764" s="109"/>
      <c r="G764" s="109"/>
      <c r="H764" s="109"/>
      <c r="I764" s="109"/>
      <c r="J764" s="109"/>
      <c r="K764" s="109"/>
      <c r="L764" s="109"/>
      <c r="M764" s="109"/>
      <c r="N764" s="109"/>
      <c r="O764" s="109"/>
      <c r="P764" s="109"/>
      <c r="Q764" s="109"/>
      <c r="R764" s="109"/>
      <c r="S764" s="109"/>
      <c r="T764" s="109"/>
      <c r="U764" s="109"/>
      <c r="V764" s="109"/>
      <c r="W764" s="109"/>
      <c r="X764" s="109"/>
      <c r="Y764" s="109"/>
      <c r="Z764" s="109"/>
    </row>
    <row r="765" spans="1:26" ht="11.25" customHeight="1">
      <c r="A765" s="109"/>
      <c r="B765" s="109"/>
      <c r="C765" s="109"/>
      <c r="D765" s="109"/>
      <c r="E765" s="109"/>
      <c r="F765" s="109"/>
      <c r="G765" s="109"/>
      <c r="H765" s="109"/>
      <c r="I765" s="109"/>
      <c r="J765" s="109"/>
      <c r="K765" s="109"/>
      <c r="L765" s="109"/>
      <c r="M765" s="109"/>
      <c r="N765" s="109"/>
      <c r="O765" s="109"/>
      <c r="P765" s="109"/>
      <c r="Q765" s="109"/>
      <c r="R765" s="109"/>
      <c r="S765" s="109"/>
      <c r="T765" s="109"/>
      <c r="U765" s="109"/>
      <c r="V765" s="109"/>
      <c r="W765" s="109"/>
      <c r="X765" s="109"/>
      <c r="Y765" s="109"/>
      <c r="Z765" s="109"/>
    </row>
    <row r="766" spans="1:26" ht="11.25" customHeight="1">
      <c r="A766" s="109"/>
      <c r="B766" s="109"/>
      <c r="C766" s="109"/>
      <c r="D766" s="109"/>
      <c r="E766" s="109"/>
      <c r="F766" s="109"/>
      <c r="G766" s="109"/>
      <c r="H766" s="109"/>
      <c r="I766" s="109"/>
      <c r="J766" s="109"/>
      <c r="K766" s="109"/>
      <c r="L766" s="109"/>
      <c r="M766" s="109"/>
      <c r="N766" s="109"/>
      <c r="O766" s="109"/>
      <c r="P766" s="109"/>
      <c r="Q766" s="109"/>
      <c r="R766" s="109"/>
      <c r="S766" s="109"/>
      <c r="T766" s="109"/>
      <c r="U766" s="109"/>
      <c r="V766" s="109"/>
      <c r="W766" s="109"/>
      <c r="X766" s="109"/>
      <c r="Y766" s="109"/>
      <c r="Z766" s="109"/>
    </row>
    <row r="767" spans="1:26" ht="11.25" customHeight="1">
      <c r="A767" s="109"/>
      <c r="B767" s="109"/>
      <c r="C767" s="109"/>
      <c r="D767" s="109"/>
      <c r="E767" s="109"/>
      <c r="F767" s="109"/>
      <c r="G767" s="109"/>
      <c r="H767" s="109"/>
      <c r="I767" s="109"/>
      <c r="J767" s="109"/>
      <c r="K767" s="109"/>
      <c r="L767" s="109"/>
      <c r="M767" s="109"/>
      <c r="N767" s="109"/>
      <c r="O767" s="109"/>
      <c r="P767" s="109"/>
      <c r="Q767" s="109"/>
      <c r="R767" s="109"/>
      <c r="S767" s="109"/>
      <c r="T767" s="109"/>
      <c r="U767" s="109"/>
      <c r="V767" s="109"/>
      <c r="W767" s="109"/>
      <c r="X767" s="109"/>
      <c r="Y767" s="109"/>
      <c r="Z767" s="109"/>
    </row>
    <row r="768" spans="1:26" ht="11.25" customHeight="1">
      <c r="A768" s="109"/>
      <c r="B768" s="109"/>
      <c r="C768" s="109"/>
      <c r="D768" s="109"/>
      <c r="E768" s="109"/>
      <c r="F768" s="109"/>
      <c r="G768" s="109"/>
      <c r="H768" s="109"/>
      <c r="I768" s="109"/>
      <c r="J768" s="109"/>
      <c r="K768" s="109"/>
      <c r="L768" s="109"/>
      <c r="M768" s="109"/>
      <c r="N768" s="109"/>
      <c r="O768" s="109"/>
      <c r="P768" s="109"/>
      <c r="Q768" s="109"/>
      <c r="R768" s="109"/>
      <c r="S768" s="109"/>
      <c r="T768" s="109"/>
      <c r="U768" s="109"/>
      <c r="V768" s="109"/>
      <c r="W768" s="109"/>
      <c r="X768" s="109"/>
      <c r="Y768" s="109"/>
      <c r="Z768" s="109"/>
    </row>
    <row r="769" spans="1:26" ht="11.25" customHeight="1">
      <c r="A769" s="109"/>
      <c r="B769" s="109"/>
      <c r="C769" s="109"/>
      <c r="D769" s="109"/>
      <c r="E769" s="109"/>
      <c r="F769" s="109"/>
      <c r="G769" s="109"/>
      <c r="H769" s="109"/>
      <c r="I769" s="109"/>
      <c r="J769" s="109"/>
      <c r="K769" s="109"/>
      <c r="L769" s="109"/>
      <c r="M769" s="109"/>
      <c r="N769" s="109"/>
      <c r="O769" s="109"/>
      <c r="P769" s="109"/>
      <c r="Q769" s="109"/>
      <c r="R769" s="109"/>
      <c r="S769" s="109"/>
      <c r="T769" s="109"/>
      <c r="U769" s="109"/>
      <c r="V769" s="109"/>
      <c r="W769" s="109"/>
      <c r="X769" s="109"/>
      <c r="Y769" s="109"/>
      <c r="Z769" s="109"/>
    </row>
    <row r="770" spans="1:26" ht="11.25" customHeight="1">
      <c r="A770" s="109"/>
      <c r="B770" s="109"/>
      <c r="C770" s="109"/>
      <c r="D770" s="109"/>
      <c r="E770" s="109"/>
      <c r="F770" s="109"/>
      <c r="G770" s="109"/>
      <c r="H770" s="109"/>
      <c r="I770" s="109"/>
      <c r="J770" s="109"/>
      <c r="K770" s="109"/>
      <c r="L770" s="109"/>
      <c r="M770" s="109"/>
      <c r="N770" s="109"/>
      <c r="O770" s="109"/>
      <c r="P770" s="109"/>
      <c r="Q770" s="109"/>
      <c r="R770" s="109"/>
      <c r="S770" s="109"/>
      <c r="T770" s="109"/>
      <c r="U770" s="109"/>
      <c r="V770" s="109"/>
      <c r="W770" s="109"/>
      <c r="X770" s="109"/>
      <c r="Y770" s="109"/>
      <c r="Z770" s="109"/>
    </row>
    <row r="771" spans="1:26" ht="11.25" customHeight="1">
      <c r="A771" s="109"/>
      <c r="B771" s="109"/>
      <c r="C771" s="109"/>
      <c r="D771" s="109"/>
      <c r="E771" s="109"/>
      <c r="F771" s="109"/>
      <c r="G771" s="109"/>
      <c r="H771" s="109"/>
      <c r="I771" s="109"/>
      <c r="J771" s="109"/>
      <c r="K771" s="109"/>
      <c r="L771" s="109"/>
      <c r="M771" s="109"/>
      <c r="N771" s="109"/>
      <c r="O771" s="109"/>
      <c r="P771" s="109"/>
      <c r="Q771" s="109"/>
      <c r="R771" s="109"/>
      <c r="S771" s="109"/>
      <c r="T771" s="109"/>
      <c r="U771" s="109"/>
      <c r="V771" s="109"/>
      <c r="W771" s="109"/>
      <c r="X771" s="109"/>
      <c r="Y771" s="109"/>
      <c r="Z771" s="109"/>
    </row>
    <row r="772" spans="1:26" ht="11.25" customHeight="1">
      <c r="A772" s="109"/>
      <c r="B772" s="109"/>
      <c r="C772" s="109"/>
      <c r="D772" s="109"/>
      <c r="E772" s="109"/>
      <c r="F772" s="109"/>
      <c r="G772" s="109"/>
      <c r="H772" s="109"/>
      <c r="I772" s="109"/>
      <c r="J772" s="109"/>
      <c r="K772" s="109"/>
      <c r="L772" s="109"/>
      <c r="M772" s="109"/>
      <c r="N772" s="109"/>
      <c r="O772" s="109"/>
      <c r="P772" s="109"/>
      <c r="Q772" s="109"/>
      <c r="R772" s="109"/>
      <c r="S772" s="109"/>
      <c r="T772" s="109"/>
      <c r="U772" s="109"/>
      <c r="V772" s="109"/>
      <c r="W772" s="109"/>
      <c r="X772" s="109"/>
      <c r="Y772" s="109"/>
      <c r="Z772" s="109"/>
    </row>
    <row r="773" spans="1:26" ht="11.25" customHeight="1">
      <c r="A773" s="109"/>
      <c r="B773" s="109"/>
      <c r="C773" s="109"/>
      <c r="D773" s="109"/>
      <c r="E773" s="109"/>
      <c r="F773" s="109"/>
      <c r="G773" s="109"/>
      <c r="H773" s="109"/>
      <c r="I773" s="109"/>
      <c r="J773" s="109"/>
      <c r="K773" s="109"/>
      <c r="L773" s="109"/>
      <c r="M773" s="109"/>
      <c r="N773" s="109"/>
      <c r="O773" s="109"/>
      <c r="P773" s="109"/>
      <c r="Q773" s="109"/>
      <c r="R773" s="109"/>
      <c r="S773" s="109"/>
      <c r="T773" s="109"/>
      <c r="U773" s="109"/>
      <c r="V773" s="109"/>
      <c r="W773" s="109"/>
      <c r="X773" s="109"/>
      <c r="Y773" s="109"/>
      <c r="Z773" s="109"/>
    </row>
    <row r="774" spans="1:26" ht="11.25" customHeight="1">
      <c r="A774" s="109"/>
      <c r="B774" s="109"/>
      <c r="C774" s="109"/>
      <c r="D774" s="109"/>
      <c r="E774" s="109"/>
      <c r="F774" s="109"/>
      <c r="G774" s="109"/>
      <c r="H774" s="109"/>
      <c r="I774" s="109"/>
      <c r="J774" s="109"/>
      <c r="K774" s="109"/>
      <c r="L774" s="109"/>
      <c r="M774" s="109"/>
      <c r="N774" s="109"/>
      <c r="O774" s="109"/>
      <c r="P774" s="109"/>
      <c r="Q774" s="109"/>
      <c r="R774" s="109"/>
      <c r="S774" s="109"/>
      <c r="T774" s="109"/>
      <c r="U774" s="109"/>
      <c r="V774" s="109"/>
      <c r="W774" s="109"/>
      <c r="X774" s="109"/>
      <c r="Y774" s="109"/>
      <c r="Z774" s="109"/>
    </row>
    <row r="775" spans="1:26" ht="11.25" customHeight="1">
      <c r="A775" s="109"/>
      <c r="B775" s="109"/>
      <c r="C775" s="109"/>
      <c r="D775" s="109"/>
      <c r="E775" s="109"/>
      <c r="F775" s="109"/>
      <c r="G775" s="109"/>
      <c r="H775" s="109"/>
      <c r="I775" s="109"/>
      <c r="J775" s="109"/>
      <c r="K775" s="109"/>
      <c r="L775" s="109"/>
      <c r="M775" s="109"/>
      <c r="N775" s="109"/>
      <c r="O775" s="109"/>
      <c r="P775" s="109"/>
      <c r="Q775" s="109"/>
      <c r="R775" s="109"/>
      <c r="S775" s="109"/>
      <c r="T775" s="109"/>
      <c r="U775" s="109"/>
      <c r="V775" s="109"/>
      <c r="W775" s="109"/>
      <c r="X775" s="109"/>
      <c r="Y775" s="109"/>
      <c r="Z775" s="109"/>
    </row>
    <row r="776" spans="1:26" ht="11.25" customHeight="1">
      <c r="A776" s="109"/>
      <c r="B776" s="109"/>
      <c r="C776" s="109"/>
      <c r="D776" s="109"/>
      <c r="E776" s="109"/>
      <c r="F776" s="109"/>
      <c r="G776" s="109"/>
      <c r="H776" s="109"/>
      <c r="I776" s="109"/>
      <c r="J776" s="109"/>
      <c r="K776" s="109"/>
      <c r="L776" s="109"/>
      <c r="M776" s="109"/>
      <c r="N776" s="109"/>
      <c r="O776" s="109"/>
      <c r="P776" s="109"/>
      <c r="Q776" s="109"/>
      <c r="R776" s="109"/>
      <c r="S776" s="109"/>
      <c r="T776" s="109"/>
      <c r="U776" s="109"/>
      <c r="V776" s="109"/>
      <c r="W776" s="109"/>
      <c r="X776" s="109"/>
      <c r="Y776" s="109"/>
      <c r="Z776" s="109"/>
    </row>
    <row r="777" spans="1:26" ht="11.25" customHeight="1">
      <c r="A777" s="109"/>
      <c r="B777" s="109"/>
      <c r="C777" s="109"/>
      <c r="D777" s="109"/>
      <c r="E777" s="109"/>
      <c r="F777" s="109"/>
      <c r="G777" s="109"/>
      <c r="H777" s="109"/>
      <c r="I777" s="109"/>
      <c r="J777" s="109"/>
      <c r="K777" s="109"/>
      <c r="L777" s="109"/>
      <c r="M777" s="109"/>
      <c r="N777" s="109"/>
      <c r="O777" s="109"/>
      <c r="P777" s="109"/>
      <c r="Q777" s="109"/>
      <c r="R777" s="109"/>
      <c r="S777" s="109"/>
      <c r="T777" s="109"/>
      <c r="U777" s="109"/>
      <c r="V777" s="109"/>
      <c r="W777" s="109"/>
      <c r="X777" s="109"/>
      <c r="Y777" s="109"/>
      <c r="Z777" s="109"/>
    </row>
    <row r="778" spans="1:26" ht="11.25" customHeight="1">
      <c r="A778" s="109"/>
      <c r="B778" s="109"/>
      <c r="C778" s="109"/>
      <c r="D778" s="109"/>
      <c r="E778" s="109"/>
      <c r="F778" s="109"/>
      <c r="G778" s="109"/>
      <c r="H778" s="109"/>
      <c r="I778" s="109"/>
      <c r="J778" s="109"/>
      <c r="K778" s="109"/>
      <c r="L778" s="109"/>
      <c r="M778" s="109"/>
      <c r="N778" s="109"/>
      <c r="O778" s="109"/>
      <c r="P778" s="109"/>
      <c r="Q778" s="109"/>
      <c r="R778" s="109"/>
      <c r="S778" s="109"/>
      <c r="T778" s="109"/>
      <c r="U778" s="109"/>
      <c r="V778" s="109"/>
      <c r="W778" s="109"/>
      <c r="X778" s="109"/>
      <c r="Y778" s="109"/>
      <c r="Z778" s="109"/>
    </row>
    <row r="779" spans="1:26" ht="11.25" customHeight="1">
      <c r="A779" s="109"/>
      <c r="B779" s="109"/>
      <c r="C779" s="109"/>
      <c r="D779" s="109"/>
      <c r="E779" s="109"/>
      <c r="F779" s="109"/>
      <c r="G779" s="109"/>
      <c r="H779" s="109"/>
      <c r="I779" s="109"/>
      <c r="J779" s="109"/>
      <c r="K779" s="109"/>
      <c r="L779" s="109"/>
      <c r="M779" s="109"/>
      <c r="N779" s="109"/>
      <c r="O779" s="109"/>
      <c r="P779" s="109"/>
      <c r="Q779" s="109"/>
      <c r="R779" s="109"/>
      <c r="S779" s="109"/>
      <c r="T779" s="109"/>
      <c r="U779" s="109"/>
      <c r="V779" s="109"/>
      <c r="W779" s="109"/>
      <c r="X779" s="109"/>
      <c r="Y779" s="109"/>
      <c r="Z779" s="109"/>
    </row>
    <row r="780" spans="1:26" ht="11.25" customHeight="1">
      <c r="A780" s="109"/>
      <c r="B780" s="109"/>
      <c r="C780" s="109"/>
      <c r="D780" s="109"/>
      <c r="E780" s="109"/>
      <c r="F780" s="109"/>
      <c r="G780" s="109"/>
      <c r="H780" s="109"/>
      <c r="I780" s="109"/>
      <c r="J780" s="109"/>
      <c r="K780" s="109"/>
      <c r="L780" s="109"/>
      <c r="M780" s="109"/>
      <c r="N780" s="109"/>
      <c r="O780" s="109"/>
      <c r="P780" s="109"/>
      <c r="Q780" s="109"/>
      <c r="R780" s="109"/>
      <c r="S780" s="109"/>
      <c r="T780" s="109"/>
      <c r="U780" s="109"/>
      <c r="V780" s="109"/>
      <c r="W780" s="109"/>
      <c r="X780" s="109"/>
      <c r="Y780" s="109"/>
      <c r="Z780" s="109"/>
    </row>
    <row r="781" spans="1:26" ht="11.25" customHeight="1">
      <c r="A781" s="109"/>
      <c r="B781" s="109"/>
      <c r="C781" s="109"/>
      <c r="D781" s="109"/>
      <c r="E781" s="109"/>
      <c r="F781" s="109"/>
      <c r="G781" s="109"/>
      <c r="H781" s="109"/>
      <c r="I781" s="109"/>
      <c r="J781" s="109"/>
      <c r="K781" s="109"/>
      <c r="L781" s="109"/>
      <c r="M781" s="109"/>
      <c r="N781" s="109"/>
      <c r="O781" s="109"/>
      <c r="P781" s="109"/>
      <c r="Q781" s="109"/>
      <c r="R781" s="109"/>
      <c r="S781" s="109"/>
      <c r="T781" s="109"/>
      <c r="U781" s="109"/>
      <c r="V781" s="109"/>
      <c r="W781" s="109"/>
      <c r="X781" s="109"/>
      <c r="Y781" s="109"/>
      <c r="Z781" s="109"/>
    </row>
    <row r="782" spans="1:26" ht="11.25" customHeight="1">
      <c r="A782" s="109"/>
      <c r="B782" s="109"/>
      <c r="C782" s="109"/>
      <c r="D782" s="109"/>
      <c r="E782" s="109"/>
      <c r="F782" s="109"/>
      <c r="G782" s="109"/>
      <c r="H782" s="109"/>
      <c r="I782" s="109"/>
      <c r="J782" s="109"/>
      <c r="K782" s="109"/>
      <c r="L782" s="109"/>
      <c r="M782" s="109"/>
      <c r="N782" s="109"/>
      <c r="O782" s="109"/>
      <c r="P782" s="109"/>
      <c r="Q782" s="109"/>
      <c r="R782" s="109"/>
      <c r="S782" s="109"/>
      <c r="T782" s="109"/>
      <c r="U782" s="109"/>
      <c r="V782" s="109"/>
      <c r="W782" s="109"/>
      <c r="X782" s="109"/>
      <c r="Y782" s="109"/>
      <c r="Z782" s="109"/>
    </row>
    <row r="783" spans="1:26" ht="11.25" customHeight="1">
      <c r="A783" s="109"/>
      <c r="B783" s="109"/>
      <c r="C783" s="109"/>
      <c r="D783" s="109"/>
      <c r="E783" s="109"/>
      <c r="F783" s="109"/>
      <c r="G783" s="109"/>
      <c r="H783" s="109"/>
      <c r="I783" s="109"/>
      <c r="J783" s="109"/>
      <c r="K783" s="109"/>
      <c r="L783" s="109"/>
      <c r="M783" s="109"/>
      <c r="N783" s="109"/>
      <c r="O783" s="109"/>
      <c r="P783" s="109"/>
      <c r="Q783" s="109"/>
      <c r="R783" s="109"/>
      <c r="S783" s="109"/>
      <c r="T783" s="109"/>
      <c r="U783" s="109"/>
      <c r="V783" s="109"/>
      <c r="W783" s="109"/>
      <c r="X783" s="109"/>
      <c r="Y783" s="109"/>
      <c r="Z783" s="109"/>
    </row>
    <row r="784" spans="1:26" ht="11.25" customHeight="1">
      <c r="A784" s="109"/>
      <c r="B784" s="109"/>
      <c r="C784" s="109"/>
      <c r="D784" s="109"/>
      <c r="E784" s="109"/>
      <c r="F784" s="109"/>
      <c r="G784" s="109"/>
      <c r="H784" s="109"/>
      <c r="I784" s="109"/>
      <c r="J784" s="109"/>
      <c r="K784" s="109"/>
      <c r="L784" s="109"/>
      <c r="M784" s="109"/>
      <c r="N784" s="109"/>
      <c r="O784" s="109"/>
      <c r="P784" s="109"/>
      <c r="Q784" s="109"/>
      <c r="R784" s="109"/>
      <c r="S784" s="109"/>
      <c r="T784" s="109"/>
      <c r="U784" s="109"/>
      <c r="V784" s="109"/>
      <c r="W784" s="109"/>
      <c r="X784" s="109"/>
      <c r="Y784" s="109"/>
      <c r="Z784" s="109"/>
    </row>
    <row r="785" spans="1:26" ht="11.25" customHeight="1">
      <c r="A785" s="109"/>
      <c r="B785" s="109"/>
      <c r="C785" s="109"/>
      <c r="D785" s="109"/>
      <c r="E785" s="109"/>
      <c r="F785" s="109"/>
      <c r="G785" s="109"/>
      <c r="H785" s="109"/>
      <c r="I785" s="109"/>
      <c r="J785" s="109"/>
      <c r="K785" s="109"/>
      <c r="L785" s="109"/>
      <c r="M785" s="109"/>
      <c r="N785" s="109"/>
      <c r="O785" s="109"/>
      <c r="P785" s="109"/>
      <c r="Q785" s="109"/>
      <c r="R785" s="109"/>
      <c r="S785" s="109"/>
      <c r="T785" s="109"/>
      <c r="U785" s="109"/>
      <c r="V785" s="109"/>
      <c r="W785" s="109"/>
      <c r="X785" s="109"/>
      <c r="Y785" s="109"/>
      <c r="Z785" s="109"/>
    </row>
    <row r="786" spans="1:26" ht="11.25" customHeight="1">
      <c r="A786" s="109"/>
      <c r="B786" s="109"/>
      <c r="C786" s="109"/>
      <c r="D786" s="109"/>
      <c r="E786" s="109"/>
      <c r="F786" s="109"/>
      <c r="G786" s="109"/>
      <c r="H786" s="109"/>
      <c r="I786" s="109"/>
      <c r="J786" s="109"/>
      <c r="K786" s="109"/>
      <c r="L786" s="109"/>
      <c r="M786" s="109"/>
      <c r="N786" s="109"/>
      <c r="O786" s="109"/>
      <c r="P786" s="109"/>
      <c r="Q786" s="109"/>
      <c r="R786" s="109"/>
      <c r="S786" s="109"/>
      <c r="T786" s="109"/>
      <c r="U786" s="109"/>
      <c r="V786" s="109"/>
      <c r="W786" s="109"/>
      <c r="X786" s="109"/>
      <c r="Y786" s="109"/>
      <c r="Z786" s="109"/>
    </row>
    <row r="787" spans="1:26" ht="11.25" customHeight="1">
      <c r="A787" s="109"/>
      <c r="B787" s="109"/>
      <c r="C787" s="109"/>
      <c r="D787" s="109"/>
      <c r="E787" s="109"/>
      <c r="F787" s="109"/>
      <c r="G787" s="109"/>
      <c r="H787" s="109"/>
      <c r="I787" s="109"/>
      <c r="J787" s="109"/>
      <c r="K787" s="109"/>
      <c r="L787" s="109"/>
      <c r="M787" s="109"/>
      <c r="N787" s="109"/>
      <c r="O787" s="109"/>
      <c r="P787" s="109"/>
      <c r="Q787" s="109"/>
      <c r="R787" s="109"/>
      <c r="S787" s="109"/>
      <c r="T787" s="109"/>
      <c r="U787" s="109"/>
      <c r="V787" s="109"/>
      <c r="W787" s="109"/>
      <c r="X787" s="109"/>
      <c r="Y787" s="109"/>
      <c r="Z787" s="109"/>
    </row>
    <row r="788" spans="1:26" ht="11.25" customHeight="1">
      <c r="A788" s="109"/>
      <c r="B788" s="109"/>
      <c r="C788" s="109"/>
      <c r="D788" s="109"/>
      <c r="E788" s="109"/>
      <c r="F788" s="109"/>
      <c r="G788" s="109"/>
      <c r="H788" s="109"/>
      <c r="I788" s="109"/>
      <c r="J788" s="109"/>
      <c r="K788" s="109"/>
      <c r="L788" s="109"/>
      <c r="M788" s="109"/>
      <c r="N788" s="109"/>
      <c r="O788" s="109"/>
      <c r="P788" s="109"/>
      <c r="Q788" s="109"/>
      <c r="R788" s="109"/>
      <c r="S788" s="109"/>
      <c r="T788" s="109"/>
      <c r="U788" s="109"/>
      <c r="V788" s="109"/>
      <c r="W788" s="109"/>
      <c r="X788" s="109"/>
      <c r="Y788" s="109"/>
      <c r="Z788" s="109"/>
    </row>
    <row r="789" spans="1:26" ht="11.25" customHeight="1">
      <c r="A789" s="109"/>
      <c r="B789" s="109"/>
      <c r="C789" s="109"/>
      <c r="D789" s="109"/>
      <c r="E789" s="109"/>
      <c r="F789" s="109"/>
      <c r="G789" s="109"/>
      <c r="H789" s="109"/>
      <c r="I789" s="109"/>
      <c r="J789" s="109"/>
      <c r="K789" s="109"/>
      <c r="L789" s="109"/>
      <c r="M789" s="109"/>
      <c r="N789" s="109"/>
      <c r="O789" s="109"/>
      <c r="P789" s="109"/>
      <c r="Q789" s="109"/>
      <c r="R789" s="109"/>
      <c r="S789" s="109"/>
      <c r="T789" s="109"/>
      <c r="U789" s="109"/>
      <c r="V789" s="109"/>
      <c r="W789" s="109"/>
      <c r="X789" s="109"/>
      <c r="Y789" s="109"/>
      <c r="Z789" s="109"/>
    </row>
    <row r="790" spans="1:26" ht="11.25" customHeight="1">
      <c r="A790" s="109"/>
      <c r="B790" s="109"/>
      <c r="C790" s="109"/>
      <c r="D790" s="109"/>
      <c r="E790" s="109"/>
      <c r="F790" s="109"/>
      <c r="G790" s="109"/>
      <c r="H790" s="109"/>
      <c r="I790" s="109"/>
      <c r="J790" s="109"/>
      <c r="K790" s="109"/>
      <c r="L790" s="109"/>
      <c r="M790" s="109"/>
      <c r="N790" s="109"/>
      <c r="O790" s="109"/>
      <c r="P790" s="109"/>
      <c r="Q790" s="109"/>
      <c r="R790" s="109"/>
      <c r="S790" s="109"/>
      <c r="T790" s="109"/>
      <c r="U790" s="109"/>
      <c r="V790" s="109"/>
      <c r="W790" s="109"/>
      <c r="X790" s="109"/>
      <c r="Y790" s="109"/>
      <c r="Z790" s="109"/>
    </row>
    <row r="791" spans="1:26" ht="11.25" customHeight="1">
      <c r="A791" s="109"/>
      <c r="B791" s="109"/>
      <c r="C791" s="109"/>
      <c r="D791" s="109"/>
      <c r="E791" s="109"/>
      <c r="F791" s="109"/>
      <c r="G791" s="109"/>
      <c r="H791" s="109"/>
      <c r="I791" s="109"/>
      <c r="J791" s="109"/>
      <c r="K791" s="109"/>
      <c r="L791" s="109"/>
      <c r="M791" s="109"/>
      <c r="N791" s="109"/>
      <c r="O791" s="109"/>
      <c r="P791" s="109"/>
      <c r="Q791" s="109"/>
      <c r="R791" s="109"/>
      <c r="S791" s="109"/>
      <c r="T791" s="109"/>
      <c r="U791" s="109"/>
      <c r="V791" s="109"/>
      <c r="W791" s="109"/>
      <c r="X791" s="109"/>
      <c r="Y791" s="109"/>
      <c r="Z791" s="109"/>
    </row>
    <row r="792" spans="1:26" ht="11.25" customHeight="1">
      <c r="A792" s="109"/>
      <c r="B792" s="109"/>
      <c r="C792" s="109"/>
      <c r="D792" s="109"/>
      <c r="E792" s="109"/>
      <c r="F792" s="109"/>
      <c r="G792" s="109"/>
      <c r="H792" s="109"/>
      <c r="I792" s="109"/>
      <c r="J792" s="109"/>
      <c r="K792" s="109"/>
      <c r="L792" s="109"/>
      <c r="M792" s="109"/>
      <c r="N792" s="109"/>
      <c r="O792" s="109"/>
      <c r="P792" s="109"/>
      <c r="Q792" s="109"/>
      <c r="R792" s="109"/>
      <c r="S792" s="109"/>
      <c r="T792" s="109"/>
      <c r="U792" s="109"/>
      <c r="V792" s="109"/>
      <c r="W792" s="109"/>
      <c r="X792" s="109"/>
      <c r="Y792" s="109"/>
      <c r="Z792" s="109"/>
    </row>
    <row r="793" spans="1:26" ht="11.25" customHeight="1">
      <c r="A793" s="109"/>
      <c r="B793" s="109"/>
      <c r="C793" s="109"/>
      <c r="D793" s="109"/>
      <c r="E793" s="109"/>
      <c r="F793" s="109"/>
      <c r="G793" s="109"/>
      <c r="H793" s="109"/>
      <c r="I793" s="109"/>
      <c r="J793" s="109"/>
      <c r="K793" s="109"/>
      <c r="L793" s="109"/>
      <c r="M793" s="109"/>
      <c r="N793" s="109"/>
      <c r="O793" s="109"/>
      <c r="P793" s="109"/>
      <c r="Q793" s="109"/>
      <c r="R793" s="109"/>
      <c r="S793" s="109"/>
      <c r="T793" s="109"/>
      <c r="U793" s="109"/>
      <c r="V793" s="109"/>
      <c r="W793" s="109"/>
      <c r="X793" s="109"/>
      <c r="Y793" s="109"/>
      <c r="Z793" s="109"/>
    </row>
    <row r="794" spans="1:26" ht="11.25" customHeight="1">
      <c r="A794" s="109"/>
      <c r="B794" s="109"/>
      <c r="C794" s="109"/>
      <c r="D794" s="109"/>
      <c r="E794" s="109"/>
      <c r="F794" s="109"/>
      <c r="G794" s="109"/>
      <c r="H794" s="109"/>
      <c r="I794" s="109"/>
      <c r="J794" s="109"/>
      <c r="K794" s="109"/>
      <c r="L794" s="109"/>
      <c r="M794" s="109"/>
      <c r="N794" s="109"/>
      <c r="O794" s="109"/>
      <c r="P794" s="109"/>
      <c r="Q794" s="109"/>
      <c r="R794" s="109"/>
      <c r="S794" s="109"/>
      <c r="T794" s="109"/>
      <c r="U794" s="109"/>
      <c r="V794" s="109"/>
      <c r="W794" s="109"/>
      <c r="X794" s="109"/>
      <c r="Y794" s="109"/>
      <c r="Z794" s="109"/>
    </row>
    <row r="795" spans="1:26" ht="11.25" customHeight="1">
      <c r="A795" s="109"/>
      <c r="B795" s="109"/>
      <c r="C795" s="109"/>
      <c r="D795" s="109"/>
      <c r="E795" s="109"/>
      <c r="F795" s="109"/>
      <c r="G795" s="109"/>
      <c r="H795" s="109"/>
      <c r="I795" s="109"/>
      <c r="J795" s="109"/>
      <c r="K795" s="109"/>
      <c r="L795" s="109"/>
      <c r="M795" s="109"/>
      <c r="N795" s="109"/>
      <c r="O795" s="109"/>
      <c r="P795" s="109"/>
      <c r="Q795" s="109"/>
      <c r="R795" s="109"/>
      <c r="S795" s="109"/>
      <c r="T795" s="109"/>
      <c r="U795" s="109"/>
      <c r="V795" s="109"/>
      <c r="W795" s="109"/>
      <c r="X795" s="109"/>
      <c r="Y795" s="109"/>
      <c r="Z795" s="109"/>
    </row>
    <row r="796" spans="1:26" ht="11.25" customHeight="1">
      <c r="A796" s="109"/>
      <c r="B796" s="109"/>
      <c r="C796" s="109"/>
      <c r="D796" s="109"/>
      <c r="E796" s="109"/>
      <c r="F796" s="109"/>
      <c r="G796" s="109"/>
      <c r="H796" s="109"/>
      <c r="I796" s="109"/>
      <c r="J796" s="109"/>
      <c r="K796" s="109"/>
      <c r="L796" s="109"/>
      <c r="M796" s="109"/>
      <c r="N796" s="109"/>
      <c r="O796" s="109"/>
      <c r="P796" s="109"/>
      <c r="Q796" s="109"/>
      <c r="R796" s="109"/>
      <c r="S796" s="109"/>
      <c r="T796" s="109"/>
      <c r="U796" s="109"/>
      <c r="V796" s="109"/>
      <c r="W796" s="109"/>
      <c r="X796" s="109"/>
      <c r="Y796" s="109"/>
      <c r="Z796" s="109"/>
    </row>
    <row r="797" spans="1:26" ht="11.25" customHeight="1">
      <c r="A797" s="109"/>
      <c r="B797" s="109"/>
      <c r="C797" s="109"/>
      <c r="D797" s="109"/>
      <c r="E797" s="109"/>
      <c r="F797" s="109"/>
      <c r="G797" s="109"/>
      <c r="H797" s="109"/>
      <c r="I797" s="109"/>
      <c r="J797" s="109"/>
      <c r="K797" s="109"/>
      <c r="L797" s="109"/>
      <c r="M797" s="109"/>
      <c r="N797" s="109"/>
      <c r="O797" s="109"/>
      <c r="P797" s="109"/>
      <c r="Q797" s="109"/>
      <c r="R797" s="109"/>
      <c r="S797" s="109"/>
      <c r="T797" s="109"/>
      <c r="U797" s="109"/>
      <c r="V797" s="109"/>
      <c r="W797" s="109"/>
      <c r="X797" s="109"/>
      <c r="Y797" s="109"/>
      <c r="Z797" s="109"/>
    </row>
    <row r="798" spans="1:26" ht="11.25" customHeight="1">
      <c r="A798" s="109"/>
      <c r="B798" s="109"/>
      <c r="C798" s="109"/>
      <c r="D798" s="109"/>
      <c r="E798" s="109"/>
      <c r="F798" s="109"/>
      <c r="G798" s="109"/>
      <c r="H798" s="109"/>
      <c r="I798" s="109"/>
      <c r="J798" s="109"/>
      <c r="K798" s="109"/>
      <c r="L798" s="109"/>
      <c r="M798" s="109"/>
      <c r="N798" s="109"/>
      <c r="O798" s="109"/>
      <c r="P798" s="109"/>
      <c r="Q798" s="109"/>
      <c r="R798" s="109"/>
      <c r="S798" s="109"/>
      <c r="T798" s="109"/>
      <c r="U798" s="109"/>
      <c r="V798" s="109"/>
      <c r="W798" s="109"/>
      <c r="X798" s="109"/>
      <c r="Y798" s="109"/>
      <c r="Z798" s="109"/>
    </row>
    <row r="799" spans="1:26" ht="11.25" customHeight="1">
      <c r="A799" s="109"/>
      <c r="B799" s="109"/>
      <c r="C799" s="109"/>
      <c r="D799" s="109"/>
      <c r="E799" s="109"/>
      <c r="F799" s="109"/>
      <c r="G799" s="109"/>
      <c r="H799" s="109"/>
      <c r="I799" s="109"/>
      <c r="J799" s="109"/>
      <c r="K799" s="109"/>
      <c r="L799" s="109"/>
      <c r="M799" s="109"/>
      <c r="N799" s="109"/>
      <c r="O799" s="109"/>
      <c r="P799" s="109"/>
      <c r="Q799" s="109"/>
      <c r="R799" s="109"/>
      <c r="S799" s="109"/>
      <c r="T799" s="109"/>
      <c r="U799" s="109"/>
      <c r="V799" s="109"/>
      <c r="W799" s="109"/>
      <c r="X799" s="109"/>
      <c r="Y799" s="109"/>
      <c r="Z799" s="109"/>
    </row>
    <row r="800" spans="1:26" ht="11.25" customHeight="1">
      <c r="A800" s="109"/>
      <c r="B800" s="109"/>
      <c r="C800" s="109"/>
      <c r="D800" s="109"/>
      <c r="E800" s="109"/>
      <c r="F800" s="109"/>
      <c r="G800" s="109"/>
      <c r="H800" s="109"/>
      <c r="I800" s="109"/>
      <c r="J800" s="109"/>
      <c r="K800" s="109"/>
      <c r="L800" s="109"/>
      <c r="M800" s="109"/>
      <c r="N800" s="109"/>
      <c r="O800" s="109"/>
      <c r="P800" s="109"/>
      <c r="Q800" s="109"/>
      <c r="R800" s="109"/>
      <c r="S800" s="109"/>
      <c r="T800" s="109"/>
      <c r="U800" s="109"/>
      <c r="V800" s="109"/>
      <c r="W800" s="109"/>
      <c r="X800" s="109"/>
      <c r="Y800" s="109"/>
      <c r="Z800" s="109"/>
    </row>
    <row r="801" spans="1:26" ht="11.25" customHeight="1">
      <c r="A801" s="109"/>
      <c r="B801" s="109"/>
      <c r="C801" s="109"/>
      <c r="D801" s="109"/>
      <c r="E801" s="109"/>
      <c r="F801" s="109"/>
      <c r="G801" s="109"/>
      <c r="H801" s="109"/>
      <c r="I801" s="109"/>
      <c r="J801" s="109"/>
      <c r="K801" s="109"/>
      <c r="L801" s="109"/>
      <c r="M801" s="109"/>
      <c r="N801" s="109"/>
      <c r="O801" s="109"/>
      <c r="P801" s="109"/>
      <c r="Q801" s="109"/>
      <c r="R801" s="109"/>
      <c r="S801" s="109"/>
      <c r="T801" s="109"/>
      <c r="U801" s="109"/>
      <c r="V801" s="109"/>
      <c r="W801" s="109"/>
      <c r="X801" s="109"/>
      <c r="Y801" s="109"/>
      <c r="Z801" s="109"/>
    </row>
    <row r="802" spans="1:26" ht="11.25" customHeight="1">
      <c r="A802" s="109"/>
      <c r="B802" s="109"/>
      <c r="C802" s="109"/>
      <c r="D802" s="109"/>
      <c r="E802" s="109"/>
      <c r="F802" s="109"/>
      <c r="G802" s="109"/>
      <c r="H802" s="109"/>
      <c r="I802" s="109"/>
      <c r="J802" s="109"/>
      <c r="K802" s="109"/>
      <c r="L802" s="109"/>
      <c r="M802" s="109"/>
      <c r="N802" s="109"/>
      <c r="O802" s="109"/>
      <c r="P802" s="109"/>
      <c r="Q802" s="109"/>
      <c r="R802" s="109"/>
      <c r="S802" s="109"/>
      <c r="T802" s="109"/>
      <c r="U802" s="109"/>
      <c r="V802" s="109"/>
      <c r="W802" s="109"/>
      <c r="X802" s="109"/>
      <c r="Y802" s="109"/>
      <c r="Z802" s="109"/>
    </row>
    <row r="803" spans="1:26" ht="11.25" customHeight="1">
      <c r="A803" s="109"/>
      <c r="B803" s="109"/>
      <c r="C803" s="109"/>
      <c r="D803" s="109"/>
      <c r="E803" s="109"/>
      <c r="F803" s="109"/>
      <c r="G803" s="109"/>
      <c r="H803" s="109"/>
      <c r="I803" s="109"/>
      <c r="J803" s="109"/>
      <c r="K803" s="109"/>
      <c r="L803" s="109"/>
      <c r="M803" s="109"/>
      <c r="N803" s="109"/>
      <c r="O803" s="109"/>
      <c r="P803" s="109"/>
      <c r="Q803" s="109"/>
      <c r="R803" s="109"/>
      <c r="S803" s="109"/>
      <c r="T803" s="109"/>
      <c r="U803" s="109"/>
      <c r="V803" s="109"/>
      <c r="W803" s="109"/>
      <c r="X803" s="109"/>
      <c r="Y803" s="109"/>
      <c r="Z803" s="109"/>
    </row>
    <row r="804" spans="1:26" ht="11.25" customHeight="1">
      <c r="A804" s="109"/>
      <c r="B804" s="109"/>
      <c r="C804" s="109"/>
      <c r="D804" s="109"/>
      <c r="E804" s="109"/>
      <c r="F804" s="109"/>
      <c r="G804" s="109"/>
      <c r="H804" s="109"/>
      <c r="I804" s="109"/>
      <c r="J804" s="109"/>
      <c r="K804" s="109"/>
      <c r="L804" s="109"/>
      <c r="M804" s="109"/>
      <c r="N804" s="109"/>
      <c r="O804" s="109"/>
      <c r="P804" s="109"/>
      <c r="Q804" s="109"/>
      <c r="R804" s="109"/>
      <c r="S804" s="109"/>
      <c r="T804" s="109"/>
      <c r="U804" s="109"/>
      <c r="V804" s="109"/>
      <c r="W804" s="109"/>
      <c r="X804" s="109"/>
      <c r="Y804" s="109"/>
      <c r="Z804" s="109"/>
    </row>
    <row r="805" spans="1:26" ht="11.25" customHeight="1">
      <c r="A805" s="109"/>
      <c r="B805" s="109"/>
      <c r="C805" s="109"/>
      <c r="D805" s="109"/>
      <c r="E805" s="109"/>
      <c r="F805" s="109"/>
      <c r="G805" s="109"/>
      <c r="H805" s="109"/>
      <c r="I805" s="109"/>
      <c r="J805" s="109"/>
      <c r="K805" s="109"/>
      <c r="L805" s="109"/>
      <c r="M805" s="109"/>
      <c r="N805" s="109"/>
      <c r="O805" s="109"/>
      <c r="P805" s="109"/>
      <c r="Q805" s="109"/>
      <c r="R805" s="109"/>
      <c r="S805" s="109"/>
      <c r="T805" s="109"/>
      <c r="U805" s="109"/>
      <c r="V805" s="109"/>
      <c r="W805" s="109"/>
      <c r="X805" s="109"/>
      <c r="Y805" s="109"/>
      <c r="Z805" s="109"/>
    </row>
    <row r="806" spans="1:26" ht="11.25" customHeight="1">
      <c r="A806" s="109"/>
      <c r="B806" s="109"/>
      <c r="C806" s="109"/>
      <c r="D806" s="109"/>
      <c r="E806" s="109"/>
      <c r="F806" s="109"/>
      <c r="G806" s="109"/>
      <c r="H806" s="109"/>
      <c r="I806" s="109"/>
      <c r="J806" s="109"/>
      <c r="K806" s="109"/>
      <c r="L806" s="109"/>
      <c r="M806" s="109"/>
      <c r="N806" s="109"/>
      <c r="O806" s="109"/>
      <c r="P806" s="109"/>
      <c r="Q806" s="109"/>
      <c r="R806" s="109"/>
      <c r="S806" s="109"/>
      <c r="T806" s="109"/>
      <c r="U806" s="109"/>
      <c r="V806" s="109"/>
      <c r="W806" s="109"/>
      <c r="X806" s="109"/>
      <c r="Y806" s="109"/>
      <c r="Z806" s="109"/>
    </row>
    <row r="807" spans="1:26" ht="11.25" customHeight="1">
      <c r="A807" s="109"/>
      <c r="B807" s="109"/>
      <c r="C807" s="109"/>
      <c r="D807" s="109"/>
      <c r="E807" s="109"/>
      <c r="F807" s="109"/>
      <c r="G807" s="109"/>
      <c r="H807" s="109"/>
      <c r="I807" s="109"/>
      <c r="J807" s="109"/>
      <c r="K807" s="109"/>
      <c r="L807" s="109"/>
      <c r="M807" s="109"/>
      <c r="N807" s="109"/>
      <c r="O807" s="109"/>
      <c r="P807" s="109"/>
      <c r="Q807" s="109"/>
      <c r="R807" s="109"/>
      <c r="S807" s="109"/>
      <c r="T807" s="109"/>
      <c r="U807" s="109"/>
      <c r="V807" s="109"/>
      <c r="W807" s="109"/>
      <c r="X807" s="109"/>
      <c r="Y807" s="109"/>
      <c r="Z807" s="109"/>
    </row>
    <row r="808" spans="1:26" ht="11.25" customHeight="1">
      <c r="A808" s="109"/>
      <c r="B808" s="109"/>
      <c r="C808" s="109"/>
      <c r="D808" s="109"/>
      <c r="E808" s="109"/>
      <c r="F808" s="109"/>
      <c r="G808" s="109"/>
      <c r="H808" s="109"/>
      <c r="I808" s="109"/>
      <c r="J808" s="109"/>
      <c r="K808" s="109"/>
      <c r="L808" s="109"/>
      <c r="M808" s="109"/>
      <c r="N808" s="109"/>
      <c r="O808" s="109"/>
      <c r="P808" s="109"/>
      <c r="Q808" s="109"/>
      <c r="R808" s="109"/>
      <c r="S808" s="109"/>
      <c r="T808" s="109"/>
      <c r="U808" s="109"/>
      <c r="V808" s="109"/>
      <c r="W808" s="109"/>
      <c r="X808" s="109"/>
      <c r="Y808" s="109"/>
      <c r="Z808" s="109"/>
    </row>
    <row r="809" spans="1:26" ht="11.25" customHeight="1">
      <c r="A809" s="109"/>
      <c r="B809" s="109"/>
      <c r="C809" s="109"/>
      <c r="D809" s="109"/>
      <c r="E809" s="109"/>
      <c r="F809" s="109"/>
      <c r="G809" s="109"/>
      <c r="H809" s="109"/>
      <c r="I809" s="109"/>
      <c r="J809" s="109"/>
      <c r="K809" s="109"/>
      <c r="L809" s="109"/>
      <c r="M809" s="109"/>
      <c r="N809" s="109"/>
      <c r="O809" s="109"/>
      <c r="P809" s="109"/>
      <c r="Q809" s="109"/>
      <c r="R809" s="109"/>
      <c r="S809" s="109"/>
      <c r="T809" s="109"/>
      <c r="U809" s="109"/>
      <c r="V809" s="109"/>
      <c r="W809" s="109"/>
      <c r="X809" s="109"/>
      <c r="Y809" s="109"/>
      <c r="Z809" s="109"/>
    </row>
    <row r="810" spans="1:26" ht="11.25" customHeight="1">
      <c r="A810" s="109"/>
      <c r="B810" s="109"/>
      <c r="C810" s="109"/>
      <c r="D810" s="109"/>
      <c r="E810" s="109"/>
      <c r="F810" s="109"/>
      <c r="G810" s="109"/>
      <c r="H810" s="109"/>
      <c r="I810" s="109"/>
      <c r="J810" s="109"/>
      <c r="K810" s="109"/>
      <c r="L810" s="109"/>
      <c r="M810" s="109"/>
      <c r="N810" s="109"/>
      <c r="O810" s="109"/>
      <c r="P810" s="109"/>
      <c r="Q810" s="109"/>
      <c r="R810" s="109"/>
      <c r="S810" s="109"/>
      <c r="T810" s="109"/>
      <c r="U810" s="109"/>
      <c r="V810" s="109"/>
      <c r="W810" s="109"/>
      <c r="X810" s="109"/>
      <c r="Y810" s="109"/>
      <c r="Z810" s="109"/>
    </row>
    <row r="811" spans="1:26" ht="11.25" customHeight="1">
      <c r="A811" s="109"/>
      <c r="B811" s="109"/>
      <c r="C811" s="109"/>
      <c r="D811" s="109"/>
      <c r="E811" s="109"/>
      <c r="F811" s="109"/>
      <c r="G811" s="109"/>
      <c r="H811" s="109"/>
      <c r="I811" s="109"/>
      <c r="J811" s="109"/>
      <c r="K811" s="109"/>
      <c r="L811" s="109"/>
      <c r="M811" s="109"/>
      <c r="N811" s="109"/>
      <c r="O811" s="109"/>
      <c r="P811" s="109"/>
      <c r="Q811" s="109"/>
      <c r="R811" s="109"/>
      <c r="S811" s="109"/>
      <c r="T811" s="109"/>
      <c r="U811" s="109"/>
      <c r="V811" s="109"/>
      <c r="W811" s="109"/>
      <c r="X811" s="109"/>
      <c r="Y811" s="109"/>
      <c r="Z811" s="109"/>
    </row>
    <row r="812" spans="1:26" ht="11.25" customHeight="1">
      <c r="A812" s="109"/>
      <c r="B812" s="109"/>
      <c r="C812" s="109"/>
      <c r="D812" s="109"/>
      <c r="E812" s="109"/>
      <c r="F812" s="109"/>
      <c r="G812" s="109"/>
      <c r="H812" s="109"/>
      <c r="I812" s="109"/>
      <c r="J812" s="109"/>
      <c r="K812" s="109"/>
      <c r="L812" s="109"/>
      <c r="M812" s="109"/>
      <c r="N812" s="109"/>
      <c r="O812" s="109"/>
      <c r="P812" s="109"/>
      <c r="Q812" s="109"/>
      <c r="R812" s="109"/>
      <c r="S812" s="109"/>
      <c r="T812" s="109"/>
      <c r="U812" s="109"/>
      <c r="V812" s="109"/>
      <c r="W812" s="109"/>
      <c r="X812" s="109"/>
      <c r="Y812" s="109"/>
      <c r="Z812" s="109"/>
    </row>
    <row r="813" spans="1:26" ht="11.25" customHeight="1">
      <c r="A813" s="109"/>
      <c r="B813" s="109"/>
      <c r="C813" s="109"/>
      <c r="D813" s="109"/>
      <c r="E813" s="109"/>
      <c r="F813" s="109"/>
      <c r="G813" s="109"/>
      <c r="H813" s="109"/>
      <c r="I813" s="109"/>
      <c r="J813" s="109"/>
      <c r="K813" s="109"/>
      <c r="L813" s="109"/>
      <c r="M813" s="109"/>
      <c r="N813" s="109"/>
      <c r="O813" s="109"/>
      <c r="P813" s="109"/>
      <c r="Q813" s="109"/>
      <c r="R813" s="109"/>
      <c r="S813" s="109"/>
      <c r="T813" s="109"/>
      <c r="U813" s="109"/>
      <c r="V813" s="109"/>
      <c r="W813" s="109"/>
      <c r="X813" s="109"/>
      <c r="Y813" s="109"/>
      <c r="Z813" s="109"/>
    </row>
    <row r="814" spans="1:26" ht="11.25" customHeight="1">
      <c r="A814" s="109"/>
      <c r="B814" s="109"/>
      <c r="C814" s="109"/>
      <c r="D814" s="109"/>
      <c r="E814" s="109"/>
      <c r="F814" s="109"/>
      <c r="G814" s="109"/>
      <c r="H814" s="109"/>
      <c r="I814" s="109"/>
      <c r="J814" s="109"/>
      <c r="K814" s="109"/>
      <c r="L814" s="109"/>
      <c r="M814" s="109"/>
      <c r="N814" s="109"/>
      <c r="O814" s="109"/>
      <c r="P814" s="109"/>
      <c r="Q814" s="109"/>
      <c r="R814" s="109"/>
      <c r="S814" s="109"/>
      <c r="T814" s="109"/>
      <c r="U814" s="109"/>
      <c r="V814" s="109"/>
      <c r="W814" s="109"/>
      <c r="X814" s="109"/>
      <c r="Y814" s="109"/>
      <c r="Z814" s="109"/>
    </row>
    <row r="815" spans="1:26" ht="11.25" customHeight="1">
      <c r="A815" s="109"/>
      <c r="B815" s="109"/>
      <c r="C815" s="109"/>
      <c r="D815" s="109"/>
      <c r="E815" s="109"/>
      <c r="F815" s="109"/>
      <c r="G815" s="109"/>
      <c r="H815" s="109"/>
      <c r="I815" s="109"/>
      <c r="J815" s="109"/>
      <c r="K815" s="109"/>
      <c r="L815" s="109"/>
      <c r="M815" s="109"/>
      <c r="N815" s="109"/>
      <c r="O815" s="109"/>
      <c r="P815" s="109"/>
      <c r="Q815" s="109"/>
      <c r="R815" s="109"/>
      <c r="S815" s="109"/>
      <c r="T815" s="109"/>
      <c r="U815" s="109"/>
      <c r="V815" s="109"/>
      <c r="W815" s="109"/>
      <c r="X815" s="109"/>
      <c r="Y815" s="109"/>
      <c r="Z815" s="109"/>
    </row>
    <row r="816" spans="1:26" ht="11.25" customHeight="1">
      <c r="A816" s="109"/>
      <c r="B816" s="109"/>
      <c r="C816" s="109"/>
      <c r="D816" s="109"/>
      <c r="E816" s="109"/>
      <c r="F816" s="109"/>
      <c r="G816" s="109"/>
      <c r="H816" s="109"/>
      <c r="I816" s="109"/>
      <c r="J816" s="109"/>
      <c r="K816" s="109"/>
      <c r="L816" s="109"/>
      <c r="M816" s="109"/>
      <c r="N816" s="109"/>
      <c r="O816" s="109"/>
      <c r="P816" s="109"/>
      <c r="Q816" s="109"/>
      <c r="R816" s="109"/>
      <c r="S816" s="109"/>
      <c r="T816" s="109"/>
      <c r="U816" s="109"/>
      <c r="V816" s="109"/>
      <c r="W816" s="109"/>
      <c r="X816" s="109"/>
      <c r="Y816" s="109"/>
      <c r="Z816" s="109"/>
    </row>
    <row r="817" spans="1:26" ht="11.25" customHeight="1">
      <c r="A817" s="109"/>
      <c r="B817" s="109"/>
      <c r="C817" s="109"/>
      <c r="D817" s="109"/>
      <c r="E817" s="109"/>
      <c r="F817" s="109"/>
      <c r="G817" s="109"/>
      <c r="H817" s="109"/>
      <c r="I817" s="109"/>
      <c r="J817" s="109"/>
      <c r="K817" s="109"/>
      <c r="L817" s="109"/>
      <c r="M817" s="109"/>
      <c r="N817" s="109"/>
      <c r="O817" s="109"/>
      <c r="P817" s="109"/>
      <c r="Q817" s="109"/>
      <c r="R817" s="109"/>
      <c r="S817" s="109"/>
      <c r="T817" s="109"/>
      <c r="U817" s="109"/>
      <c r="V817" s="109"/>
      <c r="W817" s="109"/>
      <c r="X817" s="109"/>
      <c r="Y817" s="109"/>
      <c r="Z817" s="109"/>
    </row>
    <row r="818" spans="1:26" ht="11.25" customHeight="1">
      <c r="A818" s="109"/>
      <c r="B818" s="109"/>
      <c r="C818" s="109"/>
      <c r="D818" s="109"/>
      <c r="E818" s="109"/>
      <c r="F818" s="109"/>
      <c r="G818" s="109"/>
      <c r="H818" s="109"/>
      <c r="I818" s="109"/>
      <c r="J818" s="109"/>
      <c r="K818" s="109"/>
      <c r="L818" s="109"/>
      <c r="M818" s="109"/>
      <c r="N818" s="109"/>
      <c r="O818" s="109"/>
      <c r="P818" s="109"/>
      <c r="Q818" s="109"/>
      <c r="R818" s="109"/>
      <c r="S818" s="109"/>
      <c r="T818" s="109"/>
      <c r="U818" s="109"/>
      <c r="V818" s="109"/>
      <c r="W818" s="109"/>
      <c r="X818" s="109"/>
      <c r="Y818" s="109"/>
      <c r="Z818" s="109"/>
    </row>
    <row r="819" spans="1:26" ht="11.25" customHeight="1">
      <c r="A819" s="109"/>
      <c r="B819" s="109"/>
      <c r="C819" s="109"/>
      <c r="D819" s="109"/>
      <c r="E819" s="109"/>
      <c r="F819" s="109"/>
      <c r="G819" s="109"/>
      <c r="H819" s="109"/>
      <c r="I819" s="109"/>
      <c r="J819" s="109"/>
      <c r="K819" s="109"/>
      <c r="L819" s="109"/>
      <c r="M819" s="109"/>
      <c r="N819" s="109"/>
      <c r="O819" s="109"/>
      <c r="P819" s="109"/>
      <c r="Q819" s="109"/>
      <c r="R819" s="109"/>
      <c r="S819" s="109"/>
      <c r="T819" s="109"/>
      <c r="U819" s="109"/>
      <c r="V819" s="109"/>
      <c r="W819" s="109"/>
      <c r="X819" s="109"/>
      <c r="Y819" s="109"/>
      <c r="Z819" s="109"/>
    </row>
    <row r="820" spans="1:26" ht="11.25" customHeight="1">
      <c r="A820" s="109"/>
      <c r="B820" s="109"/>
      <c r="C820" s="109"/>
      <c r="D820" s="109"/>
      <c r="E820" s="109"/>
      <c r="F820" s="109"/>
      <c r="G820" s="109"/>
      <c r="H820" s="109"/>
      <c r="I820" s="109"/>
      <c r="J820" s="109"/>
      <c r="K820" s="109"/>
      <c r="L820" s="109"/>
      <c r="M820" s="109"/>
      <c r="N820" s="109"/>
      <c r="O820" s="109"/>
      <c r="P820" s="109"/>
      <c r="Q820" s="109"/>
      <c r="R820" s="109"/>
      <c r="S820" s="109"/>
      <c r="T820" s="109"/>
      <c r="U820" s="109"/>
      <c r="V820" s="109"/>
      <c r="W820" s="109"/>
      <c r="X820" s="109"/>
      <c r="Y820" s="109"/>
      <c r="Z820" s="109"/>
    </row>
    <row r="821" spans="1:26" ht="11.25" customHeight="1">
      <c r="A821" s="109"/>
      <c r="B821" s="109"/>
      <c r="C821" s="109"/>
      <c r="D821" s="109"/>
      <c r="E821" s="109"/>
      <c r="F821" s="109"/>
      <c r="G821" s="109"/>
      <c r="H821" s="109"/>
      <c r="I821" s="109"/>
      <c r="J821" s="109"/>
      <c r="K821" s="109"/>
      <c r="L821" s="109"/>
      <c r="M821" s="109"/>
      <c r="N821" s="109"/>
      <c r="O821" s="109"/>
      <c r="P821" s="109"/>
      <c r="Q821" s="109"/>
      <c r="R821" s="109"/>
      <c r="S821" s="109"/>
      <c r="T821" s="109"/>
      <c r="U821" s="109"/>
      <c r="V821" s="109"/>
      <c r="W821" s="109"/>
      <c r="X821" s="109"/>
      <c r="Y821" s="109"/>
      <c r="Z821" s="109"/>
    </row>
    <row r="822" spans="1:26" ht="11.25" customHeight="1">
      <c r="A822" s="109"/>
      <c r="B822" s="109"/>
      <c r="C822" s="109"/>
      <c r="D822" s="109"/>
      <c r="E822" s="109"/>
      <c r="F822" s="109"/>
      <c r="G822" s="109"/>
      <c r="H822" s="109"/>
      <c r="I822" s="109"/>
      <c r="J822" s="109"/>
      <c r="K822" s="109"/>
      <c r="L822" s="109"/>
      <c r="M822" s="109"/>
      <c r="N822" s="109"/>
      <c r="O822" s="109"/>
      <c r="P822" s="109"/>
      <c r="Q822" s="109"/>
      <c r="R822" s="109"/>
      <c r="S822" s="109"/>
      <c r="T822" s="109"/>
      <c r="U822" s="109"/>
      <c r="V822" s="109"/>
      <c r="W822" s="109"/>
      <c r="X822" s="109"/>
      <c r="Y822" s="109"/>
      <c r="Z822" s="109"/>
    </row>
    <row r="823" spans="1:26" ht="11.25" customHeight="1">
      <c r="A823" s="109"/>
      <c r="B823" s="109"/>
      <c r="C823" s="109"/>
      <c r="D823" s="109"/>
      <c r="E823" s="109"/>
      <c r="F823" s="109"/>
      <c r="G823" s="109"/>
      <c r="H823" s="109"/>
      <c r="I823" s="109"/>
      <c r="J823" s="109"/>
      <c r="K823" s="109"/>
      <c r="L823" s="109"/>
      <c r="M823" s="109"/>
      <c r="N823" s="109"/>
      <c r="O823" s="109"/>
      <c r="P823" s="109"/>
      <c r="Q823" s="109"/>
      <c r="R823" s="109"/>
      <c r="S823" s="109"/>
      <c r="T823" s="109"/>
      <c r="U823" s="109"/>
      <c r="V823" s="109"/>
      <c r="W823" s="109"/>
      <c r="X823" s="109"/>
      <c r="Y823" s="109"/>
      <c r="Z823" s="109"/>
    </row>
    <row r="824" spans="1:26" ht="11.25" customHeight="1">
      <c r="A824" s="109"/>
      <c r="B824" s="109"/>
      <c r="C824" s="109"/>
      <c r="D824" s="109"/>
      <c r="E824" s="109"/>
      <c r="F824" s="109"/>
      <c r="G824" s="109"/>
      <c r="H824" s="109"/>
      <c r="I824" s="109"/>
      <c r="J824" s="109"/>
      <c r="K824" s="109"/>
      <c r="L824" s="109"/>
      <c r="M824" s="109"/>
      <c r="N824" s="109"/>
      <c r="O824" s="109"/>
      <c r="P824" s="109"/>
      <c r="Q824" s="109"/>
      <c r="R824" s="109"/>
      <c r="S824" s="109"/>
      <c r="T824" s="109"/>
      <c r="U824" s="109"/>
      <c r="V824" s="109"/>
      <c r="W824" s="109"/>
      <c r="X824" s="109"/>
      <c r="Y824" s="109"/>
      <c r="Z824" s="109"/>
    </row>
    <row r="825" spans="1:26" ht="11.25" customHeight="1">
      <c r="A825" s="109"/>
      <c r="B825" s="109"/>
      <c r="C825" s="109"/>
      <c r="D825" s="109"/>
      <c r="E825" s="109"/>
      <c r="F825" s="109"/>
      <c r="G825" s="109"/>
      <c r="H825" s="109"/>
      <c r="I825" s="109"/>
      <c r="J825" s="109"/>
      <c r="K825" s="109"/>
      <c r="L825" s="109"/>
      <c r="M825" s="109"/>
      <c r="N825" s="109"/>
      <c r="O825" s="109"/>
      <c r="P825" s="109"/>
      <c r="Q825" s="109"/>
      <c r="R825" s="109"/>
      <c r="S825" s="109"/>
      <c r="T825" s="109"/>
      <c r="U825" s="109"/>
      <c r="V825" s="109"/>
      <c r="W825" s="109"/>
      <c r="X825" s="109"/>
      <c r="Y825" s="109"/>
      <c r="Z825" s="109"/>
    </row>
    <row r="826" spans="1:26" ht="11.25" customHeight="1">
      <c r="A826" s="109"/>
      <c r="B826" s="109"/>
      <c r="C826" s="109"/>
      <c r="D826" s="109"/>
      <c r="E826" s="109"/>
      <c r="F826" s="109"/>
      <c r="G826" s="109"/>
      <c r="H826" s="109"/>
      <c r="I826" s="109"/>
      <c r="J826" s="109"/>
      <c r="K826" s="109"/>
      <c r="L826" s="109"/>
      <c r="M826" s="109"/>
      <c r="N826" s="109"/>
      <c r="O826" s="109"/>
      <c r="P826" s="109"/>
      <c r="Q826" s="109"/>
      <c r="R826" s="109"/>
      <c r="S826" s="109"/>
      <c r="T826" s="109"/>
      <c r="U826" s="109"/>
      <c r="V826" s="109"/>
      <c r="W826" s="109"/>
      <c r="X826" s="109"/>
      <c r="Y826" s="109"/>
      <c r="Z826" s="109"/>
    </row>
    <row r="827" spans="1:26" ht="11.25" customHeight="1">
      <c r="A827" s="109"/>
      <c r="B827" s="109"/>
      <c r="C827" s="109"/>
      <c r="D827" s="109"/>
      <c r="E827" s="109"/>
      <c r="F827" s="109"/>
      <c r="G827" s="109"/>
      <c r="H827" s="109"/>
      <c r="I827" s="109"/>
      <c r="J827" s="109"/>
      <c r="K827" s="109"/>
      <c r="L827" s="109"/>
      <c r="M827" s="109"/>
      <c r="N827" s="109"/>
      <c r="O827" s="109"/>
      <c r="P827" s="109"/>
      <c r="Q827" s="109"/>
      <c r="R827" s="109"/>
      <c r="S827" s="109"/>
      <c r="T827" s="109"/>
      <c r="U827" s="109"/>
      <c r="V827" s="109"/>
      <c r="W827" s="109"/>
      <c r="X827" s="109"/>
      <c r="Y827" s="109"/>
      <c r="Z827" s="109"/>
    </row>
    <row r="828" spans="1:26" ht="11.25" customHeight="1">
      <c r="A828" s="109"/>
      <c r="B828" s="109"/>
      <c r="C828" s="109"/>
      <c r="D828" s="109"/>
      <c r="E828" s="109"/>
      <c r="F828" s="109"/>
      <c r="G828" s="109"/>
      <c r="H828" s="109"/>
      <c r="I828" s="109"/>
      <c r="J828" s="109"/>
      <c r="K828" s="109"/>
      <c r="L828" s="109"/>
      <c r="M828" s="109"/>
      <c r="N828" s="109"/>
      <c r="O828" s="109"/>
      <c r="P828" s="109"/>
      <c r="Q828" s="109"/>
      <c r="R828" s="109"/>
      <c r="S828" s="109"/>
      <c r="T828" s="109"/>
      <c r="U828" s="109"/>
      <c r="V828" s="109"/>
      <c r="W828" s="109"/>
      <c r="X828" s="109"/>
      <c r="Y828" s="109"/>
      <c r="Z828" s="109"/>
    </row>
    <row r="829" spans="1:26" ht="11.25" customHeight="1">
      <c r="A829" s="109"/>
      <c r="B829" s="109"/>
      <c r="C829" s="109"/>
      <c r="D829" s="109"/>
      <c r="E829" s="109"/>
      <c r="F829" s="109"/>
      <c r="G829" s="109"/>
      <c r="H829" s="109"/>
      <c r="I829" s="109"/>
      <c r="J829" s="109"/>
      <c r="K829" s="109"/>
      <c r="L829" s="109"/>
      <c r="M829" s="109"/>
      <c r="N829" s="109"/>
      <c r="O829" s="109"/>
      <c r="P829" s="109"/>
      <c r="Q829" s="109"/>
      <c r="R829" s="109"/>
      <c r="S829" s="109"/>
      <c r="T829" s="109"/>
      <c r="U829" s="109"/>
      <c r="V829" s="109"/>
      <c r="W829" s="109"/>
      <c r="X829" s="109"/>
      <c r="Y829" s="109"/>
      <c r="Z829" s="109"/>
    </row>
    <row r="830" spans="1:26" ht="11.25" customHeight="1">
      <c r="A830" s="109"/>
      <c r="B830" s="109"/>
      <c r="C830" s="109"/>
      <c r="D830" s="109"/>
      <c r="E830" s="109"/>
      <c r="F830" s="109"/>
      <c r="G830" s="109"/>
      <c r="H830" s="109"/>
      <c r="I830" s="109"/>
      <c r="J830" s="109"/>
      <c r="K830" s="109"/>
      <c r="L830" s="109"/>
      <c r="M830" s="109"/>
      <c r="N830" s="109"/>
      <c r="O830" s="109"/>
      <c r="P830" s="109"/>
      <c r="Q830" s="109"/>
      <c r="R830" s="109"/>
      <c r="S830" s="109"/>
      <c r="T830" s="109"/>
      <c r="U830" s="109"/>
      <c r="V830" s="109"/>
      <c r="W830" s="109"/>
      <c r="X830" s="109"/>
      <c r="Y830" s="109"/>
      <c r="Z830" s="109"/>
    </row>
    <row r="831" spans="1:26" ht="11.25" customHeight="1">
      <c r="A831" s="109"/>
      <c r="B831" s="109"/>
      <c r="C831" s="109"/>
      <c r="D831" s="109"/>
      <c r="E831" s="109"/>
      <c r="F831" s="109"/>
      <c r="G831" s="109"/>
      <c r="H831" s="109"/>
      <c r="I831" s="109"/>
      <c r="J831" s="109"/>
      <c r="K831" s="109"/>
      <c r="L831" s="109"/>
      <c r="M831" s="109"/>
      <c r="N831" s="109"/>
      <c r="O831" s="109"/>
      <c r="P831" s="109"/>
      <c r="Q831" s="109"/>
      <c r="R831" s="109"/>
      <c r="S831" s="109"/>
      <c r="T831" s="109"/>
      <c r="U831" s="109"/>
      <c r="V831" s="109"/>
      <c r="W831" s="109"/>
      <c r="X831" s="109"/>
      <c r="Y831" s="109"/>
      <c r="Z831" s="109"/>
    </row>
    <row r="832" spans="1:26" ht="11.25" customHeight="1">
      <c r="A832" s="109"/>
      <c r="B832" s="109"/>
      <c r="C832" s="109"/>
      <c r="D832" s="109"/>
      <c r="E832" s="109"/>
      <c r="F832" s="109"/>
      <c r="G832" s="109"/>
      <c r="H832" s="109"/>
      <c r="I832" s="109"/>
      <c r="J832" s="109"/>
      <c r="K832" s="109"/>
      <c r="L832" s="109"/>
      <c r="M832" s="109"/>
      <c r="N832" s="109"/>
      <c r="O832" s="109"/>
      <c r="P832" s="109"/>
      <c r="Q832" s="109"/>
      <c r="R832" s="109"/>
      <c r="S832" s="109"/>
      <c r="T832" s="109"/>
      <c r="U832" s="109"/>
      <c r="V832" s="109"/>
      <c r="W832" s="109"/>
      <c r="X832" s="109"/>
      <c r="Y832" s="109"/>
      <c r="Z832" s="109"/>
    </row>
    <row r="833" spans="1:26" ht="11.25" customHeight="1">
      <c r="A833" s="109"/>
      <c r="B833" s="109"/>
      <c r="C833" s="109"/>
      <c r="D833" s="109"/>
      <c r="E833" s="109"/>
      <c r="F833" s="109"/>
      <c r="G833" s="109"/>
      <c r="H833" s="109"/>
      <c r="I833" s="109"/>
      <c r="J833" s="109"/>
      <c r="K833" s="109"/>
      <c r="L833" s="109"/>
      <c r="M833" s="109"/>
      <c r="N833" s="109"/>
      <c r="O833" s="109"/>
      <c r="P833" s="109"/>
      <c r="Q833" s="109"/>
      <c r="R833" s="109"/>
      <c r="S833" s="109"/>
      <c r="T833" s="109"/>
      <c r="U833" s="109"/>
      <c r="V833" s="109"/>
      <c r="W833" s="109"/>
      <c r="X833" s="109"/>
      <c r="Y833" s="109"/>
      <c r="Z833" s="109"/>
    </row>
    <row r="834" spans="1:26" ht="11.25" customHeight="1">
      <c r="A834" s="109"/>
      <c r="B834" s="109"/>
      <c r="C834" s="109"/>
      <c r="D834" s="109"/>
      <c r="E834" s="109"/>
      <c r="F834" s="109"/>
      <c r="G834" s="109"/>
      <c r="H834" s="109"/>
      <c r="I834" s="109"/>
      <c r="J834" s="109"/>
      <c r="K834" s="109"/>
      <c r="L834" s="109"/>
      <c r="M834" s="109"/>
      <c r="N834" s="109"/>
      <c r="O834" s="109"/>
      <c r="P834" s="109"/>
      <c r="Q834" s="109"/>
      <c r="R834" s="109"/>
      <c r="S834" s="109"/>
      <c r="T834" s="109"/>
      <c r="U834" s="109"/>
      <c r="V834" s="109"/>
      <c r="W834" s="109"/>
      <c r="X834" s="109"/>
      <c r="Y834" s="109"/>
      <c r="Z834" s="109"/>
    </row>
    <row r="835" spans="1:26" ht="11.25" customHeight="1">
      <c r="A835" s="109"/>
      <c r="B835" s="109"/>
      <c r="C835" s="109"/>
      <c r="D835" s="109"/>
      <c r="E835" s="109"/>
      <c r="F835" s="109"/>
      <c r="G835" s="109"/>
      <c r="H835" s="109"/>
      <c r="I835" s="109"/>
      <c r="J835" s="109"/>
      <c r="K835" s="109"/>
      <c r="L835" s="109"/>
      <c r="M835" s="109"/>
      <c r="N835" s="109"/>
      <c r="O835" s="109"/>
      <c r="P835" s="109"/>
      <c r="Q835" s="109"/>
      <c r="R835" s="109"/>
      <c r="S835" s="109"/>
      <c r="T835" s="109"/>
      <c r="U835" s="109"/>
      <c r="V835" s="109"/>
      <c r="W835" s="109"/>
      <c r="X835" s="109"/>
      <c r="Y835" s="109"/>
      <c r="Z835" s="109"/>
    </row>
    <row r="836" spans="1:26" ht="11.25" customHeight="1">
      <c r="A836" s="109"/>
      <c r="B836" s="109"/>
      <c r="C836" s="109"/>
      <c r="D836" s="109"/>
      <c r="E836" s="109"/>
      <c r="F836" s="109"/>
      <c r="G836" s="109"/>
      <c r="H836" s="109"/>
      <c r="I836" s="109"/>
      <c r="J836" s="109"/>
      <c r="K836" s="109"/>
      <c r="L836" s="109"/>
      <c r="M836" s="109"/>
      <c r="N836" s="109"/>
      <c r="O836" s="109"/>
      <c r="P836" s="109"/>
      <c r="Q836" s="109"/>
      <c r="R836" s="109"/>
      <c r="S836" s="109"/>
      <c r="T836" s="109"/>
      <c r="U836" s="109"/>
      <c r="V836" s="109"/>
      <c r="W836" s="109"/>
      <c r="X836" s="109"/>
      <c r="Y836" s="109"/>
      <c r="Z836" s="109"/>
    </row>
    <row r="837" spans="1:26" ht="11.25" customHeight="1">
      <c r="A837" s="109"/>
      <c r="B837" s="109"/>
      <c r="C837" s="109"/>
      <c r="D837" s="109"/>
      <c r="E837" s="109"/>
      <c r="F837" s="109"/>
      <c r="G837" s="109"/>
      <c r="H837" s="109"/>
      <c r="I837" s="109"/>
      <c r="J837" s="109"/>
      <c r="K837" s="109"/>
      <c r="L837" s="109"/>
      <c r="M837" s="109"/>
      <c r="N837" s="109"/>
      <c r="O837" s="109"/>
      <c r="P837" s="109"/>
      <c r="Q837" s="109"/>
      <c r="R837" s="109"/>
      <c r="S837" s="109"/>
      <c r="T837" s="109"/>
      <c r="U837" s="109"/>
      <c r="V837" s="109"/>
      <c r="W837" s="109"/>
      <c r="X837" s="109"/>
      <c r="Y837" s="109"/>
      <c r="Z837" s="109"/>
    </row>
    <row r="838" spans="1:26" ht="11.25" customHeight="1">
      <c r="A838" s="109"/>
      <c r="B838" s="109"/>
      <c r="C838" s="109"/>
      <c r="D838" s="109"/>
      <c r="E838" s="109"/>
      <c r="F838" s="109"/>
      <c r="G838" s="109"/>
      <c r="H838" s="109"/>
      <c r="I838" s="109"/>
      <c r="J838" s="109"/>
      <c r="K838" s="109"/>
      <c r="L838" s="109"/>
      <c r="M838" s="109"/>
      <c r="N838" s="109"/>
      <c r="O838" s="109"/>
      <c r="P838" s="109"/>
      <c r="Q838" s="109"/>
      <c r="R838" s="109"/>
      <c r="S838" s="109"/>
      <c r="T838" s="109"/>
      <c r="U838" s="109"/>
      <c r="V838" s="109"/>
      <c r="W838" s="109"/>
      <c r="X838" s="109"/>
      <c r="Y838" s="109"/>
      <c r="Z838" s="109"/>
    </row>
    <row r="839" spans="1:26" ht="11.25" customHeight="1">
      <c r="A839" s="109"/>
      <c r="B839" s="109"/>
      <c r="C839" s="109"/>
      <c r="D839" s="109"/>
      <c r="E839" s="109"/>
      <c r="F839" s="109"/>
      <c r="G839" s="109"/>
      <c r="H839" s="109"/>
      <c r="I839" s="109"/>
      <c r="J839" s="109"/>
      <c r="K839" s="109"/>
      <c r="L839" s="109"/>
      <c r="M839" s="109"/>
      <c r="N839" s="109"/>
      <c r="O839" s="109"/>
      <c r="P839" s="109"/>
      <c r="Q839" s="109"/>
      <c r="R839" s="109"/>
      <c r="S839" s="109"/>
      <c r="T839" s="109"/>
      <c r="U839" s="109"/>
      <c r="V839" s="109"/>
      <c r="W839" s="109"/>
      <c r="X839" s="109"/>
      <c r="Y839" s="109"/>
      <c r="Z839" s="109"/>
    </row>
    <row r="840" spans="1:26" ht="11.25" customHeight="1">
      <c r="A840" s="109"/>
      <c r="B840" s="109"/>
      <c r="C840" s="109"/>
      <c r="D840" s="109"/>
      <c r="E840" s="109"/>
      <c r="F840" s="109"/>
      <c r="G840" s="109"/>
      <c r="H840" s="109"/>
      <c r="I840" s="109"/>
      <c r="J840" s="109"/>
      <c r="K840" s="109"/>
      <c r="L840" s="109"/>
      <c r="M840" s="109"/>
      <c r="N840" s="109"/>
      <c r="O840" s="109"/>
      <c r="P840" s="109"/>
      <c r="Q840" s="109"/>
      <c r="R840" s="109"/>
      <c r="S840" s="109"/>
      <c r="T840" s="109"/>
      <c r="U840" s="109"/>
      <c r="V840" s="109"/>
      <c r="W840" s="109"/>
      <c r="X840" s="109"/>
      <c r="Y840" s="109"/>
      <c r="Z840" s="109"/>
    </row>
    <row r="841" spans="1:26" ht="11.25" customHeight="1">
      <c r="A841" s="109"/>
      <c r="B841" s="109"/>
      <c r="C841" s="109"/>
      <c r="D841" s="109"/>
      <c r="E841" s="109"/>
      <c r="F841" s="109"/>
      <c r="G841" s="109"/>
      <c r="H841" s="109"/>
      <c r="I841" s="109"/>
      <c r="J841" s="109"/>
      <c r="K841" s="109"/>
      <c r="L841" s="109"/>
      <c r="M841" s="109"/>
      <c r="N841" s="109"/>
      <c r="O841" s="109"/>
      <c r="P841" s="109"/>
      <c r="Q841" s="109"/>
      <c r="R841" s="109"/>
      <c r="S841" s="109"/>
      <c r="T841" s="109"/>
      <c r="U841" s="109"/>
      <c r="V841" s="109"/>
      <c r="W841" s="109"/>
      <c r="X841" s="109"/>
      <c r="Y841" s="109"/>
      <c r="Z841" s="109"/>
    </row>
    <row r="842" spans="1:26" ht="11.25" customHeight="1">
      <c r="A842" s="109"/>
      <c r="B842" s="109"/>
      <c r="C842" s="109"/>
      <c r="D842" s="109"/>
      <c r="E842" s="109"/>
      <c r="F842" s="109"/>
      <c r="G842" s="109"/>
      <c r="H842" s="109"/>
      <c r="I842" s="109"/>
      <c r="J842" s="109"/>
      <c r="K842" s="109"/>
      <c r="L842" s="109"/>
      <c r="M842" s="109"/>
      <c r="N842" s="109"/>
      <c r="O842" s="109"/>
      <c r="P842" s="109"/>
      <c r="Q842" s="109"/>
      <c r="R842" s="109"/>
      <c r="S842" s="109"/>
      <c r="T842" s="109"/>
      <c r="U842" s="109"/>
      <c r="V842" s="109"/>
      <c r="W842" s="109"/>
      <c r="X842" s="109"/>
      <c r="Y842" s="109"/>
      <c r="Z842" s="109"/>
    </row>
    <row r="843" spans="1:26" ht="11.25" customHeight="1">
      <c r="A843" s="109"/>
      <c r="B843" s="109"/>
      <c r="C843" s="109"/>
      <c r="D843" s="109"/>
      <c r="E843" s="109"/>
      <c r="F843" s="109"/>
      <c r="G843" s="109"/>
      <c r="H843" s="109"/>
      <c r="I843" s="109"/>
      <c r="J843" s="109"/>
      <c r="K843" s="109"/>
      <c r="L843" s="109"/>
      <c r="M843" s="109"/>
      <c r="N843" s="109"/>
      <c r="O843" s="109"/>
      <c r="P843" s="109"/>
      <c r="Q843" s="109"/>
      <c r="R843" s="109"/>
      <c r="S843" s="109"/>
      <c r="T843" s="109"/>
      <c r="U843" s="109"/>
      <c r="V843" s="109"/>
      <c r="W843" s="109"/>
      <c r="X843" s="109"/>
      <c r="Y843" s="109"/>
      <c r="Z843" s="109"/>
    </row>
    <row r="844" spans="1:26" ht="11.25" customHeight="1">
      <c r="A844" s="109"/>
      <c r="B844" s="109"/>
      <c r="C844" s="109"/>
      <c r="D844" s="109"/>
      <c r="E844" s="109"/>
      <c r="F844" s="109"/>
      <c r="G844" s="109"/>
      <c r="H844" s="109"/>
      <c r="I844" s="109"/>
      <c r="J844" s="109"/>
      <c r="K844" s="109"/>
      <c r="L844" s="109"/>
      <c r="M844" s="109"/>
      <c r="N844" s="109"/>
      <c r="O844" s="109"/>
      <c r="P844" s="109"/>
      <c r="Q844" s="109"/>
      <c r="R844" s="109"/>
      <c r="S844" s="109"/>
      <c r="T844" s="109"/>
      <c r="U844" s="109"/>
      <c r="V844" s="109"/>
      <c r="W844" s="109"/>
      <c r="X844" s="109"/>
      <c r="Y844" s="109"/>
      <c r="Z844" s="109"/>
    </row>
    <row r="845" spans="1:26" ht="11.25" customHeight="1">
      <c r="A845" s="109"/>
      <c r="B845" s="109"/>
      <c r="C845" s="109"/>
      <c r="D845" s="109"/>
      <c r="E845" s="109"/>
      <c r="F845" s="109"/>
      <c r="G845" s="109"/>
      <c r="H845" s="109"/>
      <c r="I845" s="109"/>
      <c r="J845" s="109"/>
      <c r="K845" s="109"/>
      <c r="L845" s="109"/>
      <c r="M845" s="109"/>
      <c r="N845" s="109"/>
      <c r="O845" s="109"/>
      <c r="P845" s="109"/>
      <c r="Q845" s="109"/>
      <c r="R845" s="109"/>
      <c r="S845" s="109"/>
      <c r="T845" s="109"/>
      <c r="U845" s="109"/>
      <c r="V845" s="109"/>
      <c r="W845" s="109"/>
      <c r="X845" s="109"/>
      <c r="Y845" s="109"/>
      <c r="Z845" s="109"/>
    </row>
    <row r="846" spans="1:26" ht="11.25" customHeight="1">
      <c r="A846" s="109"/>
      <c r="B846" s="109"/>
      <c r="C846" s="109"/>
      <c r="D846" s="109"/>
      <c r="E846" s="109"/>
      <c r="F846" s="109"/>
      <c r="G846" s="109"/>
      <c r="H846" s="109"/>
      <c r="I846" s="109"/>
      <c r="J846" s="109"/>
      <c r="K846" s="109"/>
      <c r="L846" s="109"/>
      <c r="M846" s="109"/>
      <c r="N846" s="109"/>
      <c r="O846" s="109"/>
      <c r="P846" s="109"/>
      <c r="Q846" s="109"/>
      <c r="R846" s="109"/>
      <c r="S846" s="109"/>
      <c r="T846" s="109"/>
      <c r="U846" s="109"/>
      <c r="V846" s="109"/>
      <c r="W846" s="109"/>
      <c r="X846" s="109"/>
      <c r="Y846" s="109"/>
      <c r="Z846" s="109"/>
    </row>
    <row r="847" spans="1:26" ht="11.25" customHeight="1">
      <c r="A847" s="109"/>
      <c r="B847" s="109"/>
      <c r="C847" s="109"/>
      <c r="D847" s="109"/>
      <c r="E847" s="109"/>
      <c r="F847" s="109"/>
      <c r="G847" s="109"/>
      <c r="H847" s="109"/>
      <c r="I847" s="109"/>
      <c r="J847" s="109"/>
      <c r="K847" s="109"/>
      <c r="L847" s="109"/>
      <c r="M847" s="109"/>
      <c r="N847" s="109"/>
      <c r="O847" s="109"/>
      <c r="P847" s="109"/>
      <c r="Q847" s="109"/>
      <c r="R847" s="109"/>
      <c r="S847" s="109"/>
      <c r="T847" s="109"/>
      <c r="U847" s="109"/>
      <c r="V847" s="109"/>
      <c r="W847" s="109"/>
      <c r="X847" s="109"/>
      <c r="Y847" s="109"/>
      <c r="Z847" s="109"/>
    </row>
    <row r="848" spans="1:26" ht="11.25" customHeight="1">
      <c r="A848" s="109"/>
      <c r="B848" s="109"/>
      <c r="C848" s="109"/>
      <c r="D848" s="109"/>
      <c r="E848" s="109"/>
      <c r="F848" s="109"/>
      <c r="G848" s="109"/>
      <c r="H848" s="109"/>
      <c r="I848" s="109"/>
      <c r="J848" s="109"/>
      <c r="K848" s="109"/>
      <c r="L848" s="109"/>
      <c r="M848" s="109"/>
      <c r="N848" s="109"/>
      <c r="O848" s="109"/>
      <c r="P848" s="109"/>
      <c r="Q848" s="109"/>
      <c r="R848" s="109"/>
      <c r="S848" s="109"/>
      <c r="T848" s="109"/>
      <c r="U848" s="109"/>
      <c r="V848" s="109"/>
      <c r="W848" s="109"/>
      <c r="X848" s="109"/>
      <c r="Y848" s="109"/>
      <c r="Z848" s="109"/>
    </row>
    <row r="849" spans="1:26" ht="11.25" customHeight="1">
      <c r="A849" s="109"/>
      <c r="B849" s="109"/>
      <c r="C849" s="109"/>
      <c r="D849" s="109"/>
      <c r="E849" s="109"/>
      <c r="F849" s="109"/>
      <c r="G849" s="109"/>
      <c r="H849" s="109"/>
      <c r="I849" s="109"/>
      <c r="J849" s="109"/>
      <c r="K849" s="109"/>
      <c r="L849" s="109"/>
      <c r="M849" s="109"/>
      <c r="N849" s="109"/>
      <c r="O849" s="109"/>
      <c r="P849" s="109"/>
      <c r="Q849" s="109"/>
      <c r="R849" s="109"/>
      <c r="S849" s="109"/>
      <c r="T849" s="109"/>
      <c r="U849" s="109"/>
      <c r="V849" s="109"/>
      <c r="W849" s="109"/>
      <c r="X849" s="109"/>
      <c r="Y849" s="109"/>
      <c r="Z849" s="109"/>
    </row>
    <row r="850" spans="1:26" ht="11.25" customHeight="1">
      <c r="A850" s="109"/>
      <c r="B850" s="109"/>
      <c r="C850" s="109"/>
      <c r="D850" s="109"/>
      <c r="E850" s="109"/>
      <c r="F850" s="109"/>
      <c r="G850" s="109"/>
      <c r="H850" s="109"/>
      <c r="I850" s="109"/>
      <c r="J850" s="109"/>
      <c r="K850" s="109"/>
      <c r="L850" s="109"/>
      <c r="M850" s="109"/>
      <c r="N850" s="109"/>
      <c r="O850" s="109"/>
      <c r="P850" s="109"/>
      <c r="Q850" s="109"/>
      <c r="R850" s="109"/>
      <c r="S850" s="109"/>
      <c r="T850" s="109"/>
      <c r="U850" s="109"/>
      <c r="V850" s="109"/>
      <c r="W850" s="109"/>
      <c r="X850" s="109"/>
      <c r="Y850" s="109"/>
      <c r="Z850" s="109"/>
    </row>
    <row r="851" spans="1:26" ht="11.25" customHeight="1">
      <c r="A851" s="109"/>
      <c r="B851" s="109"/>
      <c r="C851" s="109"/>
      <c r="D851" s="109"/>
      <c r="E851" s="109"/>
      <c r="F851" s="109"/>
      <c r="G851" s="109"/>
      <c r="H851" s="109"/>
      <c r="I851" s="109"/>
      <c r="J851" s="109"/>
      <c r="K851" s="109"/>
      <c r="L851" s="109"/>
      <c r="M851" s="109"/>
      <c r="N851" s="109"/>
      <c r="O851" s="109"/>
      <c r="P851" s="109"/>
      <c r="Q851" s="109"/>
      <c r="R851" s="109"/>
      <c r="S851" s="109"/>
      <c r="T851" s="109"/>
      <c r="U851" s="109"/>
      <c r="V851" s="109"/>
      <c r="W851" s="109"/>
      <c r="X851" s="109"/>
      <c r="Y851" s="109"/>
      <c r="Z851" s="109"/>
    </row>
    <row r="852" spans="1:26" ht="11.25" customHeight="1">
      <c r="A852" s="109"/>
      <c r="B852" s="109"/>
      <c r="C852" s="109"/>
      <c r="D852" s="109"/>
      <c r="E852" s="109"/>
      <c r="F852" s="109"/>
      <c r="G852" s="109"/>
      <c r="H852" s="109"/>
      <c r="I852" s="109"/>
      <c r="J852" s="109"/>
      <c r="K852" s="109"/>
      <c r="L852" s="109"/>
      <c r="M852" s="109"/>
      <c r="N852" s="109"/>
      <c r="O852" s="109"/>
      <c r="P852" s="109"/>
      <c r="Q852" s="109"/>
      <c r="R852" s="109"/>
      <c r="S852" s="109"/>
      <c r="T852" s="109"/>
      <c r="U852" s="109"/>
      <c r="V852" s="109"/>
      <c r="W852" s="109"/>
      <c r="X852" s="109"/>
      <c r="Y852" s="109"/>
      <c r="Z852" s="109"/>
    </row>
    <row r="853" spans="1:26" ht="11.25" customHeight="1">
      <c r="A853" s="109"/>
      <c r="B853" s="109"/>
      <c r="C853" s="109"/>
      <c r="D853" s="109"/>
      <c r="E853" s="109"/>
      <c r="F853" s="109"/>
      <c r="G853" s="109"/>
      <c r="H853" s="109"/>
      <c r="I853" s="109"/>
      <c r="J853" s="109"/>
      <c r="K853" s="109"/>
      <c r="L853" s="109"/>
      <c r="M853" s="109"/>
      <c r="N853" s="109"/>
      <c r="O853" s="109"/>
      <c r="P853" s="109"/>
      <c r="Q853" s="109"/>
      <c r="R853" s="109"/>
      <c r="S853" s="109"/>
      <c r="T853" s="109"/>
      <c r="U853" s="109"/>
      <c r="V853" s="109"/>
      <c r="W853" s="109"/>
      <c r="X853" s="109"/>
      <c r="Y853" s="109"/>
      <c r="Z853" s="109"/>
    </row>
    <row r="854" spans="1:26" ht="11.25" customHeight="1">
      <c r="A854" s="109"/>
      <c r="B854" s="109"/>
      <c r="C854" s="109"/>
      <c r="D854" s="109"/>
      <c r="E854" s="109"/>
      <c r="F854" s="109"/>
      <c r="G854" s="109"/>
      <c r="H854" s="109"/>
      <c r="I854" s="109"/>
      <c r="J854" s="109"/>
      <c r="K854" s="109"/>
      <c r="L854" s="109"/>
      <c r="M854" s="109"/>
      <c r="N854" s="109"/>
      <c r="O854" s="109"/>
      <c r="P854" s="109"/>
      <c r="Q854" s="109"/>
      <c r="R854" s="109"/>
      <c r="S854" s="109"/>
      <c r="T854" s="109"/>
      <c r="U854" s="109"/>
      <c r="V854" s="109"/>
      <c r="W854" s="109"/>
      <c r="X854" s="109"/>
      <c r="Y854" s="109"/>
      <c r="Z854" s="109"/>
    </row>
    <row r="855" spans="1:26" ht="11.25" customHeight="1">
      <c r="A855" s="109"/>
      <c r="B855" s="109"/>
      <c r="C855" s="109"/>
      <c r="D855" s="109"/>
      <c r="E855" s="109"/>
      <c r="F855" s="109"/>
      <c r="G855" s="109"/>
      <c r="H855" s="109"/>
      <c r="I855" s="109"/>
      <c r="J855" s="109"/>
      <c r="K855" s="109"/>
      <c r="L855" s="109"/>
      <c r="M855" s="109"/>
      <c r="N855" s="109"/>
      <c r="O855" s="109"/>
      <c r="P855" s="109"/>
      <c r="Q855" s="109"/>
      <c r="R855" s="109"/>
      <c r="S855" s="109"/>
      <c r="T855" s="109"/>
      <c r="U855" s="109"/>
      <c r="V855" s="109"/>
      <c r="W855" s="109"/>
      <c r="X855" s="109"/>
      <c r="Y855" s="109"/>
      <c r="Z855" s="109"/>
    </row>
    <row r="856" spans="1:26" ht="11.25" customHeight="1">
      <c r="A856" s="109"/>
      <c r="B856" s="109"/>
      <c r="C856" s="109"/>
      <c r="D856" s="109"/>
      <c r="E856" s="109"/>
      <c r="F856" s="109"/>
      <c r="G856" s="109"/>
      <c r="H856" s="109"/>
      <c r="I856" s="109"/>
      <c r="J856" s="109"/>
      <c r="K856" s="109"/>
      <c r="L856" s="109"/>
      <c r="M856" s="109"/>
      <c r="N856" s="109"/>
      <c r="O856" s="109"/>
      <c r="P856" s="109"/>
      <c r="Q856" s="109"/>
      <c r="R856" s="109"/>
      <c r="S856" s="109"/>
      <c r="T856" s="109"/>
      <c r="U856" s="109"/>
      <c r="V856" s="109"/>
      <c r="W856" s="109"/>
      <c r="X856" s="109"/>
      <c r="Y856" s="109"/>
      <c r="Z856" s="109"/>
    </row>
    <row r="857" spans="1:26" ht="11.25" customHeight="1">
      <c r="A857" s="109"/>
      <c r="B857" s="109"/>
      <c r="C857" s="109"/>
      <c r="D857" s="109"/>
      <c r="E857" s="109"/>
      <c r="F857" s="109"/>
      <c r="G857" s="109"/>
      <c r="H857" s="109"/>
      <c r="I857" s="109"/>
      <c r="J857" s="109"/>
      <c r="K857" s="109"/>
      <c r="L857" s="109"/>
      <c r="M857" s="109"/>
      <c r="N857" s="109"/>
      <c r="O857" s="109"/>
      <c r="P857" s="109"/>
      <c r="Q857" s="109"/>
      <c r="R857" s="109"/>
      <c r="S857" s="109"/>
      <c r="T857" s="109"/>
      <c r="U857" s="109"/>
      <c r="V857" s="109"/>
      <c r="W857" s="109"/>
      <c r="X857" s="109"/>
      <c r="Y857" s="109"/>
      <c r="Z857" s="109"/>
    </row>
    <row r="858" spans="1:26" ht="11.25" customHeight="1">
      <c r="A858" s="109"/>
      <c r="B858" s="109"/>
      <c r="C858" s="109"/>
      <c r="D858" s="109"/>
      <c r="E858" s="109"/>
      <c r="F858" s="109"/>
      <c r="G858" s="109"/>
      <c r="H858" s="109"/>
      <c r="I858" s="109"/>
      <c r="J858" s="109"/>
      <c r="K858" s="109"/>
      <c r="L858" s="109"/>
      <c r="M858" s="109"/>
      <c r="N858" s="109"/>
      <c r="O858" s="109"/>
      <c r="P858" s="109"/>
      <c r="Q858" s="109"/>
      <c r="R858" s="109"/>
      <c r="S858" s="109"/>
      <c r="T858" s="109"/>
      <c r="U858" s="109"/>
      <c r="V858" s="109"/>
      <c r="W858" s="109"/>
      <c r="X858" s="109"/>
      <c r="Y858" s="109"/>
      <c r="Z858" s="109"/>
    </row>
    <row r="859" spans="1:26" ht="11.25" customHeight="1">
      <c r="A859" s="109"/>
      <c r="B859" s="109"/>
      <c r="C859" s="109"/>
      <c r="D859" s="109"/>
      <c r="E859" s="109"/>
      <c r="F859" s="109"/>
      <c r="G859" s="109"/>
      <c r="H859" s="109"/>
      <c r="I859" s="109"/>
      <c r="J859" s="109"/>
      <c r="K859" s="109"/>
      <c r="L859" s="109"/>
      <c r="M859" s="109"/>
      <c r="N859" s="109"/>
      <c r="O859" s="109"/>
      <c r="P859" s="109"/>
      <c r="Q859" s="109"/>
      <c r="R859" s="109"/>
      <c r="S859" s="109"/>
      <c r="T859" s="109"/>
      <c r="U859" s="109"/>
      <c r="V859" s="109"/>
      <c r="W859" s="109"/>
      <c r="X859" s="109"/>
      <c r="Y859" s="109"/>
      <c r="Z859" s="109"/>
    </row>
    <row r="860" spans="1:26" ht="11.25" customHeight="1">
      <c r="A860" s="109"/>
      <c r="B860" s="109"/>
      <c r="C860" s="109"/>
      <c r="D860" s="109"/>
      <c r="E860" s="109"/>
      <c r="F860" s="109"/>
      <c r="G860" s="109"/>
      <c r="H860" s="109"/>
      <c r="I860" s="109"/>
      <c r="J860" s="109"/>
      <c r="K860" s="109"/>
      <c r="L860" s="109"/>
      <c r="M860" s="109"/>
      <c r="N860" s="109"/>
      <c r="O860" s="109"/>
      <c r="P860" s="109"/>
      <c r="Q860" s="109"/>
      <c r="R860" s="109"/>
      <c r="S860" s="109"/>
      <c r="T860" s="109"/>
      <c r="U860" s="109"/>
      <c r="V860" s="109"/>
      <c r="W860" s="109"/>
      <c r="X860" s="109"/>
      <c r="Y860" s="109"/>
      <c r="Z860" s="109"/>
    </row>
    <row r="861" spans="1:26" ht="11.25" customHeight="1">
      <c r="A861" s="109"/>
      <c r="B861" s="109"/>
      <c r="C861" s="109"/>
      <c r="D861" s="109"/>
      <c r="E861" s="109"/>
      <c r="F861" s="109"/>
      <c r="G861" s="109"/>
      <c r="H861" s="109"/>
      <c r="I861" s="109"/>
      <c r="J861" s="109"/>
      <c r="K861" s="109"/>
      <c r="L861" s="109"/>
      <c r="M861" s="109"/>
      <c r="N861" s="109"/>
      <c r="O861" s="109"/>
      <c r="P861" s="109"/>
      <c r="Q861" s="109"/>
      <c r="R861" s="109"/>
      <c r="S861" s="109"/>
      <c r="T861" s="109"/>
      <c r="U861" s="109"/>
      <c r="V861" s="109"/>
      <c r="W861" s="109"/>
      <c r="X861" s="109"/>
      <c r="Y861" s="109"/>
      <c r="Z861" s="109"/>
    </row>
    <row r="862" spans="1:26" ht="11.25" customHeight="1">
      <c r="A862" s="109"/>
      <c r="B862" s="109"/>
      <c r="C862" s="109"/>
      <c r="D862" s="109"/>
      <c r="E862" s="109"/>
      <c r="F862" s="109"/>
      <c r="G862" s="109"/>
      <c r="H862" s="109"/>
      <c r="I862" s="109"/>
      <c r="J862" s="109"/>
      <c r="K862" s="109"/>
      <c r="L862" s="109"/>
      <c r="M862" s="109"/>
      <c r="N862" s="109"/>
      <c r="O862" s="109"/>
      <c r="P862" s="109"/>
      <c r="Q862" s="109"/>
      <c r="R862" s="109"/>
      <c r="S862" s="109"/>
      <c r="T862" s="109"/>
      <c r="U862" s="109"/>
      <c r="V862" s="109"/>
      <c r="W862" s="109"/>
      <c r="X862" s="109"/>
      <c r="Y862" s="109"/>
      <c r="Z862" s="109"/>
    </row>
    <row r="863" spans="1:26" ht="11.25" customHeight="1">
      <c r="A863" s="109"/>
      <c r="B863" s="109"/>
      <c r="C863" s="109"/>
      <c r="D863" s="109"/>
      <c r="E863" s="109"/>
      <c r="F863" s="109"/>
      <c r="G863" s="109"/>
      <c r="H863" s="109"/>
      <c r="I863" s="109"/>
      <c r="J863" s="109"/>
      <c r="K863" s="109"/>
      <c r="L863" s="109"/>
      <c r="M863" s="109"/>
      <c r="N863" s="109"/>
      <c r="O863" s="109"/>
      <c r="P863" s="109"/>
      <c r="Q863" s="109"/>
      <c r="R863" s="109"/>
      <c r="S863" s="109"/>
      <c r="T863" s="109"/>
      <c r="U863" s="109"/>
      <c r="V863" s="109"/>
      <c r="W863" s="109"/>
      <c r="X863" s="109"/>
      <c r="Y863" s="109"/>
      <c r="Z863" s="109"/>
    </row>
    <row r="864" spans="1:26" ht="11.25" customHeight="1">
      <c r="A864" s="109"/>
      <c r="B864" s="109"/>
      <c r="C864" s="109"/>
      <c r="D864" s="109"/>
      <c r="E864" s="109"/>
      <c r="F864" s="109"/>
      <c r="G864" s="109"/>
      <c r="H864" s="109"/>
      <c r="I864" s="109"/>
      <c r="J864" s="109"/>
      <c r="K864" s="109"/>
      <c r="L864" s="109"/>
      <c r="M864" s="109"/>
      <c r="N864" s="109"/>
      <c r="O864" s="109"/>
      <c r="P864" s="109"/>
      <c r="Q864" s="109"/>
      <c r="R864" s="109"/>
      <c r="S864" s="109"/>
      <c r="T864" s="109"/>
      <c r="U864" s="109"/>
      <c r="V864" s="109"/>
      <c r="W864" s="109"/>
      <c r="X864" s="109"/>
      <c r="Y864" s="109"/>
      <c r="Z864" s="109"/>
    </row>
    <row r="865" spans="1:26" ht="11.25" customHeight="1">
      <c r="A865" s="109"/>
      <c r="B865" s="109"/>
      <c r="C865" s="109"/>
      <c r="D865" s="109"/>
      <c r="E865" s="109"/>
      <c r="F865" s="109"/>
      <c r="G865" s="109"/>
      <c r="H865" s="109"/>
      <c r="I865" s="109"/>
      <c r="J865" s="109"/>
      <c r="K865" s="109"/>
      <c r="L865" s="109"/>
      <c r="M865" s="109"/>
      <c r="N865" s="109"/>
      <c r="O865" s="109"/>
      <c r="P865" s="109"/>
      <c r="Q865" s="109"/>
      <c r="R865" s="109"/>
      <c r="S865" s="109"/>
      <c r="T865" s="109"/>
      <c r="U865" s="109"/>
      <c r="V865" s="109"/>
      <c r="W865" s="109"/>
      <c r="X865" s="109"/>
      <c r="Y865" s="109"/>
      <c r="Z865" s="109"/>
    </row>
    <row r="866" spans="1:26" ht="11.25" customHeight="1">
      <c r="A866" s="109"/>
      <c r="B866" s="109"/>
      <c r="C866" s="109"/>
      <c r="D866" s="109"/>
      <c r="E866" s="109"/>
      <c r="F866" s="109"/>
      <c r="G866" s="109"/>
      <c r="H866" s="109"/>
      <c r="I866" s="109"/>
      <c r="J866" s="109"/>
      <c r="K866" s="109"/>
      <c r="L866" s="109"/>
      <c r="M866" s="109"/>
      <c r="N866" s="109"/>
      <c r="O866" s="109"/>
      <c r="P866" s="109"/>
      <c r="Q866" s="109"/>
      <c r="R866" s="109"/>
      <c r="S866" s="109"/>
      <c r="T866" s="109"/>
      <c r="U866" s="109"/>
      <c r="V866" s="109"/>
      <c r="W866" s="109"/>
      <c r="X866" s="109"/>
      <c r="Y866" s="109"/>
      <c r="Z866" s="109"/>
    </row>
    <row r="867" spans="1:26" ht="11.25" customHeight="1">
      <c r="A867" s="109"/>
      <c r="B867" s="109"/>
      <c r="C867" s="109"/>
      <c r="D867" s="109"/>
      <c r="E867" s="109"/>
      <c r="F867" s="109"/>
      <c r="G867" s="109"/>
      <c r="H867" s="109"/>
      <c r="I867" s="109"/>
      <c r="J867" s="109"/>
      <c r="K867" s="109"/>
      <c r="L867" s="109"/>
      <c r="M867" s="109"/>
      <c r="N867" s="109"/>
      <c r="O867" s="109"/>
      <c r="P867" s="109"/>
      <c r="Q867" s="109"/>
      <c r="R867" s="109"/>
      <c r="S867" s="109"/>
      <c r="T867" s="109"/>
      <c r="U867" s="109"/>
      <c r="V867" s="109"/>
      <c r="W867" s="109"/>
      <c r="X867" s="109"/>
      <c r="Y867" s="109"/>
      <c r="Z867" s="109"/>
    </row>
    <row r="868" spans="1:26" ht="11.25" customHeight="1">
      <c r="A868" s="109"/>
      <c r="B868" s="109"/>
      <c r="C868" s="109"/>
      <c r="D868" s="109"/>
      <c r="E868" s="109"/>
      <c r="F868" s="109"/>
      <c r="G868" s="109"/>
      <c r="H868" s="109"/>
      <c r="I868" s="109"/>
      <c r="J868" s="109"/>
      <c r="K868" s="109"/>
      <c r="L868" s="109"/>
      <c r="M868" s="109"/>
      <c r="N868" s="109"/>
      <c r="O868" s="109"/>
      <c r="P868" s="109"/>
      <c r="Q868" s="109"/>
      <c r="R868" s="109"/>
      <c r="S868" s="109"/>
      <c r="T868" s="109"/>
      <c r="U868" s="109"/>
      <c r="V868" s="109"/>
      <c r="W868" s="109"/>
      <c r="X868" s="109"/>
      <c r="Y868" s="109"/>
      <c r="Z868" s="109"/>
    </row>
    <row r="869" spans="1:26" ht="11.25" customHeight="1">
      <c r="A869" s="109"/>
      <c r="B869" s="109"/>
      <c r="C869" s="109"/>
      <c r="D869" s="109"/>
      <c r="E869" s="109"/>
      <c r="F869" s="109"/>
      <c r="G869" s="109"/>
      <c r="H869" s="109"/>
      <c r="I869" s="109"/>
      <c r="J869" s="109"/>
      <c r="K869" s="109"/>
      <c r="L869" s="109"/>
      <c r="M869" s="109"/>
      <c r="N869" s="109"/>
      <c r="O869" s="109"/>
      <c r="P869" s="109"/>
      <c r="Q869" s="109"/>
      <c r="R869" s="109"/>
      <c r="S869" s="109"/>
      <c r="T869" s="109"/>
      <c r="U869" s="109"/>
      <c r="V869" s="109"/>
      <c r="W869" s="109"/>
      <c r="X869" s="109"/>
      <c r="Y869" s="109"/>
      <c r="Z869" s="109"/>
    </row>
    <row r="870" spans="1:26" ht="11.25" customHeight="1">
      <c r="A870" s="109"/>
      <c r="B870" s="109"/>
      <c r="C870" s="109"/>
      <c r="D870" s="109"/>
      <c r="E870" s="109"/>
      <c r="F870" s="109"/>
      <c r="G870" s="109"/>
      <c r="H870" s="109"/>
      <c r="I870" s="109"/>
      <c r="J870" s="109"/>
      <c r="K870" s="109"/>
      <c r="L870" s="109"/>
      <c r="M870" s="109"/>
      <c r="N870" s="109"/>
      <c r="O870" s="109"/>
      <c r="P870" s="109"/>
      <c r="Q870" s="109"/>
      <c r="R870" s="109"/>
      <c r="S870" s="109"/>
      <c r="T870" s="109"/>
      <c r="U870" s="109"/>
      <c r="V870" s="109"/>
      <c r="W870" s="109"/>
      <c r="X870" s="109"/>
      <c r="Y870" s="109"/>
      <c r="Z870" s="109"/>
    </row>
    <row r="871" spans="1:26" ht="11.25" customHeight="1">
      <c r="A871" s="109"/>
      <c r="B871" s="109"/>
      <c r="C871" s="109"/>
      <c r="D871" s="109"/>
      <c r="E871" s="109"/>
      <c r="F871" s="109"/>
      <c r="G871" s="109"/>
      <c r="H871" s="109"/>
      <c r="I871" s="109"/>
      <c r="J871" s="109"/>
      <c r="K871" s="109"/>
      <c r="L871" s="109"/>
      <c r="M871" s="109"/>
      <c r="N871" s="109"/>
      <c r="O871" s="109"/>
      <c r="P871" s="109"/>
      <c r="Q871" s="109"/>
      <c r="R871" s="109"/>
      <c r="S871" s="109"/>
      <c r="T871" s="109"/>
      <c r="U871" s="109"/>
      <c r="V871" s="109"/>
      <c r="W871" s="109"/>
      <c r="X871" s="109"/>
      <c r="Y871" s="109"/>
      <c r="Z871" s="109"/>
    </row>
    <row r="872" spans="1:26" ht="11.25" customHeight="1">
      <c r="A872" s="109"/>
      <c r="B872" s="109"/>
      <c r="C872" s="109"/>
      <c r="D872" s="109"/>
      <c r="E872" s="109"/>
      <c r="F872" s="109"/>
      <c r="G872" s="109"/>
      <c r="H872" s="109"/>
      <c r="I872" s="109"/>
      <c r="J872" s="109"/>
      <c r="K872" s="109"/>
      <c r="L872" s="109"/>
      <c r="M872" s="109"/>
      <c r="N872" s="109"/>
      <c r="O872" s="109"/>
      <c r="P872" s="109"/>
      <c r="Q872" s="109"/>
      <c r="R872" s="109"/>
      <c r="S872" s="109"/>
      <c r="T872" s="109"/>
      <c r="U872" s="109"/>
      <c r="V872" s="109"/>
      <c r="W872" s="109"/>
      <c r="X872" s="109"/>
      <c r="Y872" s="109"/>
      <c r="Z872" s="109"/>
    </row>
    <row r="873" spans="1:26" ht="11.25" customHeight="1">
      <c r="A873" s="109"/>
      <c r="B873" s="109"/>
      <c r="C873" s="109"/>
      <c r="D873" s="109"/>
      <c r="E873" s="109"/>
      <c r="F873" s="109"/>
      <c r="G873" s="109"/>
      <c r="H873" s="109"/>
      <c r="I873" s="109"/>
      <c r="J873" s="109"/>
      <c r="K873" s="109"/>
      <c r="L873" s="109"/>
      <c r="M873" s="109"/>
      <c r="N873" s="109"/>
      <c r="O873" s="109"/>
      <c r="P873" s="109"/>
      <c r="Q873" s="109"/>
      <c r="R873" s="109"/>
      <c r="S873" s="109"/>
      <c r="T873" s="109"/>
      <c r="U873" s="109"/>
      <c r="V873" s="109"/>
      <c r="W873" s="109"/>
      <c r="X873" s="109"/>
      <c r="Y873" s="109"/>
      <c r="Z873" s="109"/>
    </row>
    <row r="874" spans="1:26" ht="11.25" customHeight="1">
      <c r="A874" s="109"/>
      <c r="B874" s="109"/>
      <c r="C874" s="109"/>
      <c r="D874" s="109"/>
      <c r="E874" s="109"/>
      <c r="F874" s="109"/>
      <c r="G874" s="109"/>
      <c r="H874" s="109"/>
      <c r="I874" s="109"/>
      <c r="J874" s="109"/>
      <c r="K874" s="109"/>
      <c r="L874" s="109"/>
      <c r="M874" s="109"/>
      <c r="N874" s="109"/>
      <c r="O874" s="109"/>
      <c r="P874" s="109"/>
      <c r="Q874" s="109"/>
      <c r="R874" s="109"/>
      <c r="S874" s="109"/>
      <c r="T874" s="109"/>
      <c r="U874" s="109"/>
      <c r="V874" s="109"/>
      <c r="W874" s="109"/>
      <c r="X874" s="109"/>
      <c r="Y874" s="109"/>
      <c r="Z874" s="109"/>
    </row>
    <row r="875" spans="1:26" ht="11.25" customHeight="1">
      <c r="A875" s="109"/>
      <c r="B875" s="109"/>
      <c r="C875" s="109"/>
      <c r="D875" s="109"/>
      <c r="E875" s="109"/>
      <c r="F875" s="109"/>
      <c r="G875" s="109"/>
      <c r="H875" s="109"/>
      <c r="I875" s="109"/>
      <c r="J875" s="109"/>
      <c r="K875" s="109"/>
      <c r="L875" s="109"/>
      <c r="M875" s="109"/>
      <c r="N875" s="109"/>
      <c r="O875" s="109"/>
      <c r="P875" s="109"/>
      <c r="Q875" s="109"/>
      <c r="R875" s="109"/>
      <c r="S875" s="109"/>
      <c r="T875" s="109"/>
      <c r="U875" s="109"/>
      <c r="V875" s="109"/>
      <c r="W875" s="109"/>
      <c r="X875" s="109"/>
      <c r="Y875" s="109"/>
      <c r="Z875" s="109"/>
    </row>
    <row r="876" spans="1:26" ht="11.25" customHeight="1">
      <c r="A876" s="109"/>
      <c r="B876" s="109"/>
      <c r="C876" s="109"/>
      <c r="D876" s="109"/>
      <c r="E876" s="109"/>
      <c r="F876" s="109"/>
      <c r="G876" s="109"/>
      <c r="H876" s="109"/>
      <c r="I876" s="109"/>
      <c r="J876" s="109"/>
      <c r="K876" s="109"/>
      <c r="L876" s="109"/>
      <c r="M876" s="109"/>
      <c r="N876" s="109"/>
      <c r="O876" s="109"/>
      <c r="P876" s="109"/>
      <c r="Q876" s="109"/>
      <c r="R876" s="109"/>
      <c r="S876" s="109"/>
      <c r="T876" s="109"/>
      <c r="U876" s="109"/>
      <c r="V876" s="109"/>
      <c r="W876" s="109"/>
      <c r="X876" s="109"/>
      <c r="Y876" s="109"/>
      <c r="Z876" s="109"/>
    </row>
    <row r="877" spans="1:26" ht="11.25" customHeight="1">
      <c r="A877" s="109"/>
      <c r="B877" s="109"/>
      <c r="C877" s="109"/>
      <c r="D877" s="109"/>
      <c r="E877" s="109"/>
      <c r="F877" s="109"/>
      <c r="G877" s="109"/>
      <c r="H877" s="109"/>
      <c r="I877" s="109"/>
      <c r="J877" s="109"/>
      <c r="K877" s="109"/>
      <c r="L877" s="109"/>
      <c r="M877" s="109"/>
      <c r="N877" s="109"/>
      <c r="O877" s="109"/>
      <c r="P877" s="109"/>
      <c r="Q877" s="109"/>
      <c r="R877" s="109"/>
      <c r="S877" s="109"/>
      <c r="T877" s="109"/>
      <c r="U877" s="109"/>
      <c r="V877" s="109"/>
      <c r="W877" s="109"/>
      <c r="X877" s="109"/>
      <c r="Y877" s="109"/>
      <c r="Z877" s="109"/>
    </row>
    <row r="878" spans="1:26" ht="11.25" customHeight="1">
      <c r="A878" s="109"/>
      <c r="B878" s="109"/>
      <c r="C878" s="109"/>
      <c r="D878" s="109"/>
      <c r="E878" s="109"/>
      <c r="F878" s="109"/>
      <c r="G878" s="109"/>
      <c r="H878" s="109"/>
      <c r="I878" s="109"/>
      <c r="J878" s="109"/>
      <c r="K878" s="109"/>
      <c r="L878" s="109"/>
      <c r="M878" s="109"/>
      <c r="N878" s="109"/>
      <c r="O878" s="109"/>
      <c r="P878" s="109"/>
      <c r="Q878" s="109"/>
      <c r="R878" s="109"/>
      <c r="S878" s="109"/>
      <c r="T878" s="109"/>
      <c r="U878" s="109"/>
      <c r="V878" s="109"/>
      <c r="W878" s="109"/>
      <c r="X878" s="109"/>
      <c r="Y878" s="109"/>
      <c r="Z878" s="109"/>
    </row>
    <row r="879" spans="1:26" ht="11.25" customHeight="1">
      <c r="A879" s="109"/>
      <c r="B879" s="109"/>
      <c r="C879" s="109"/>
      <c r="D879" s="109"/>
      <c r="E879" s="109"/>
      <c r="F879" s="109"/>
      <c r="G879" s="109"/>
      <c r="H879" s="109"/>
      <c r="I879" s="109"/>
      <c r="J879" s="109"/>
      <c r="K879" s="109"/>
      <c r="L879" s="109"/>
      <c r="M879" s="109"/>
      <c r="N879" s="109"/>
      <c r="O879" s="109"/>
      <c r="P879" s="109"/>
      <c r="Q879" s="109"/>
      <c r="R879" s="109"/>
      <c r="S879" s="109"/>
      <c r="T879" s="109"/>
      <c r="U879" s="109"/>
      <c r="V879" s="109"/>
      <c r="W879" s="109"/>
      <c r="X879" s="109"/>
      <c r="Y879" s="109"/>
      <c r="Z879" s="109"/>
    </row>
    <row r="880" spans="1:26" ht="11.25" customHeight="1">
      <c r="A880" s="109"/>
      <c r="B880" s="109"/>
      <c r="C880" s="109"/>
      <c r="D880" s="109"/>
      <c r="E880" s="109"/>
      <c r="F880" s="109"/>
      <c r="G880" s="109"/>
      <c r="H880" s="109"/>
      <c r="I880" s="109"/>
      <c r="J880" s="109"/>
      <c r="K880" s="109"/>
      <c r="L880" s="109"/>
      <c r="M880" s="109"/>
      <c r="N880" s="109"/>
      <c r="O880" s="109"/>
      <c r="P880" s="109"/>
      <c r="Q880" s="109"/>
      <c r="R880" s="109"/>
      <c r="S880" s="109"/>
      <c r="T880" s="109"/>
      <c r="U880" s="109"/>
      <c r="V880" s="109"/>
      <c r="W880" s="109"/>
      <c r="X880" s="109"/>
      <c r="Y880" s="109"/>
      <c r="Z880" s="109"/>
    </row>
    <row r="881" spans="1:26" ht="11.25" customHeight="1">
      <c r="A881" s="109"/>
      <c r="B881" s="109"/>
      <c r="C881" s="109"/>
      <c r="D881" s="109"/>
      <c r="E881" s="109"/>
      <c r="F881" s="109"/>
      <c r="G881" s="109"/>
      <c r="H881" s="109"/>
      <c r="I881" s="109"/>
      <c r="J881" s="109"/>
      <c r="K881" s="109"/>
      <c r="L881" s="109"/>
      <c r="M881" s="109"/>
      <c r="N881" s="109"/>
      <c r="O881" s="109"/>
      <c r="P881" s="109"/>
      <c r="Q881" s="109"/>
      <c r="R881" s="109"/>
      <c r="S881" s="109"/>
      <c r="T881" s="109"/>
      <c r="U881" s="109"/>
      <c r="V881" s="109"/>
      <c r="W881" s="109"/>
      <c r="X881" s="109"/>
      <c r="Y881" s="109"/>
      <c r="Z881" s="109"/>
    </row>
    <row r="882" spans="1:26" ht="11.25" customHeight="1">
      <c r="A882" s="109"/>
      <c r="B882" s="109"/>
      <c r="C882" s="109"/>
      <c r="D882" s="109"/>
      <c r="E882" s="109"/>
      <c r="F882" s="109"/>
      <c r="G882" s="109"/>
      <c r="H882" s="109"/>
      <c r="I882" s="109"/>
      <c r="J882" s="109"/>
      <c r="K882" s="109"/>
      <c r="L882" s="109"/>
      <c r="M882" s="109"/>
      <c r="N882" s="109"/>
      <c r="O882" s="109"/>
      <c r="P882" s="109"/>
      <c r="Q882" s="109"/>
      <c r="R882" s="109"/>
      <c r="S882" s="109"/>
      <c r="T882" s="109"/>
      <c r="U882" s="109"/>
      <c r="V882" s="109"/>
      <c r="W882" s="109"/>
      <c r="X882" s="109"/>
      <c r="Y882" s="109"/>
      <c r="Z882" s="109"/>
    </row>
    <row r="883" spans="1:26" ht="11.25" customHeight="1">
      <c r="A883" s="109"/>
      <c r="B883" s="109"/>
      <c r="C883" s="109"/>
      <c r="D883" s="109"/>
      <c r="E883" s="109"/>
      <c r="F883" s="109"/>
      <c r="G883" s="109"/>
      <c r="H883" s="109"/>
      <c r="I883" s="109"/>
      <c r="J883" s="109"/>
      <c r="K883" s="109"/>
      <c r="L883" s="109"/>
      <c r="M883" s="109"/>
      <c r="N883" s="109"/>
      <c r="O883" s="109"/>
      <c r="P883" s="109"/>
      <c r="Q883" s="109"/>
      <c r="R883" s="109"/>
      <c r="S883" s="109"/>
      <c r="T883" s="109"/>
      <c r="U883" s="109"/>
      <c r="V883" s="109"/>
      <c r="W883" s="109"/>
      <c r="X883" s="109"/>
      <c r="Y883" s="109"/>
      <c r="Z883" s="109"/>
    </row>
    <row r="884" spans="1:26" ht="11.25" customHeight="1">
      <c r="A884" s="109"/>
      <c r="B884" s="109"/>
      <c r="C884" s="109"/>
      <c r="D884" s="109"/>
      <c r="E884" s="109"/>
      <c r="F884" s="109"/>
      <c r="G884" s="109"/>
      <c r="H884" s="109"/>
      <c r="I884" s="109"/>
      <c r="J884" s="109"/>
      <c r="K884" s="109"/>
      <c r="L884" s="109"/>
      <c r="M884" s="109"/>
      <c r="N884" s="109"/>
      <c r="O884" s="109"/>
      <c r="P884" s="109"/>
      <c r="Q884" s="109"/>
      <c r="R884" s="109"/>
      <c r="S884" s="109"/>
      <c r="T884" s="109"/>
      <c r="U884" s="109"/>
      <c r="V884" s="109"/>
      <c r="W884" s="109"/>
      <c r="X884" s="109"/>
      <c r="Y884" s="109"/>
      <c r="Z884" s="109"/>
    </row>
    <row r="885" spans="1:26" ht="11.25" customHeight="1">
      <c r="A885" s="109"/>
      <c r="B885" s="109"/>
      <c r="C885" s="109"/>
      <c r="D885" s="109"/>
      <c r="E885" s="109"/>
      <c r="F885" s="109"/>
      <c r="G885" s="109"/>
      <c r="H885" s="109"/>
      <c r="I885" s="109"/>
      <c r="J885" s="109"/>
      <c r="K885" s="109"/>
      <c r="L885" s="109"/>
      <c r="M885" s="109"/>
      <c r="N885" s="109"/>
      <c r="O885" s="109"/>
      <c r="P885" s="109"/>
      <c r="Q885" s="109"/>
      <c r="R885" s="109"/>
      <c r="S885" s="109"/>
      <c r="T885" s="109"/>
      <c r="U885" s="109"/>
      <c r="V885" s="109"/>
      <c r="W885" s="109"/>
      <c r="X885" s="109"/>
      <c r="Y885" s="109"/>
      <c r="Z885" s="109"/>
    </row>
    <row r="886" spans="1:26" ht="11.25" customHeight="1">
      <c r="A886" s="109"/>
      <c r="B886" s="109"/>
      <c r="C886" s="109"/>
      <c r="D886" s="109"/>
      <c r="E886" s="109"/>
      <c r="F886" s="109"/>
      <c r="G886" s="109"/>
      <c r="H886" s="109"/>
      <c r="I886" s="109"/>
      <c r="J886" s="109"/>
      <c r="K886" s="109"/>
      <c r="L886" s="109"/>
      <c r="M886" s="109"/>
      <c r="N886" s="109"/>
      <c r="O886" s="109"/>
      <c r="P886" s="109"/>
      <c r="Q886" s="109"/>
      <c r="R886" s="109"/>
      <c r="S886" s="109"/>
      <c r="T886" s="109"/>
      <c r="U886" s="109"/>
      <c r="V886" s="109"/>
      <c r="W886" s="109"/>
      <c r="X886" s="109"/>
      <c r="Y886" s="109"/>
      <c r="Z886" s="109"/>
    </row>
    <row r="887" spans="1:26" ht="11.25" customHeight="1">
      <c r="A887" s="109"/>
      <c r="B887" s="109"/>
      <c r="C887" s="109"/>
      <c r="D887" s="109"/>
      <c r="E887" s="109"/>
      <c r="F887" s="109"/>
      <c r="G887" s="109"/>
      <c r="H887" s="109"/>
      <c r="I887" s="109"/>
      <c r="J887" s="109"/>
      <c r="K887" s="109"/>
      <c r="L887" s="109"/>
      <c r="M887" s="109"/>
      <c r="N887" s="109"/>
      <c r="O887" s="109"/>
      <c r="P887" s="109"/>
      <c r="Q887" s="109"/>
      <c r="R887" s="109"/>
      <c r="S887" s="109"/>
      <c r="T887" s="109"/>
      <c r="U887" s="109"/>
      <c r="V887" s="109"/>
      <c r="W887" s="109"/>
      <c r="X887" s="109"/>
      <c r="Y887" s="109"/>
      <c r="Z887" s="109"/>
    </row>
    <row r="888" spans="1:26" ht="11.25" customHeight="1">
      <c r="A888" s="109"/>
      <c r="B888" s="109"/>
      <c r="C888" s="109"/>
      <c r="D888" s="109"/>
      <c r="E888" s="109"/>
      <c r="F888" s="109"/>
      <c r="G888" s="109"/>
      <c r="H888" s="109"/>
      <c r="I888" s="109"/>
      <c r="J888" s="109"/>
      <c r="K888" s="109"/>
      <c r="L888" s="109"/>
      <c r="M888" s="109"/>
      <c r="N888" s="109"/>
      <c r="O888" s="109"/>
      <c r="P888" s="109"/>
      <c r="Q888" s="109"/>
      <c r="R888" s="109"/>
      <c r="S888" s="109"/>
      <c r="T888" s="109"/>
      <c r="U888" s="109"/>
      <c r="V888" s="109"/>
      <c r="W888" s="109"/>
      <c r="X888" s="109"/>
      <c r="Y888" s="109"/>
      <c r="Z888" s="109"/>
    </row>
    <row r="889" spans="1:26" ht="11.25" customHeight="1">
      <c r="A889" s="109"/>
      <c r="B889" s="109"/>
      <c r="C889" s="109"/>
      <c r="D889" s="109"/>
      <c r="E889" s="109"/>
      <c r="F889" s="109"/>
      <c r="G889" s="109"/>
      <c r="H889" s="109"/>
      <c r="I889" s="109"/>
      <c r="J889" s="109"/>
      <c r="K889" s="109"/>
      <c r="L889" s="109"/>
      <c r="M889" s="109"/>
      <c r="N889" s="109"/>
      <c r="O889" s="109"/>
      <c r="P889" s="109"/>
      <c r="Q889" s="109"/>
      <c r="R889" s="109"/>
      <c r="S889" s="109"/>
      <c r="T889" s="109"/>
      <c r="U889" s="109"/>
      <c r="V889" s="109"/>
      <c r="W889" s="109"/>
      <c r="X889" s="109"/>
      <c r="Y889" s="109"/>
      <c r="Z889" s="109"/>
    </row>
    <row r="890" spans="1:26" ht="11.25" customHeight="1">
      <c r="A890" s="109"/>
      <c r="B890" s="109"/>
      <c r="C890" s="109"/>
      <c r="D890" s="109"/>
      <c r="E890" s="109"/>
      <c r="F890" s="109"/>
      <c r="G890" s="109"/>
      <c r="H890" s="109"/>
      <c r="I890" s="109"/>
      <c r="J890" s="109"/>
      <c r="K890" s="109"/>
      <c r="L890" s="109"/>
      <c r="M890" s="109"/>
      <c r="N890" s="109"/>
      <c r="O890" s="109"/>
      <c r="P890" s="109"/>
      <c r="Q890" s="109"/>
      <c r="R890" s="109"/>
      <c r="S890" s="109"/>
      <c r="T890" s="109"/>
      <c r="U890" s="109"/>
      <c r="V890" s="109"/>
      <c r="W890" s="109"/>
      <c r="X890" s="109"/>
      <c r="Y890" s="109"/>
      <c r="Z890" s="109"/>
    </row>
    <row r="891" spans="1:26" ht="11.25" customHeight="1">
      <c r="A891" s="109"/>
      <c r="B891" s="109"/>
      <c r="C891" s="109"/>
      <c r="D891" s="109"/>
      <c r="E891" s="109"/>
      <c r="F891" s="109"/>
      <c r="G891" s="109"/>
      <c r="H891" s="109"/>
      <c r="I891" s="109"/>
      <c r="J891" s="109"/>
      <c r="K891" s="109"/>
      <c r="L891" s="109"/>
      <c r="M891" s="109"/>
      <c r="N891" s="109"/>
      <c r="O891" s="109"/>
      <c r="P891" s="109"/>
      <c r="Q891" s="109"/>
      <c r="R891" s="109"/>
      <c r="S891" s="109"/>
      <c r="T891" s="109"/>
      <c r="U891" s="109"/>
      <c r="V891" s="109"/>
      <c r="W891" s="109"/>
      <c r="X891" s="109"/>
      <c r="Y891" s="109"/>
      <c r="Z891" s="109"/>
    </row>
    <row r="892" spans="1:26" ht="11.25" customHeight="1">
      <c r="A892" s="109"/>
      <c r="B892" s="109"/>
      <c r="C892" s="109"/>
      <c r="D892" s="109"/>
      <c r="E892" s="109"/>
      <c r="F892" s="109"/>
      <c r="G892" s="109"/>
      <c r="H892" s="109"/>
      <c r="I892" s="109"/>
      <c r="J892" s="109"/>
      <c r="K892" s="109"/>
      <c r="L892" s="109"/>
      <c r="M892" s="109"/>
      <c r="N892" s="109"/>
      <c r="O892" s="109"/>
      <c r="P892" s="109"/>
      <c r="Q892" s="109"/>
      <c r="R892" s="109"/>
      <c r="S892" s="109"/>
      <c r="T892" s="109"/>
      <c r="U892" s="109"/>
      <c r="V892" s="109"/>
      <c r="W892" s="109"/>
      <c r="X892" s="109"/>
      <c r="Y892" s="109"/>
      <c r="Z892" s="109"/>
    </row>
    <row r="893" spans="1:26" ht="11.25" customHeight="1">
      <c r="A893" s="109"/>
      <c r="B893" s="109"/>
      <c r="C893" s="109"/>
      <c r="D893" s="109"/>
      <c r="E893" s="109"/>
      <c r="F893" s="109"/>
      <c r="G893" s="109"/>
      <c r="H893" s="109"/>
      <c r="I893" s="109"/>
      <c r="J893" s="109"/>
      <c r="K893" s="109"/>
      <c r="L893" s="109"/>
      <c r="M893" s="109"/>
      <c r="N893" s="109"/>
      <c r="O893" s="109"/>
      <c r="P893" s="109"/>
      <c r="Q893" s="109"/>
      <c r="R893" s="109"/>
      <c r="S893" s="109"/>
      <c r="T893" s="109"/>
      <c r="U893" s="109"/>
      <c r="V893" s="109"/>
      <c r="W893" s="109"/>
      <c r="X893" s="109"/>
      <c r="Y893" s="109"/>
      <c r="Z893" s="109"/>
    </row>
    <row r="894" spans="1:26" ht="11.25" customHeight="1">
      <c r="A894" s="109"/>
      <c r="B894" s="109"/>
      <c r="C894" s="109"/>
      <c r="D894" s="109"/>
      <c r="E894" s="109"/>
      <c r="F894" s="109"/>
      <c r="G894" s="109"/>
      <c r="H894" s="109"/>
      <c r="I894" s="109"/>
      <c r="J894" s="109"/>
      <c r="K894" s="109"/>
      <c r="L894" s="109"/>
      <c r="M894" s="109"/>
      <c r="N894" s="109"/>
      <c r="O894" s="109"/>
      <c r="P894" s="109"/>
      <c r="Q894" s="109"/>
      <c r="R894" s="109"/>
      <c r="S894" s="109"/>
      <c r="T894" s="109"/>
      <c r="U894" s="109"/>
      <c r="V894" s="109"/>
      <c r="W894" s="109"/>
      <c r="X894" s="109"/>
      <c r="Y894" s="109"/>
      <c r="Z894" s="109"/>
    </row>
    <row r="895" spans="1:26" ht="11.25" customHeight="1">
      <c r="A895" s="109"/>
      <c r="B895" s="109"/>
      <c r="C895" s="109"/>
      <c r="D895" s="109"/>
      <c r="E895" s="109"/>
      <c r="F895" s="109"/>
      <c r="G895" s="109"/>
      <c r="H895" s="109"/>
      <c r="I895" s="109"/>
      <c r="J895" s="109"/>
      <c r="K895" s="109"/>
      <c r="L895" s="109"/>
      <c r="M895" s="109"/>
      <c r="N895" s="109"/>
      <c r="O895" s="109"/>
      <c r="P895" s="109"/>
      <c r="Q895" s="109"/>
      <c r="R895" s="109"/>
      <c r="S895" s="109"/>
      <c r="T895" s="109"/>
      <c r="U895" s="109"/>
      <c r="V895" s="109"/>
      <c r="W895" s="109"/>
      <c r="X895" s="109"/>
      <c r="Y895" s="109"/>
      <c r="Z895" s="109"/>
    </row>
    <row r="896" spans="1:26" ht="11.25" customHeight="1">
      <c r="A896" s="109"/>
      <c r="B896" s="109"/>
      <c r="C896" s="109"/>
      <c r="D896" s="109"/>
      <c r="E896" s="109"/>
      <c r="F896" s="109"/>
      <c r="G896" s="109"/>
      <c r="H896" s="109"/>
      <c r="I896" s="109"/>
      <c r="J896" s="109"/>
      <c r="K896" s="109"/>
      <c r="L896" s="109"/>
      <c r="M896" s="109"/>
      <c r="N896" s="109"/>
      <c r="O896" s="109"/>
      <c r="P896" s="109"/>
      <c r="Q896" s="109"/>
      <c r="R896" s="109"/>
      <c r="S896" s="109"/>
      <c r="T896" s="109"/>
      <c r="U896" s="109"/>
      <c r="V896" s="109"/>
      <c r="W896" s="109"/>
      <c r="X896" s="109"/>
      <c r="Y896" s="109"/>
      <c r="Z896" s="109"/>
    </row>
    <row r="897" spans="1:26" ht="11.25" customHeight="1">
      <c r="A897" s="109"/>
      <c r="B897" s="109"/>
      <c r="C897" s="109"/>
      <c r="D897" s="109"/>
      <c r="E897" s="109"/>
      <c r="F897" s="109"/>
      <c r="G897" s="109"/>
      <c r="H897" s="109"/>
      <c r="I897" s="109"/>
      <c r="J897" s="109"/>
      <c r="K897" s="109"/>
      <c r="L897" s="109"/>
      <c r="M897" s="109"/>
      <c r="N897" s="109"/>
      <c r="O897" s="109"/>
      <c r="P897" s="109"/>
      <c r="Q897" s="109"/>
      <c r="R897" s="109"/>
      <c r="S897" s="109"/>
      <c r="T897" s="109"/>
      <c r="U897" s="109"/>
      <c r="V897" s="109"/>
      <c r="W897" s="109"/>
      <c r="X897" s="109"/>
      <c r="Y897" s="109"/>
      <c r="Z897" s="109"/>
    </row>
    <row r="898" spans="1:26" ht="11.25" customHeight="1">
      <c r="A898" s="109"/>
      <c r="B898" s="109"/>
      <c r="C898" s="109"/>
      <c r="D898" s="109"/>
      <c r="E898" s="109"/>
      <c r="F898" s="109"/>
      <c r="G898" s="109"/>
      <c r="H898" s="109"/>
      <c r="I898" s="109"/>
      <c r="J898" s="109"/>
      <c r="K898" s="109"/>
      <c r="L898" s="109"/>
      <c r="M898" s="109"/>
      <c r="N898" s="109"/>
      <c r="O898" s="109"/>
      <c r="P898" s="109"/>
      <c r="Q898" s="109"/>
      <c r="R898" s="109"/>
      <c r="S898" s="109"/>
      <c r="T898" s="109"/>
      <c r="U898" s="109"/>
      <c r="V898" s="109"/>
      <c r="W898" s="109"/>
      <c r="X898" s="109"/>
      <c r="Y898" s="109"/>
      <c r="Z898" s="109"/>
    </row>
    <row r="899" spans="1:26" ht="11.25" customHeight="1">
      <c r="A899" s="109"/>
      <c r="B899" s="109"/>
      <c r="C899" s="109"/>
      <c r="D899" s="109"/>
      <c r="E899" s="109"/>
      <c r="F899" s="109"/>
      <c r="G899" s="109"/>
      <c r="H899" s="109"/>
      <c r="I899" s="109"/>
      <c r="J899" s="109"/>
      <c r="K899" s="109"/>
      <c r="L899" s="109"/>
      <c r="M899" s="109"/>
      <c r="N899" s="109"/>
      <c r="O899" s="109"/>
      <c r="P899" s="109"/>
      <c r="Q899" s="109"/>
      <c r="R899" s="109"/>
      <c r="S899" s="109"/>
      <c r="T899" s="109"/>
      <c r="U899" s="109"/>
      <c r="V899" s="109"/>
      <c r="W899" s="109"/>
      <c r="X899" s="109"/>
      <c r="Y899" s="109"/>
      <c r="Z899" s="109"/>
    </row>
    <row r="900" spans="1:26" ht="11.25" customHeight="1">
      <c r="A900" s="109"/>
      <c r="B900" s="109"/>
      <c r="C900" s="109"/>
      <c r="D900" s="109"/>
      <c r="E900" s="109"/>
      <c r="F900" s="109"/>
      <c r="G900" s="109"/>
      <c r="H900" s="109"/>
      <c r="I900" s="109"/>
      <c r="J900" s="109"/>
      <c r="K900" s="109"/>
      <c r="L900" s="109"/>
      <c r="M900" s="109"/>
      <c r="N900" s="109"/>
      <c r="O900" s="109"/>
      <c r="P900" s="109"/>
      <c r="Q900" s="109"/>
      <c r="R900" s="109"/>
      <c r="S900" s="109"/>
      <c r="T900" s="109"/>
      <c r="U900" s="109"/>
      <c r="V900" s="109"/>
      <c r="W900" s="109"/>
      <c r="X900" s="109"/>
      <c r="Y900" s="109"/>
      <c r="Z900" s="109"/>
    </row>
    <row r="901" spans="1:26" ht="11.25" customHeight="1">
      <c r="A901" s="109"/>
      <c r="B901" s="109"/>
      <c r="C901" s="109"/>
      <c r="D901" s="109"/>
      <c r="E901" s="109"/>
      <c r="F901" s="109"/>
      <c r="G901" s="109"/>
      <c r="H901" s="109"/>
      <c r="I901" s="109"/>
      <c r="J901" s="109"/>
      <c r="K901" s="109"/>
      <c r="L901" s="109"/>
      <c r="M901" s="109"/>
      <c r="N901" s="109"/>
      <c r="O901" s="109"/>
      <c r="P901" s="109"/>
      <c r="Q901" s="109"/>
      <c r="R901" s="109"/>
      <c r="S901" s="109"/>
      <c r="T901" s="109"/>
      <c r="U901" s="109"/>
      <c r="V901" s="109"/>
      <c r="W901" s="109"/>
      <c r="X901" s="109"/>
      <c r="Y901" s="109"/>
      <c r="Z901" s="109"/>
    </row>
    <row r="902" spans="1:26" ht="11.25" customHeight="1">
      <c r="A902" s="109"/>
      <c r="B902" s="109"/>
      <c r="C902" s="109"/>
      <c r="D902" s="109"/>
      <c r="E902" s="109"/>
      <c r="F902" s="109"/>
      <c r="G902" s="109"/>
      <c r="H902" s="109"/>
      <c r="I902" s="109"/>
      <c r="J902" s="109"/>
      <c r="K902" s="109"/>
      <c r="L902" s="109"/>
      <c r="M902" s="109"/>
      <c r="N902" s="109"/>
      <c r="O902" s="109"/>
      <c r="P902" s="109"/>
      <c r="Q902" s="109"/>
      <c r="R902" s="109"/>
      <c r="S902" s="109"/>
      <c r="T902" s="109"/>
      <c r="U902" s="109"/>
      <c r="V902" s="109"/>
      <c r="W902" s="109"/>
      <c r="X902" s="109"/>
      <c r="Y902" s="109"/>
      <c r="Z902" s="109"/>
    </row>
    <row r="903" spans="1:26" ht="11.25" customHeight="1">
      <c r="A903" s="109"/>
      <c r="B903" s="109"/>
      <c r="C903" s="109"/>
      <c r="D903" s="109"/>
      <c r="E903" s="109"/>
      <c r="F903" s="109"/>
      <c r="G903" s="109"/>
      <c r="H903" s="109"/>
      <c r="I903" s="109"/>
      <c r="J903" s="109"/>
      <c r="K903" s="109"/>
      <c r="L903" s="109"/>
      <c r="M903" s="109"/>
      <c r="N903" s="109"/>
      <c r="O903" s="109"/>
      <c r="P903" s="109"/>
      <c r="Q903" s="109"/>
      <c r="R903" s="109"/>
      <c r="S903" s="109"/>
      <c r="T903" s="109"/>
      <c r="U903" s="109"/>
      <c r="V903" s="109"/>
      <c r="W903" s="109"/>
      <c r="X903" s="109"/>
      <c r="Y903" s="109"/>
      <c r="Z903" s="109"/>
    </row>
    <row r="904" spans="1:26" ht="11.25" customHeight="1">
      <c r="A904" s="109"/>
      <c r="B904" s="109"/>
      <c r="C904" s="109"/>
      <c r="D904" s="109"/>
      <c r="E904" s="109"/>
      <c r="F904" s="109"/>
      <c r="G904" s="109"/>
      <c r="H904" s="109"/>
      <c r="I904" s="109"/>
      <c r="J904" s="109"/>
      <c r="K904" s="109"/>
      <c r="L904" s="109"/>
      <c r="M904" s="109"/>
      <c r="N904" s="109"/>
      <c r="O904" s="109"/>
      <c r="P904" s="109"/>
      <c r="Q904" s="109"/>
      <c r="R904" s="109"/>
      <c r="S904" s="109"/>
      <c r="T904" s="109"/>
      <c r="U904" s="109"/>
      <c r="V904" s="109"/>
      <c r="W904" s="109"/>
      <c r="X904" s="109"/>
      <c r="Y904" s="109"/>
      <c r="Z904" s="109"/>
    </row>
    <row r="905" spans="1:26" ht="11.25" customHeight="1">
      <c r="A905" s="109"/>
      <c r="B905" s="109"/>
      <c r="C905" s="109"/>
      <c r="D905" s="109"/>
      <c r="E905" s="109"/>
      <c r="F905" s="109"/>
      <c r="G905" s="109"/>
      <c r="H905" s="109"/>
      <c r="I905" s="109"/>
      <c r="J905" s="109"/>
      <c r="K905" s="109"/>
      <c r="L905" s="109"/>
      <c r="M905" s="109"/>
      <c r="N905" s="109"/>
      <c r="O905" s="109"/>
      <c r="P905" s="109"/>
      <c r="Q905" s="109"/>
      <c r="R905" s="109"/>
      <c r="S905" s="109"/>
      <c r="T905" s="109"/>
      <c r="U905" s="109"/>
      <c r="V905" s="109"/>
      <c r="W905" s="109"/>
      <c r="X905" s="109"/>
      <c r="Y905" s="109"/>
      <c r="Z905" s="109"/>
    </row>
    <row r="906" spans="1:26" ht="11.25" customHeight="1">
      <c r="A906" s="109"/>
      <c r="B906" s="109"/>
      <c r="C906" s="109"/>
      <c r="D906" s="109"/>
      <c r="E906" s="109"/>
      <c r="F906" s="109"/>
      <c r="G906" s="109"/>
      <c r="H906" s="109"/>
      <c r="I906" s="109"/>
      <c r="J906" s="109"/>
      <c r="K906" s="109"/>
      <c r="L906" s="109"/>
      <c r="M906" s="109"/>
      <c r="N906" s="109"/>
      <c r="O906" s="109"/>
      <c r="P906" s="109"/>
      <c r="Q906" s="109"/>
      <c r="R906" s="109"/>
      <c r="S906" s="109"/>
      <c r="T906" s="109"/>
      <c r="U906" s="109"/>
      <c r="V906" s="109"/>
      <c r="W906" s="109"/>
      <c r="X906" s="109"/>
      <c r="Y906" s="109"/>
      <c r="Z906" s="109"/>
    </row>
    <row r="907" spans="1:26" ht="11.25" customHeight="1">
      <c r="A907" s="109"/>
      <c r="B907" s="109"/>
      <c r="C907" s="109"/>
      <c r="D907" s="109"/>
      <c r="E907" s="109"/>
      <c r="F907" s="109"/>
      <c r="G907" s="109"/>
      <c r="H907" s="109"/>
      <c r="I907" s="109"/>
      <c r="J907" s="109"/>
      <c r="K907" s="109"/>
      <c r="L907" s="109"/>
      <c r="M907" s="109"/>
      <c r="N907" s="109"/>
      <c r="O907" s="109"/>
      <c r="P907" s="109"/>
      <c r="Q907" s="109"/>
      <c r="R907" s="109"/>
      <c r="S907" s="109"/>
      <c r="T907" s="109"/>
      <c r="U907" s="109"/>
      <c r="V907" s="109"/>
      <c r="W907" s="109"/>
      <c r="X907" s="109"/>
      <c r="Y907" s="109"/>
      <c r="Z907" s="109"/>
    </row>
    <row r="908" spans="1:26" ht="11.25" customHeight="1">
      <c r="A908" s="109"/>
      <c r="B908" s="109"/>
      <c r="C908" s="109"/>
      <c r="D908" s="109"/>
      <c r="E908" s="109"/>
      <c r="F908" s="109"/>
      <c r="G908" s="109"/>
      <c r="H908" s="109"/>
      <c r="I908" s="109"/>
      <c r="J908" s="109"/>
      <c r="K908" s="109"/>
      <c r="L908" s="109"/>
      <c r="M908" s="109"/>
      <c r="N908" s="109"/>
      <c r="O908" s="109"/>
      <c r="P908" s="109"/>
      <c r="Q908" s="109"/>
      <c r="R908" s="109"/>
      <c r="S908" s="109"/>
      <c r="T908" s="109"/>
      <c r="U908" s="109"/>
      <c r="V908" s="109"/>
      <c r="W908" s="109"/>
      <c r="X908" s="109"/>
      <c r="Y908" s="109"/>
      <c r="Z908" s="109"/>
    </row>
    <row r="909" spans="1:26" ht="11.25" customHeight="1">
      <c r="A909" s="109"/>
      <c r="B909" s="109"/>
      <c r="C909" s="109"/>
      <c r="D909" s="109"/>
      <c r="E909" s="109"/>
      <c r="F909" s="109"/>
      <c r="G909" s="109"/>
      <c r="H909" s="109"/>
      <c r="I909" s="109"/>
      <c r="J909" s="109"/>
      <c r="K909" s="109"/>
      <c r="L909" s="109"/>
      <c r="M909" s="109"/>
      <c r="N909" s="109"/>
      <c r="O909" s="109"/>
      <c r="P909" s="109"/>
      <c r="Q909" s="109"/>
      <c r="R909" s="109"/>
      <c r="S909" s="109"/>
      <c r="T909" s="109"/>
      <c r="U909" s="109"/>
      <c r="V909" s="109"/>
      <c r="W909" s="109"/>
      <c r="X909" s="109"/>
      <c r="Y909" s="109"/>
      <c r="Z909" s="109"/>
    </row>
    <row r="910" spans="1:26" ht="11.25" customHeight="1">
      <c r="A910" s="109"/>
      <c r="B910" s="109"/>
      <c r="C910" s="109"/>
      <c r="D910" s="109"/>
      <c r="E910" s="109"/>
      <c r="F910" s="109"/>
      <c r="G910" s="109"/>
      <c r="H910" s="109"/>
      <c r="I910" s="109"/>
      <c r="J910" s="109"/>
      <c r="K910" s="109"/>
      <c r="L910" s="109"/>
      <c r="M910" s="109"/>
      <c r="N910" s="109"/>
      <c r="O910" s="109"/>
      <c r="P910" s="109"/>
      <c r="Q910" s="109"/>
      <c r="R910" s="109"/>
      <c r="S910" s="109"/>
      <c r="T910" s="109"/>
      <c r="U910" s="109"/>
      <c r="V910" s="109"/>
      <c r="W910" s="109"/>
      <c r="X910" s="109"/>
      <c r="Y910" s="109"/>
      <c r="Z910" s="109"/>
    </row>
    <row r="911" spans="1:26" ht="11.25" customHeight="1">
      <c r="A911" s="109"/>
      <c r="B911" s="109"/>
      <c r="C911" s="109"/>
      <c r="D911" s="109"/>
      <c r="E911" s="109"/>
      <c r="F911" s="109"/>
      <c r="G911" s="109"/>
      <c r="H911" s="109"/>
      <c r="I911" s="109"/>
      <c r="J911" s="109"/>
      <c r="K911" s="109"/>
      <c r="L911" s="109"/>
      <c r="M911" s="109"/>
      <c r="N911" s="109"/>
      <c r="O911" s="109"/>
      <c r="P911" s="109"/>
      <c r="Q911" s="109"/>
      <c r="R911" s="109"/>
      <c r="S911" s="109"/>
      <c r="T911" s="109"/>
      <c r="U911" s="109"/>
      <c r="V911" s="109"/>
      <c r="W911" s="109"/>
      <c r="X911" s="109"/>
      <c r="Y911" s="109"/>
      <c r="Z911" s="109"/>
    </row>
    <row r="912" spans="1:26" ht="11.25" customHeight="1">
      <c r="A912" s="109"/>
      <c r="B912" s="109"/>
      <c r="C912" s="109"/>
      <c r="D912" s="109"/>
      <c r="E912" s="109"/>
      <c r="F912" s="109"/>
      <c r="G912" s="109"/>
      <c r="H912" s="109"/>
      <c r="I912" s="109"/>
      <c r="J912" s="109"/>
      <c r="K912" s="109"/>
      <c r="L912" s="109"/>
      <c r="M912" s="109"/>
      <c r="N912" s="109"/>
      <c r="O912" s="109"/>
      <c r="P912" s="109"/>
      <c r="Q912" s="109"/>
      <c r="R912" s="109"/>
      <c r="S912" s="109"/>
      <c r="T912" s="109"/>
      <c r="U912" s="109"/>
      <c r="V912" s="109"/>
      <c r="W912" s="109"/>
      <c r="X912" s="109"/>
      <c r="Y912" s="109"/>
      <c r="Z912" s="109"/>
    </row>
    <row r="913" spans="1:26" ht="11.25" customHeight="1">
      <c r="A913" s="109"/>
      <c r="B913" s="109"/>
      <c r="C913" s="109"/>
      <c r="D913" s="109"/>
      <c r="E913" s="109"/>
      <c r="F913" s="109"/>
      <c r="G913" s="109"/>
      <c r="H913" s="109"/>
      <c r="I913" s="109"/>
      <c r="J913" s="109"/>
      <c r="K913" s="109"/>
      <c r="L913" s="109"/>
      <c r="M913" s="109"/>
      <c r="N913" s="109"/>
      <c r="O913" s="109"/>
      <c r="P913" s="109"/>
      <c r="Q913" s="109"/>
      <c r="R913" s="109"/>
      <c r="S913" s="109"/>
      <c r="T913" s="109"/>
      <c r="U913" s="109"/>
      <c r="V913" s="109"/>
      <c r="W913" s="109"/>
      <c r="X913" s="109"/>
      <c r="Y913" s="109"/>
      <c r="Z913" s="109"/>
    </row>
    <row r="914" spans="1:26" ht="11.25" customHeight="1">
      <c r="A914" s="109"/>
      <c r="B914" s="109"/>
      <c r="C914" s="109"/>
      <c r="D914" s="109"/>
      <c r="E914" s="109"/>
      <c r="F914" s="109"/>
      <c r="G914" s="109"/>
      <c r="H914" s="109"/>
      <c r="I914" s="109"/>
      <c r="J914" s="109"/>
      <c r="K914" s="109"/>
      <c r="L914" s="109"/>
      <c r="M914" s="109"/>
      <c r="N914" s="109"/>
      <c r="O914" s="109"/>
      <c r="P914" s="109"/>
      <c r="Q914" s="109"/>
      <c r="R914" s="109"/>
      <c r="S914" s="109"/>
      <c r="T914" s="109"/>
      <c r="U914" s="109"/>
      <c r="V914" s="109"/>
      <c r="W914" s="109"/>
      <c r="X914" s="109"/>
      <c r="Y914" s="109"/>
      <c r="Z914" s="109"/>
    </row>
    <row r="915" spans="1:26" ht="11.25" customHeight="1">
      <c r="A915" s="109"/>
      <c r="B915" s="109"/>
      <c r="C915" s="109"/>
      <c r="D915" s="109"/>
      <c r="E915" s="109"/>
      <c r="F915" s="109"/>
      <c r="G915" s="109"/>
      <c r="H915" s="109"/>
      <c r="I915" s="109"/>
      <c r="J915" s="109"/>
      <c r="K915" s="109"/>
      <c r="L915" s="109"/>
      <c r="M915" s="109"/>
      <c r="N915" s="109"/>
      <c r="O915" s="109"/>
      <c r="P915" s="109"/>
      <c r="Q915" s="109"/>
      <c r="R915" s="109"/>
      <c r="S915" s="109"/>
      <c r="T915" s="109"/>
      <c r="U915" s="109"/>
      <c r="V915" s="109"/>
      <c r="W915" s="109"/>
      <c r="X915" s="109"/>
      <c r="Y915" s="109"/>
      <c r="Z915" s="109"/>
    </row>
    <row r="916" spans="1:26" ht="11.25" customHeight="1">
      <c r="A916" s="109"/>
      <c r="B916" s="109"/>
      <c r="C916" s="109"/>
      <c r="D916" s="109"/>
      <c r="E916" s="109"/>
      <c r="F916" s="109"/>
      <c r="G916" s="109"/>
      <c r="H916" s="109"/>
      <c r="I916" s="109"/>
      <c r="J916" s="109"/>
      <c r="K916" s="109"/>
      <c r="L916" s="109"/>
      <c r="M916" s="109"/>
      <c r="N916" s="109"/>
      <c r="O916" s="109"/>
      <c r="P916" s="109"/>
      <c r="Q916" s="109"/>
      <c r="R916" s="109"/>
      <c r="S916" s="109"/>
      <c r="T916" s="109"/>
      <c r="U916" s="109"/>
      <c r="V916" s="109"/>
      <c r="W916" s="109"/>
      <c r="X916" s="109"/>
      <c r="Y916" s="109"/>
      <c r="Z916" s="109"/>
    </row>
    <row r="917" spans="1:26" ht="11.25" customHeight="1">
      <c r="A917" s="109"/>
      <c r="B917" s="109"/>
      <c r="C917" s="109"/>
      <c r="D917" s="109"/>
      <c r="E917" s="109"/>
      <c r="F917" s="109"/>
      <c r="G917" s="109"/>
      <c r="H917" s="109"/>
      <c r="I917" s="109"/>
      <c r="J917" s="109"/>
      <c r="K917" s="109"/>
      <c r="L917" s="109"/>
      <c r="M917" s="109"/>
      <c r="N917" s="109"/>
      <c r="O917" s="109"/>
      <c r="P917" s="109"/>
      <c r="Q917" s="109"/>
      <c r="R917" s="109"/>
      <c r="S917" s="109"/>
      <c r="T917" s="109"/>
      <c r="U917" s="109"/>
      <c r="V917" s="109"/>
      <c r="W917" s="109"/>
      <c r="X917" s="109"/>
      <c r="Y917" s="109"/>
      <c r="Z917" s="109"/>
    </row>
    <row r="918" spans="1:26" ht="11.25" customHeight="1">
      <c r="A918" s="109"/>
      <c r="B918" s="109"/>
      <c r="C918" s="109"/>
      <c r="D918" s="109"/>
      <c r="E918" s="109"/>
      <c r="F918" s="109"/>
      <c r="G918" s="109"/>
      <c r="H918" s="109"/>
      <c r="I918" s="109"/>
      <c r="J918" s="109"/>
      <c r="K918" s="109"/>
      <c r="L918" s="109"/>
      <c r="M918" s="109"/>
      <c r="N918" s="109"/>
      <c r="O918" s="109"/>
      <c r="P918" s="109"/>
      <c r="Q918" s="109"/>
      <c r="R918" s="109"/>
      <c r="S918" s="109"/>
      <c r="T918" s="109"/>
      <c r="U918" s="109"/>
      <c r="V918" s="109"/>
      <c r="W918" s="109"/>
      <c r="X918" s="109"/>
      <c r="Y918" s="109"/>
      <c r="Z918" s="109"/>
    </row>
    <row r="919" spans="1:26" ht="11.25" customHeight="1">
      <c r="A919" s="109"/>
      <c r="B919" s="109"/>
      <c r="C919" s="109"/>
      <c r="D919" s="109"/>
      <c r="E919" s="109"/>
      <c r="F919" s="109"/>
      <c r="G919" s="109"/>
      <c r="H919" s="109"/>
      <c r="I919" s="109"/>
      <c r="J919" s="109"/>
      <c r="K919" s="109"/>
      <c r="L919" s="109"/>
      <c r="M919" s="109"/>
      <c r="N919" s="109"/>
      <c r="O919" s="109"/>
      <c r="P919" s="109"/>
      <c r="Q919" s="109"/>
      <c r="R919" s="109"/>
      <c r="S919" s="109"/>
      <c r="T919" s="109"/>
      <c r="U919" s="109"/>
      <c r="V919" s="109"/>
      <c r="W919" s="109"/>
      <c r="X919" s="109"/>
      <c r="Y919" s="109"/>
      <c r="Z919" s="109"/>
    </row>
    <row r="920" spans="1:26" ht="11.25" customHeight="1">
      <c r="A920" s="109"/>
      <c r="B920" s="109"/>
      <c r="C920" s="109"/>
      <c r="D920" s="109"/>
      <c r="E920" s="109"/>
      <c r="F920" s="109"/>
      <c r="G920" s="109"/>
      <c r="H920" s="109"/>
      <c r="I920" s="109"/>
      <c r="J920" s="109"/>
      <c r="K920" s="109"/>
      <c r="L920" s="109"/>
      <c r="M920" s="109"/>
      <c r="N920" s="109"/>
      <c r="O920" s="109"/>
      <c r="P920" s="109"/>
      <c r="Q920" s="109"/>
      <c r="R920" s="109"/>
      <c r="S920" s="109"/>
      <c r="T920" s="109"/>
      <c r="U920" s="109"/>
      <c r="V920" s="109"/>
      <c r="W920" s="109"/>
      <c r="X920" s="109"/>
      <c r="Y920" s="109"/>
      <c r="Z920" s="109"/>
    </row>
    <row r="921" spans="1:26" ht="11.25" customHeight="1">
      <c r="A921" s="109"/>
      <c r="B921" s="109"/>
      <c r="C921" s="109"/>
      <c r="D921" s="109"/>
      <c r="E921" s="109"/>
      <c r="F921" s="109"/>
      <c r="G921" s="109"/>
      <c r="H921" s="109"/>
      <c r="I921" s="109"/>
      <c r="J921" s="109"/>
      <c r="K921" s="109"/>
      <c r="L921" s="109"/>
      <c r="M921" s="109"/>
      <c r="N921" s="109"/>
      <c r="O921" s="109"/>
      <c r="P921" s="109"/>
      <c r="Q921" s="109"/>
      <c r="R921" s="109"/>
      <c r="S921" s="109"/>
      <c r="T921" s="109"/>
      <c r="U921" s="109"/>
      <c r="V921" s="109"/>
      <c r="W921" s="109"/>
      <c r="X921" s="109"/>
      <c r="Y921" s="109"/>
      <c r="Z921" s="109"/>
    </row>
    <row r="922" spans="1:26" ht="11.25" customHeight="1">
      <c r="A922" s="109"/>
      <c r="B922" s="109"/>
      <c r="C922" s="109"/>
      <c r="D922" s="109"/>
      <c r="E922" s="109"/>
      <c r="F922" s="109"/>
      <c r="G922" s="109"/>
      <c r="H922" s="109"/>
      <c r="I922" s="109"/>
      <c r="J922" s="109"/>
      <c r="K922" s="109"/>
      <c r="L922" s="109"/>
      <c r="M922" s="109"/>
      <c r="N922" s="109"/>
      <c r="O922" s="109"/>
      <c r="P922" s="109"/>
      <c r="Q922" s="109"/>
      <c r="R922" s="109"/>
      <c r="S922" s="109"/>
      <c r="T922" s="109"/>
      <c r="U922" s="109"/>
      <c r="V922" s="109"/>
      <c r="W922" s="109"/>
      <c r="X922" s="109"/>
      <c r="Y922" s="109"/>
      <c r="Z922" s="109"/>
    </row>
    <row r="923" spans="1:26" ht="11.25" customHeight="1">
      <c r="A923" s="109"/>
      <c r="B923" s="109"/>
      <c r="C923" s="109"/>
      <c r="D923" s="109"/>
      <c r="E923" s="109"/>
      <c r="F923" s="109"/>
      <c r="G923" s="109"/>
      <c r="H923" s="109"/>
      <c r="I923" s="109"/>
      <c r="J923" s="109"/>
      <c r="K923" s="109"/>
      <c r="L923" s="109"/>
      <c r="M923" s="109"/>
      <c r="N923" s="109"/>
      <c r="O923" s="109"/>
      <c r="P923" s="109"/>
      <c r="Q923" s="109"/>
      <c r="R923" s="109"/>
      <c r="S923" s="109"/>
      <c r="T923" s="109"/>
      <c r="U923" s="109"/>
      <c r="V923" s="109"/>
      <c r="W923" s="109"/>
      <c r="X923" s="109"/>
      <c r="Y923" s="109"/>
      <c r="Z923" s="109"/>
    </row>
    <row r="924" spans="1:26" ht="11.25" customHeight="1">
      <c r="A924" s="109"/>
      <c r="B924" s="109"/>
      <c r="C924" s="109"/>
      <c r="D924" s="109"/>
      <c r="E924" s="109"/>
      <c r="F924" s="109"/>
      <c r="G924" s="109"/>
      <c r="H924" s="109"/>
      <c r="I924" s="109"/>
      <c r="J924" s="109"/>
      <c r="K924" s="109"/>
      <c r="L924" s="109"/>
      <c r="M924" s="109"/>
      <c r="N924" s="109"/>
      <c r="O924" s="109"/>
      <c r="P924" s="109"/>
      <c r="Q924" s="109"/>
      <c r="R924" s="109"/>
      <c r="S924" s="109"/>
      <c r="T924" s="109"/>
      <c r="U924" s="109"/>
      <c r="V924" s="109"/>
      <c r="W924" s="109"/>
      <c r="X924" s="109"/>
      <c r="Y924" s="109"/>
      <c r="Z924" s="109"/>
    </row>
    <row r="925" spans="1:26" ht="11.25" customHeight="1">
      <c r="A925" s="109"/>
      <c r="B925" s="109"/>
      <c r="C925" s="109"/>
      <c r="D925" s="109"/>
      <c r="E925" s="109"/>
      <c r="F925" s="109"/>
      <c r="G925" s="109"/>
      <c r="H925" s="109"/>
      <c r="I925" s="109"/>
      <c r="J925" s="109"/>
      <c r="K925" s="109"/>
      <c r="L925" s="109"/>
      <c r="M925" s="109"/>
      <c r="N925" s="109"/>
      <c r="O925" s="109"/>
      <c r="P925" s="109"/>
      <c r="Q925" s="109"/>
      <c r="R925" s="109"/>
      <c r="S925" s="109"/>
      <c r="T925" s="109"/>
      <c r="U925" s="109"/>
      <c r="V925" s="109"/>
      <c r="W925" s="109"/>
      <c r="X925" s="109"/>
      <c r="Y925" s="109"/>
      <c r="Z925" s="109"/>
    </row>
    <row r="926" spans="1:26" ht="11.25" customHeight="1">
      <c r="A926" s="109"/>
      <c r="B926" s="109"/>
      <c r="C926" s="109"/>
      <c r="D926" s="109"/>
      <c r="E926" s="109"/>
      <c r="F926" s="109"/>
      <c r="G926" s="109"/>
      <c r="H926" s="109"/>
      <c r="I926" s="109"/>
      <c r="J926" s="109"/>
      <c r="K926" s="109"/>
      <c r="L926" s="109"/>
      <c r="M926" s="109"/>
      <c r="N926" s="109"/>
      <c r="O926" s="109"/>
      <c r="P926" s="109"/>
      <c r="Q926" s="109"/>
      <c r="R926" s="109"/>
      <c r="S926" s="109"/>
      <c r="T926" s="109"/>
      <c r="U926" s="109"/>
      <c r="V926" s="109"/>
      <c r="W926" s="109"/>
      <c r="X926" s="109"/>
      <c r="Y926" s="109"/>
      <c r="Z926" s="109"/>
    </row>
    <row r="927" spans="1:26" ht="11.25" customHeight="1">
      <c r="A927" s="109"/>
      <c r="B927" s="109"/>
      <c r="C927" s="109"/>
      <c r="D927" s="109"/>
      <c r="E927" s="109"/>
      <c r="F927" s="109"/>
      <c r="G927" s="109"/>
      <c r="H927" s="109"/>
      <c r="I927" s="109"/>
      <c r="J927" s="109"/>
      <c r="K927" s="109"/>
      <c r="L927" s="109"/>
      <c r="M927" s="109"/>
      <c r="N927" s="109"/>
      <c r="O927" s="109"/>
      <c r="P927" s="109"/>
      <c r="Q927" s="109"/>
      <c r="R927" s="109"/>
      <c r="S927" s="109"/>
      <c r="T927" s="109"/>
      <c r="U927" s="109"/>
      <c r="V927" s="109"/>
      <c r="W927" s="109"/>
      <c r="X927" s="109"/>
      <c r="Y927" s="109"/>
      <c r="Z927" s="109"/>
    </row>
    <row r="928" spans="1:26" ht="11.25" customHeight="1">
      <c r="A928" s="109"/>
      <c r="B928" s="109"/>
      <c r="C928" s="109"/>
      <c r="D928" s="109"/>
      <c r="E928" s="109"/>
      <c r="F928" s="109"/>
      <c r="G928" s="109"/>
      <c r="H928" s="109"/>
      <c r="I928" s="109"/>
      <c r="J928" s="109"/>
      <c r="K928" s="109"/>
      <c r="L928" s="109"/>
      <c r="M928" s="109"/>
      <c r="N928" s="109"/>
      <c r="O928" s="109"/>
      <c r="P928" s="109"/>
      <c r="Q928" s="109"/>
      <c r="R928" s="109"/>
      <c r="S928" s="109"/>
      <c r="T928" s="109"/>
      <c r="U928" s="109"/>
      <c r="V928" s="109"/>
      <c r="W928" s="109"/>
      <c r="X928" s="109"/>
      <c r="Y928" s="109"/>
      <c r="Z928" s="109"/>
    </row>
    <row r="929" spans="1:26" ht="11.25" customHeight="1">
      <c r="A929" s="109"/>
      <c r="B929" s="109"/>
      <c r="C929" s="109"/>
      <c r="D929" s="109"/>
      <c r="E929" s="109"/>
      <c r="F929" s="109"/>
      <c r="G929" s="109"/>
      <c r="H929" s="109"/>
      <c r="I929" s="109"/>
      <c r="J929" s="109"/>
      <c r="K929" s="109"/>
      <c r="L929" s="109"/>
      <c r="M929" s="109"/>
      <c r="N929" s="109"/>
      <c r="O929" s="109"/>
      <c r="P929" s="109"/>
      <c r="Q929" s="109"/>
      <c r="R929" s="109"/>
      <c r="S929" s="109"/>
      <c r="T929" s="109"/>
      <c r="U929" s="109"/>
      <c r="V929" s="109"/>
      <c r="W929" s="109"/>
      <c r="X929" s="109"/>
      <c r="Y929" s="109"/>
      <c r="Z929" s="109"/>
    </row>
    <row r="930" spans="1:26" ht="11.25" customHeight="1">
      <c r="A930" s="109"/>
      <c r="B930" s="109"/>
      <c r="C930" s="109"/>
      <c r="D930" s="109"/>
      <c r="E930" s="109"/>
      <c r="F930" s="109"/>
      <c r="G930" s="109"/>
      <c r="H930" s="109"/>
      <c r="I930" s="109"/>
      <c r="J930" s="109"/>
      <c r="K930" s="109"/>
      <c r="L930" s="109"/>
      <c r="M930" s="109"/>
      <c r="N930" s="109"/>
      <c r="O930" s="109"/>
      <c r="P930" s="109"/>
      <c r="Q930" s="109"/>
      <c r="R930" s="109"/>
      <c r="S930" s="109"/>
      <c r="T930" s="109"/>
      <c r="U930" s="109"/>
      <c r="V930" s="109"/>
      <c r="W930" s="109"/>
      <c r="X930" s="109"/>
      <c r="Y930" s="109"/>
      <c r="Z930" s="109"/>
    </row>
    <row r="931" spans="1:26" ht="11.25" customHeight="1">
      <c r="A931" s="109"/>
      <c r="B931" s="109"/>
      <c r="C931" s="109"/>
      <c r="D931" s="109"/>
      <c r="E931" s="109"/>
      <c r="F931" s="109"/>
      <c r="G931" s="109"/>
      <c r="H931" s="109"/>
      <c r="I931" s="109"/>
      <c r="J931" s="109"/>
      <c r="K931" s="109"/>
      <c r="L931" s="109"/>
      <c r="M931" s="109"/>
      <c r="N931" s="109"/>
      <c r="O931" s="109"/>
      <c r="P931" s="109"/>
      <c r="Q931" s="109"/>
      <c r="R931" s="109"/>
      <c r="S931" s="109"/>
      <c r="T931" s="109"/>
      <c r="U931" s="109"/>
      <c r="V931" s="109"/>
      <c r="W931" s="109"/>
      <c r="X931" s="109"/>
      <c r="Y931" s="109"/>
      <c r="Z931" s="109"/>
    </row>
    <row r="932" spans="1:26" ht="11.25" customHeight="1">
      <c r="A932" s="109"/>
      <c r="B932" s="109"/>
      <c r="C932" s="109"/>
      <c r="D932" s="109"/>
      <c r="E932" s="109"/>
      <c r="F932" s="109"/>
      <c r="G932" s="109"/>
      <c r="H932" s="109"/>
      <c r="I932" s="109"/>
      <c r="J932" s="109"/>
      <c r="K932" s="109"/>
      <c r="L932" s="109"/>
      <c r="M932" s="109"/>
      <c r="N932" s="109"/>
      <c r="O932" s="109"/>
      <c r="P932" s="109"/>
      <c r="Q932" s="109"/>
      <c r="R932" s="109"/>
      <c r="S932" s="109"/>
      <c r="T932" s="109"/>
      <c r="U932" s="109"/>
      <c r="V932" s="109"/>
      <c r="W932" s="109"/>
      <c r="X932" s="109"/>
      <c r="Y932" s="109"/>
      <c r="Z932" s="109"/>
    </row>
    <row r="933" spans="1:26" ht="11.25" customHeight="1">
      <c r="A933" s="109"/>
      <c r="B933" s="109"/>
      <c r="C933" s="109"/>
      <c r="D933" s="109"/>
      <c r="E933" s="109"/>
      <c r="F933" s="109"/>
      <c r="G933" s="109"/>
      <c r="H933" s="109"/>
      <c r="I933" s="109"/>
      <c r="J933" s="109"/>
      <c r="K933" s="109"/>
      <c r="L933" s="109"/>
      <c r="M933" s="109"/>
      <c r="N933" s="109"/>
      <c r="O933" s="109"/>
      <c r="P933" s="109"/>
      <c r="Q933" s="109"/>
      <c r="R933" s="109"/>
      <c r="S933" s="109"/>
      <c r="T933" s="109"/>
      <c r="U933" s="109"/>
      <c r="V933" s="109"/>
      <c r="W933" s="109"/>
      <c r="X933" s="109"/>
      <c r="Y933" s="109"/>
      <c r="Z933" s="109"/>
    </row>
    <row r="934" spans="1:26" ht="11.25" customHeight="1">
      <c r="A934" s="109"/>
      <c r="B934" s="109"/>
      <c r="C934" s="109"/>
      <c r="D934" s="109"/>
      <c r="E934" s="109"/>
      <c r="F934" s="109"/>
      <c r="G934" s="109"/>
      <c r="H934" s="109"/>
      <c r="I934" s="109"/>
      <c r="J934" s="109"/>
      <c r="K934" s="109"/>
      <c r="L934" s="109"/>
      <c r="M934" s="109"/>
      <c r="N934" s="109"/>
      <c r="O934" s="109"/>
      <c r="P934" s="109"/>
      <c r="Q934" s="109"/>
      <c r="R934" s="109"/>
      <c r="S934" s="109"/>
      <c r="T934" s="109"/>
      <c r="U934" s="109"/>
      <c r="V934" s="109"/>
      <c r="W934" s="109"/>
      <c r="X934" s="109"/>
      <c r="Y934" s="109"/>
      <c r="Z934" s="109"/>
    </row>
    <row r="935" spans="1:26" ht="11.25" customHeight="1">
      <c r="A935" s="109"/>
      <c r="B935" s="109"/>
      <c r="C935" s="109"/>
      <c r="D935" s="109"/>
      <c r="E935" s="109"/>
      <c r="F935" s="109"/>
      <c r="G935" s="109"/>
      <c r="H935" s="109"/>
      <c r="I935" s="109"/>
      <c r="J935" s="109"/>
      <c r="K935" s="109"/>
      <c r="L935" s="109"/>
      <c r="M935" s="109"/>
      <c r="N935" s="109"/>
      <c r="O935" s="109"/>
      <c r="P935" s="109"/>
      <c r="Q935" s="109"/>
      <c r="R935" s="109"/>
      <c r="S935" s="109"/>
      <c r="T935" s="109"/>
      <c r="U935" s="109"/>
      <c r="V935" s="109"/>
      <c r="W935" s="109"/>
      <c r="X935" s="109"/>
      <c r="Y935" s="109"/>
      <c r="Z935" s="109"/>
    </row>
    <row r="936" spans="1:26" ht="11.25" customHeight="1">
      <c r="A936" s="109"/>
      <c r="B936" s="109"/>
      <c r="C936" s="109"/>
      <c r="D936" s="109"/>
      <c r="E936" s="109"/>
      <c r="F936" s="109"/>
      <c r="G936" s="109"/>
      <c r="H936" s="109"/>
      <c r="I936" s="109"/>
      <c r="J936" s="109"/>
      <c r="K936" s="109"/>
      <c r="L936" s="109"/>
      <c r="M936" s="109"/>
      <c r="N936" s="109"/>
      <c r="O936" s="109"/>
      <c r="P936" s="109"/>
      <c r="Q936" s="109"/>
      <c r="R936" s="109"/>
      <c r="S936" s="109"/>
      <c r="T936" s="109"/>
      <c r="U936" s="109"/>
      <c r="V936" s="109"/>
      <c r="W936" s="109"/>
      <c r="X936" s="109"/>
      <c r="Y936" s="109"/>
      <c r="Z936" s="109"/>
    </row>
    <row r="937" spans="1:26" ht="11.25" customHeight="1">
      <c r="A937" s="109"/>
      <c r="B937" s="109"/>
      <c r="C937" s="109"/>
      <c r="D937" s="109"/>
      <c r="E937" s="109"/>
      <c r="F937" s="109"/>
      <c r="G937" s="109"/>
      <c r="H937" s="109"/>
      <c r="I937" s="109"/>
      <c r="J937" s="109"/>
      <c r="K937" s="109"/>
      <c r="L937" s="109"/>
      <c r="M937" s="109"/>
      <c r="N937" s="109"/>
      <c r="O937" s="109"/>
      <c r="P937" s="109"/>
      <c r="Q937" s="109"/>
      <c r="R937" s="109"/>
      <c r="S937" s="109"/>
      <c r="T937" s="109"/>
      <c r="U937" s="109"/>
      <c r="V937" s="109"/>
      <c r="W937" s="109"/>
      <c r="X937" s="109"/>
      <c r="Y937" s="109"/>
      <c r="Z937" s="109"/>
    </row>
    <row r="938" spans="1:26" ht="11.25" customHeight="1">
      <c r="A938" s="109"/>
      <c r="B938" s="109"/>
      <c r="C938" s="109"/>
      <c r="D938" s="109"/>
      <c r="E938" s="109"/>
      <c r="F938" s="109"/>
      <c r="G938" s="109"/>
      <c r="H938" s="109"/>
      <c r="I938" s="109"/>
      <c r="J938" s="109"/>
      <c r="K938" s="109"/>
      <c r="L938" s="109"/>
      <c r="M938" s="109"/>
      <c r="N938" s="109"/>
      <c r="O938" s="109"/>
      <c r="P938" s="109"/>
      <c r="Q938" s="109"/>
      <c r="R938" s="109"/>
      <c r="S938" s="109"/>
      <c r="T938" s="109"/>
      <c r="U938" s="109"/>
      <c r="V938" s="109"/>
      <c r="W938" s="109"/>
      <c r="X938" s="109"/>
      <c r="Y938" s="109"/>
      <c r="Z938" s="109"/>
    </row>
    <row r="939" spans="1:26" ht="11.25" customHeight="1">
      <c r="A939" s="109"/>
      <c r="B939" s="109"/>
      <c r="C939" s="109"/>
      <c r="D939" s="109"/>
      <c r="E939" s="109"/>
      <c r="F939" s="109"/>
      <c r="G939" s="109"/>
      <c r="H939" s="109"/>
      <c r="I939" s="109"/>
      <c r="J939" s="109"/>
      <c r="K939" s="109"/>
      <c r="L939" s="109"/>
      <c r="M939" s="109"/>
      <c r="N939" s="109"/>
      <c r="O939" s="109"/>
      <c r="P939" s="109"/>
      <c r="Q939" s="109"/>
      <c r="R939" s="109"/>
      <c r="S939" s="109"/>
      <c r="T939" s="109"/>
      <c r="U939" s="109"/>
      <c r="V939" s="109"/>
      <c r="W939" s="109"/>
      <c r="X939" s="109"/>
      <c r="Y939" s="109"/>
      <c r="Z939" s="109"/>
    </row>
    <row r="940" spans="1:26" ht="11.25" customHeight="1">
      <c r="A940" s="109"/>
      <c r="B940" s="109"/>
      <c r="C940" s="109"/>
      <c r="D940" s="109"/>
      <c r="E940" s="109"/>
      <c r="F940" s="109"/>
      <c r="G940" s="109"/>
      <c r="H940" s="109"/>
      <c r="I940" s="109"/>
      <c r="J940" s="109"/>
      <c r="K940" s="109"/>
      <c r="L940" s="109"/>
      <c r="M940" s="109"/>
      <c r="N940" s="109"/>
      <c r="O940" s="109"/>
      <c r="P940" s="109"/>
      <c r="Q940" s="109"/>
      <c r="R940" s="109"/>
      <c r="S940" s="109"/>
      <c r="T940" s="109"/>
      <c r="U940" s="109"/>
      <c r="V940" s="109"/>
      <c r="W940" s="109"/>
      <c r="X940" s="109"/>
      <c r="Y940" s="109"/>
      <c r="Z940" s="109"/>
    </row>
    <row r="941" spans="1:26" ht="11.25" customHeight="1">
      <c r="A941" s="109"/>
      <c r="B941" s="109"/>
      <c r="C941" s="109"/>
      <c r="D941" s="109"/>
      <c r="E941" s="109"/>
      <c r="F941" s="109"/>
      <c r="G941" s="109"/>
      <c r="H941" s="109"/>
      <c r="I941" s="109"/>
      <c r="J941" s="109"/>
      <c r="K941" s="109"/>
      <c r="L941" s="109"/>
      <c r="M941" s="109"/>
      <c r="N941" s="109"/>
      <c r="O941" s="109"/>
      <c r="P941" s="109"/>
      <c r="Q941" s="109"/>
      <c r="R941" s="109"/>
      <c r="S941" s="109"/>
      <c r="T941" s="109"/>
      <c r="U941" s="109"/>
      <c r="V941" s="109"/>
      <c r="W941" s="109"/>
      <c r="X941" s="109"/>
      <c r="Y941" s="109"/>
      <c r="Z941" s="109"/>
    </row>
    <row r="942" spans="1:26" ht="11.25" customHeight="1">
      <c r="A942" s="109"/>
      <c r="B942" s="109"/>
      <c r="C942" s="109"/>
      <c r="D942" s="109"/>
      <c r="E942" s="109"/>
      <c r="F942" s="109"/>
      <c r="G942" s="109"/>
      <c r="H942" s="109"/>
      <c r="I942" s="109"/>
      <c r="J942" s="109"/>
      <c r="K942" s="109"/>
      <c r="L942" s="109"/>
      <c r="M942" s="109"/>
      <c r="N942" s="109"/>
      <c r="O942" s="109"/>
      <c r="P942" s="109"/>
      <c r="Q942" s="109"/>
      <c r="R942" s="109"/>
      <c r="S942" s="109"/>
      <c r="T942" s="109"/>
      <c r="U942" s="109"/>
      <c r="V942" s="109"/>
      <c r="W942" s="109"/>
      <c r="X942" s="109"/>
      <c r="Y942" s="109"/>
      <c r="Z942" s="109"/>
    </row>
    <row r="943" spans="1:26" ht="11.25" customHeight="1">
      <c r="A943" s="109"/>
      <c r="B943" s="109"/>
      <c r="C943" s="109"/>
      <c r="D943" s="109"/>
      <c r="E943" s="109"/>
      <c r="F943" s="109"/>
      <c r="G943" s="109"/>
      <c r="H943" s="109"/>
      <c r="I943" s="109"/>
      <c r="J943" s="109"/>
      <c r="K943" s="109"/>
      <c r="L943" s="109"/>
      <c r="M943" s="109"/>
      <c r="N943" s="109"/>
      <c r="O943" s="109"/>
      <c r="P943" s="109"/>
      <c r="Q943" s="109"/>
      <c r="R943" s="109"/>
      <c r="S943" s="109"/>
      <c r="T943" s="109"/>
      <c r="U943" s="109"/>
      <c r="V943" s="109"/>
      <c r="W943" s="109"/>
      <c r="X943" s="109"/>
      <c r="Y943" s="109"/>
      <c r="Z943" s="109"/>
    </row>
    <row r="944" spans="1:26" ht="11.25" customHeight="1">
      <c r="A944" s="109"/>
      <c r="B944" s="109"/>
      <c r="C944" s="109"/>
      <c r="D944" s="109"/>
      <c r="E944" s="109"/>
      <c r="F944" s="109"/>
      <c r="G944" s="109"/>
      <c r="H944" s="109"/>
      <c r="I944" s="109"/>
      <c r="J944" s="109"/>
      <c r="K944" s="109"/>
      <c r="L944" s="109"/>
      <c r="M944" s="109"/>
      <c r="N944" s="109"/>
      <c r="O944" s="109"/>
      <c r="P944" s="109"/>
      <c r="Q944" s="109"/>
      <c r="R944" s="109"/>
      <c r="S944" s="109"/>
      <c r="T944" s="109"/>
      <c r="U944" s="109"/>
      <c r="V944" s="109"/>
      <c r="W944" s="109"/>
      <c r="X944" s="109"/>
      <c r="Y944" s="109"/>
      <c r="Z944" s="109"/>
    </row>
    <row r="945" spans="1:26" ht="11.25" customHeight="1">
      <c r="A945" s="109"/>
      <c r="B945" s="109"/>
      <c r="C945" s="109"/>
      <c r="D945" s="109"/>
      <c r="E945" s="109"/>
      <c r="F945" s="109"/>
      <c r="G945" s="109"/>
      <c r="H945" s="109"/>
      <c r="I945" s="109"/>
      <c r="J945" s="109"/>
      <c r="K945" s="109"/>
      <c r="L945" s="109"/>
      <c r="M945" s="109"/>
      <c r="N945" s="109"/>
      <c r="O945" s="109"/>
      <c r="P945" s="109"/>
      <c r="Q945" s="109"/>
      <c r="R945" s="109"/>
      <c r="S945" s="109"/>
      <c r="T945" s="109"/>
      <c r="U945" s="109"/>
      <c r="V945" s="109"/>
      <c r="W945" s="109"/>
      <c r="X945" s="109"/>
      <c r="Y945" s="109"/>
      <c r="Z945" s="109"/>
    </row>
    <row r="946" spans="1:26" ht="11.25" customHeight="1">
      <c r="A946" s="109"/>
      <c r="B946" s="109"/>
      <c r="C946" s="109"/>
      <c r="D946" s="109"/>
      <c r="E946" s="109"/>
      <c r="F946" s="109"/>
      <c r="G946" s="109"/>
      <c r="H946" s="109"/>
      <c r="I946" s="109"/>
      <c r="J946" s="109"/>
      <c r="K946" s="109"/>
      <c r="L946" s="109"/>
      <c r="M946" s="109"/>
      <c r="N946" s="109"/>
      <c r="O946" s="109"/>
      <c r="P946" s="109"/>
      <c r="Q946" s="109"/>
      <c r="R946" s="109"/>
      <c r="S946" s="109"/>
      <c r="T946" s="109"/>
      <c r="U946" s="109"/>
      <c r="V946" s="109"/>
      <c r="W946" s="109"/>
      <c r="X946" s="109"/>
      <c r="Y946" s="109"/>
      <c r="Z946" s="109"/>
    </row>
    <row r="947" spans="1:26" ht="11.25" customHeight="1">
      <c r="A947" s="109"/>
      <c r="B947" s="109"/>
      <c r="C947" s="109"/>
      <c r="D947" s="109"/>
      <c r="E947" s="109"/>
      <c r="F947" s="109"/>
      <c r="G947" s="109"/>
      <c r="H947" s="109"/>
      <c r="I947" s="109"/>
      <c r="J947" s="109"/>
      <c r="K947" s="109"/>
      <c r="L947" s="109"/>
      <c r="M947" s="109"/>
      <c r="N947" s="109"/>
      <c r="O947" s="109"/>
      <c r="P947" s="109"/>
      <c r="Q947" s="109"/>
      <c r="R947" s="109"/>
      <c r="S947" s="109"/>
      <c r="T947" s="109"/>
      <c r="U947" s="109"/>
      <c r="V947" s="109"/>
      <c r="W947" s="109"/>
      <c r="X947" s="109"/>
      <c r="Y947" s="109"/>
      <c r="Z947" s="109"/>
    </row>
    <row r="948" spans="1:26" ht="11.25" customHeight="1">
      <c r="A948" s="109"/>
      <c r="B948" s="109"/>
      <c r="C948" s="109"/>
      <c r="D948" s="109"/>
      <c r="E948" s="109"/>
      <c r="F948" s="109"/>
      <c r="G948" s="109"/>
      <c r="H948" s="109"/>
      <c r="I948" s="109"/>
      <c r="J948" s="109"/>
      <c r="K948" s="109"/>
      <c r="L948" s="109"/>
      <c r="M948" s="109"/>
      <c r="N948" s="109"/>
      <c r="O948" s="109"/>
      <c r="P948" s="109"/>
      <c r="Q948" s="109"/>
      <c r="R948" s="109"/>
      <c r="S948" s="109"/>
      <c r="T948" s="109"/>
      <c r="U948" s="109"/>
      <c r="V948" s="109"/>
      <c r="W948" s="109"/>
      <c r="X948" s="109"/>
      <c r="Y948" s="109"/>
      <c r="Z948" s="109"/>
    </row>
    <row r="949" spans="1:26" ht="11.25" customHeight="1">
      <c r="A949" s="109"/>
      <c r="B949" s="109"/>
      <c r="C949" s="109"/>
      <c r="D949" s="109"/>
      <c r="E949" s="109"/>
      <c r="F949" s="109"/>
      <c r="G949" s="109"/>
      <c r="H949" s="109"/>
      <c r="I949" s="109"/>
      <c r="J949" s="109"/>
      <c r="K949" s="109"/>
      <c r="L949" s="109"/>
      <c r="M949" s="109"/>
      <c r="N949" s="109"/>
      <c r="O949" s="109"/>
      <c r="P949" s="109"/>
      <c r="Q949" s="109"/>
      <c r="R949" s="109"/>
      <c r="S949" s="109"/>
      <c r="T949" s="109"/>
      <c r="U949" s="109"/>
      <c r="V949" s="109"/>
      <c r="W949" s="109"/>
      <c r="X949" s="109"/>
      <c r="Y949" s="109"/>
      <c r="Z949" s="109"/>
    </row>
    <row r="950" spans="1:26" ht="11.25" customHeight="1">
      <c r="A950" s="109"/>
      <c r="B950" s="109"/>
      <c r="C950" s="109"/>
      <c r="D950" s="109"/>
      <c r="E950" s="109"/>
      <c r="F950" s="109"/>
      <c r="G950" s="109"/>
      <c r="H950" s="109"/>
      <c r="I950" s="109"/>
      <c r="J950" s="109"/>
      <c r="K950" s="109"/>
      <c r="L950" s="109"/>
      <c r="M950" s="109"/>
      <c r="N950" s="109"/>
      <c r="O950" s="109"/>
      <c r="P950" s="109"/>
      <c r="Q950" s="109"/>
      <c r="R950" s="109"/>
      <c r="S950" s="109"/>
      <c r="T950" s="109"/>
      <c r="U950" s="109"/>
      <c r="V950" s="109"/>
      <c r="W950" s="109"/>
      <c r="X950" s="109"/>
      <c r="Y950" s="109"/>
      <c r="Z950" s="109"/>
    </row>
    <row r="951" spans="1:26" ht="11.25" customHeight="1">
      <c r="A951" s="109"/>
      <c r="B951" s="109"/>
      <c r="C951" s="109"/>
      <c r="D951" s="109"/>
      <c r="E951" s="109"/>
      <c r="F951" s="109"/>
      <c r="G951" s="109"/>
      <c r="H951" s="109"/>
      <c r="I951" s="109"/>
      <c r="J951" s="109"/>
      <c r="K951" s="109"/>
      <c r="L951" s="109"/>
      <c r="M951" s="109"/>
      <c r="N951" s="109"/>
      <c r="O951" s="109"/>
      <c r="P951" s="109"/>
      <c r="Q951" s="109"/>
      <c r="R951" s="109"/>
      <c r="S951" s="109"/>
      <c r="T951" s="109"/>
      <c r="U951" s="109"/>
      <c r="V951" s="109"/>
      <c r="W951" s="109"/>
      <c r="X951" s="109"/>
      <c r="Y951" s="109"/>
      <c r="Z951" s="109"/>
    </row>
    <row r="952" spans="1:26" ht="11.25" customHeight="1">
      <c r="A952" s="109"/>
      <c r="B952" s="109"/>
      <c r="C952" s="109"/>
      <c r="D952" s="109"/>
      <c r="E952" s="109"/>
      <c r="F952" s="109"/>
      <c r="G952" s="109"/>
      <c r="H952" s="109"/>
      <c r="I952" s="109"/>
      <c r="J952" s="109"/>
      <c r="K952" s="109"/>
      <c r="L952" s="109"/>
      <c r="M952" s="109"/>
      <c r="N952" s="109"/>
      <c r="O952" s="109"/>
      <c r="P952" s="109"/>
      <c r="Q952" s="109"/>
      <c r="R952" s="109"/>
      <c r="S952" s="109"/>
      <c r="T952" s="109"/>
      <c r="U952" s="109"/>
      <c r="V952" s="109"/>
      <c r="W952" s="109"/>
      <c r="X952" s="109"/>
      <c r="Y952" s="109"/>
      <c r="Z952" s="109"/>
    </row>
    <row r="953" spans="1:26" ht="11.25" customHeight="1">
      <c r="A953" s="109"/>
      <c r="B953" s="109"/>
      <c r="C953" s="109"/>
      <c r="D953" s="109"/>
      <c r="E953" s="109"/>
      <c r="F953" s="109"/>
      <c r="G953" s="109"/>
      <c r="H953" s="109"/>
      <c r="I953" s="109"/>
      <c r="J953" s="109"/>
      <c r="K953" s="109"/>
      <c r="L953" s="109"/>
      <c r="M953" s="109"/>
      <c r="N953" s="109"/>
      <c r="O953" s="109"/>
      <c r="P953" s="109"/>
      <c r="Q953" s="109"/>
      <c r="R953" s="109"/>
      <c r="S953" s="109"/>
      <c r="T953" s="109"/>
      <c r="U953" s="109"/>
      <c r="V953" s="109"/>
      <c r="W953" s="109"/>
      <c r="X953" s="109"/>
      <c r="Y953" s="109"/>
      <c r="Z953" s="109"/>
    </row>
    <row r="954" spans="1:26" ht="11.25" customHeight="1">
      <c r="A954" s="109"/>
      <c r="B954" s="109"/>
      <c r="C954" s="109"/>
      <c r="D954" s="109"/>
      <c r="E954" s="109"/>
      <c r="F954" s="109"/>
      <c r="G954" s="109"/>
      <c r="H954" s="109"/>
      <c r="I954" s="109"/>
      <c r="J954" s="109"/>
      <c r="K954" s="109"/>
      <c r="L954" s="109"/>
      <c r="M954" s="109"/>
      <c r="N954" s="109"/>
      <c r="O954" s="109"/>
      <c r="P954" s="109"/>
      <c r="Q954" s="109"/>
      <c r="R954" s="109"/>
      <c r="S954" s="109"/>
      <c r="T954" s="109"/>
      <c r="U954" s="109"/>
      <c r="V954" s="109"/>
      <c r="W954" s="109"/>
      <c r="X954" s="109"/>
      <c r="Y954" s="109"/>
      <c r="Z954" s="109"/>
    </row>
    <row r="955" spans="1:26" ht="11.25" customHeight="1">
      <c r="A955" s="109"/>
      <c r="B955" s="109"/>
      <c r="C955" s="109"/>
      <c r="D955" s="109"/>
      <c r="E955" s="109"/>
      <c r="F955" s="109"/>
      <c r="G955" s="109"/>
      <c r="H955" s="109"/>
      <c r="I955" s="109"/>
      <c r="J955" s="109"/>
      <c r="K955" s="109"/>
      <c r="L955" s="109"/>
      <c r="M955" s="109"/>
      <c r="N955" s="109"/>
      <c r="O955" s="109"/>
      <c r="P955" s="109"/>
      <c r="Q955" s="109"/>
      <c r="R955" s="109"/>
      <c r="S955" s="109"/>
      <c r="T955" s="109"/>
      <c r="U955" s="109"/>
      <c r="V955" s="109"/>
      <c r="W955" s="109"/>
      <c r="X955" s="109"/>
      <c r="Y955" s="109"/>
      <c r="Z955" s="109"/>
    </row>
    <row r="956" spans="1:26" ht="11.25" customHeight="1">
      <c r="A956" s="109"/>
      <c r="B956" s="109"/>
      <c r="C956" s="109"/>
      <c r="D956" s="109"/>
      <c r="E956" s="109"/>
      <c r="F956" s="109"/>
      <c r="G956" s="109"/>
      <c r="H956" s="109"/>
      <c r="I956" s="109"/>
      <c r="J956" s="109"/>
      <c r="K956" s="109"/>
      <c r="L956" s="109"/>
      <c r="M956" s="109"/>
      <c r="N956" s="109"/>
      <c r="O956" s="109"/>
      <c r="P956" s="109"/>
      <c r="Q956" s="109"/>
      <c r="R956" s="109"/>
      <c r="S956" s="109"/>
      <c r="T956" s="109"/>
      <c r="U956" s="109"/>
      <c r="V956" s="109"/>
      <c r="W956" s="109"/>
      <c r="X956" s="109"/>
      <c r="Y956" s="109"/>
      <c r="Z956" s="109"/>
    </row>
    <row r="957" spans="1:26" ht="11.25" customHeight="1">
      <c r="A957" s="109"/>
      <c r="B957" s="109"/>
      <c r="C957" s="109"/>
      <c r="D957" s="109"/>
      <c r="E957" s="109"/>
      <c r="F957" s="109"/>
      <c r="G957" s="109"/>
      <c r="H957" s="109"/>
      <c r="I957" s="109"/>
      <c r="J957" s="109"/>
      <c r="K957" s="109"/>
      <c r="L957" s="109"/>
      <c r="M957" s="109"/>
      <c r="N957" s="109"/>
      <c r="O957" s="109"/>
      <c r="P957" s="109"/>
      <c r="Q957" s="109"/>
      <c r="R957" s="109"/>
      <c r="S957" s="109"/>
      <c r="T957" s="109"/>
      <c r="U957" s="109"/>
      <c r="V957" s="109"/>
      <c r="W957" s="109"/>
      <c r="X957" s="109"/>
      <c r="Y957" s="109"/>
      <c r="Z957" s="109"/>
    </row>
    <row r="958" spans="1:26" ht="11.25" customHeight="1">
      <c r="A958" s="109"/>
      <c r="B958" s="109"/>
      <c r="C958" s="109"/>
      <c r="D958" s="109"/>
      <c r="E958" s="109"/>
      <c r="F958" s="109"/>
      <c r="G958" s="109"/>
      <c r="H958" s="109"/>
      <c r="I958" s="109"/>
      <c r="J958" s="109"/>
      <c r="K958" s="109"/>
      <c r="L958" s="109"/>
      <c r="M958" s="109"/>
      <c r="N958" s="109"/>
      <c r="O958" s="109"/>
      <c r="P958" s="109"/>
      <c r="Q958" s="109"/>
      <c r="R958" s="109"/>
      <c r="S958" s="109"/>
      <c r="T958" s="109"/>
      <c r="U958" s="109"/>
      <c r="V958" s="109"/>
      <c r="W958" s="109"/>
      <c r="X958" s="109"/>
      <c r="Y958" s="109"/>
      <c r="Z958" s="109"/>
    </row>
    <row r="959" spans="1:26" ht="11.25" customHeight="1">
      <c r="A959" s="109"/>
      <c r="B959" s="109"/>
      <c r="C959" s="109"/>
      <c r="D959" s="109"/>
      <c r="E959" s="109"/>
      <c r="F959" s="109"/>
      <c r="G959" s="109"/>
      <c r="H959" s="109"/>
      <c r="I959" s="109"/>
      <c r="J959" s="109"/>
      <c r="K959" s="109"/>
      <c r="L959" s="109"/>
      <c r="M959" s="109"/>
      <c r="N959" s="109"/>
      <c r="O959" s="109"/>
      <c r="P959" s="109"/>
      <c r="Q959" s="109"/>
      <c r="R959" s="109"/>
      <c r="S959" s="109"/>
      <c r="T959" s="109"/>
      <c r="U959" s="109"/>
      <c r="V959" s="109"/>
      <c r="W959" s="109"/>
      <c r="X959" s="109"/>
      <c r="Y959" s="109"/>
      <c r="Z959" s="109"/>
    </row>
    <row r="960" spans="1:26" ht="11.25" customHeight="1">
      <c r="A960" s="109"/>
      <c r="B960" s="109"/>
      <c r="C960" s="109"/>
      <c r="D960" s="109"/>
      <c r="E960" s="109"/>
      <c r="F960" s="109"/>
      <c r="G960" s="109"/>
      <c r="H960" s="109"/>
      <c r="I960" s="109"/>
      <c r="J960" s="109"/>
      <c r="K960" s="109"/>
      <c r="L960" s="109"/>
      <c r="M960" s="109"/>
      <c r="N960" s="109"/>
      <c r="O960" s="109"/>
      <c r="P960" s="109"/>
      <c r="Q960" s="109"/>
      <c r="R960" s="109"/>
      <c r="S960" s="109"/>
      <c r="T960" s="109"/>
      <c r="U960" s="109"/>
      <c r="V960" s="109"/>
      <c r="W960" s="109"/>
      <c r="X960" s="109"/>
      <c r="Y960" s="109"/>
      <c r="Z960" s="109"/>
    </row>
    <row r="961" spans="1:26" ht="11.25" customHeight="1">
      <c r="A961" s="109"/>
      <c r="B961" s="109"/>
      <c r="C961" s="109"/>
      <c r="D961" s="109"/>
      <c r="E961" s="109"/>
      <c r="F961" s="109"/>
      <c r="G961" s="109"/>
      <c r="H961" s="109"/>
      <c r="I961" s="109"/>
      <c r="J961" s="109"/>
      <c r="K961" s="109"/>
      <c r="L961" s="109"/>
      <c r="M961" s="109"/>
      <c r="N961" s="109"/>
      <c r="O961" s="109"/>
      <c r="P961" s="109"/>
      <c r="Q961" s="109"/>
      <c r="R961" s="109"/>
      <c r="S961" s="109"/>
      <c r="T961" s="109"/>
      <c r="U961" s="109"/>
      <c r="V961" s="109"/>
      <c r="W961" s="109"/>
      <c r="X961" s="109"/>
      <c r="Y961" s="109"/>
      <c r="Z961" s="109"/>
    </row>
    <row r="962" spans="1:26" ht="11.25" customHeight="1">
      <c r="A962" s="109"/>
      <c r="B962" s="109"/>
      <c r="C962" s="109"/>
      <c r="D962" s="109"/>
      <c r="E962" s="109"/>
      <c r="F962" s="109"/>
      <c r="G962" s="109"/>
      <c r="H962" s="109"/>
      <c r="I962" s="109"/>
      <c r="J962" s="109"/>
      <c r="K962" s="109"/>
      <c r="L962" s="109"/>
      <c r="M962" s="109"/>
      <c r="N962" s="109"/>
      <c r="O962" s="109"/>
      <c r="P962" s="109"/>
      <c r="Q962" s="109"/>
      <c r="R962" s="109"/>
      <c r="S962" s="109"/>
      <c r="T962" s="109"/>
      <c r="U962" s="109"/>
      <c r="V962" s="109"/>
      <c r="W962" s="109"/>
      <c r="X962" s="109"/>
      <c r="Y962" s="109"/>
      <c r="Z962" s="109"/>
    </row>
    <row r="963" spans="1:26" ht="11.25" customHeight="1">
      <c r="A963" s="109"/>
      <c r="B963" s="109"/>
      <c r="C963" s="109"/>
      <c r="D963" s="109"/>
      <c r="E963" s="109"/>
      <c r="F963" s="109"/>
      <c r="G963" s="109"/>
      <c r="H963" s="109"/>
      <c r="I963" s="109"/>
      <c r="J963" s="109"/>
      <c r="K963" s="109"/>
      <c r="L963" s="109"/>
      <c r="M963" s="109"/>
      <c r="N963" s="109"/>
      <c r="O963" s="109"/>
      <c r="P963" s="109"/>
      <c r="Q963" s="109"/>
      <c r="R963" s="109"/>
      <c r="S963" s="109"/>
      <c r="T963" s="109"/>
      <c r="U963" s="109"/>
      <c r="V963" s="109"/>
      <c r="W963" s="109"/>
      <c r="X963" s="109"/>
      <c r="Y963" s="109"/>
      <c r="Z963" s="109"/>
    </row>
    <row r="964" spans="1:26" ht="11.25" customHeight="1">
      <c r="A964" s="109"/>
      <c r="B964" s="109"/>
      <c r="C964" s="109"/>
      <c r="D964" s="109"/>
      <c r="E964" s="109"/>
      <c r="F964" s="109"/>
      <c r="G964" s="109"/>
      <c r="H964" s="109"/>
      <c r="I964" s="109"/>
      <c r="J964" s="109"/>
      <c r="K964" s="109"/>
      <c r="L964" s="109"/>
      <c r="M964" s="109"/>
      <c r="N964" s="109"/>
      <c r="O964" s="109"/>
      <c r="P964" s="109"/>
      <c r="Q964" s="109"/>
      <c r="R964" s="109"/>
      <c r="S964" s="109"/>
      <c r="T964" s="109"/>
      <c r="U964" s="109"/>
      <c r="V964" s="109"/>
      <c r="W964" s="109"/>
      <c r="X964" s="109"/>
      <c r="Y964" s="109"/>
      <c r="Z964" s="109"/>
    </row>
    <row r="965" spans="1:26" ht="11.25" customHeight="1">
      <c r="A965" s="109"/>
      <c r="B965" s="109"/>
      <c r="C965" s="109"/>
      <c r="D965" s="109"/>
      <c r="E965" s="109"/>
      <c r="F965" s="109"/>
      <c r="G965" s="109"/>
      <c r="H965" s="109"/>
      <c r="I965" s="109"/>
      <c r="J965" s="109"/>
      <c r="K965" s="109"/>
      <c r="L965" s="109"/>
      <c r="M965" s="109"/>
      <c r="N965" s="109"/>
      <c r="O965" s="109"/>
      <c r="P965" s="109"/>
      <c r="Q965" s="109"/>
      <c r="R965" s="109"/>
      <c r="S965" s="109"/>
      <c r="T965" s="109"/>
      <c r="U965" s="109"/>
      <c r="V965" s="109"/>
      <c r="W965" s="109"/>
      <c r="X965" s="109"/>
      <c r="Y965" s="109"/>
      <c r="Z965" s="109"/>
    </row>
    <row r="966" spans="1:26" ht="11.25" customHeight="1">
      <c r="A966" s="109"/>
      <c r="B966" s="109"/>
      <c r="C966" s="109"/>
      <c r="D966" s="109"/>
      <c r="E966" s="109"/>
      <c r="F966" s="109"/>
      <c r="G966" s="109"/>
      <c r="H966" s="109"/>
      <c r="I966" s="109"/>
      <c r="J966" s="109"/>
      <c r="K966" s="109"/>
      <c r="L966" s="109"/>
      <c r="M966" s="109"/>
      <c r="N966" s="109"/>
      <c r="O966" s="109"/>
      <c r="P966" s="109"/>
      <c r="Q966" s="109"/>
      <c r="R966" s="109"/>
      <c r="S966" s="109"/>
      <c r="T966" s="109"/>
      <c r="U966" s="109"/>
      <c r="V966" s="109"/>
      <c r="W966" s="109"/>
      <c r="X966" s="109"/>
      <c r="Y966" s="109"/>
      <c r="Z966" s="109"/>
    </row>
    <row r="967" spans="1:26" ht="11.25" customHeight="1">
      <c r="A967" s="109"/>
      <c r="B967" s="109"/>
      <c r="C967" s="109"/>
      <c r="D967" s="109"/>
      <c r="E967" s="109"/>
      <c r="F967" s="109"/>
      <c r="G967" s="109"/>
      <c r="H967" s="109"/>
      <c r="I967" s="109"/>
      <c r="J967" s="109"/>
      <c r="K967" s="109"/>
      <c r="L967" s="109"/>
      <c r="M967" s="109"/>
      <c r="N967" s="109"/>
      <c r="O967" s="109"/>
      <c r="P967" s="109"/>
      <c r="Q967" s="109"/>
      <c r="R967" s="109"/>
      <c r="S967" s="109"/>
      <c r="T967" s="109"/>
      <c r="U967" s="109"/>
      <c r="V967" s="109"/>
      <c r="W967" s="109"/>
      <c r="X967" s="109"/>
      <c r="Y967" s="109"/>
      <c r="Z967" s="109"/>
    </row>
    <row r="968" spans="1:26" ht="11.25" customHeight="1">
      <c r="A968" s="109"/>
      <c r="B968" s="109"/>
      <c r="C968" s="109"/>
      <c r="D968" s="109"/>
      <c r="E968" s="109"/>
      <c r="F968" s="109"/>
      <c r="G968" s="109"/>
      <c r="H968" s="109"/>
      <c r="I968" s="109"/>
      <c r="J968" s="109"/>
      <c r="K968" s="109"/>
      <c r="L968" s="109"/>
      <c r="M968" s="109"/>
      <c r="N968" s="109"/>
      <c r="O968" s="109"/>
      <c r="P968" s="109"/>
      <c r="Q968" s="109"/>
      <c r="R968" s="109"/>
      <c r="S968" s="109"/>
      <c r="T968" s="109"/>
      <c r="U968" s="109"/>
      <c r="V968" s="109"/>
      <c r="W968" s="109"/>
      <c r="X968" s="109"/>
      <c r="Y968" s="109"/>
      <c r="Z968" s="109"/>
    </row>
    <row r="969" spans="1:26" ht="11.25" customHeight="1">
      <c r="A969" s="109"/>
      <c r="B969" s="109"/>
      <c r="C969" s="109"/>
      <c r="D969" s="109"/>
      <c r="E969" s="109"/>
      <c r="F969" s="109"/>
      <c r="G969" s="109"/>
      <c r="H969" s="109"/>
      <c r="I969" s="109"/>
      <c r="J969" s="109"/>
      <c r="K969" s="109"/>
      <c r="L969" s="109"/>
      <c r="M969" s="109"/>
      <c r="N969" s="109"/>
      <c r="O969" s="109"/>
      <c r="P969" s="109"/>
      <c r="Q969" s="109"/>
      <c r="R969" s="109"/>
      <c r="S969" s="109"/>
      <c r="T969" s="109"/>
      <c r="U969" s="109"/>
      <c r="V969" s="109"/>
      <c r="W969" s="109"/>
      <c r="X969" s="109"/>
      <c r="Y969" s="109"/>
      <c r="Z969" s="109"/>
    </row>
    <row r="970" spans="1:26" ht="11.25" customHeight="1">
      <c r="A970" s="109"/>
      <c r="B970" s="109"/>
      <c r="C970" s="109"/>
      <c r="D970" s="109"/>
      <c r="E970" s="109"/>
      <c r="F970" s="109"/>
      <c r="G970" s="109"/>
      <c r="H970" s="109"/>
      <c r="I970" s="109"/>
      <c r="J970" s="109"/>
      <c r="K970" s="109"/>
      <c r="L970" s="109"/>
      <c r="M970" s="109"/>
      <c r="N970" s="109"/>
      <c r="O970" s="109"/>
      <c r="P970" s="109"/>
      <c r="Q970" s="109"/>
      <c r="R970" s="109"/>
      <c r="S970" s="109"/>
      <c r="T970" s="109"/>
      <c r="U970" s="109"/>
      <c r="V970" s="109"/>
      <c r="W970" s="109"/>
      <c r="X970" s="109"/>
      <c r="Y970" s="109"/>
      <c r="Z970" s="109"/>
    </row>
    <row r="971" spans="1:26" ht="11.25" customHeight="1">
      <c r="A971" s="109"/>
      <c r="B971" s="109"/>
      <c r="C971" s="109"/>
      <c r="D971" s="109"/>
      <c r="E971" s="109"/>
      <c r="F971" s="109"/>
      <c r="G971" s="109"/>
      <c r="H971" s="109"/>
      <c r="I971" s="109"/>
      <c r="J971" s="109"/>
      <c r="K971" s="109"/>
      <c r="L971" s="109"/>
      <c r="M971" s="109"/>
      <c r="N971" s="109"/>
      <c r="O971" s="109"/>
      <c r="P971" s="109"/>
      <c r="Q971" s="109"/>
      <c r="R971" s="109"/>
      <c r="S971" s="109"/>
      <c r="T971" s="109"/>
      <c r="U971" s="109"/>
      <c r="V971" s="109"/>
      <c r="W971" s="109"/>
      <c r="X971" s="109"/>
      <c r="Y971" s="109"/>
      <c r="Z971" s="109"/>
    </row>
    <row r="972" spans="1:26" ht="11.25" customHeight="1">
      <c r="A972" s="109"/>
      <c r="B972" s="109"/>
      <c r="C972" s="109"/>
      <c r="D972" s="109"/>
      <c r="E972" s="109"/>
      <c r="F972" s="109"/>
      <c r="G972" s="109"/>
      <c r="H972" s="109"/>
      <c r="I972" s="109"/>
      <c r="J972" s="109"/>
      <c r="K972" s="109"/>
      <c r="L972" s="109"/>
      <c r="M972" s="109"/>
      <c r="N972" s="109"/>
      <c r="O972" s="109"/>
      <c r="P972" s="109"/>
      <c r="Q972" s="109"/>
      <c r="R972" s="109"/>
      <c r="S972" s="109"/>
      <c r="T972" s="109"/>
      <c r="U972" s="109"/>
      <c r="V972" s="109"/>
      <c r="W972" s="109"/>
      <c r="X972" s="109"/>
      <c r="Y972" s="109"/>
      <c r="Z972" s="109"/>
    </row>
    <row r="973" spans="1:26" ht="11.25" customHeight="1">
      <c r="A973" s="109"/>
      <c r="B973" s="109"/>
      <c r="C973" s="109"/>
      <c r="D973" s="109"/>
      <c r="E973" s="109"/>
      <c r="F973" s="109"/>
      <c r="G973" s="109"/>
      <c r="H973" s="109"/>
      <c r="I973" s="109"/>
      <c r="J973" s="109"/>
      <c r="K973" s="109"/>
      <c r="L973" s="109"/>
      <c r="M973" s="109"/>
      <c r="N973" s="109"/>
      <c r="O973" s="109"/>
      <c r="P973" s="109"/>
      <c r="Q973" s="109"/>
      <c r="R973" s="109"/>
      <c r="S973" s="109"/>
      <c r="T973" s="109"/>
      <c r="U973" s="109"/>
      <c r="V973" s="109"/>
      <c r="W973" s="109"/>
      <c r="X973" s="109"/>
      <c r="Y973" s="109"/>
      <c r="Z973" s="109"/>
    </row>
    <row r="974" spans="1:26" ht="11.25" customHeight="1">
      <c r="A974" s="109"/>
      <c r="B974" s="109"/>
      <c r="C974" s="109"/>
      <c r="D974" s="109"/>
      <c r="E974" s="109"/>
      <c r="F974" s="109"/>
      <c r="G974" s="109"/>
      <c r="H974" s="109"/>
      <c r="I974" s="109"/>
      <c r="J974" s="109"/>
      <c r="K974" s="109"/>
      <c r="L974" s="109"/>
      <c r="M974" s="109"/>
      <c r="N974" s="109"/>
      <c r="O974" s="109"/>
      <c r="P974" s="109"/>
      <c r="Q974" s="109"/>
      <c r="R974" s="109"/>
      <c r="S974" s="109"/>
      <c r="T974" s="109"/>
      <c r="U974" s="109"/>
      <c r="V974" s="109"/>
      <c r="W974" s="109"/>
      <c r="X974" s="109"/>
      <c r="Y974" s="109"/>
      <c r="Z974" s="109"/>
    </row>
    <row r="975" spans="1:26" ht="11.25" customHeight="1">
      <c r="A975" s="109"/>
      <c r="B975" s="109"/>
      <c r="C975" s="109"/>
      <c r="D975" s="109"/>
      <c r="E975" s="109"/>
      <c r="F975" s="109"/>
      <c r="G975" s="109"/>
      <c r="H975" s="109"/>
      <c r="I975" s="109"/>
      <c r="J975" s="109"/>
      <c r="K975" s="109"/>
      <c r="L975" s="109"/>
      <c r="M975" s="109"/>
      <c r="N975" s="109"/>
      <c r="O975" s="109"/>
      <c r="P975" s="109"/>
      <c r="Q975" s="109"/>
      <c r="R975" s="109"/>
      <c r="S975" s="109"/>
      <c r="T975" s="109"/>
      <c r="U975" s="109"/>
      <c r="V975" s="109"/>
      <c r="W975" s="109"/>
      <c r="X975" s="109"/>
      <c r="Y975" s="109"/>
      <c r="Z975" s="109"/>
    </row>
    <row r="976" spans="1:26" ht="11.25" customHeight="1">
      <c r="A976" s="109"/>
      <c r="B976" s="109"/>
      <c r="C976" s="109"/>
      <c r="D976" s="109"/>
      <c r="E976" s="109"/>
      <c r="F976" s="109"/>
      <c r="G976" s="109"/>
      <c r="H976" s="109"/>
      <c r="I976" s="109"/>
      <c r="J976" s="109"/>
      <c r="K976" s="109"/>
      <c r="L976" s="109"/>
      <c r="M976" s="109"/>
      <c r="N976" s="109"/>
      <c r="O976" s="109"/>
      <c r="P976" s="109"/>
      <c r="Q976" s="109"/>
      <c r="R976" s="109"/>
      <c r="S976" s="109"/>
      <c r="T976" s="109"/>
      <c r="U976" s="109"/>
      <c r="V976" s="109"/>
      <c r="W976" s="109"/>
      <c r="X976" s="109"/>
      <c r="Y976" s="109"/>
      <c r="Z976" s="109"/>
    </row>
    <row r="977" spans="1:26" ht="11.25" customHeight="1">
      <c r="A977" s="109"/>
      <c r="B977" s="109"/>
      <c r="C977" s="109"/>
      <c r="D977" s="109"/>
      <c r="E977" s="109"/>
      <c r="F977" s="109"/>
      <c r="G977" s="109"/>
      <c r="H977" s="109"/>
      <c r="I977" s="109"/>
      <c r="J977" s="109"/>
      <c r="K977" s="109"/>
      <c r="L977" s="109"/>
      <c r="M977" s="109"/>
      <c r="N977" s="109"/>
      <c r="O977" s="109"/>
      <c r="P977" s="109"/>
      <c r="Q977" s="109"/>
      <c r="R977" s="109"/>
      <c r="S977" s="109"/>
      <c r="T977" s="109"/>
      <c r="U977" s="109"/>
      <c r="V977" s="109"/>
      <c r="W977" s="109"/>
      <c r="X977" s="109"/>
      <c r="Y977" s="109"/>
      <c r="Z977" s="109"/>
    </row>
    <row r="978" spans="1:26" ht="11.25" customHeight="1">
      <c r="A978" s="109"/>
      <c r="B978" s="109"/>
      <c r="C978" s="109"/>
      <c r="D978" s="109"/>
      <c r="E978" s="109"/>
      <c r="F978" s="109"/>
      <c r="G978" s="109"/>
      <c r="H978" s="109"/>
      <c r="I978" s="109"/>
      <c r="J978" s="109"/>
      <c r="K978" s="109"/>
      <c r="L978" s="109"/>
      <c r="M978" s="109"/>
      <c r="N978" s="109"/>
      <c r="O978" s="109"/>
      <c r="P978" s="109"/>
      <c r="Q978" s="109"/>
      <c r="R978" s="109"/>
      <c r="S978" s="109"/>
      <c r="T978" s="109"/>
      <c r="U978" s="109"/>
      <c r="V978" s="109"/>
      <c r="W978" s="109"/>
      <c r="X978" s="109"/>
      <c r="Y978" s="109"/>
      <c r="Z978" s="109"/>
    </row>
    <row r="979" spans="1:26" ht="11.25" customHeight="1">
      <c r="A979" s="109"/>
      <c r="B979" s="109"/>
      <c r="C979" s="109"/>
      <c r="D979" s="109"/>
      <c r="E979" s="109"/>
      <c r="F979" s="109"/>
      <c r="G979" s="109"/>
      <c r="H979" s="109"/>
      <c r="I979" s="109"/>
      <c r="J979" s="109"/>
      <c r="K979" s="109"/>
      <c r="L979" s="109"/>
      <c r="M979" s="109"/>
      <c r="N979" s="109"/>
      <c r="O979" s="109"/>
      <c r="P979" s="109"/>
      <c r="Q979" s="109"/>
      <c r="R979" s="109"/>
      <c r="S979" s="109"/>
      <c r="T979" s="109"/>
      <c r="U979" s="109"/>
      <c r="V979" s="109"/>
      <c r="W979" s="109"/>
      <c r="X979" s="109"/>
      <c r="Y979" s="109"/>
      <c r="Z979" s="109"/>
    </row>
    <row r="980" spans="1:26" ht="11.25" customHeight="1">
      <c r="A980" s="109"/>
      <c r="B980" s="109"/>
      <c r="C980" s="109"/>
      <c r="D980" s="109"/>
      <c r="E980" s="109"/>
      <c r="F980" s="109"/>
      <c r="G980" s="109"/>
      <c r="H980" s="109"/>
      <c r="I980" s="109"/>
      <c r="J980" s="109"/>
      <c r="K980" s="109"/>
      <c r="L980" s="109"/>
      <c r="M980" s="109"/>
      <c r="N980" s="109"/>
      <c r="O980" s="109"/>
      <c r="P980" s="109"/>
      <c r="Q980" s="109"/>
      <c r="R980" s="109"/>
      <c r="S980" s="109"/>
      <c r="T980" s="109"/>
      <c r="U980" s="109"/>
      <c r="V980" s="109"/>
      <c r="W980" s="109"/>
      <c r="X980" s="109"/>
      <c r="Y980" s="109"/>
      <c r="Z980" s="109"/>
    </row>
    <row r="981" spans="1:26" ht="11.25" customHeight="1">
      <c r="A981" s="109"/>
      <c r="B981" s="109"/>
      <c r="C981" s="109"/>
      <c r="D981" s="109"/>
      <c r="E981" s="109"/>
      <c r="F981" s="109"/>
      <c r="G981" s="109"/>
      <c r="H981" s="109"/>
      <c r="I981" s="109"/>
      <c r="J981" s="109"/>
      <c r="K981" s="109"/>
      <c r="L981" s="109"/>
      <c r="M981" s="109"/>
      <c r="N981" s="109"/>
      <c r="O981" s="109"/>
      <c r="P981" s="109"/>
      <c r="Q981" s="109"/>
      <c r="R981" s="109"/>
      <c r="S981" s="109"/>
      <c r="T981" s="109"/>
      <c r="U981" s="109"/>
      <c r="V981" s="109"/>
      <c r="W981" s="109"/>
      <c r="X981" s="109"/>
      <c r="Y981" s="109"/>
      <c r="Z981" s="109"/>
    </row>
    <row r="982" spans="1:26" ht="11.25" customHeight="1">
      <c r="A982" s="109"/>
      <c r="B982" s="109"/>
      <c r="C982" s="109"/>
      <c r="D982" s="109"/>
      <c r="E982" s="109"/>
      <c r="F982" s="109"/>
      <c r="G982" s="109"/>
      <c r="H982" s="109"/>
      <c r="I982" s="109"/>
      <c r="J982" s="109"/>
      <c r="K982" s="109"/>
      <c r="L982" s="109"/>
      <c r="M982" s="109"/>
      <c r="N982" s="109"/>
      <c r="O982" s="109"/>
      <c r="P982" s="109"/>
      <c r="Q982" s="109"/>
      <c r="R982" s="109"/>
      <c r="S982" s="109"/>
      <c r="T982" s="109"/>
      <c r="U982" s="109"/>
      <c r="V982" s="109"/>
      <c r="W982" s="109"/>
      <c r="X982" s="109"/>
      <c r="Y982" s="109"/>
      <c r="Z982" s="109"/>
    </row>
    <row r="983" spans="1:26" ht="11.25" customHeight="1">
      <c r="A983" s="109"/>
      <c r="B983" s="109"/>
      <c r="C983" s="109"/>
      <c r="D983" s="109"/>
      <c r="E983" s="109"/>
      <c r="F983" s="109"/>
      <c r="G983" s="109"/>
      <c r="H983" s="109"/>
      <c r="I983" s="109"/>
      <c r="J983" s="109"/>
      <c r="K983" s="109"/>
      <c r="L983" s="109"/>
      <c r="M983" s="109"/>
      <c r="N983" s="109"/>
      <c r="O983" s="109"/>
      <c r="P983" s="109"/>
      <c r="Q983" s="109"/>
      <c r="R983" s="109"/>
      <c r="S983" s="109"/>
      <c r="T983" s="109"/>
      <c r="U983" s="109"/>
      <c r="V983" s="109"/>
      <c r="W983" s="109"/>
      <c r="X983" s="109"/>
      <c r="Y983" s="109"/>
      <c r="Z983" s="109"/>
    </row>
    <row r="984" spans="1:26" ht="11.25" customHeight="1">
      <c r="A984" s="109"/>
      <c r="B984" s="109"/>
      <c r="C984" s="109"/>
      <c r="D984" s="109"/>
      <c r="E984" s="109"/>
      <c r="F984" s="109"/>
      <c r="G984" s="109"/>
      <c r="H984" s="109"/>
      <c r="I984" s="109"/>
      <c r="J984" s="109"/>
      <c r="K984" s="109"/>
      <c r="L984" s="109"/>
      <c r="M984" s="109"/>
      <c r="N984" s="109"/>
      <c r="O984" s="109"/>
      <c r="P984" s="109"/>
      <c r="Q984" s="109"/>
      <c r="R984" s="109"/>
      <c r="S984" s="109"/>
      <c r="T984" s="109"/>
      <c r="U984" s="109"/>
      <c r="V984" s="109"/>
      <c r="W984" s="109"/>
      <c r="X984" s="109"/>
      <c r="Y984" s="109"/>
      <c r="Z984" s="109"/>
    </row>
    <row r="985" spans="1:26" ht="11.25" customHeight="1">
      <c r="A985" s="109"/>
      <c r="B985" s="109"/>
      <c r="C985" s="109"/>
      <c r="D985" s="109"/>
      <c r="E985" s="109"/>
      <c r="F985" s="109"/>
      <c r="G985" s="109"/>
      <c r="H985" s="109"/>
      <c r="I985" s="109"/>
      <c r="J985" s="109"/>
      <c r="K985" s="109"/>
      <c r="L985" s="109"/>
      <c r="M985" s="109"/>
      <c r="N985" s="109"/>
      <c r="O985" s="109"/>
      <c r="P985" s="109"/>
      <c r="Q985" s="109"/>
      <c r="R985" s="109"/>
      <c r="S985" s="109"/>
      <c r="T985" s="109"/>
      <c r="U985" s="109"/>
      <c r="V985" s="109"/>
      <c r="W985" s="109"/>
      <c r="X985" s="109"/>
      <c r="Y985" s="109"/>
      <c r="Z985" s="109"/>
    </row>
    <row r="986" spans="1:26" ht="11.25" customHeight="1">
      <c r="A986" s="109"/>
      <c r="B986" s="109"/>
      <c r="C986" s="109"/>
      <c r="D986" s="109"/>
      <c r="E986" s="109"/>
      <c r="F986" s="109"/>
      <c r="G986" s="109"/>
      <c r="H986" s="109"/>
      <c r="I986" s="109"/>
      <c r="J986" s="109"/>
      <c r="K986" s="109"/>
      <c r="L986" s="109"/>
      <c r="M986" s="109"/>
      <c r="N986" s="109"/>
      <c r="O986" s="109"/>
      <c r="P986" s="109"/>
      <c r="Q986" s="109"/>
      <c r="R986" s="109"/>
      <c r="S986" s="109"/>
      <c r="T986" s="109"/>
      <c r="U986" s="109"/>
      <c r="V986" s="109"/>
      <c r="W986" s="109"/>
      <c r="X986" s="109"/>
      <c r="Y986" s="109"/>
      <c r="Z986" s="109"/>
    </row>
    <row r="987" spans="1:26" ht="11.25" customHeight="1">
      <c r="A987" s="109"/>
      <c r="B987" s="109"/>
      <c r="C987" s="109"/>
      <c r="D987" s="109"/>
      <c r="E987" s="109"/>
      <c r="F987" s="109"/>
      <c r="G987" s="109"/>
      <c r="H987" s="109"/>
      <c r="I987" s="109"/>
      <c r="J987" s="109"/>
      <c r="K987" s="109"/>
      <c r="L987" s="109"/>
      <c r="M987" s="109"/>
      <c r="N987" s="109"/>
      <c r="O987" s="109"/>
      <c r="P987" s="109"/>
      <c r="Q987" s="109"/>
      <c r="R987" s="109"/>
      <c r="S987" s="109"/>
      <c r="T987" s="109"/>
      <c r="U987" s="109"/>
      <c r="V987" s="109"/>
      <c r="W987" s="109"/>
      <c r="X987" s="109"/>
      <c r="Y987" s="109"/>
      <c r="Z987" s="109"/>
    </row>
    <row r="988" spans="1:26" ht="11.25" customHeight="1">
      <c r="A988" s="109"/>
      <c r="B988" s="109"/>
      <c r="C988" s="109"/>
      <c r="D988" s="109"/>
      <c r="E988" s="109"/>
      <c r="F988" s="109"/>
      <c r="G988" s="109"/>
      <c r="H988" s="109"/>
      <c r="I988" s="109"/>
      <c r="J988" s="109"/>
      <c r="K988" s="109"/>
      <c r="L988" s="109"/>
      <c r="M988" s="109"/>
      <c r="N988" s="109"/>
      <c r="O988" s="109"/>
      <c r="P988" s="109"/>
      <c r="Q988" s="109"/>
      <c r="R988" s="109"/>
      <c r="S988" s="109"/>
      <c r="T988" s="109"/>
      <c r="U988" s="109"/>
      <c r="V988" s="109"/>
      <c r="W988" s="109"/>
      <c r="X988" s="109"/>
      <c r="Y988" s="109"/>
      <c r="Z988" s="109"/>
    </row>
    <row r="989" spans="1:26" ht="11.25" customHeight="1">
      <c r="A989" s="109"/>
      <c r="B989" s="109"/>
      <c r="C989" s="109"/>
      <c r="D989" s="109"/>
      <c r="E989" s="109"/>
      <c r="F989" s="109"/>
      <c r="G989" s="109"/>
      <c r="H989" s="109"/>
      <c r="I989" s="109"/>
      <c r="J989" s="109"/>
      <c r="K989" s="109"/>
      <c r="L989" s="109"/>
      <c r="M989" s="109"/>
      <c r="N989" s="109"/>
      <c r="O989" s="109"/>
      <c r="P989" s="109"/>
      <c r="Q989" s="109"/>
      <c r="R989" s="109"/>
      <c r="S989" s="109"/>
      <c r="T989" s="109"/>
      <c r="U989" s="109"/>
      <c r="V989" s="109"/>
      <c r="W989" s="109"/>
      <c r="X989" s="109"/>
      <c r="Y989" s="109"/>
      <c r="Z989" s="109"/>
    </row>
    <row r="990" spans="1:26" ht="11.25" customHeight="1">
      <c r="A990" s="109"/>
      <c r="B990" s="109"/>
      <c r="C990" s="109"/>
      <c r="D990" s="109"/>
      <c r="E990" s="109"/>
      <c r="F990" s="109"/>
      <c r="G990" s="109"/>
      <c r="H990" s="109"/>
      <c r="I990" s="109"/>
      <c r="J990" s="109"/>
      <c r="K990" s="109"/>
      <c r="L990" s="109"/>
      <c r="M990" s="109"/>
      <c r="N990" s="109"/>
      <c r="O990" s="109"/>
      <c r="P990" s="109"/>
      <c r="Q990" s="109"/>
      <c r="R990" s="109"/>
      <c r="S990" s="109"/>
      <c r="T990" s="109"/>
      <c r="U990" s="109"/>
      <c r="V990" s="109"/>
      <c r="W990" s="109"/>
      <c r="X990" s="109"/>
      <c r="Y990" s="109"/>
      <c r="Z990" s="109"/>
    </row>
    <row r="991" spans="1:26" ht="11.25" customHeight="1">
      <c r="A991" s="109"/>
      <c r="B991" s="109"/>
      <c r="C991" s="109"/>
      <c r="D991" s="109"/>
      <c r="E991" s="109"/>
      <c r="F991" s="109"/>
      <c r="G991" s="109"/>
      <c r="H991" s="109"/>
      <c r="I991" s="109"/>
      <c r="J991" s="109"/>
      <c r="K991" s="109"/>
      <c r="L991" s="109"/>
      <c r="M991" s="109"/>
      <c r="N991" s="109"/>
      <c r="O991" s="109"/>
      <c r="P991" s="109"/>
      <c r="Q991" s="109"/>
      <c r="R991" s="109"/>
      <c r="S991" s="109"/>
      <c r="T991" s="109"/>
      <c r="U991" s="109"/>
      <c r="V991" s="109"/>
      <c r="W991" s="109"/>
      <c r="X991" s="109"/>
      <c r="Y991" s="109"/>
      <c r="Z991" s="109"/>
    </row>
    <row r="992" spans="1:26" ht="11.25" customHeight="1">
      <c r="A992" s="109"/>
      <c r="B992" s="109"/>
      <c r="C992" s="109"/>
      <c r="D992" s="109"/>
      <c r="E992" s="109"/>
      <c r="F992" s="109"/>
      <c r="G992" s="109"/>
      <c r="H992" s="109"/>
      <c r="I992" s="109"/>
      <c r="J992" s="109"/>
      <c r="K992" s="109"/>
      <c r="L992" s="109"/>
      <c r="M992" s="109"/>
      <c r="N992" s="109"/>
      <c r="O992" s="109"/>
      <c r="P992" s="109"/>
      <c r="Q992" s="109"/>
      <c r="R992" s="109"/>
      <c r="S992" s="109"/>
      <c r="T992" s="109"/>
      <c r="U992" s="109"/>
      <c r="V992" s="109"/>
      <c r="W992" s="109"/>
      <c r="X992" s="109"/>
      <c r="Y992" s="109"/>
      <c r="Z992" s="109"/>
    </row>
    <row r="993" spans="1:26" ht="11.25" customHeight="1">
      <c r="A993" s="109"/>
      <c r="B993" s="109"/>
      <c r="C993" s="109"/>
      <c r="D993" s="109"/>
      <c r="E993" s="109"/>
      <c r="F993" s="109"/>
      <c r="G993" s="109"/>
      <c r="H993" s="109"/>
      <c r="I993" s="109"/>
      <c r="J993" s="109"/>
      <c r="K993" s="109"/>
      <c r="L993" s="109"/>
      <c r="M993" s="109"/>
      <c r="N993" s="109"/>
      <c r="O993" s="109"/>
      <c r="P993" s="109"/>
      <c r="Q993" s="109"/>
      <c r="R993" s="109"/>
      <c r="S993" s="109"/>
      <c r="T993" s="109"/>
      <c r="U993" s="109"/>
      <c r="V993" s="109"/>
      <c r="W993" s="109"/>
      <c r="X993" s="109"/>
      <c r="Y993" s="109"/>
      <c r="Z993" s="109"/>
    </row>
    <row r="994" spans="1:26" ht="11.25" customHeight="1">
      <c r="A994" s="109"/>
      <c r="B994" s="109"/>
      <c r="C994" s="109"/>
      <c r="D994" s="109"/>
      <c r="E994" s="109"/>
      <c r="F994" s="109"/>
      <c r="G994" s="109"/>
      <c r="H994" s="109"/>
      <c r="I994" s="109"/>
      <c r="J994" s="109"/>
      <c r="K994" s="109"/>
      <c r="L994" s="109"/>
      <c r="M994" s="109"/>
      <c r="N994" s="109"/>
      <c r="O994" s="109"/>
      <c r="P994" s="109"/>
      <c r="Q994" s="109"/>
      <c r="R994" s="109"/>
      <c r="S994" s="109"/>
      <c r="T994" s="109"/>
      <c r="U994" s="109"/>
      <c r="V994" s="109"/>
      <c r="W994" s="109"/>
      <c r="X994" s="109"/>
      <c r="Y994" s="109"/>
      <c r="Z994" s="109"/>
    </row>
    <row r="995" spans="1:26" ht="11.25" customHeight="1">
      <c r="A995" s="109"/>
      <c r="B995" s="109"/>
      <c r="C995" s="109"/>
      <c r="D995" s="109"/>
      <c r="E995" s="109"/>
      <c r="F995" s="109"/>
      <c r="G995" s="109"/>
      <c r="H995" s="109"/>
      <c r="I995" s="109"/>
      <c r="J995" s="109"/>
      <c r="K995" s="109"/>
      <c r="L995" s="109"/>
      <c r="M995" s="109"/>
      <c r="N995" s="109"/>
      <c r="O995" s="109"/>
      <c r="P995" s="109"/>
      <c r="Q995" s="109"/>
      <c r="R995" s="109"/>
      <c r="S995" s="109"/>
      <c r="T995" s="109"/>
      <c r="U995" s="109"/>
      <c r="V995" s="109"/>
      <c r="W995" s="109"/>
      <c r="X995" s="109"/>
      <c r="Y995" s="109"/>
      <c r="Z995" s="109"/>
    </row>
    <row r="996" spans="1:26" ht="11.25" customHeight="1">
      <c r="A996" s="109"/>
      <c r="B996" s="109"/>
      <c r="C996" s="109"/>
      <c r="D996" s="109"/>
      <c r="E996" s="109"/>
      <c r="F996" s="109"/>
      <c r="G996" s="109"/>
      <c r="H996" s="109"/>
      <c r="I996" s="109"/>
      <c r="J996" s="109"/>
      <c r="K996" s="109"/>
      <c r="L996" s="109"/>
      <c r="M996" s="109"/>
      <c r="N996" s="109"/>
      <c r="O996" s="109"/>
      <c r="P996" s="109"/>
      <c r="Q996" s="109"/>
      <c r="R996" s="109"/>
      <c r="S996" s="109"/>
      <c r="T996" s="109"/>
      <c r="U996" s="109"/>
      <c r="V996" s="109"/>
      <c r="W996" s="109"/>
      <c r="X996" s="109"/>
      <c r="Y996" s="109"/>
      <c r="Z996" s="109"/>
    </row>
    <row r="997" spans="1:26" ht="11.25" customHeight="1">
      <c r="A997" s="109"/>
      <c r="B997" s="109"/>
      <c r="C997" s="109"/>
      <c r="D997" s="109"/>
      <c r="E997" s="109"/>
      <c r="F997" s="109"/>
      <c r="G997" s="109"/>
      <c r="H997" s="109"/>
      <c r="I997" s="109"/>
      <c r="J997" s="109"/>
      <c r="K997" s="109"/>
      <c r="L997" s="109"/>
      <c r="M997" s="109"/>
      <c r="N997" s="109"/>
      <c r="O997" s="109"/>
      <c r="P997" s="109"/>
      <c r="Q997" s="109"/>
      <c r="R997" s="109"/>
      <c r="S997" s="109"/>
      <c r="T997" s="109"/>
      <c r="U997" s="109"/>
      <c r="V997" s="109"/>
      <c r="W997" s="109"/>
      <c r="X997" s="109"/>
      <c r="Y997" s="109"/>
      <c r="Z997" s="109"/>
    </row>
    <row r="998" spans="1:26" ht="11.25" customHeight="1">
      <c r="A998" s="109"/>
      <c r="B998" s="109"/>
      <c r="C998" s="109"/>
      <c r="D998" s="109"/>
      <c r="E998" s="109"/>
      <c r="F998" s="109"/>
      <c r="G998" s="109"/>
      <c r="H998" s="109"/>
      <c r="I998" s="109"/>
      <c r="J998" s="109"/>
      <c r="K998" s="109"/>
      <c r="L998" s="109"/>
      <c r="M998" s="109"/>
      <c r="N998" s="109"/>
      <c r="O998" s="109"/>
      <c r="P998" s="109"/>
      <c r="Q998" s="109"/>
      <c r="R998" s="109"/>
      <c r="S998" s="109"/>
      <c r="T998" s="109"/>
      <c r="U998" s="109"/>
      <c r="V998" s="109"/>
      <c r="W998" s="109"/>
      <c r="X998" s="109"/>
      <c r="Y998" s="109"/>
      <c r="Z998" s="109"/>
    </row>
    <row r="999" spans="1:26" ht="11.25" customHeight="1">
      <c r="A999" s="109"/>
      <c r="B999" s="109"/>
      <c r="C999" s="109"/>
      <c r="D999" s="109"/>
      <c r="E999" s="109"/>
      <c r="F999" s="109"/>
      <c r="G999" s="109"/>
      <c r="H999" s="109"/>
      <c r="I999" s="109"/>
      <c r="J999" s="109"/>
      <c r="K999" s="109"/>
      <c r="L999" s="109"/>
      <c r="M999" s="109"/>
      <c r="N999" s="109"/>
      <c r="O999" s="109"/>
      <c r="P999" s="109"/>
      <c r="Q999" s="109"/>
      <c r="R999" s="109"/>
      <c r="S999" s="109"/>
      <c r="T999" s="109"/>
      <c r="U999" s="109"/>
      <c r="V999" s="109"/>
      <c r="W999" s="109"/>
      <c r="X999" s="109"/>
      <c r="Y999" s="109"/>
      <c r="Z999" s="109"/>
    </row>
    <row r="1000" spans="1:26" ht="11.25" customHeight="1">
      <c r="A1000" s="109"/>
      <c r="B1000" s="109"/>
      <c r="C1000" s="109"/>
      <c r="D1000" s="109"/>
      <c r="E1000" s="109"/>
      <c r="F1000" s="109"/>
      <c r="G1000" s="109"/>
      <c r="H1000" s="109"/>
      <c r="I1000" s="109"/>
      <c r="J1000" s="109"/>
      <c r="K1000" s="109"/>
      <c r="L1000" s="109"/>
      <c r="M1000" s="109"/>
      <c r="N1000" s="109"/>
      <c r="O1000" s="109"/>
      <c r="P1000" s="109"/>
      <c r="Q1000" s="109"/>
      <c r="R1000" s="109"/>
      <c r="S1000" s="109"/>
      <c r="T1000" s="109"/>
      <c r="U1000" s="109"/>
      <c r="V1000" s="109"/>
      <c r="W1000" s="109"/>
      <c r="X1000" s="109"/>
      <c r="Y1000" s="109"/>
      <c r="Z1000" s="109"/>
    </row>
    <row r="1001" spans="1:26" ht="11.25" customHeight="1">
      <c r="A1001" s="109"/>
      <c r="B1001" s="109"/>
      <c r="C1001" s="109"/>
      <c r="D1001" s="109"/>
      <c r="E1001" s="109"/>
      <c r="F1001" s="109"/>
      <c r="G1001" s="109"/>
      <c r="H1001" s="109"/>
      <c r="I1001" s="109"/>
      <c r="J1001" s="109"/>
      <c r="K1001" s="109"/>
      <c r="L1001" s="109"/>
      <c r="M1001" s="109"/>
      <c r="N1001" s="109"/>
      <c r="O1001" s="109"/>
      <c r="P1001" s="109"/>
      <c r="Q1001" s="109"/>
      <c r="R1001" s="109"/>
      <c r="S1001" s="109"/>
      <c r="T1001" s="109"/>
      <c r="U1001" s="109"/>
      <c r="V1001" s="109"/>
      <c r="W1001" s="109"/>
      <c r="X1001" s="109"/>
      <c r="Y1001" s="109"/>
      <c r="Z1001" s="109"/>
    </row>
    <row r="1002" spans="1:26" ht="11.25" customHeight="1">
      <c r="A1002" s="109"/>
      <c r="B1002" s="109"/>
      <c r="C1002" s="109"/>
      <c r="D1002" s="109"/>
      <c r="E1002" s="109"/>
      <c r="F1002" s="109"/>
      <c r="G1002" s="109"/>
      <c r="H1002" s="109"/>
      <c r="I1002" s="109"/>
      <c r="J1002" s="109"/>
      <c r="K1002" s="109"/>
      <c r="L1002" s="109"/>
      <c r="M1002" s="109"/>
      <c r="N1002" s="109"/>
      <c r="O1002" s="109"/>
      <c r="P1002" s="109"/>
      <c r="Q1002" s="109"/>
      <c r="R1002" s="109"/>
      <c r="S1002" s="109"/>
      <c r="T1002" s="109"/>
      <c r="U1002" s="109"/>
      <c r="V1002" s="109"/>
      <c r="W1002" s="109"/>
      <c r="X1002" s="109"/>
      <c r="Y1002" s="109"/>
      <c r="Z1002" s="109"/>
    </row>
    <row r="1003" spans="1:26" ht="11.25" customHeight="1">
      <c r="A1003" s="109"/>
      <c r="B1003" s="109"/>
      <c r="C1003" s="109"/>
      <c r="D1003" s="109"/>
      <c r="E1003" s="109"/>
      <c r="F1003" s="109"/>
      <c r="G1003" s="109"/>
      <c r="H1003" s="109"/>
      <c r="I1003" s="109"/>
      <c r="J1003" s="109"/>
      <c r="K1003" s="109"/>
      <c r="L1003" s="109"/>
      <c r="M1003" s="109"/>
      <c r="N1003" s="109"/>
      <c r="O1003" s="109"/>
      <c r="P1003" s="109"/>
      <c r="Q1003" s="109"/>
      <c r="R1003" s="109"/>
      <c r="S1003" s="109"/>
      <c r="T1003" s="109"/>
      <c r="U1003" s="109"/>
      <c r="V1003" s="109"/>
      <c r="W1003" s="109"/>
      <c r="X1003" s="109"/>
      <c r="Y1003" s="109"/>
      <c r="Z1003" s="109"/>
    </row>
    <row r="1004" spans="1:26" ht="11.25" customHeight="1">
      <c r="A1004" s="109"/>
      <c r="B1004" s="109"/>
      <c r="C1004" s="109"/>
      <c r="D1004" s="109"/>
      <c r="E1004" s="109"/>
      <c r="F1004" s="109"/>
      <c r="G1004" s="109"/>
      <c r="H1004" s="109"/>
      <c r="I1004" s="109"/>
      <c r="J1004" s="109"/>
      <c r="K1004" s="109"/>
      <c r="L1004" s="109"/>
      <c r="M1004" s="109"/>
      <c r="N1004" s="109"/>
      <c r="O1004" s="109"/>
      <c r="P1004" s="109"/>
      <c r="Q1004" s="109"/>
      <c r="R1004" s="109"/>
      <c r="S1004" s="109"/>
      <c r="T1004" s="109"/>
      <c r="U1004" s="109"/>
      <c r="V1004" s="109"/>
      <c r="W1004" s="109"/>
      <c r="X1004" s="109"/>
      <c r="Y1004" s="109"/>
      <c r="Z1004" s="109"/>
    </row>
    <row r="1005" spans="1:26" ht="11.25" customHeight="1">
      <c r="A1005" s="109"/>
      <c r="B1005" s="109"/>
      <c r="C1005" s="109"/>
      <c r="D1005" s="109"/>
      <c r="E1005" s="109"/>
      <c r="F1005" s="109"/>
      <c r="G1005" s="109"/>
      <c r="H1005" s="109"/>
      <c r="I1005" s="109"/>
      <c r="J1005" s="109"/>
      <c r="K1005" s="109"/>
      <c r="L1005" s="109"/>
      <c r="M1005" s="109"/>
      <c r="N1005" s="109"/>
      <c r="O1005" s="109"/>
      <c r="P1005" s="109"/>
      <c r="Q1005" s="109"/>
      <c r="R1005" s="109"/>
      <c r="S1005" s="109"/>
      <c r="T1005" s="109"/>
      <c r="U1005" s="109"/>
      <c r="V1005" s="109"/>
      <c r="W1005" s="109"/>
      <c r="X1005" s="109"/>
      <c r="Y1005" s="109"/>
      <c r="Z1005" s="109"/>
    </row>
    <row r="1006" spans="1:26" ht="11.25" customHeight="1">
      <c r="A1006" s="109"/>
      <c r="B1006" s="109"/>
      <c r="C1006" s="109"/>
      <c r="D1006" s="109"/>
      <c r="E1006" s="109"/>
      <c r="F1006" s="109"/>
      <c r="G1006" s="109"/>
      <c r="H1006" s="109"/>
      <c r="I1006" s="109"/>
      <c r="J1006" s="109"/>
      <c r="K1006" s="109"/>
      <c r="L1006" s="109"/>
      <c r="M1006" s="109"/>
      <c r="N1006" s="109"/>
      <c r="O1006" s="109"/>
      <c r="P1006" s="109"/>
      <c r="Q1006" s="109"/>
      <c r="R1006" s="109"/>
      <c r="S1006" s="109"/>
      <c r="T1006" s="109"/>
      <c r="U1006" s="109"/>
      <c r="V1006" s="109"/>
      <c r="W1006" s="109"/>
      <c r="X1006" s="109"/>
      <c r="Y1006" s="109"/>
      <c r="Z1006" s="109"/>
    </row>
  </sheetData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ED6DE-751E-49A8-AFB9-322EA072837D}">
  <sheetPr>
    <tabColor rgb="FF00CC66"/>
  </sheetPr>
  <dimension ref="A1:N432"/>
  <sheetViews>
    <sheetView topLeftCell="A332" workbookViewId="0">
      <selection activeCell="I375" sqref="I375"/>
    </sheetView>
  </sheetViews>
  <sheetFormatPr defaultColWidth="12.796875" defaultRowHeight="13.2"/>
  <cols>
    <col min="1" max="2" width="26.19921875" style="360" bestFit="1" customWidth="1"/>
    <col min="3" max="3" width="29.5" style="360" bestFit="1" customWidth="1"/>
    <col min="4" max="4" width="36.19921875" style="360" customWidth="1"/>
    <col min="5" max="5" width="29.5" style="360" bestFit="1" customWidth="1"/>
    <col min="6" max="6" width="31" style="360" bestFit="1" customWidth="1"/>
    <col min="7" max="7" width="20.69921875" style="372" customWidth="1"/>
    <col min="8" max="8" width="28.796875" style="360" bestFit="1" customWidth="1"/>
    <col min="9" max="9" width="8.69921875" style="360" bestFit="1" customWidth="1"/>
    <col min="10" max="10" width="27.5" style="360" bestFit="1" customWidth="1"/>
    <col min="11" max="11" width="8.5" style="360" bestFit="1" customWidth="1"/>
    <col min="12" max="12" width="11" style="360" customWidth="1"/>
    <col min="13" max="13" width="12.796875" style="360"/>
    <col min="14" max="14" width="23.69921875" style="360" bestFit="1" customWidth="1"/>
    <col min="15" max="16384" width="12.796875" style="360"/>
  </cols>
  <sheetData>
    <row r="1" spans="1:11" s="16" customFormat="1" ht="13.95" customHeight="1" thickTop="1" thickBot="1">
      <c r="A1" s="1" t="s">
        <v>61</v>
      </c>
      <c r="B1" s="26"/>
      <c r="C1" s="26"/>
      <c r="D1" s="49" t="s">
        <v>64</v>
      </c>
      <c r="E1" s="26"/>
      <c r="F1" s="26"/>
      <c r="G1" s="26"/>
      <c r="H1" s="26"/>
      <c r="I1" s="359"/>
      <c r="J1" s="359"/>
      <c r="K1" s="360"/>
    </row>
    <row r="2" spans="1:11" s="200" customFormat="1" ht="13.95" customHeight="1" thickBot="1">
      <c r="A2" s="361">
        <v>46221</v>
      </c>
      <c r="B2" s="16" t="s">
        <v>948</v>
      </c>
      <c r="C2" s="16" t="s">
        <v>62</v>
      </c>
      <c r="D2" s="51" t="s">
        <v>598</v>
      </c>
      <c r="E2" s="16" t="s">
        <v>949</v>
      </c>
      <c r="F2" s="16"/>
      <c r="G2" s="362"/>
      <c r="H2" s="52" t="s">
        <v>227</v>
      </c>
      <c r="I2" s="359"/>
      <c r="J2" s="359"/>
      <c r="K2" s="360"/>
    </row>
    <row r="3" spans="1:11" s="16" customFormat="1" ht="13.95" customHeight="1" thickBot="1">
      <c r="A3" s="200"/>
      <c r="D3" s="4" t="s">
        <v>72</v>
      </c>
      <c r="I3" s="359"/>
      <c r="J3" s="359"/>
      <c r="K3" s="360"/>
    </row>
    <row r="4" spans="1:11" ht="13.95" customHeight="1">
      <c r="A4" s="354" t="s">
        <v>85</v>
      </c>
      <c r="B4" s="355" t="s">
        <v>86</v>
      </c>
      <c r="C4" s="354" t="s">
        <v>87</v>
      </c>
      <c r="D4" s="354" t="s">
        <v>88</v>
      </c>
      <c r="E4" s="354" t="s">
        <v>950</v>
      </c>
      <c r="F4" s="354" t="s">
        <v>951</v>
      </c>
      <c r="G4" s="354" t="s">
        <v>246</v>
      </c>
      <c r="H4" s="354" t="s">
        <v>247</v>
      </c>
      <c r="I4" s="359"/>
      <c r="J4" s="359"/>
    </row>
    <row r="5" spans="1:11" ht="13.95" customHeight="1">
      <c r="A5" s="363" t="s">
        <v>91</v>
      </c>
      <c r="B5" s="363" t="s">
        <v>952</v>
      </c>
      <c r="C5" s="363" t="s">
        <v>953</v>
      </c>
      <c r="D5" s="363" t="s">
        <v>954</v>
      </c>
      <c r="E5" s="363" t="s">
        <v>955</v>
      </c>
      <c r="F5" s="363" t="s">
        <v>956</v>
      </c>
      <c r="G5" s="363" t="s">
        <v>957</v>
      </c>
      <c r="H5" s="363" t="s">
        <v>958</v>
      </c>
      <c r="I5" s="359"/>
      <c r="J5" s="359"/>
    </row>
    <row r="6" spans="1:11" ht="13.95" customHeight="1">
      <c r="A6" s="363" t="s">
        <v>959</v>
      </c>
      <c r="B6" s="363" t="s">
        <v>960</v>
      </c>
      <c r="C6" s="363" t="s">
        <v>961</v>
      </c>
      <c r="D6" s="363" t="s">
        <v>962</v>
      </c>
      <c r="E6" s="363" t="s">
        <v>963</v>
      </c>
      <c r="F6" s="363" t="s">
        <v>964</v>
      </c>
      <c r="G6" s="363" t="s">
        <v>965</v>
      </c>
      <c r="H6" s="363" t="s">
        <v>966</v>
      </c>
      <c r="I6" s="359"/>
      <c r="J6" s="359"/>
    </row>
    <row r="7" spans="1:11" ht="13.95" customHeight="1">
      <c r="A7" s="363" t="s">
        <v>967</v>
      </c>
      <c r="B7" s="363" t="s">
        <v>968</v>
      </c>
      <c r="C7" s="363" t="s">
        <v>969</v>
      </c>
      <c r="D7" s="364" t="s">
        <v>970</v>
      </c>
      <c r="E7" s="364" t="s">
        <v>971</v>
      </c>
      <c r="F7" s="364" t="s">
        <v>972</v>
      </c>
      <c r="G7" s="364" t="s">
        <v>973</v>
      </c>
      <c r="H7" s="364" t="s">
        <v>974</v>
      </c>
      <c r="I7" s="359"/>
      <c r="J7" s="359"/>
    </row>
    <row r="8" spans="1:11" ht="13.95" customHeight="1">
      <c r="A8" s="363"/>
      <c r="B8" s="363"/>
      <c r="C8" s="363"/>
      <c r="D8" s="363"/>
      <c r="E8" s="365" t="s">
        <v>975</v>
      </c>
      <c r="F8" s="365" t="s">
        <v>976</v>
      </c>
      <c r="G8" s="363"/>
      <c r="H8" s="363"/>
      <c r="I8" s="359"/>
      <c r="J8" s="359"/>
    </row>
    <row r="9" spans="1:11" ht="13.95" customHeight="1">
      <c r="A9" s="363"/>
      <c r="B9" s="363"/>
      <c r="C9" s="363"/>
      <c r="D9" s="363"/>
      <c r="E9" s="363"/>
      <c r="F9" s="363"/>
      <c r="G9" s="363"/>
      <c r="H9" s="363"/>
      <c r="I9" s="359"/>
      <c r="J9" s="359"/>
    </row>
    <row r="10" spans="1:11" ht="13.95" customHeight="1">
      <c r="A10" s="363">
        <v>1</v>
      </c>
      <c r="B10" s="363">
        <v>2</v>
      </c>
      <c r="C10" s="363">
        <v>3</v>
      </c>
      <c r="D10" s="363">
        <v>4</v>
      </c>
      <c r="E10" s="363">
        <v>5</v>
      </c>
      <c r="F10" s="363">
        <v>6</v>
      </c>
      <c r="G10" s="363">
        <v>7</v>
      </c>
      <c r="H10" s="363">
        <v>8</v>
      </c>
      <c r="I10" s="359"/>
      <c r="J10" s="359"/>
    </row>
    <row r="11" spans="1:11" ht="13.95" customHeight="1">
      <c r="A11" s="363">
        <v>32</v>
      </c>
      <c r="B11" s="363">
        <v>31</v>
      </c>
      <c r="C11" s="363">
        <v>30</v>
      </c>
      <c r="D11" s="364">
        <v>29</v>
      </c>
      <c r="E11" s="364">
        <v>28</v>
      </c>
      <c r="F11" s="364">
        <v>27</v>
      </c>
      <c r="G11" s="364">
        <v>26</v>
      </c>
      <c r="H11" s="364">
        <v>25</v>
      </c>
      <c r="I11" s="359"/>
      <c r="J11" s="359" t="s">
        <v>977</v>
      </c>
    </row>
    <row r="12" spans="1:11" ht="13.95" customHeight="1">
      <c r="A12" s="363">
        <v>33</v>
      </c>
      <c r="B12" s="363">
        <v>34</v>
      </c>
      <c r="C12" s="363">
        <v>35</v>
      </c>
      <c r="D12" s="363">
        <v>36</v>
      </c>
      <c r="E12" s="363">
        <v>37</v>
      </c>
      <c r="F12" s="363">
        <v>38</v>
      </c>
      <c r="G12" s="363">
        <v>39</v>
      </c>
      <c r="H12" s="363">
        <v>40</v>
      </c>
      <c r="I12" s="364" t="s">
        <v>978</v>
      </c>
      <c r="J12" s="363" t="s">
        <v>979</v>
      </c>
      <c r="K12" s="364" t="s">
        <v>980</v>
      </c>
    </row>
    <row r="13" spans="1:11" ht="13.95" customHeight="1">
      <c r="A13" s="365"/>
      <c r="B13" s="366"/>
      <c r="C13" s="363"/>
      <c r="D13" s="363"/>
      <c r="E13" s="365" t="s">
        <v>981</v>
      </c>
      <c r="F13" s="365" t="s">
        <v>982</v>
      </c>
      <c r="G13" s="367"/>
      <c r="H13" s="363"/>
      <c r="I13" s="367" t="s">
        <v>983</v>
      </c>
      <c r="J13" s="363" t="s">
        <v>984</v>
      </c>
      <c r="K13" s="364" t="s">
        <v>985</v>
      </c>
    </row>
    <row r="14" spans="1:11" ht="13.95" customHeight="1">
      <c r="A14" s="363"/>
      <c r="B14" s="363"/>
      <c r="C14" s="363"/>
      <c r="D14" s="363"/>
      <c r="E14" s="363"/>
      <c r="F14" s="363"/>
      <c r="G14" s="363"/>
      <c r="H14" s="363"/>
      <c r="I14" s="367" t="s">
        <v>986</v>
      </c>
      <c r="J14" s="363" t="s">
        <v>987</v>
      </c>
      <c r="K14" s="364" t="s">
        <v>988</v>
      </c>
    </row>
    <row r="15" spans="1:11" ht="13.95" customHeight="1">
      <c r="A15" s="354" t="s">
        <v>248</v>
      </c>
      <c r="B15" s="354" t="s">
        <v>249</v>
      </c>
      <c r="C15" s="354" t="s">
        <v>989</v>
      </c>
      <c r="D15" s="354" t="s">
        <v>990</v>
      </c>
      <c r="E15" s="354" t="s">
        <v>149</v>
      </c>
      <c r="F15" s="354" t="s">
        <v>150</v>
      </c>
      <c r="G15" s="355" t="s">
        <v>151</v>
      </c>
      <c r="H15" s="354" t="s">
        <v>152</v>
      </c>
      <c r="I15" s="364" t="s">
        <v>991</v>
      </c>
      <c r="J15" s="363" t="s">
        <v>992</v>
      </c>
      <c r="K15" s="364" t="s">
        <v>993</v>
      </c>
    </row>
    <row r="16" spans="1:11" ht="13.95" customHeight="1">
      <c r="A16" s="363" t="s">
        <v>994</v>
      </c>
      <c r="B16" s="363" t="s">
        <v>995</v>
      </c>
      <c r="C16" s="363" t="s">
        <v>996</v>
      </c>
      <c r="D16" s="363" t="s">
        <v>997</v>
      </c>
      <c r="E16" s="363" t="s">
        <v>998</v>
      </c>
      <c r="F16" s="363" t="s">
        <v>999</v>
      </c>
      <c r="G16" s="363" t="s">
        <v>1000</v>
      </c>
      <c r="H16" s="363" t="s">
        <v>1001</v>
      </c>
      <c r="I16" s="364" t="s">
        <v>1002</v>
      </c>
      <c r="J16" s="363" t="s">
        <v>1003</v>
      </c>
      <c r="K16" s="364" t="s">
        <v>1004</v>
      </c>
    </row>
    <row r="17" spans="1:12" ht="13.95" customHeight="1">
      <c r="A17" s="364" t="s">
        <v>1005</v>
      </c>
      <c r="B17" s="363" t="s">
        <v>1006</v>
      </c>
      <c r="C17" s="363" t="s">
        <v>1007</v>
      </c>
      <c r="D17" s="363" t="s">
        <v>1008</v>
      </c>
      <c r="E17" s="363" t="s">
        <v>1009</v>
      </c>
      <c r="F17" s="363" t="s">
        <v>1010</v>
      </c>
      <c r="G17" s="363" t="s">
        <v>1011</v>
      </c>
      <c r="H17" s="363" t="s">
        <v>1012</v>
      </c>
      <c r="I17" s="364" t="s">
        <v>1013</v>
      </c>
      <c r="J17" s="363" t="s">
        <v>1014</v>
      </c>
      <c r="K17" s="364" t="s">
        <v>1015</v>
      </c>
    </row>
    <row r="18" spans="1:12" ht="13.95" customHeight="1">
      <c r="A18" s="363" t="s">
        <v>1016</v>
      </c>
      <c r="B18" s="364" t="s">
        <v>1017</v>
      </c>
      <c r="C18" s="363" t="s">
        <v>1018</v>
      </c>
      <c r="D18" s="363" t="s">
        <v>1019</v>
      </c>
      <c r="E18" s="363" t="s">
        <v>1020</v>
      </c>
      <c r="F18" s="363" t="s">
        <v>1021</v>
      </c>
      <c r="G18" s="363" t="s">
        <v>1022</v>
      </c>
      <c r="H18" s="363" t="s">
        <v>1023</v>
      </c>
      <c r="I18" s="364" t="s">
        <v>1024</v>
      </c>
      <c r="J18" s="363" t="s">
        <v>1025</v>
      </c>
      <c r="K18" s="364" t="s">
        <v>1026</v>
      </c>
    </row>
    <row r="19" spans="1:12" ht="13.95" customHeight="1">
      <c r="A19" s="363"/>
      <c r="B19" s="363"/>
      <c r="C19" s="365" t="s">
        <v>1027</v>
      </c>
      <c r="D19" s="368" t="s">
        <v>1028</v>
      </c>
      <c r="E19" s="363"/>
      <c r="F19" s="363"/>
      <c r="G19" s="363"/>
      <c r="H19" s="363"/>
      <c r="I19" s="364" t="s">
        <v>1029</v>
      </c>
      <c r="J19" s="363" t="s">
        <v>1030</v>
      </c>
      <c r="K19" s="364" t="s">
        <v>1031</v>
      </c>
    </row>
    <row r="20" spans="1:12" ht="13.95" customHeight="1">
      <c r="A20" s="363"/>
      <c r="B20" s="363"/>
      <c r="C20" s="363"/>
      <c r="D20" s="363"/>
      <c r="E20" s="363"/>
      <c r="F20" s="363"/>
      <c r="G20" s="363"/>
      <c r="H20" s="363"/>
      <c r="I20" s="359"/>
      <c r="J20" s="359"/>
    </row>
    <row r="21" spans="1:12" ht="13.95" customHeight="1">
      <c r="A21" s="363">
        <v>9</v>
      </c>
      <c r="B21" s="363">
        <v>10</v>
      </c>
      <c r="C21" s="363">
        <v>11</v>
      </c>
      <c r="D21" s="363">
        <v>12</v>
      </c>
      <c r="E21" s="363">
        <v>13</v>
      </c>
      <c r="F21" s="363">
        <v>14</v>
      </c>
      <c r="G21" s="363">
        <v>15</v>
      </c>
      <c r="H21" s="363">
        <v>16</v>
      </c>
      <c r="I21" s="359"/>
      <c r="J21" s="359"/>
    </row>
    <row r="22" spans="1:12" ht="13.95" customHeight="1">
      <c r="A22" s="364">
        <v>24</v>
      </c>
      <c r="B22" s="364">
        <v>23</v>
      </c>
      <c r="C22" s="363">
        <v>22</v>
      </c>
      <c r="D22" s="363">
        <v>21</v>
      </c>
      <c r="E22" s="363">
        <v>20</v>
      </c>
      <c r="F22" s="363">
        <v>19</v>
      </c>
      <c r="G22" s="363">
        <v>18</v>
      </c>
      <c r="H22" s="363">
        <v>17</v>
      </c>
      <c r="I22" s="359"/>
      <c r="J22" s="359"/>
    </row>
    <row r="23" spans="1:12" ht="13.95" customHeight="1">
      <c r="A23" s="363">
        <v>41</v>
      </c>
      <c r="B23" s="363">
        <v>42</v>
      </c>
      <c r="C23" s="363">
        <v>43</v>
      </c>
      <c r="D23" s="363">
        <v>44</v>
      </c>
      <c r="E23" s="363">
        <v>45</v>
      </c>
      <c r="F23" s="363">
        <v>46</v>
      </c>
      <c r="G23" s="363">
        <v>47</v>
      </c>
      <c r="H23" s="363">
        <v>48</v>
      </c>
      <c r="I23" s="359"/>
      <c r="J23" s="359"/>
    </row>
    <row r="24" spans="1:12" ht="13.95" customHeight="1">
      <c r="A24" s="363"/>
      <c r="B24" s="363"/>
      <c r="C24" s="365">
        <v>49</v>
      </c>
      <c r="D24" s="369">
        <v>52</v>
      </c>
      <c r="E24" s="363"/>
      <c r="F24" s="366"/>
      <c r="G24" s="366"/>
      <c r="H24" s="366"/>
      <c r="I24" s="359"/>
      <c r="J24" s="359"/>
    </row>
    <row r="25" spans="1:12" ht="13.95" customHeight="1">
      <c r="A25" s="359"/>
      <c r="B25" s="359"/>
      <c r="C25" s="359"/>
      <c r="D25" s="359"/>
      <c r="E25" s="359"/>
      <c r="F25" s="359"/>
      <c r="G25" s="359"/>
      <c r="H25" s="359"/>
      <c r="I25" s="359"/>
      <c r="J25" s="359"/>
    </row>
    <row r="26" spans="1:12" ht="13.95" customHeight="1" thickBot="1">
      <c r="A26" s="359" t="s">
        <v>1032</v>
      </c>
      <c r="B26" s="359"/>
      <c r="C26" s="359"/>
      <c r="D26" s="359"/>
      <c r="E26" s="359"/>
      <c r="F26" s="359"/>
      <c r="G26" s="359"/>
      <c r="H26" s="359"/>
      <c r="I26" s="359"/>
      <c r="J26" s="359"/>
    </row>
    <row r="27" spans="1:12" ht="13.95" customHeight="1" thickBot="1">
      <c r="A27" s="370"/>
      <c r="B27" s="371"/>
      <c r="C27" s="359"/>
      <c r="D27" s="212" t="str">
        <f>'CHICLETS MASTER S1'!$P$3</f>
        <v>WOOLLETT FAR RIGHT</v>
      </c>
      <c r="E27" s="359"/>
      <c r="I27" s="359"/>
      <c r="J27" s="359"/>
      <c r="K27" s="359"/>
      <c r="L27" s="359"/>
    </row>
    <row r="28" spans="1:12" ht="13.95" customHeight="1">
      <c r="A28" s="356" t="s">
        <v>110</v>
      </c>
      <c r="B28" s="356" t="s">
        <v>111</v>
      </c>
      <c r="C28" s="356" t="s">
        <v>112</v>
      </c>
      <c r="D28" s="356" t="s">
        <v>113</v>
      </c>
      <c r="E28" s="356" t="s">
        <v>114</v>
      </c>
      <c r="F28" s="356" t="s">
        <v>115</v>
      </c>
      <c r="G28" s="356" t="s">
        <v>116</v>
      </c>
      <c r="H28" s="356" t="s">
        <v>117</v>
      </c>
      <c r="I28" s="356" t="s">
        <v>116</v>
      </c>
      <c r="J28" s="356" t="s">
        <v>118</v>
      </c>
      <c r="K28" s="356" t="s">
        <v>119</v>
      </c>
      <c r="L28" s="356" t="s">
        <v>120</v>
      </c>
    </row>
    <row r="29" spans="1:12" ht="13.95" customHeight="1">
      <c r="A29" s="373">
        <f t="shared" ref="A29:A121" si="0">$A$2</f>
        <v>46221</v>
      </c>
      <c r="B29" s="374">
        <f>'CHICLETS MASTER S1'!O4</f>
        <v>0.29166666666666669</v>
      </c>
      <c r="C29" s="357" t="s">
        <v>163</v>
      </c>
      <c r="D29" s="357" t="str">
        <f t="shared" ref="D29:D40" si="1">$D$27</f>
        <v>WOOLLETT FAR RIGHT</v>
      </c>
      <c r="E29" s="357">
        <v>5</v>
      </c>
      <c r="F29" s="368" t="str">
        <f>D16</f>
        <v>L1(12)-SANTA BARBARA WPC</v>
      </c>
      <c r="G29" s="357"/>
      <c r="H29" s="368" t="str">
        <f>D19</f>
        <v>L4(52)-CMAC</v>
      </c>
      <c r="I29" s="375"/>
      <c r="J29" s="357"/>
      <c r="K29" s="357"/>
      <c r="L29" s="357" t="str">
        <f t="shared" ref="L29:L40" si="2">IF(E29="","",$L$66&amp;"-"&amp;TEXT(E29,"000"))</f>
        <v>12G-005</v>
      </c>
    </row>
    <row r="30" spans="1:12" ht="13.95" customHeight="1">
      <c r="A30" s="373">
        <f t="shared" si="0"/>
        <v>46221</v>
      </c>
      <c r="B30" s="374">
        <f>'CHICLETS MASTER S1'!O5</f>
        <v>0.3263888888888889</v>
      </c>
      <c r="C30" s="357" t="s">
        <v>163</v>
      </c>
      <c r="D30" s="357" t="str">
        <f t="shared" si="1"/>
        <v>WOOLLETT FAR RIGHT</v>
      </c>
      <c r="E30" s="357" t="s">
        <v>1033</v>
      </c>
      <c r="F30" s="368" t="str">
        <f>D17</f>
        <v>L2(21)-FOOTHILL</v>
      </c>
      <c r="G30" s="357"/>
      <c r="H30" s="368" t="str">
        <f>D18</f>
        <v>L3(44)-SAN CLEMENTE BLACK</v>
      </c>
      <c r="I30" s="375"/>
      <c r="J30" s="357"/>
      <c r="K30" s="357"/>
      <c r="L30" s="357" t="str">
        <f t="shared" si="2"/>
        <v>12G-5A</v>
      </c>
    </row>
    <row r="31" spans="1:12" ht="13.95" customHeight="1">
      <c r="A31" s="373">
        <f t="shared" si="0"/>
        <v>46221</v>
      </c>
      <c r="B31" s="374">
        <f>'CHICLETS MASTER S1'!O6</f>
        <v>0.36111111111111099</v>
      </c>
      <c r="C31" s="357" t="s">
        <v>163</v>
      </c>
      <c r="D31" s="357" t="str">
        <f t="shared" si="1"/>
        <v>WOOLLETT FAR RIGHT</v>
      </c>
      <c r="E31" s="357">
        <v>10</v>
      </c>
      <c r="F31" s="357" t="str">
        <f>E5</f>
        <v>E1(5)-SAN CLEMENTE RED</v>
      </c>
      <c r="G31" s="357"/>
      <c r="H31" s="357" t="str">
        <f>E8</f>
        <v>E4(51)-CHICAGO PARK</v>
      </c>
      <c r="I31" s="375"/>
      <c r="J31" s="357"/>
      <c r="K31" s="357"/>
      <c r="L31" s="357" t="str">
        <f t="shared" si="2"/>
        <v>12G-010</v>
      </c>
    </row>
    <row r="32" spans="1:12" ht="13.95" customHeight="1">
      <c r="A32" s="373">
        <f t="shared" si="0"/>
        <v>46221</v>
      </c>
      <c r="B32" s="374">
        <f>'CHICLETS MASTER S1'!O7</f>
        <v>0.39583333333333398</v>
      </c>
      <c r="C32" s="357" t="s">
        <v>163</v>
      </c>
      <c r="D32" s="357" t="str">
        <f t="shared" si="1"/>
        <v>WOOLLETT FAR RIGHT</v>
      </c>
      <c r="E32" s="357">
        <v>15</v>
      </c>
      <c r="F32" s="357" t="str">
        <f>E6</f>
        <v>E2(28)-NORTH IRVINE</v>
      </c>
      <c r="G32" s="357"/>
      <c r="H32" s="357" t="str">
        <f>E7</f>
        <v>E3(37)-BACK BAY BLACK</v>
      </c>
      <c r="I32" s="375"/>
      <c r="J32" s="357"/>
      <c r="K32" s="357"/>
      <c r="L32" s="357" t="str">
        <f t="shared" si="2"/>
        <v>12G-015</v>
      </c>
    </row>
    <row r="33" spans="1:12" ht="13.95" customHeight="1">
      <c r="A33" s="373">
        <f t="shared" si="0"/>
        <v>46221</v>
      </c>
      <c r="B33" s="374">
        <f>'CHICLETS MASTER S1'!O8</f>
        <v>0.43055555555555602</v>
      </c>
      <c r="C33" s="357" t="s">
        <v>163</v>
      </c>
      <c r="D33" s="357" t="str">
        <f t="shared" si="1"/>
        <v>WOOLLETT FAR RIGHT</v>
      </c>
      <c r="E33" s="357">
        <v>24</v>
      </c>
      <c r="F33" s="368" t="str">
        <f>D16</f>
        <v>L1(12)-SANTA BARBARA WPC</v>
      </c>
      <c r="G33" s="357"/>
      <c r="H33" s="368" t="str">
        <f>D18</f>
        <v>L3(44)-SAN CLEMENTE BLACK</v>
      </c>
      <c r="I33" s="375"/>
      <c r="J33" s="357"/>
      <c r="K33" s="357"/>
      <c r="L33" s="357" t="str">
        <f t="shared" si="2"/>
        <v>12G-024</v>
      </c>
    </row>
    <row r="34" spans="1:12" ht="13.95" customHeight="1">
      <c r="A34" s="373">
        <f t="shared" si="0"/>
        <v>46221</v>
      </c>
      <c r="B34" s="374">
        <f>'CHICLETS MASTER S1'!O9</f>
        <v>0.46527777777777801</v>
      </c>
      <c r="C34" s="357" t="s">
        <v>163</v>
      </c>
      <c r="D34" s="357" t="str">
        <f t="shared" si="1"/>
        <v>WOOLLETT FAR RIGHT</v>
      </c>
      <c r="E34" s="357">
        <v>43</v>
      </c>
      <c r="F34" s="368" t="str">
        <f>D17</f>
        <v>L2(21)-FOOTHILL</v>
      </c>
      <c r="G34" s="357"/>
      <c r="H34" s="368" t="str">
        <f>D19</f>
        <v>L4(52)-CMAC</v>
      </c>
      <c r="I34" s="375"/>
      <c r="J34" s="357"/>
      <c r="K34" s="357"/>
      <c r="L34" s="357" t="str">
        <f t="shared" si="2"/>
        <v>12G-043</v>
      </c>
    </row>
    <row r="35" spans="1:12">
      <c r="A35" s="373">
        <f t="shared" si="0"/>
        <v>46221</v>
      </c>
      <c r="B35" s="374">
        <f>'CHICLETS MASTER S1'!O10</f>
        <v>0.5</v>
      </c>
      <c r="C35" s="357" t="s">
        <v>163</v>
      </c>
      <c r="D35" s="357" t="str">
        <f t="shared" si="1"/>
        <v>WOOLLETT FAR RIGHT</v>
      </c>
      <c r="E35" s="357">
        <v>29</v>
      </c>
      <c r="F35" s="357" t="str">
        <f>E5</f>
        <v>E1(5)-SAN CLEMENTE RED</v>
      </c>
      <c r="G35" s="357"/>
      <c r="H35" s="357" t="str">
        <f>E7</f>
        <v>E3(37)-BACK BAY BLACK</v>
      </c>
      <c r="I35" s="375"/>
      <c r="J35" s="357"/>
      <c r="K35" s="357"/>
      <c r="L35" s="357" t="str">
        <f t="shared" si="2"/>
        <v>12G-029</v>
      </c>
    </row>
    <row r="36" spans="1:12" ht="13.95" customHeight="1">
      <c r="A36" s="373">
        <f t="shared" si="0"/>
        <v>46221</v>
      </c>
      <c r="B36" s="374">
        <f>'CHICLETS MASTER S1'!O11</f>
        <v>0.53472222222222199</v>
      </c>
      <c r="C36" s="357" t="s">
        <v>163</v>
      </c>
      <c r="D36" s="357" t="str">
        <f t="shared" si="1"/>
        <v>WOOLLETT FAR RIGHT</v>
      </c>
      <c r="E36" s="357">
        <v>34</v>
      </c>
      <c r="F36" s="357" t="str">
        <f>E6</f>
        <v>E2(28)-NORTH IRVINE</v>
      </c>
      <c r="G36" s="357"/>
      <c r="H36" s="357" t="str">
        <f>E8</f>
        <v>E4(51)-CHICAGO PARK</v>
      </c>
      <c r="I36" s="375"/>
      <c r="J36" s="357"/>
      <c r="K36" s="357"/>
      <c r="L36" s="357" t="str">
        <f t="shared" si="2"/>
        <v>12G-034</v>
      </c>
    </row>
    <row r="37" spans="1:12">
      <c r="A37" s="373">
        <f t="shared" si="0"/>
        <v>46221</v>
      </c>
      <c r="B37" s="374">
        <f>'CHICLETS MASTER S1'!O12</f>
        <v>0.56944444444444497</v>
      </c>
      <c r="C37" s="357" t="s">
        <v>163</v>
      </c>
      <c r="D37" s="357" t="str">
        <f t="shared" si="1"/>
        <v>WOOLLETT FAR RIGHT</v>
      </c>
      <c r="E37" s="357" t="s">
        <v>1034</v>
      </c>
      <c r="F37" s="368" t="str">
        <f>D16</f>
        <v>L1(12)-SANTA BARBARA WPC</v>
      </c>
      <c r="G37" s="357"/>
      <c r="H37" s="368" t="str">
        <f>D17</f>
        <v>L2(21)-FOOTHILL</v>
      </c>
      <c r="I37" s="375"/>
      <c r="J37" s="357"/>
      <c r="K37" s="357"/>
      <c r="L37" s="357" t="str">
        <f t="shared" si="2"/>
        <v>12G-53A</v>
      </c>
    </row>
    <row r="38" spans="1:12">
      <c r="A38" s="373">
        <f t="shared" si="0"/>
        <v>46221</v>
      </c>
      <c r="B38" s="374">
        <f>'CHICLETS MASTER S1'!O13</f>
        <v>0.60416666666666696</v>
      </c>
      <c r="C38" s="357" t="s">
        <v>163</v>
      </c>
      <c r="D38" s="357" t="str">
        <f t="shared" si="1"/>
        <v>WOOLLETT FAR RIGHT</v>
      </c>
      <c r="E38" s="357" t="s">
        <v>1035</v>
      </c>
      <c r="F38" s="368" t="str">
        <f>D18</f>
        <v>L3(44)-SAN CLEMENTE BLACK</v>
      </c>
      <c r="G38" s="357"/>
      <c r="H38" s="368" t="str">
        <f>D19</f>
        <v>L4(52)-CMAC</v>
      </c>
      <c r="I38" s="375"/>
      <c r="J38" s="357"/>
      <c r="K38" s="357"/>
      <c r="L38" s="357" t="str">
        <f t="shared" si="2"/>
        <v>12G-53B</v>
      </c>
    </row>
    <row r="39" spans="1:12" ht="13.95" customHeight="1">
      <c r="A39" s="373">
        <f t="shared" si="0"/>
        <v>46221</v>
      </c>
      <c r="B39" s="374">
        <f>'CHICLETS MASTER S1'!O14</f>
        <v>0.63888888888888895</v>
      </c>
      <c r="C39" s="357" t="s">
        <v>163</v>
      </c>
      <c r="D39" s="357" t="str">
        <f t="shared" si="1"/>
        <v>WOOLLETT FAR RIGHT</v>
      </c>
      <c r="E39" s="357">
        <v>48</v>
      </c>
      <c r="F39" s="357" t="str">
        <f>E5</f>
        <v>E1(5)-SAN CLEMENTE RED</v>
      </c>
      <c r="G39" s="357"/>
      <c r="H39" s="357" t="str">
        <f>E6</f>
        <v>E2(28)-NORTH IRVINE</v>
      </c>
      <c r="I39" s="375"/>
      <c r="J39" s="357"/>
      <c r="K39" s="357"/>
      <c r="L39" s="357" t="str">
        <f t="shared" si="2"/>
        <v>12G-048</v>
      </c>
    </row>
    <row r="40" spans="1:12" ht="13.95" customHeight="1">
      <c r="A40" s="373">
        <f t="shared" si="0"/>
        <v>46221</v>
      </c>
      <c r="B40" s="374">
        <f>'CHICLETS MASTER S1'!O15</f>
        <v>0.67361111111111105</v>
      </c>
      <c r="C40" s="357" t="s">
        <v>163</v>
      </c>
      <c r="D40" s="357" t="str">
        <f t="shared" si="1"/>
        <v>WOOLLETT FAR RIGHT</v>
      </c>
      <c r="E40" s="357">
        <v>53</v>
      </c>
      <c r="F40" s="357" t="str">
        <f>E7</f>
        <v>E3(37)-BACK BAY BLACK</v>
      </c>
      <c r="G40" s="357"/>
      <c r="H40" s="357" t="str">
        <f>E8</f>
        <v>E4(51)-CHICAGO PARK</v>
      </c>
      <c r="I40" s="375"/>
      <c r="J40" s="357"/>
      <c r="K40" s="357"/>
      <c r="L40" s="357" t="str">
        <f t="shared" si="2"/>
        <v>12G-053</v>
      </c>
    </row>
    <row r="41" spans="1:12" ht="13.95" customHeight="1">
      <c r="A41" s="359"/>
      <c r="B41" s="359" t="s">
        <v>204</v>
      </c>
      <c r="C41" s="359"/>
      <c r="D41" s="359"/>
      <c r="E41" s="359"/>
      <c r="F41" s="359"/>
      <c r="G41" s="359"/>
      <c r="H41" s="359"/>
      <c r="I41" s="359"/>
      <c r="J41" s="359"/>
    </row>
    <row r="42" spans="1:12" ht="13.95" customHeight="1">
      <c r="A42" s="359"/>
      <c r="B42" s="359" t="s">
        <v>204</v>
      </c>
      <c r="C42" s="359"/>
      <c r="D42" s="359"/>
      <c r="E42" s="359"/>
      <c r="F42" s="359"/>
      <c r="G42" s="359"/>
      <c r="H42" s="359"/>
      <c r="I42" s="359"/>
      <c r="J42" s="359"/>
    </row>
    <row r="43" spans="1:12" ht="13.95" customHeight="1">
      <c r="A43" s="373">
        <f t="shared" si="0"/>
        <v>46221</v>
      </c>
      <c r="B43" s="374">
        <f>'CHICLETS MASTER S1'!O18</f>
        <v>0.77777777777777801</v>
      </c>
      <c r="C43" s="363" t="s">
        <v>1036</v>
      </c>
      <c r="D43" s="357" t="str">
        <f t="shared" ref="D43" si="3">$D$27</f>
        <v>WOOLLETT FAR RIGHT</v>
      </c>
      <c r="E43" s="357">
        <v>61</v>
      </c>
      <c r="F43" s="364" t="s">
        <v>323</v>
      </c>
      <c r="G43" s="364"/>
      <c r="H43" s="364" t="s">
        <v>305</v>
      </c>
      <c r="I43" s="376"/>
      <c r="J43" s="363" t="s">
        <v>278</v>
      </c>
      <c r="K43" s="357" t="s">
        <v>286</v>
      </c>
      <c r="L43" s="357" t="str">
        <f>IF(E43="","",$L$66&amp;"-"&amp;TEXT(E43,"000"))</f>
        <v>12G-061</v>
      </c>
    </row>
    <row r="44" spans="1:12" ht="13.95" customHeight="1">
      <c r="A44" s="359"/>
      <c r="B44" s="359"/>
      <c r="C44" s="359"/>
      <c r="D44" s="359"/>
      <c r="E44" s="359"/>
      <c r="F44" s="359"/>
      <c r="G44" s="359"/>
      <c r="H44" s="359"/>
      <c r="I44" s="359"/>
      <c r="J44" s="359"/>
    </row>
    <row r="45" spans="1:12" ht="13.95" customHeight="1" thickBot="1">
      <c r="A45" s="359"/>
      <c r="B45" s="359"/>
      <c r="C45" s="359"/>
      <c r="D45" s="359"/>
      <c r="E45" s="359"/>
      <c r="F45" s="359"/>
      <c r="G45" s="359"/>
      <c r="H45" s="359"/>
      <c r="I45" s="359"/>
      <c r="J45" s="359"/>
    </row>
    <row r="46" spans="1:12" ht="13.95" customHeight="1" thickBot="1">
      <c r="A46" s="370"/>
      <c r="B46" s="371"/>
      <c r="C46" s="359"/>
      <c r="D46" s="212" t="str">
        <f>'CHICLETS MASTER S1'!$S$3</f>
        <v>MISSION VIEJO HS</v>
      </c>
      <c r="E46" s="359"/>
      <c r="I46" s="359"/>
      <c r="J46" s="359"/>
      <c r="K46" s="359"/>
      <c r="L46" s="359"/>
    </row>
    <row r="47" spans="1:12" ht="13.95" customHeight="1">
      <c r="A47" s="356" t="s">
        <v>110</v>
      </c>
      <c r="B47" s="356" t="s">
        <v>111</v>
      </c>
      <c r="C47" s="356" t="s">
        <v>112</v>
      </c>
      <c r="D47" s="356" t="s">
        <v>113</v>
      </c>
      <c r="E47" s="356" t="s">
        <v>114</v>
      </c>
      <c r="F47" s="356" t="s">
        <v>115</v>
      </c>
      <c r="G47" s="356" t="s">
        <v>116</v>
      </c>
      <c r="H47" s="356" t="s">
        <v>117</v>
      </c>
      <c r="I47" s="356" t="s">
        <v>116</v>
      </c>
      <c r="J47" s="356" t="s">
        <v>118</v>
      </c>
      <c r="K47" s="356" t="s">
        <v>119</v>
      </c>
      <c r="L47" s="356" t="s">
        <v>120</v>
      </c>
    </row>
    <row r="48" spans="1:12" ht="13.95" customHeight="1">
      <c r="A48" s="373">
        <f t="shared" ref="A48:A113" si="4">$A$2</f>
        <v>46221</v>
      </c>
      <c r="B48" s="374">
        <f>'CHICLETS MASTER S1'!O4</f>
        <v>0.29166666666666669</v>
      </c>
      <c r="C48" s="357" t="s">
        <v>163</v>
      </c>
      <c r="D48" s="357" t="str">
        <f>$D$46</f>
        <v>MISSION VIEJO HS</v>
      </c>
      <c r="E48" s="357">
        <v>1</v>
      </c>
      <c r="F48" s="357" t="str">
        <f>A16</f>
        <v>I1(9)-OCWPC</v>
      </c>
      <c r="G48" s="357"/>
      <c r="H48" s="357" t="str">
        <f>A18</f>
        <v>I3(41)-NORCAL BLACK</v>
      </c>
      <c r="I48" s="375"/>
      <c r="J48" s="357"/>
      <c r="K48" s="357"/>
      <c r="L48" s="357" t="str">
        <f t="shared" ref="L48:L59" si="5">IF(E48="","",$L$66&amp;"-"&amp;TEXT(E48,"000"))</f>
        <v>12G-001</v>
      </c>
    </row>
    <row r="49" spans="1:12" ht="13.95" customHeight="1">
      <c r="A49" s="373">
        <f t="shared" si="4"/>
        <v>46221</v>
      </c>
      <c r="B49" s="374">
        <f>'CHICLETS MASTER S1'!O5</f>
        <v>0.3263888888888889</v>
      </c>
      <c r="C49" s="357" t="s">
        <v>163</v>
      </c>
      <c r="D49" s="357" t="str">
        <f t="shared" ref="D49:D59" si="6">$D$46</f>
        <v>MISSION VIEJO HS</v>
      </c>
      <c r="E49" s="357">
        <v>6</v>
      </c>
      <c r="F49" s="357" t="str">
        <f>H5</f>
        <v>H1(8)-DEL MAR</v>
      </c>
      <c r="G49" s="357"/>
      <c r="H49" s="357" t="str">
        <f>H7</f>
        <v>H3(40)-SANTA BARBARA WPC B</v>
      </c>
      <c r="I49" s="375"/>
      <c r="J49" s="357"/>
      <c r="K49" s="357"/>
      <c r="L49" s="357" t="str">
        <f t="shared" si="5"/>
        <v>12G-006</v>
      </c>
    </row>
    <row r="50" spans="1:12" ht="13.95" customHeight="1">
      <c r="A50" s="373">
        <f t="shared" si="4"/>
        <v>46221</v>
      </c>
      <c r="B50" s="374">
        <f>'CHICLETS MASTER S1'!O6</f>
        <v>0.36111111111111099</v>
      </c>
      <c r="C50" s="357" t="s">
        <v>163</v>
      </c>
      <c r="D50" s="357" t="str">
        <f t="shared" si="6"/>
        <v>MISSION VIEJO HS</v>
      </c>
      <c r="E50" s="357">
        <v>11</v>
      </c>
      <c r="F50" s="357" t="str">
        <f>G5</f>
        <v>G1(7)-STANFORD A</v>
      </c>
      <c r="G50" s="357"/>
      <c r="H50" s="357" t="str">
        <f>G7</f>
        <v>G3(39)-SOUTHSIDE</v>
      </c>
      <c r="I50" s="375"/>
      <c r="J50" s="357"/>
      <c r="K50" s="357"/>
      <c r="L50" s="357" t="str">
        <f t="shared" si="5"/>
        <v>12G-011</v>
      </c>
    </row>
    <row r="51" spans="1:12" ht="13.95" customHeight="1">
      <c r="A51" s="373">
        <f t="shared" si="0"/>
        <v>46221</v>
      </c>
      <c r="B51" s="374">
        <f>'CHICLETS MASTER S1'!O7</f>
        <v>0.39583333333333398</v>
      </c>
      <c r="C51" s="357" t="s">
        <v>163</v>
      </c>
      <c r="D51" s="357" t="str">
        <f t="shared" si="6"/>
        <v>MISSION VIEJO HS</v>
      </c>
      <c r="E51" s="357">
        <v>19</v>
      </c>
      <c r="F51" s="357" t="str">
        <f>B16</f>
        <v>J1(10)-LA JOLLA UNITED</v>
      </c>
      <c r="G51" s="357"/>
      <c r="H51" s="357" t="str">
        <f>B18</f>
        <v>J3(42)-LAGUNA BEACH</v>
      </c>
      <c r="I51" s="375"/>
      <c r="J51" s="357"/>
      <c r="K51" s="357"/>
      <c r="L51" s="357" t="str">
        <f t="shared" si="5"/>
        <v>12G-019</v>
      </c>
    </row>
    <row r="52" spans="1:12" ht="13.95" customHeight="1">
      <c r="A52" s="373">
        <f t="shared" si="4"/>
        <v>46221</v>
      </c>
      <c r="B52" s="374">
        <f>'CHICLETS MASTER S1'!O8</f>
        <v>0.43055555555555602</v>
      </c>
      <c r="C52" s="357" t="s">
        <v>163</v>
      </c>
      <c r="D52" s="357" t="str">
        <f t="shared" si="6"/>
        <v>MISSION VIEJO HS</v>
      </c>
      <c r="E52" s="357">
        <v>20</v>
      </c>
      <c r="F52" s="357" t="str">
        <f>A17</f>
        <v>I2(24)-908</v>
      </c>
      <c r="G52" s="357"/>
      <c r="H52" s="357" t="str">
        <f>A18</f>
        <v>I3(41)-NORCAL BLACK</v>
      </c>
      <c r="I52" s="375"/>
      <c r="J52" s="357"/>
      <c r="K52" s="357"/>
      <c r="L52" s="357" t="str">
        <f t="shared" si="5"/>
        <v>12G-020</v>
      </c>
    </row>
    <row r="53" spans="1:12" ht="13.95" customHeight="1">
      <c r="A53" s="373">
        <f t="shared" si="4"/>
        <v>46221</v>
      </c>
      <c r="B53" s="374">
        <f>'CHICLETS MASTER S1'!O9</f>
        <v>0.46527777777777801</v>
      </c>
      <c r="C53" s="357" t="s">
        <v>163</v>
      </c>
      <c r="D53" s="357" t="str">
        <f t="shared" si="6"/>
        <v>MISSION VIEJO HS</v>
      </c>
      <c r="E53" s="357">
        <v>25</v>
      </c>
      <c r="F53" s="357" t="str">
        <f>H6</f>
        <v>H2(25)-SOUTH COAST RED</v>
      </c>
      <c r="G53" s="357"/>
      <c r="H53" s="357" t="str">
        <f>H7</f>
        <v>H3(40)-SANTA BARBARA WPC B</v>
      </c>
      <c r="I53" s="375"/>
      <c r="J53" s="357"/>
      <c r="K53" s="357"/>
      <c r="L53" s="357" t="str">
        <f t="shared" si="5"/>
        <v>12G-025</v>
      </c>
    </row>
    <row r="54" spans="1:12" ht="13.95" customHeight="1">
      <c r="A54" s="373">
        <f t="shared" si="4"/>
        <v>46221</v>
      </c>
      <c r="B54" s="374">
        <f>'CHICLETS MASTER S1'!O10</f>
        <v>0.5</v>
      </c>
      <c r="C54" s="357" t="s">
        <v>163</v>
      </c>
      <c r="D54" s="357" t="str">
        <f t="shared" si="6"/>
        <v>MISSION VIEJO HS</v>
      </c>
      <c r="E54" s="357">
        <v>30</v>
      </c>
      <c r="F54" s="357" t="str">
        <f>G6</f>
        <v>G2(26)-PUNAHOU</v>
      </c>
      <c r="G54" s="357"/>
      <c r="H54" s="357" t="str">
        <f>G7</f>
        <v>G3(39)-SOUTHSIDE</v>
      </c>
      <c r="I54" s="375"/>
      <c r="J54" s="357"/>
      <c r="K54" s="357"/>
      <c r="L54" s="357" t="str">
        <f t="shared" si="5"/>
        <v>12G-030</v>
      </c>
    </row>
    <row r="55" spans="1:12" ht="13.95" customHeight="1">
      <c r="A55" s="373">
        <f t="shared" si="0"/>
        <v>46221</v>
      </c>
      <c r="B55" s="374">
        <f>'CHICLETS MASTER S1'!O11</f>
        <v>0.53472222222222199</v>
      </c>
      <c r="C55" s="357" t="s">
        <v>163</v>
      </c>
      <c r="D55" s="357" t="str">
        <f t="shared" si="6"/>
        <v>MISSION VIEJO HS</v>
      </c>
      <c r="E55" s="357">
        <v>38</v>
      </c>
      <c r="F55" s="357" t="str">
        <f>B17</f>
        <v>J2(23)-LAMORINDA C</v>
      </c>
      <c r="G55" s="357"/>
      <c r="H55" s="357" t="str">
        <f>B18</f>
        <v>J3(42)-LAGUNA BEACH</v>
      </c>
      <c r="I55" s="375"/>
      <c r="J55" s="357"/>
      <c r="K55" s="357"/>
      <c r="L55" s="357" t="str">
        <f t="shared" si="5"/>
        <v>12G-038</v>
      </c>
    </row>
    <row r="56" spans="1:12" ht="13.95" customHeight="1">
      <c r="A56" s="373">
        <f t="shared" si="4"/>
        <v>46221</v>
      </c>
      <c r="B56" s="374">
        <f>'CHICLETS MASTER S1'!O12</f>
        <v>0.56944444444444497</v>
      </c>
      <c r="C56" s="357" t="s">
        <v>163</v>
      </c>
      <c r="D56" s="357" t="str">
        <f t="shared" si="6"/>
        <v>MISSION VIEJO HS</v>
      </c>
      <c r="E56" s="357">
        <v>39</v>
      </c>
      <c r="F56" s="357" t="str">
        <f>A16</f>
        <v>I1(9)-OCWPC</v>
      </c>
      <c r="G56" s="357"/>
      <c r="H56" s="357" t="str">
        <f>A17</f>
        <v>I2(24)-908</v>
      </c>
      <c r="I56" s="375"/>
      <c r="J56" s="357"/>
      <c r="K56" s="357"/>
      <c r="L56" s="357" t="str">
        <f t="shared" si="5"/>
        <v>12G-039</v>
      </c>
    </row>
    <row r="57" spans="1:12" ht="13.95" customHeight="1">
      <c r="A57" s="373">
        <f t="shared" si="4"/>
        <v>46221</v>
      </c>
      <c r="B57" s="374">
        <f>'CHICLETS MASTER S1'!O13</f>
        <v>0.60416666666666696</v>
      </c>
      <c r="C57" s="357" t="s">
        <v>163</v>
      </c>
      <c r="D57" s="357" t="str">
        <f t="shared" si="6"/>
        <v>MISSION VIEJO HS</v>
      </c>
      <c r="E57" s="357">
        <v>44</v>
      </c>
      <c r="F57" s="357" t="str">
        <f>H5</f>
        <v>H1(8)-DEL MAR</v>
      </c>
      <c r="G57" s="357"/>
      <c r="H57" s="357" t="str">
        <f>H6</f>
        <v>H2(25)-SOUTH COAST RED</v>
      </c>
      <c r="I57" s="375"/>
      <c r="J57" s="357"/>
      <c r="K57" s="357"/>
      <c r="L57" s="357" t="str">
        <f t="shared" si="5"/>
        <v>12G-044</v>
      </c>
    </row>
    <row r="58" spans="1:12" ht="13.95" customHeight="1">
      <c r="A58" s="373">
        <f t="shared" si="4"/>
        <v>46221</v>
      </c>
      <c r="B58" s="374">
        <f>'CHICLETS MASTER S1'!O14</f>
        <v>0.63888888888888895</v>
      </c>
      <c r="C58" s="357" t="s">
        <v>163</v>
      </c>
      <c r="D58" s="357" t="str">
        <f t="shared" si="6"/>
        <v>MISSION VIEJO HS</v>
      </c>
      <c r="E58" s="357">
        <v>49</v>
      </c>
      <c r="F58" s="357" t="str">
        <f>G5</f>
        <v>G1(7)-STANFORD A</v>
      </c>
      <c r="G58" s="357"/>
      <c r="H58" s="357" t="str">
        <f>G6</f>
        <v>G2(26)-PUNAHOU</v>
      </c>
      <c r="I58" s="375"/>
      <c r="J58" s="357"/>
      <c r="K58" s="357"/>
      <c r="L58" s="357" t="str">
        <f t="shared" si="5"/>
        <v>12G-049</v>
      </c>
    </row>
    <row r="59" spans="1:12" ht="13.95" customHeight="1">
      <c r="A59" s="373">
        <f t="shared" si="0"/>
        <v>46221</v>
      </c>
      <c r="B59" s="374">
        <f>'CHICLETS MASTER S1'!O15</f>
        <v>0.67361111111111105</v>
      </c>
      <c r="C59" s="357" t="s">
        <v>163</v>
      </c>
      <c r="D59" s="357" t="str">
        <f t="shared" si="6"/>
        <v>MISSION VIEJO HS</v>
      </c>
      <c r="E59" s="357">
        <v>57</v>
      </c>
      <c r="F59" s="357" t="str">
        <f>B16</f>
        <v>J1(10)-LA JOLLA UNITED</v>
      </c>
      <c r="G59" s="357"/>
      <c r="H59" s="357" t="str">
        <f>B17</f>
        <v>J2(23)-LAMORINDA C</v>
      </c>
      <c r="I59" s="375"/>
      <c r="J59" s="357"/>
      <c r="K59" s="357"/>
      <c r="L59" s="357" t="str">
        <f t="shared" si="5"/>
        <v>12G-057</v>
      </c>
    </row>
    <row r="60" spans="1:12" ht="13.95" customHeight="1">
      <c r="A60" s="359"/>
      <c r="B60" s="359" t="s">
        <v>204</v>
      </c>
      <c r="C60" s="359"/>
      <c r="D60" s="359"/>
      <c r="E60" s="359"/>
      <c r="F60" s="359"/>
      <c r="G60" s="359"/>
      <c r="H60" s="359"/>
      <c r="I60" s="359"/>
      <c r="J60" s="359"/>
    </row>
    <row r="61" spans="1:12" ht="13.95" customHeight="1">
      <c r="A61" s="359"/>
      <c r="B61" s="359" t="s">
        <v>204</v>
      </c>
      <c r="C61" s="359"/>
      <c r="D61" s="359"/>
      <c r="E61" s="359"/>
      <c r="F61" s="359"/>
      <c r="G61" s="359"/>
      <c r="H61" s="359"/>
      <c r="I61" s="359"/>
      <c r="J61" s="359"/>
    </row>
    <row r="62" spans="1:12" ht="13.95" customHeight="1">
      <c r="A62" s="373">
        <f t="shared" si="4"/>
        <v>46221</v>
      </c>
      <c r="B62" s="374">
        <f>'CHICLETS MASTER S1'!O18</f>
        <v>0.77777777777777801</v>
      </c>
      <c r="C62" s="363" t="s">
        <v>1037</v>
      </c>
      <c r="D62" s="357" t="str">
        <f>$D$46</f>
        <v>MISSION VIEJO HS</v>
      </c>
      <c r="E62" s="357">
        <v>58</v>
      </c>
      <c r="F62" s="364" t="s">
        <v>312</v>
      </c>
      <c r="G62" s="364"/>
      <c r="H62" s="364" t="s">
        <v>294</v>
      </c>
      <c r="I62" s="376"/>
      <c r="J62" s="377" t="s">
        <v>142</v>
      </c>
      <c r="K62" s="378" t="s">
        <v>283</v>
      </c>
      <c r="L62" s="357" t="str">
        <f>IF(E62="","",$L$66&amp;"-"&amp;TEXT(E62,"000"))</f>
        <v>12G-058</v>
      </c>
    </row>
    <row r="63" spans="1:12" ht="13.95" customHeight="1">
      <c r="A63" s="373">
        <f t="shared" si="0"/>
        <v>46221</v>
      </c>
      <c r="B63" s="374">
        <f>'CHICLETS MASTER S1'!O19</f>
        <v>0.8125</v>
      </c>
      <c r="C63" s="363" t="s">
        <v>1038</v>
      </c>
      <c r="D63" s="357" t="str">
        <f>$D$46</f>
        <v>MISSION VIEJO HS</v>
      </c>
      <c r="E63" s="357">
        <v>65</v>
      </c>
      <c r="F63" s="364" t="s">
        <v>316</v>
      </c>
      <c r="G63" s="364"/>
      <c r="H63" s="52" t="s">
        <v>298</v>
      </c>
      <c r="I63" s="376"/>
      <c r="J63" s="377" t="s">
        <v>138</v>
      </c>
      <c r="K63" s="378" t="s">
        <v>279</v>
      </c>
      <c r="L63" s="357" t="str">
        <f>IF(E63="","",$L$66&amp;"-"&amp;TEXT(E63,"000"))</f>
        <v>12G-065</v>
      </c>
    </row>
    <row r="65" spans="1:12" ht="13.95" customHeight="1" thickBot="1">
      <c r="A65" s="359"/>
      <c r="B65" s="359"/>
      <c r="C65" s="359"/>
      <c r="D65" s="359"/>
      <c r="E65" s="359"/>
      <c r="F65" s="359"/>
      <c r="G65" s="359"/>
      <c r="H65" s="359"/>
      <c r="I65" s="359"/>
      <c r="J65" s="359"/>
    </row>
    <row r="66" spans="1:12" ht="13.95" customHeight="1" thickBot="1">
      <c r="A66" s="370"/>
      <c r="B66" s="371"/>
      <c r="C66" s="359"/>
      <c r="D66" s="212" t="str">
        <f>'CHICLETS MASTER S1'!$Q$3</f>
        <v>ALISO NIGUEL HS</v>
      </c>
      <c r="E66" s="359"/>
      <c r="I66" s="359"/>
      <c r="J66" s="359"/>
      <c r="K66" s="359"/>
      <c r="L66" s="379" t="s">
        <v>1039</v>
      </c>
    </row>
    <row r="67" spans="1:12" ht="13.95" customHeight="1">
      <c r="A67" s="356" t="s">
        <v>110</v>
      </c>
      <c r="B67" s="356" t="s">
        <v>111</v>
      </c>
      <c r="C67" s="356" t="s">
        <v>112</v>
      </c>
      <c r="D67" s="356" t="s">
        <v>113</v>
      </c>
      <c r="E67" s="356" t="s">
        <v>114</v>
      </c>
      <c r="F67" s="356" t="s">
        <v>115</v>
      </c>
      <c r="G67" s="356" t="s">
        <v>116</v>
      </c>
      <c r="H67" s="356" t="s">
        <v>117</v>
      </c>
      <c r="I67" s="356" t="s">
        <v>116</v>
      </c>
      <c r="J67" s="356" t="s">
        <v>118</v>
      </c>
      <c r="K67" s="356" t="s">
        <v>119</v>
      </c>
      <c r="L67" s="356" t="s">
        <v>120</v>
      </c>
    </row>
    <row r="68" spans="1:12" ht="13.95" customHeight="1">
      <c r="A68" s="373">
        <f>$A$2</f>
        <v>46221</v>
      </c>
      <c r="B68" s="374">
        <f>'CHICLETS MASTER S1'!O4</f>
        <v>0.29166666666666669</v>
      </c>
      <c r="C68" s="357" t="s">
        <v>163</v>
      </c>
      <c r="D68" s="357" t="str">
        <f>$D$66</f>
        <v>ALISO NIGUEL HS</v>
      </c>
      <c r="E68" s="357">
        <v>2</v>
      </c>
      <c r="F68" s="357" t="str">
        <f>H16</f>
        <v>P1(16)-LAMORINDA B</v>
      </c>
      <c r="G68" s="357"/>
      <c r="H68" s="357" t="str">
        <f>H18</f>
        <v>P3(48)-CAL REPUBLIC</v>
      </c>
      <c r="I68" s="375"/>
      <c r="J68" s="357"/>
      <c r="K68" s="357"/>
      <c r="L68" s="357" t="str">
        <f t="shared" ref="L68:L83" si="7">IF(E68="","",$L$66&amp;"-"&amp;TEXT(E68,"000"))</f>
        <v>12G-002</v>
      </c>
    </row>
    <row r="69" spans="1:12" ht="13.95" customHeight="1">
      <c r="A69" s="373">
        <f t="shared" si="4"/>
        <v>46221</v>
      </c>
      <c r="B69" s="374">
        <f>'CHICLETS MASTER S1'!O5</f>
        <v>0.3263888888888889</v>
      </c>
      <c r="C69" s="357" t="s">
        <v>163</v>
      </c>
      <c r="D69" s="357" t="str">
        <f>$D$66</f>
        <v>ALISO NIGUEL HS</v>
      </c>
      <c r="E69" s="357">
        <v>7</v>
      </c>
      <c r="F69" s="357" t="str">
        <f>A5</f>
        <v>A1(1)-NEWPORT BEACH BLUE</v>
      </c>
      <c r="G69" s="357"/>
      <c r="H69" s="357" t="str">
        <f>A7</f>
        <v>A3(33)-CHAWP</v>
      </c>
      <c r="I69" s="375"/>
      <c r="J69" s="357"/>
      <c r="K69" s="357"/>
      <c r="L69" s="357" t="str">
        <f t="shared" si="7"/>
        <v>12G-007</v>
      </c>
    </row>
    <row r="70" spans="1:12" ht="13.95" customHeight="1">
      <c r="A70" s="373">
        <f t="shared" si="4"/>
        <v>46221</v>
      </c>
      <c r="B70" s="374">
        <f>'CHICLETS MASTER S1'!O6</f>
        <v>0.36111111111111099</v>
      </c>
      <c r="C70" s="357" t="s">
        <v>163</v>
      </c>
      <c r="D70" s="357" t="str">
        <f>$D$66</f>
        <v>ALISO NIGUEL HS</v>
      </c>
      <c r="E70" s="357">
        <v>12</v>
      </c>
      <c r="F70" s="357" t="str">
        <f>G16</f>
        <v>O1(15)-SHAQ</v>
      </c>
      <c r="G70" s="357"/>
      <c r="H70" s="357" t="str">
        <f>G18</f>
        <v>O3(47)-CENTRAL COAST</v>
      </c>
      <c r="I70" s="375"/>
      <c r="J70" s="357"/>
      <c r="K70" s="357"/>
      <c r="L70" s="357" t="str">
        <f t="shared" si="7"/>
        <v>12G-012</v>
      </c>
    </row>
    <row r="71" spans="1:12" ht="13.95" customHeight="1">
      <c r="A71" s="373">
        <f t="shared" si="4"/>
        <v>46221</v>
      </c>
      <c r="B71" s="374">
        <f>'CHICLETS MASTER S1'!O7</f>
        <v>0.39583333333333398</v>
      </c>
      <c r="C71" s="357" t="s">
        <v>163</v>
      </c>
      <c r="D71" s="357" t="str">
        <f t="shared" ref="D71:D72" si="8">$D$66</f>
        <v>ALISO NIGUEL HS</v>
      </c>
      <c r="E71" s="357">
        <v>16</v>
      </c>
      <c r="F71" s="357" t="str">
        <f>B5</f>
        <v>B1(2)-LAMORINDA A</v>
      </c>
      <c r="G71" s="357"/>
      <c r="H71" s="357" t="str">
        <f>B7</f>
        <v>B3(34)-STANFORD B</v>
      </c>
      <c r="I71" s="375"/>
      <c r="J71" s="357"/>
      <c r="K71" s="357"/>
      <c r="L71" s="357" t="str">
        <f>IF(E71="","",$L$66&amp;"-"&amp;TEXT(E71,"000"))</f>
        <v>12G-016</v>
      </c>
    </row>
    <row r="72" spans="1:12" ht="13.95" customHeight="1">
      <c r="A72" s="373">
        <f t="shared" si="4"/>
        <v>46221</v>
      </c>
      <c r="B72" s="374">
        <f>'CHICLETS MASTER S1'!O7</f>
        <v>0.39583333333333398</v>
      </c>
      <c r="C72" s="357" t="s">
        <v>163</v>
      </c>
      <c r="D72" s="357" t="str">
        <f t="shared" si="8"/>
        <v>ALISO NIGUEL HS</v>
      </c>
      <c r="E72" s="357">
        <v>21</v>
      </c>
      <c r="F72" s="357" t="str">
        <f>H17</f>
        <v>P2(17)-DIABLO ALLIANCE A</v>
      </c>
      <c r="G72" s="357"/>
      <c r="H72" s="357" t="str">
        <f>H18</f>
        <v>P3(48)-CAL REPUBLIC</v>
      </c>
      <c r="I72" s="375"/>
      <c r="J72" s="357"/>
      <c r="K72" s="357"/>
      <c r="L72" s="357" t="str">
        <f t="shared" si="7"/>
        <v>12G-021</v>
      </c>
    </row>
    <row r="73" spans="1:12" ht="13.95" customHeight="1">
      <c r="A73" s="373">
        <f t="shared" si="4"/>
        <v>46221</v>
      </c>
      <c r="B73" s="374">
        <f>'CHICLETS MASTER S1'!O8</f>
        <v>0.43055555555555602</v>
      </c>
      <c r="C73" s="357" t="s">
        <v>163</v>
      </c>
      <c r="D73" s="357" t="str">
        <f t="shared" ref="D73:D79" si="9">$D$66</f>
        <v>ALISO NIGUEL HS</v>
      </c>
      <c r="E73" s="357">
        <v>26</v>
      </c>
      <c r="F73" s="357" t="str">
        <f>A6</f>
        <v>A2(32)-AMERICAN RIVER</v>
      </c>
      <c r="G73" s="357"/>
      <c r="H73" s="357" t="str">
        <f>A7</f>
        <v>A3(33)-CHAWP</v>
      </c>
      <c r="I73" s="375"/>
      <c r="J73" s="357"/>
      <c r="K73" s="357"/>
      <c r="L73" s="357" t="str">
        <f t="shared" si="7"/>
        <v>12G-026</v>
      </c>
    </row>
    <row r="74" spans="1:12" ht="13.95" customHeight="1">
      <c r="A74" s="373">
        <f t="shared" si="4"/>
        <v>46221</v>
      </c>
      <c r="B74" s="374">
        <f>'CHICLETS MASTER S1'!O9</f>
        <v>0.46527777777777801</v>
      </c>
      <c r="C74" s="357" t="s">
        <v>163</v>
      </c>
      <c r="D74" s="357" t="str">
        <f t="shared" si="9"/>
        <v>ALISO NIGUEL HS</v>
      </c>
      <c r="E74" s="357">
        <v>31</v>
      </c>
      <c r="F74" s="357" t="str">
        <f>G17</f>
        <v>O2(18)-GREENWICH</v>
      </c>
      <c r="G74" s="357"/>
      <c r="H74" s="357" t="str">
        <f>G18</f>
        <v>O3(47)-CENTRAL COAST</v>
      </c>
      <c r="I74" s="375"/>
      <c r="J74" s="357"/>
      <c r="K74" s="357"/>
      <c r="L74" s="357" t="str">
        <f t="shared" si="7"/>
        <v>12G-031</v>
      </c>
    </row>
    <row r="75" spans="1:12" ht="13.95" customHeight="1">
      <c r="A75" s="373">
        <f t="shared" si="4"/>
        <v>46221</v>
      </c>
      <c r="B75" s="374">
        <f>'CHICLETS MASTER S1'!O10</f>
        <v>0.5</v>
      </c>
      <c r="C75" s="357" t="s">
        <v>163</v>
      </c>
      <c r="D75" s="357" t="str">
        <f t="shared" si="9"/>
        <v>ALISO NIGUEL HS</v>
      </c>
      <c r="E75" s="357">
        <v>35</v>
      </c>
      <c r="F75" s="357" t="str">
        <f>B6</f>
        <v>B2(31)-SD SHORES</v>
      </c>
      <c r="G75" s="357"/>
      <c r="H75" s="357" t="str">
        <f>B7</f>
        <v>B3(34)-STANFORD B</v>
      </c>
      <c r="I75" s="375"/>
      <c r="J75" s="357"/>
      <c r="K75" s="357"/>
      <c r="L75" s="357" t="str">
        <f t="shared" si="7"/>
        <v>12G-035</v>
      </c>
    </row>
    <row r="76" spans="1:12" ht="13.95" customHeight="1">
      <c r="A76" s="373">
        <f t="shared" si="4"/>
        <v>46221</v>
      </c>
      <c r="B76" s="374">
        <f>'CHICLETS MASTER S1'!O11</f>
        <v>0.53472222222222199</v>
      </c>
      <c r="C76" s="357" t="s">
        <v>163</v>
      </c>
      <c r="D76" s="357" t="str">
        <f t="shared" si="9"/>
        <v>ALISO NIGUEL HS</v>
      </c>
      <c r="E76" s="357">
        <v>40</v>
      </c>
      <c r="F76" s="357" t="str">
        <f>H16</f>
        <v>P1(16)-LAMORINDA B</v>
      </c>
      <c r="G76" s="357"/>
      <c r="H76" s="357" t="str">
        <f>H17</f>
        <v>P2(17)-DIABLO ALLIANCE A</v>
      </c>
      <c r="I76" s="375"/>
      <c r="J76" s="357"/>
      <c r="K76" s="357"/>
      <c r="L76" s="357" t="str">
        <f t="shared" si="7"/>
        <v>12G-040</v>
      </c>
    </row>
    <row r="77" spans="1:12" ht="13.95" customHeight="1">
      <c r="A77" s="373">
        <f t="shared" si="4"/>
        <v>46221</v>
      </c>
      <c r="B77" s="374">
        <f>'CHICLETS MASTER S1'!O12</f>
        <v>0.56944444444444497</v>
      </c>
      <c r="C77" s="357" t="s">
        <v>163</v>
      </c>
      <c r="D77" s="357" t="str">
        <f t="shared" si="9"/>
        <v>ALISO NIGUEL HS</v>
      </c>
      <c r="E77" s="357">
        <v>45</v>
      </c>
      <c r="F77" s="357" t="str">
        <f>A5</f>
        <v>A1(1)-NEWPORT BEACH BLUE</v>
      </c>
      <c r="G77" s="357"/>
      <c r="H77" s="357" t="str">
        <f>A6</f>
        <v>A2(32)-AMERICAN RIVER</v>
      </c>
      <c r="I77" s="375"/>
      <c r="J77" s="357"/>
      <c r="K77" s="357"/>
      <c r="L77" s="357" t="str">
        <f t="shared" si="7"/>
        <v>12G-045</v>
      </c>
    </row>
    <row r="78" spans="1:12" ht="13.95" customHeight="1">
      <c r="A78" s="373">
        <f t="shared" si="4"/>
        <v>46221</v>
      </c>
      <c r="B78" s="374">
        <f>'CHICLETS MASTER S1'!O13</f>
        <v>0.60416666666666696</v>
      </c>
      <c r="C78" s="357" t="s">
        <v>163</v>
      </c>
      <c r="D78" s="357" t="str">
        <f t="shared" si="9"/>
        <v>ALISO NIGUEL HS</v>
      </c>
      <c r="E78" s="357">
        <v>50</v>
      </c>
      <c r="F78" s="357" t="str">
        <f>G16</f>
        <v>O1(15)-SHAQ</v>
      </c>
      <c r="G78" s="357"/>
      <c r="H78" s="357" t="str">
        <f>G17</f>
        <v>O2(18)-GREENWICH</v>
      </c>
      <c r="I78" s="375"/>
      <c r="J78" s="357"/>
      <c r="K78" s="357"/>
      <c r="L78" s="357" t="str">
        <f t="shared" si="7"/>
        <v>12G-050</v>
      </c>
    </row>
    <row r="79" spans="1:12" ht="13.95" customHeight="1">
      <c r="A79" s="373">
        <f t="shared" si="4"/>
        <v>46221</v>
      </c>
      <c r="B79" s="374">
        <f>'CHICLETS MASTER S1'!O14</f>
        <v>0.63888888888888895</v>
      </c>
      <c r="C79" s="357" t="s">
        <v>163</v>
      </c>
      <c r="D79" s="357" t="str">
        <f t="shared" si="9"/>
        <v>ALISO NIGUEL HS</v>
      </c>
      <c r="E79" s="357">
        <v>54</v>
      </c>
      <c r="F79" s="357" t="str">
        <f>B5</f>
        <v>B1(2)-LAMORINDA A</v>
      </c>
      <c r="G79" s="357"/>
      <c r="H79" s="357" t="str">
        <f>B6</f>
        <v>B2(31)-SD SHORES</v>
      </c>
      <c r="I79" s="375"/>
      <c r="J79" s="357"/>
      <c r="K79" s="357"/>
      <c r="L79" s="357" t="str">
        <f t="shared" si="7"/>
        <v>12G-054</v>
      </c>
    </row>
    <row r="80" spans="1:12" ht="13.95" customHeight="1">
      <c r="B80" s="359" t="s">
        <v>204</v>
      </c>
      <c r="G80" s="360"/>
      <c r="I80" s="380"/>
    </row>
    <row r="81" spans="1:12" ht="13.95" customHeight="1">
      <c r="B81" s="359" t="s">
        <v>204</v>
      </c>
      <c r="G81" s="360"/>
      <c r="I81" s="380"/>
    </row>
    <row r="82" spans="1:12" ht="13.95" customHeight="1">
      <c r="A82" s="373">
        <f t="shared" si="4"/>
        <v>46221</v>
      </c>
      <c r="B82" s="374">
        <f>'CHICLETS MASTER S1'!O18</f>
        <v>0.77777777777777801</v>
      </c>
      <c r="C82" s="363" t="s">
        <v>1040</v>
      </c>
      <c r="D82" s="357" t="str">
        <f>$D$66</f>
        <v>ALISO NIGUEL HS</v>
      </c>
      <c r="E82" s="357">
        <v>59</v>
      </c>
      <c r="F82" s="364" t="s">
        <v>1041</v>
      </c>
      <c r="G82" s="364"/>
      <c r="H82" s="364" t="s">
        <v>276</v>
      </c>
      <c r="I82" s="376"/>
      <c r="J82" s="377" t="s">
        <v>125</v>
      </c>
      <c r="K82" s="378" t="s">
        <v>1042</v>
      </c>
      <c r="L82" s="357" t="str">
        <f t="shared" si="7"/>
        <v>12G-059</v>
      </c>
    </row>
    <row r="83" spans="1:12" ht="13.95" customHeight="1">
      <c r="A83" s="373">
        <f t="shared" si="4"/>
        <v>46221</v>
      </c>
      <c r="B83" s="374">
        <f>'CHICLETS MASTER S1'!O19</f>
        <v>0.8125</v>
      </c>
      <c r="C83" s="363" t="s">
        <v>1043</v>
      </c>
      <c r="D83" s="357" t="str">
        <f>$D$66</f>
        <v>ALISO NIGUEL HS</v>
      </c>
      <c r="E83" s="357">
        <v>62</v>
      </c>
      <c r="F83" s="367" t="s">
        <v>1044</v>
      </c>
      <c r="G83" s="366"/>
      <c r="H83" s="364" t="s">
        <v>280</v>
      </c>
      <c r="I83" s="376"/>
      <c r="J83" s="377" t="s">
        <v>129</v>
      </c>
      <c r="K83" s="378" t="s">
        <v>668</v>
      </c>
      <c r="L83" s="357" t="str">
        <f t="shared" si="7"/>
        <v>12G-062</v>
      </c>
    </row>
    <row r="84" spans="1:12" ht="13.95" customHeight="1">
      <c r="A84" s="381"/>
      <c r="B84" s="381"/>
      <c r="C84" s="381"/>
      <c r="D84" s="381"/>
      <c r="E84" s="381"/>
      <c r="F84" s="381"/>
      <c r="G84" s="382"/>
      <c r="H84" s="383"/>
      <c r="I84" s="383"/>
      <c r="J84" s="383"/>
      <c r="K84" s="383"/>
      <c r="L84" s="383"/>
    </row>
    <row r="85" spans="1:12" ht="15" customHeight="1" thickBot="1"/>
    <row r="86" spans="1:12" ht="13.95" customHeight="1" thickBot="1">
      <c r="A86" s="370"/>
      <c r="B86" s="371"/>
      <c r="C86" s="359"/>
      <c r="D86" s="212" t="str">
        <f>'CHICLETS MASTER S1'!$T$3</f>
        <v>LAGUNA HILLS HS</v>
      </c>
      <c r="E86" s="359"/>
      <c r="I86" s="359"/>
      <c r="J86" s="359"/>
      <c r="K86" s="359"/>
      <c r="L86" s="359"/>
    </row>
    <row r="87" spans="1:12" ht="13.95" customHeight="1">
      <c r="A87" s="356" t="s">
        <v>110</v>
      </c>
      <c r="B87" s="356" t="s">
        <v>111</v>
      </c>
      <c r="C87" s="356" t="s">
        <v>112</v>
      </c>
      <c r="D87" s="356" t="s">
        <v>113</v>
      </c>
      <c r="E87" s="356" t="s">
        <v>114</v>
      </c>
      <c r="F87" s="356" t="s">
        <v>115</v>
      </c>
      <c r="G87" s="356" t="s">
        <v>116</v>
      </c>
      <c r="H87" s="356" t="s">
        <v>117</v>
      </c>
      <c r="I87" s="356" t="s">
        <v>116</v>
      </c>
      <c r="J87" s="356" t="s">
        <v>118</v>
      </c>
      <c r="K87" s="356" t="s">
        <v>119</v>
      </c>
      <c r="L87" s="356" t="s">
        <v>120</v>
      </c>
    </row>
    <row r="88" spans="1:12" ht="13.95" customHeight="1">
      <c r="A88" s="373">
        <f t="shared" si="4"/>
        <v>46221</v>
      </c>
      <c r="B88" s="374">
        <f>'CHICLETS MASTER S1'!O4</f>
        <v>0.29166666666666669</v>
      </c>
      <c r="C88" s="357" t="s">
        <v>163</v>
      </c>
      <c r="D88" s="357" t="str">
        <f t="shared" ref="D88:D99" si="10">$D$86</f>
        <v>LAGUNA HILLS HS</v>
      </c>
      <c r="E88" s="357">
        <v>3</v>
      </c>
      <c r="F88" s="357" t="str">
        <f>F16</f>
        <v>N1(14)-ARROYO GRANDE</v>
      </c>
      <c r="G88" s="357"/>
      <c r="H88" s="357" t="str">
        <f>F18</f>
        <v>N3(46)-LYONS AQUATICS</v>
      </c>
      <c r="I88" s="375"/>
      <c r="J88" s="357"/>
      <c r="K88" s="357"/>
      <c r="L88" s="357" t="str">
        <f>IF(E88="","",$L$66&amp;"-"&amp;TEXT(E88,"000"))</f>
        <v>12G-003</v>
      </c>
    </row>
    <row r="89" spans="1:12" ht="13.95" customHeight="1">
      <c r="A89" s="373">
        <f t="shared" si="4"/>
        <v>46221</v>
      </c>
      <c r="B89" s="374">
        <f>'CHICLETS MASTER S1'!O5</f>
        <v>0.3263888888888889</v>
      </c>
      <c r="C89" s="357" t="s">
        <v>163</v>
      </c>
      <c r="D89" s="357" t="str">
        <f t="shared" si="10"/>
        <v>LAGUNA HILLS HS</v>
      </c>
      <c r="E89" s="357">
        <v>8</v>
      </c>
      <c r="F89" s="357" t="str">
        <f>C5</f>
        <v>C1(3)-COMMERCE</v>
      </c>
      <c r="G89" s="357"/>
      <c r="H89" s="357" t="str">
        <f>C7</f>
        <v>C3(35)-SEASIDE</v>
      </c>
      <c r="I89" s="375"/>
      <c r="J89" s="357"/>
      <c r="K89" s="357"/>
      <c r="L89" s="357" t="str">
        <f t="shared" ref="L89:L103" si="11">IF(E89="","",$L$66&amp;"-"&amp;TEXT(E89,"000"))</f>
        <v>12G-008</v>
      </c>
    </row>
    <row r="90" spans="1:12" ht="13.95" customHeight="1">
      <c r="A90" s="373">
        <f t="shared" si="4"/>
        <v>46221</v>
      </c>
      <c r="B90" s="374">
        <f>'CHICLETS MASTER S1'!O6</f>
        <v>0.36111111111111099</v>
      </c>
      <c r="C90" s="357" t="s">
        <v>163</v>
      </c>
      <c r="D90" s="357" t="str">
        <f t="shared" si="10"/>
        <v>LAGUNA HILLS HS</v>
      </c>
      <c r="E90" s="357">
        <v>13</v>
      </c>
      <c r="F90" s="357" t="str">
        <f>E16</f>
        <v>M1(13)-LA PREMIER</v>
      </c>
      <c r="G90" s="357"/>
      <c r="H90" s="357" t="str">
        <f>E18</f>
        <v>M3(45)-CIU</v>
      </c>
      <c r="I90" s="375"/>
      <c r="J90" s="357"/>
      <c r="K90" s="357"/>
      <c r="L90" s="357" t="str">
        <f t="shared" si="11"/>
        <v>12G-013</v>
      </c>
    </row>
    <row r="91" spans="1:12" ht="13.95" customHeight="1">
      <c r="A91" s="373">
        <f>$A$2</f>
        <v>46221</v>
      </c>
      <c r="B91" s="374">
        <f>'CHICLETS MASTER S1'!O7</f>
        <v>0.39583333333333398</v>
      </c>
      <c r="C91" s="357" t="s">
        <v>163</v>
      </c>
      <c r="D91" s="357" t="str">
        <f t="shared" si="10"/>
        <v>LAGUNA HILLS HS</v>
      </c>
      <c r="E91" s="357">
        <v>17</v>
      </c>
      <c r="F91" s="357" t="str">
        <f>D5</f>
        <v>D1(4)-680 RED A</v>
      </c>
      <c r="G91" s="357"/>
      <c r="H91" s="357" t="str">
        <f>D7</f>
        <v>D3(36)-NEWPORT BEACH WHITE</v>
      </c>
      <c r="I91" s="375"/>
      <c r="J91" s="357"/>
      <c r="K91" s="357"/>
      <c r="L91" s="357" t="str">
        <f t="shared" si="11"/>
        <v>12G-017</v>
      </c>
    </row>
    <row r="92" spans="1:12" ht="13.95" customHeight="1">
      <c r="A92" s="373">
        <f t="shared" si="4"/>
        <v>46221</v>
      </c>
      <c r="B92" s="374">
        <f>'CHICLETS MASTER S1'!O8</f>
        <v>0.43055555555555602</v>
      </c>
      <c r="C92" s="357" t="s">
        <v>163</v>
      </c>
      <c r="D92" s="357" t="str">
        <f t="shared" si="10"/>
        <v>LAGUNA HILLS HS</v>
      </c>
      <c r="E92" s="357">
        <v>22</v>
      </c>
      <c r="F92" s="357" t="str">
        <f>F17</f>
        <v>N2(19)-LB SHORE</v>
      </c>
      <c r="G92" s="357"/>
      <c r="H92" s="357" t="str">
        <f>F18</f>
        <v>N3(46)-LYONS AQUATICS</v>
      </c>
      <c r="I92" s="375"/>
      <c r="J92" s="357"/>
      <c r="K92" s="357"/>
      <c r="L92" s="357" t="str">
        <f t="shared" si="11"/>
        <v>12G-022</v>
      </c>
    </row>
    <row r="93" spans="1:12" ht="13.95" customHeight="1">
      <c r="A93" s="373">
        <f t="shared" si="4"/>
        <v>46221</v>
      </c>
      <c r="B93" s="374">
        <f>'CHICLETS MASTER S1'!O9</f>
        <v>0.46527777777777801</v>
      </c>
      <c r="C93" s="357" t="s">
        <v>163</v>
      </c>
      <c r="D93" s="357" t="str">
        <f t="shared" si="10"/>
        <v>LAGUNA HILLS HS</v>
      </c>
      <c r="E93" s="357">
        <v>27</v>
      </c>
      <c r="F93" s="357" t="str">
        <f>C6</f>
        <v>C2(30)-BROOKLYN HUSTLE</v>
      </c>
      <c r="G93" s="357"/>
      <c r="H93" s="357" t="str">
        <f>C7</f>
        <v>C3(35)-SEASIDE</v>
      </c>
      <c r="I93" s="375"/>
      <c r="J93" s="357"/>
      <c r="K93" s="357"/>
      <c r="L93" s="357" t="str">
        <f t="shared" si="11"/>
        <v>12G-027</v>
      </c>
    </row>
    <row r="94" spans="1:12" ht="13.95" customHeight="1">
      <c r="A94" s="373">
        <f t="shared" si="4"/>
        <v>46221</v>
      </c>
      <c r="B94" s="374">
        <f>'CHICLETS MASTER S1'!O10</f>
        <v>0.5</v>
      </c>
      <c r="C94" s="357" t="s">
        <v>163</v>
      </c>
      <c r="D94" s="357" t="str">
        <f t="shared" si="10"/>
        <v>LAGUNA HILLS HS</v>
      </c>
      <c r="E94" s="357">
        <v>32</v>
      </c>
      <c r="F94" s="357" t="str">
        <f>E17</f>
        <v>M2(20)-ROSE BOWL RED</v>
      </c>
      <c r="G94" s="357"/>
      <c r="H94" s="357" t="str">
        <f>E18</f>
        <v>M3(45)-CIU</v>
      </c>
      <c r="I94" s="375"/>
      <c r="J94" s="357"/>
      <c r="K94" s="357"/>
      <c r="L94" s="357" t="str">
        <f t="shared" si="11"/>
        <v>12G-032</v>
      </c>
    </row>
    <row r="95" spans="1:12" ht="13.95" customHeight="1">
      <c r="A95" s="373">
        <f t="shared" si="4"/>
        <v>46221</v>
      </c>
      <c r="B95" s="374">
        <f>'CHICLETS MASTER S1'!O11</f>
        <v>0.53472222222222199</v>
      </c>
      <c r="C95" s="357" t="s">
        <v>163</v>
      </c>
      <c r="D95" s="357" t="str">
        <f t="shared" si="10"/>
        <v>LAGUNA HILLS HS</v>
      </c>
      <c r="E95" s="357">
        <v>36</v>
      </c>
      <c r="F95" s="357" t="str">
        <f>D6</f>
        <v>D2(29)-TEMPLE CITY</v>
      </c>
      <c r="G95" s="357"/>
      <c r="H95" s="357" t="str">
        <f>D7</f>
        <v>D3(36)-NEWPORT BEACH WHITE</v>
      </c>
      <c r="I95" s="375"/>
      <c r="J95" s="357"/>
      <c r="K95" s="357"/>
      <c r="L95" s="357" t="str">
        <f t="shared" si="11"/>
        <v>12G-036</v>
      </c>
    </row>
    <row r="96" spans="1:12" ht="13.95" customHeight="1">
      <c r="A96" s="373">
        <f t="shared" si="4"/>
        <v>46221</v>
      </c>
      <c r="B96" s="374">
        <f>'CHICLETS MASTER S1'!O12</f>
        <v>0.56944444444444497</v>
      </c>
      <c r="C96" s="357" t="s">
        <v>163</v>
      </c>
      <c r="D96" s="357" t="str">
        <f t="shared" si="10"/>
        <v>LAGUNA HILLS HS</v>
      </c>
      <c r="E96" s="357">
        <v>41</v>
      </c>
      <c r="F96" s="357" t="str">
        <f>F16</f>
        <v>N1(14)-ARROYO GRANDE</v>
      </c>
      <c r="G96" s="357"/>
      <c r="H96" s="357" t="str">
        <f>F17</f>
        <v>N2(19)-LB SHORE</v>
      </c>
      <c r="I96" s="375"/>
      <c r="J96" s="357"/>
      <c r="K96" s="357"/>
      <c r="L96" s="357" t="str">
        <f t="shared" si="11"/>
        <v>12G-041</v>
      </c>
    </row>
    <row r="97" spans="1:12" ht="13.95" customHeight="1">
      <c r="A97" s="373">
        <f t="shared" si="4"/>
        <v>46221</v>
      </c>
      <c r="B97" s="374">
        <f>'CHICLETS MASTER S1'!O13</f>
        <v>0.60416666666666696</v>
      </c>
      <c r="C97" s="357" t="s">
        <v>163</v>
      </c>
      <c r="D97" s="357" t="str">
        <f t="shared" si="10"/>
        <v>LAGUNA HILLS HS</v>
      </c>
      <c r="E97" s="357">
        <v>46</v>
      </c>
      <c r="F97" s="357" t="str">
        <f>C5</f>
        <v>C1(3)-COMMERCE</v>
      </c>
      <c r="G97" s="357"/>
      <c r="H97" s="357" t="str">
        <f>C6</f>
        <v>C2(30)-BROOKLYN HUSTLE</v>
      </c>
      <c r="I97" s="375"/>
      <c r="J97" s="357"/>
      <c r="K97" s="357"/>
      <c r="L97" s="357" t="str">
        <f t="shared" si="11"/>
        <v>12G-046</v>
      </c>
    </row>
    <row r="98" spans="1:12" ht="13.95" customHeight="1">
      <c r="A98" s="373">
        <f t="shared" si="4"/>
        <v>46221</v>
      </c>
      <c r="B98" s="374">
        <f>'CHICLETS MASTER S1'!O14</f>
        <v>0.63888888888888895</v>
      </c>
      <c r="C98" s="357" t="s">
        <v>163</v>
      </c>
      <c r="D98" s="357" t="str">
        <f t="shared" si="10"/>
        <v>LAGUNA HILLS HS</v>
      </c>
      <c r="E98" s="357">
        <v>51</v>
      </c>
      <c r="F98" s="357" t="str">
        <f>E16</f>
        <v>M1(13)-LA PREMIER</v>
      </c>
      <c r="G98" s="357"/>
      <c r="H98" s="357" t="str">
        <f>E17</f>
        <v>M2(20)-ROSE BOWL RED</v>
      </c>
      <c r="I98" s="375"/>
      <c r="J98" s="357"/>
      <c r="K98" s="357"/>
      <c r="L98" s="357" t="str">
        <f t="shared" si="11"/>
        <v>12G-051</v>
      </c>
    </row>
    <row r="99" spans="1:12" ht="13.95" customHeight="1">
      <c r="A99" s="373">
        <f t="shared" si="4"/>
        <v>46221</v>
      </c>
      <c r="B99" s="374">
        <f>'CHICLETS MASTER S1'!O15</f>
        <v>0.67361111111111105</v>
      </c>
      <c r="C99" s="357" t="s">
        <v>163</v>
      </c>
      <c r="D99" s="357" t="str">
        <f t="shared" si="10"/>
        <v>LAGUNA HILLS HS</v>
      </c>
      <c r="E99" s="357">
        <v>55</v>
      </c>
      <c r="F99" s="357" t="str">
        <f>D5</f>
        <v>D1(4)-680 RED A</v>
      </c>
      <c r="G99" s="357"/>
      <c r="H99" s="357" t="str">
        <f>D6</f>
        <v>D2(29)-TEMPLE CITY</v>
      </c>
      <c r="I99" s="375"/>
      <c r="J99" s="357"/>
      <c r="K99" s="357"/>
      <c r="L99" s="357" t="str">
        <f t="shared" si="11"/>
        <v>12G-055</v>
      </c>
    </row>
    <row r="100" spans="1:12">
      <c r="B100" s="359" t="s">
        <v>204</v>
      </c>
      <c r="I100" s="380"/>
    </row>
    <row r="101" spans="1:12">
      <c r="B101" s="359" t="s">
        <v>204</v>
      </c>
      <c r="I101" s="380"/>
    </row>
    <row r="102" spans="1:12" ht="13.95" customHeight="1">
      <c r="A102" s="373">
        <f t="shared" si="4"/>
        <v>46221</v>
      </c>
      <c r="B102" s="374">
        <f>'CHICLETS MASTER S1'!O18</f>
        <v>0.77777777777777801</v>
      </c>
      <c r="C102" s="357" t="s">
        <v>1045</v>
      </c>
      <c r="D102" s="357" t="str">
        <f>$D$86</f>
        <v>LAGUNA HILLS HS</v>
      </c>
      <c r="E102" s="357">
        <v>60</v>
      </c>
      <c r="F102" s="367" t="s">
        <v>1046</v>
      </c>
      <c r="G102" s="366"/>
      <c r="H102" s="364" t="s">
        <v>284</v>
      </c>
      <c r="I102" s="376"/>
      <c r="J102" s="377" t="s">
        <v>133</v>
      </c>
      <c r="K102" s="378" t="s">
        <v>673</v>
      </c>
      <c r="L102" s="357" t="str">
        <f t="shared" si="11"/>
        <v>12G-060</v>
      </c>
    </row>
    <row r="103" spans="1:12" ht="13.95" customHeight="1">
      <c r="A103" s="373">
        <f t="shared" si="4"/>
        <v>46221</v>
      </c>
      <c r="B103" s="374">
        <f>'CHICLETS MASTER S1'!O19</f>
        <v>0.8125</v>
      </c>
      <c r="C103" s="357" t="s">
        <v>1047</v>
      </c>
      <c r="D103" s="357" t="str">
        <f>$D$86</f>
        <v>LAGUNA HILLS HS</v>
      </c>
      <c r="E103" s="357">
        <v>63</v>
      </c>
      <c r="F103" s="364" t="s">
        <v>1048</v>
      </c>
      <c r="G103" s="364"/>
      <c r="H103" s="364" t="s">
        <v>287</v>
      </c>
      <c r="I103" s="376"/>
      <c r="J103" s="377" t="s">
        <v>145</v>
      </c>
      <c r="K103" s="378" t="s">
        <v>678</v>
      </c>
      <c r="L103" s="357" t="str">
        <f t="shared" si="11"/>
        <v>12G-063</v>
      </c>
    </row>
    <row r="104" spans="1:12" ht="13.8" thickBot="1"/>
    <row r="105" spans="1:12" ht="13.95" customHeight="1" thickBot="1">
      <c r="A105" s="370"/>
      <c r="B105" s="371"/>
      <c r="C105" s="359"/>
      <c r="D105" s="212" t="str">
        <f>'CHICLETS MASTER S1'!$R$3</f>
        <v>SAN CLEMENTE HS</v>
      </c>
      <c r="E105" s="359"/>
      <c r="I105" s="359"/>
      <c r="J105" s="359"/>
      <c r="K105" s="359"/>
      <c r="L105" s="359"/>
    </row>
    <row r="106" spans="1:12" ht="13.95" customHeight="1">
      <c r="A106" s="356" t="s">
        <v>110</v>
      </c>
      <c r="B106" s="356" t="s">
        <v>111</v>
      </c>
      <c r="C106" s="356" t="s">
        <v>112</v>
      </c>
      <c r="D106" s="356" t="s">
        <v>113</v>
      </c>
      <c r="E106" s="356" t="s">
        <v>114</v>
      </c>
      <c r="F106" s="356" t="s">
        <v>115</v>
      </c>
      <c r="G106" s="356" t="s">
        <v>116</v>
      </c>
      <c r="H106" s="356" t="s">
        <v>117</v>
      </c>
      <c r="I106" s="356" t="s">
        <v>116</v>
      </c>
      <c r="J106" s="356" t="s">
        <v>118</v>
      </c>
      <c r="K106" s="356" t="s">
        <v>119</v>
      </c>
      <c r="L106" s="356" t="s">
        <v>120</v>
      </c>
    </row>
    <row r="107" spans="1:12" ht="13.95" customHeight="1">
      <c r="A107" s="373">
        <f t="shared" si="4"/>
        <v>46221</v>
      </c>
      <c r="B107" s="374">
        <f>'CHICLETS MASTER S1'!O4</f>
        <v>0.29166666666666669</v>
      </c>
      <c r="C107" s="357" t="s">
        <v>163</v>
      </c>
      <c r="D107" s="357" t="str">
        <f t="shared" ref="D107:D118" si="12">$D$105</f>
        <v>SAN CLEMENTE HS</v>
      </c>
      <c r="E107" s="357">
        <v>4</v>
      </c>
      <c r="F107" s="357" t="str">
        <f>C17</f>
        <v>K2(22)-LOS ALAMITOS</v>
      </c>
      <c r="G107" s="357"/>
      <c r="H107" s="357" t="str">
        <f>C18</f>
        <v>K3(43)-680 BLUE</v>
      </c>
      <c r="I107" s="375"/>
      <c r="J107" s="357"/>
      <c r="K107" s="357"/>
      <c r="L107" s="357" t="str">
        <f t="shared" ref="L107:L121" si="13">IF(E107="","",$L$66&amp;"-"&amp;TEXT(E107,"000"))</f>
        <v>12G-004</v>
      </c>
    </row>
    <row r="108" spans="1:12" ht="13.95" customHeight="1">
      <c r="A108" s="373">
        <f t="shared" si="4"/>
        <v>46221</v>
      </c>
      <c r="B108" s="374">
        <f>'CHICLETS MASTER S1'!O5</f>
        <v>0.3263888888888889</v>
      </c>
      <c r="C108" s="357" t="s">
        <v>163</v>
      </c>
      <c r="D108" s="357" t="str">
        <f t="shared" si="12"/>
        <v>SAN CLEMENTE HS</v>
      </c>
      <c r="E108" s="357">
        <v>9</v>
      </c>
      <c r="F108" s="357" t="str">
        <f>C16</f>
        <v>K1(11)-TSUNAMI</v>
      </c>
      <c r="G108" s="357"/>
      <c r="H108" s="357" t="str">
        <f>C19</f>
        <v>K4(49)-NORTH IDAHO</v>
      </c>
      <c r="I108" s="375"/>
      <c r="J108" s="357"/>
      <c r="K108" s="357"/>
      <c r="L108" s="357" t="str">
        <f t="shared" si="13"/>
        <v>12G-009</v>
      </c>
    </row>
    <row r="109" spans="1:12" ht="13.95" customHeight="1">
      <c r="A109" s="373">
        <f t="shared" si="4"/>
        <v>46221</v>
      </c>
      <c r="B109" s="374">
        <f>'CHICLETS MASTER S1'!O6</f>
        <v>0.36111111111111099</v>
      </c>
      <c r="C109" s="357" t="s">
        <v>163</v>
      </c>
      <c r="D109" s="357" t="str">
        <f t="shared" si="12"/>
        <v>SAN CLEMENTE HS</v>
      </c>
      <c r="E109" s="357">
        <v>14</v>
      </c>
      <c r="F109" s="357" t="str">
        <f>F6</f>
        <v>F2(27)-DAVIS</v>
      </c>
      <c r="G109" s="357"/>
      <c r="H109" s="357" t="str">
        <f>F7</f>
        <v>F3(38)-SAN JOSE EXPRESS</v>
      </c>
      <c r="I109" s="375"/>
      <c r="J109" s="357"/>
      <c r="K109" s="357"/>
      <c r="L109" s="357" t="str">
        <f t="shared" si="13"/>
        <v>12G-014</v>
      </c>
    </row>
    <row r="110" spans="1:12" ht="13.95" customHeight="1">
      <c r="A110" s="373">
        <f t="shared" si="4"/>
        <v>46221</v>
      </c>
      <c r="B110" s="374">
        <f>'CHICLETS MASTER S1'!O7</f>
        <v>0.39583333333333398</v>
      </c>
      <c r="C110" s="357" t="s">
        <v>163</v>
      </c>
      <c r="D110" s="357" t="str">
        <f t="shared" si="12"/>
        <v>SAN CLEMENTE HS</v>
      </c>
      <c r="E110" s="357">
        <v>18</v>
      </c>
      <c r="F110" s="357" t="str">
        <f>F5</f>
        <v>F1(6)-BACK BAY NAVY</v>
      </c>
      <c r="G110" s="357"/>
      <c r="H110" s="357" t="str">
        <f>F8</f>
        <v>F4(50)-WHITTIER</v>
      </c>
      <c r="I110" s="375"/>
      <c r="J110" s="357"/>
      <c r="K110" s="357"/>
      <c r="L110" s="357" t="str">
        <f t="shared" si="13"/>
        <v>12G-018</v>
      </c>
    </row>
    <row r="111" spans="1:12" ht="13.95" customHeight="1">
      <c r="A111" s="373">
        <f t="shared" si="4"/>
        <v>46221</v>
      </c>
      <c r="B111" s="374">
        <f>'CHICLETS MASTER S1'!O8</f>
        <v>0.43055555555555602</v>
      </c>
      <c r="C111" s="357" t="s">
        <v>163</v>
      </c>
      <c r="D111" s="357" t="str">
        <f t="shared" si="12"/>
        <v>SAN CLEMENTE HS</v>
      </c>
      <c r="E111" s="357">
        <v>23</v>
      </c>
      <c r="F111" s="357" t="str">
        <f>C16</f>
        <v>K1(11)-TSUNAMI</v>
      </c>
      <c r="G111" s="357"/>
      <c r="H111" s="357" t="str">
        <f>C18</f>
        <v>K3(43)-680 BLUE</v>
      </c>
      <c r="I111" s="375"/>
      <c r="J111" s="357"/>
      <c r="K111" s="357"/>
      <c r="L111" s="357" t="str">
        <f t="shared" si="13"/>
        <v>12G-023</v>
      </c>
    </row>
    <row r="112" spans="1:12" ht="13.95" customHeight="1">
      <c r="A112" s="373">
        <f t="shared" si="4"/>
        <v>46221</v>
      </c>
      <c r="B112" s="374">
        <f>'CHICLETS MASTER S1'!O9</f>
        <v>0.46527777777777801</v>
      </c>
      <c r="C112" s="357" t="s">
        <v>163</v>
      </c>
      <c r="D112" s="357" t="str">
        <f t="shared" si="12"/>
        <v>SAN CLEMENTE HS</v>
      </c>
      <c r="E112" s="357">
        <v>28</v>
      </c>
      <c r="F112" s="357" t="str">
        <f>C17</f>
        <v>K2(22)-LOS ALAMITOS</v>
      </c>
      <c r="G112" s="357"/>
      <c r="H112" s="357" t="str">
        <f>C19</f>
        <v>K4(49)-NORTH IDAHO</v>
      </c>
      <c r="I112" s="375"/>
      <c r="J112" s="357"/>
      <c r="K112" s="357"/>
      <c r="L112" s="357" t="str">
        <f t="shared" si="13"/>
        <v>12G-028</v>
      </c>
    </row>
    <row r="113" spans="1:12" ht="13.95" customHeight="1">
      <c r="A113" s="373">
        <f t="shared" si="4"/>
        <v>46221</v>
      </c>
      <c r="B113" s="374">
        <f>'CHICLETS MASTER S1'!O10</f>
        <v>0.5</v>
      </c>
      <c r="C113" s="357" t="s">
        <v>163</v>
      </c>
      <c r="D113" s="357" t="str">
        <f t="shared" si="12"/>
        <v>SAN CLEMENTE HS</v>
      </c>
      <c r="E113" s="357">
        <v>33</v>
      </c>
      <c r="F113" s="357" t="str">
        <f>F5</f>
        <v>F1(6)-BACK BAY NAVY</v>
      </c>
      <c r="G113" s="357"/>
      <c r="H113" s="357" t="str">
        <f>F7</f>
        <v>F3(38)-SAN JOSE EXPRESS</v>
      </c>
      <c r="I113" s="375"/>
      <c r="J113" s="357"/>
      <c r="K113" s="357"/>
      <c r="L113" s="357" t="str">
        <f t="shared" si="13"/>
        <v>12G-033</v>
      </c>
    </row>
    <row r="114" spans="1:12" ht="13.95" customHeight="1">
      <c r="A114" s="373">
        <f t="shared" si="0"/>
        <v>46221</v>
      </c>
      <c r="B114" s="374">
        <f>'CHICLETS MASTER S1'!O11</f>
        <v>0.53472222222222199</v>
      </c>
      <c r="C114" s="357" t="s">
        <v>163</v>
      </c>
      <c r="D114" s="357" t="str">
        <f t="shared" si="12"/>
        <v>SAN CLEMENTE HS</v>
      </c>
      <c r="E114" s="357">
        <v>37</v>
      </c>
      <c r="F114" s="357" t="str">
        <f>F6</f>
        <v>F2(27)-DAVIS</v>
      </c>
      <c r="G114" s="357"/>
      <c r="H114" s="357" t="str">
        <f>F8</f>
        <v>F4(50)-WHITTIER</v>
      </c>
      <c r="I114" s="375"/>
      <c r="J114" s="357"/>
      <c r="K114" s="357"/>
      <c r="L114" s="357" t="str">
        <f t="shared" si="13"/>
        <v>12G-037</v>
      </c>
    </row>
    <row r="115" spans="1:12" ht="13.95" customHeight="1">
      <c r="A115" s="373">
        <f t="shared" si="0"/>
        <v>46221</v>
      </c>
      <c r="B115" s="374">
        <f>'CHICLETS MASTER S1'!O12</f>
        <v>0.56944444444444497</v>
      </c>
      <c r="C115" s="357" t="s">
        <v>163</v>
      </c>
      <c r="D115" s="357" t="str">
        <f t="shared" si="12"/>
        <v>SAN CLEMENTE HS</v>
      </c>
      <c r="E115" s="357">
        <v>42</v>
      </c>
      <c r="F115" s="357" t="str">
        <f>C16</f>
        <v>K1(11)-TSUNAMI</v>
      </c>
      <c r="G115" s="357"/>
      <c r="H115" s="357" t="str">
        <f>C17</f>
        <v>K2(22)-LOS ALAMITOS</v>
      </c>
      <c r="I115" s="375"/>
      <c r="J115" s="357"/>
      <c r="K115" s="357"/>
      <c r="L115" s="357" t="str">
        <f t="shared" si="13"/>
        <v>12G-042</v>
      </c>
    </row>
    <row r="116" spans="1:12" ht="13.95" customHeight="1">
      <c r="A116" s="373">
        <f t="shared" si="0"/>
        <v>46221</v>
      </c>
      <c r="B116" s="374">
        <f>'CHICLETS MASTER S1'!O13</f>
        <v>0.60416666666666696</v>
      </c>
      <c r="C116" s="357" t="s">
        <v>163</v>
      </c>
      <c r="D116" s="357" t="str">
        <f t="shared" si="12"/>
        <v>SAN CLEMENTE HS</v>
      </c>
      <c r="E116" s="357">
        <v>47</v>
      </c>
      <c r="F116" s="357" t="str">
        <f>C18</f>
        <v>K3(43)-680 BLUE</v>
      </c>
      <c r="G116" s="357"/>
      <c r="H116" s="357" t="str">
        <f>C19</f>
        <v>K4(49)-NORTH IDAHO</v>
      </c>
      <c r="I116" s="375"/>
      <c r="J116" s="357"/>
      <c r="K116" s="357"/>
      <c r="L116" s="384" t="str">
        <f t="shared" si="13"/>
        <v>12G-047</v>
      </c>
    </row>
    <row r="117" spans="1:12" ht="13.95" customHeight="1">
      <c r="A117" s="373">
        <f t="shared" si="0"/>
        <v>46221</v>
      </c>
      <c r="B117" s="374">
        <f>'CHICLETS MASTER S1'!O14</f>
        <v>0.63888888888888895</v>
      </c>
      <c r="C117" s="357" t="s">
        <v>163</v>
      </c>
      <c r="D117" s="357" t="str">
        <f t="shared" si="12"/>
        <v>SAN CLEMENTE HS</v>
      </c>
      <c r="E117" s="357">
        <v>52</v>
      </c>
      <c r="F117" s="357" t="str">
        <f>F5</f>
        <v>F1(6)-BACK BAY NAVY</v>
      </c>
      <c r="G117" s="357"/>
      <c r="H117" s="357" t="str">
        <f>F6</f>
        <v>F2(27)-DAVIS</v>
      </c>
      <c r="I117" s="375"/>
      <c r="J117" s="357"/>
      <c r="K117" s="357"/>
      <c r="L117" s="384" t="str">
        <f t="shared" si="13"/>
        <v>12G-052</v>
      </c>
    </row>
    <row r="118" spans="1:12" ht="13.95" customHeight="1">
      <c r="A118" s="373">
        <f t="shared" si="0"/>
        <v>46221</v>
      </c>
      <c r="B118" s="374">
        <f>'CHICLETS MASTER S1'!O15</f>
        <v>0.67361111111111105</v>
      </c>
      <c r="C118" s="357" t="s">
        <v>163</v>
      </c>
      <c r="D118" s="357" t="str">
        <f t="shared" si="12"/>
        <v>SAN CLEMENTE HS</v>
      </c>
      <c r="E118" s="357">
        <v>56</v>
      </c>
      <c r="F118" s="357" t="str">
        <f>F7</f>
        <v>F3(38)-SAN JOSE EXPRESS</v>
      </c>
      <c r="G118" s="357"/>
      <c r="H118" s="357" t="str">
        <f>F8</f>
        <v>F4(50)-WHITTIER</v>
      </c>
      <c r="I118" s="375"/>
      <c r="J118" s="357"/>
      <c r="K118" s="357"/>
      <c r="L118" s="357" t="str">
        <f t="shared" si="13"/>
        <v>12G-056</v>
      </c>
    </row>
    <row r="119" spans="1:12">
      <c r="B119" s="359" t="s">
        <v>204</v>
      </c>
    </row>
    <row r="120" spans="1:12" ht="13.95" customHeight="1">
      <c r="B120" s="359" t="s">
        <v>204</v>
      </c>
      <c r="G120" s="360"/>
      <c r="L120" s="360" t="str">
        <f t="shared" si="13"/>
        <v/>
      </c>
    </row>
    <row r="121" spans="1:12" ht="13.95" customHeight="1">
      <c r="A121" s="373">
        <f t="shared" si="0"/>
        <v>46221</v>
      </c>
      <c r="B121" s="374">
        <f>'CHICLETS MASTER S1'!O18</f>
        <v>0.77777777777777801</v>
      </c>
      <c r="C121" s="363" t="s">
        <v>1049</v>
      </c>
      <c r="D121" s="357" t="str">
        <f>$D$105</f>
        <v>SAN CLEMENTE HS</v>
      </c>
      <c r="E121" s="357">
        <v>64</v>
      </c>
      <c r="F121" s="357" t="s">
        <v>320</v>
      </c>
      <c r="G121" s="385"/>
      <c r="H121" s="357" t="s">
        <v>302</v>
      </c>
      <c r="I121" s="376"/>
      <c r="J121" s="377" t="s">
        <v>282</v>
      </c>
      <c r="K121" s="378" t="s">
        <v>289</v>
      </c>
      <c r="L121" s="357" t="str">
        <f t="shared" si="13"/>
        <v>12G-064</v>
      </c>
    </row>
    <row r="123" spans="1:12" ht="13.95" customHeight="1"/>
    <row r="124" spans="1:12" ht="13.95" customHeight="1">
      <c r="A124" s="247" t="s">
        <v>327</v>
      </c>
      <c r="B124" s="247" t="s">
        <v>328</v>
      </c>
      <c r="C124" s="247" t="s">
        <v>329</v>
      </c>
      <c r="D124" s="247" t="s">
        <v>330</v>
      </c>
      <c r="F124" s="360" t="s">
        <v>1050</v>
      </c>
    </row>
    <row r="125" spans="1:12" ht="13.95" customHeight="1">
      <c r="A125" s="386" t="s">
        <v>1051</v>
      </c>
      <c r="B125" s="386" t="s">
        <v>493</v>
      </c>
      <c r="C125" s="386" t="s">
        <v>1052</v>
      </c>
      <c r="D125" s="386" t="s">
        <v>1053</v>
      </c>
      <c r="E125" s="364" t="s">
        <v>978</v>
      </c>
      <c r="F125" s="364"/>
      <c r="G125" s="364" t="s">
        <v>980</v>
      </c>
      <c r="H125" s="364"/>
      <c r="I125" s="363" t="s">
        <v>979</v>
      </c>
    </row>
    <row r="126" spans="1:12" ht="13.95" customHeight="1">
      <c r="A126" s="386" t="s">
        <v>1054</v>
      </c>
      <c r="B126" s="386" t="s">
        <v>1055</v>
      </c>
      <c r="C126" s="386" t="s">
        <v>1056</v>
      </c>
      <c r="D126" s="386" t="s">
        <v>1057</v>
      </c>
      <c r="E126" s="367" t="s">
        <v>983</v>
      </c>
      <c r="F126" s="366"/>
      <c r="G126" s="364" t="s">
        <v>985</v>
      </c>
      <c r="H126" s="364"/>
      <c r="I126" s="363" t="s">
        <v>984</v>
      </c>
    </row>
    <row r="127" spans="1:12" ht="13.95" customHeight="1">
      <c r="A127" s="387" t="s">
        <v>563</v>
      </c>
      <c r="B127" s="387" t="s">
        <v>729</v>
      </c>
      <c r="C127" s="387" t="s">
        <v>1058</v>
      </c>
      <c r="D127" s="387" t="s">
        <v>556</v>
      </c>
      <c r="E127" s="367" t="s">
        <v>986</v>
      </c>
      <c r="F127" s="366"/>
      <c r="G127" s="364" t="s">
        <v>988</v>
      </c>
      <c r="H127" s="364"/>
      <c r="I127" s="363" t="s">
        <v>987</v>
      </c>
    </row>
    <row r="128" spans="1:12" ht="13.95" customHeight="1">
      <c r="E128" s="364" t="s">
        <v>991</v>
      </c>
      <c r="F128" s="364"/>
      <c r="G128" s="364" t="s">
        <v>993</v>
      </c>
      <c r="H128" s="364"/>
      <c r="I128" s="363" t="s">
        <v>992</v>
      </c>
    </row>
    <row r="129" spans="1:10" ht="13.95" customHeight="1">
      <c r="A129" s="247" t="s">
        <v>343</v>
      </c>
      <c r="B129" s="247" t="s">
        <v>344</v>
      </c>
      <c r="C129" s="247" t="s">
        <v>345</v>
      </c>
      <c r="D129" s="247" t="s">
        <v>346</v>
      </c>
      <c r="E129" s="364" t="s">
        <v>1002</v>
      </c>
      <c r="F129" s="364"/>
      <c r="G129" s="364" t="s">
        <v>1004</v>
      </c>
      <c r="H129" s="364"/>
      <c r="I129" s="363" t="s">
        <v>1003</v>
      </c>
    </row>
    <row r="130" spans="1:10" ht="13.95" customHeight="1">
      <c r="A130" s="386" t="s">
        <v>1059</v>
      </c>
      <c r="B130" s="386" t="s">
        <v>1060</v>
      </c>
      <c r="C130" s="386" t="s">
        <v>1061</v>
      </c>
      <c r="D130" s="386" t="s">
        <v>1062</v>
      </c>
      <c r="E130" s="364" t="s">
        <v>1013</v>
      </c>
      <c r="F130" s="364"/>
      <c r="G130" s="364" t="s">
        <v>1015</v>
      </c>
      <c r="H130" s="364"/>
      <c r="I130" s="363" t="s">
        <v>1014</v>
      </c>
    </row>
    <row r="131" spans="1:10" ht="13.95" customHeight="1">
      <c r="A131" s="386" t="s">
        <v>1063</v>
      </c>
      <c r="B131" s="366" t="s">
        <v>1064</v>
      </c>
      <c r="C131" s="364" t="s">
        <v>1065</v>
      </c>
      <c r="D131" s="386" t="s">
        <v>1066</v>
      </c>
      <c r="E131" s="364" t="s">
        <v>1024</v>
      </c>
      <c r="F131" s="364"/>
      <c r="G131" s="364" t="s">
        <v>1026</v>
      </c>
      <c r="H131" s="364"/>
      <c r="I131" s="363" t="s">
        <v>1025</v>
      </c>
    </row>
    <row r="132" spans="1:10" ht="13.95" customHeight="1">
      <c r="A132" s="387" t="s">
        <v>731</v>
      </c>
      <c r="B132" s="387" t="s">
        <v>590</v>
      </c>
      <c r="C132" s="387" t="s">
        <v>1067</v>
      </c>
      <c r="D132" s="387" t="s">
        <v>596</v>
      </c>
      <c r="E132" s="364" t="s">
        <v>1029</v>
      </c>
      <c r="F132" s="364"/>
      <c r="G132" s="364" t="s">
        <v>1031</v>
      </c>
      <c r="H132" s="364"/>
      <c r="I132" s="363" t="s">
        <v>1030</v>
      </c>
    </row>
    <row r="133" spans="1:10" ht="13.95" customHeight="1">
      <c r="A133" s="373"/>
      <c r="B133" s="371"/>
      <c r="C133" s="357"/>
      <c r="D133" s="357"/>
    </row>
    <row r="134" spans="1:10" ht="13.95" customHeight="1">
      <c r="A134" s="373"/>
      <c r="B134" s="374"/>
      <c r="C134" s="357"/>
      <c r="D134" s="357"/>
    </row>
    <row r="135" spans="1:10" ht="13.95" customHeight="1">
      <c r="A135" s="388" t="s">
        <v>369</v>
      </c>
      <c r="B135" s="388" t="s">
        <v>370</v>
      </c>
      <c r="C135" s="388" t="s">
        <v>371</v>
      </c>
      <c r="D135" s="388" t="s">
        <v>372</v>
      </c>
      <c r="E135" s="247" t="s">
        <v>327</v>
      </c>
      <c r="F135" s="247" t="s">
        <v>328</v>
      </c>
      <c r="G135" s="247" t="s">
        <v>329</v>
      </c>
      <c r="H135" s="247" t="s">
        <v>330</v>
      </c>
    </row>
    <row r="136" spans="1:10" ht="13.95" customHeight="1">
      <c r="A136" s="389" t="s">
        <v>740</v>
      </c>
      <c r="B136" s="389" t="s">
        <v>1068</v>
      </c>
      <c r="C136" s="389" t="s">
        <v>1069</v>
      </c>
      <c r="D136" s="389" t="s">
        <v>562</v>
      </c>
      <c r="E136" s="360">
        <v>1</v>
      </c>
      <c r="F136" s="360">
        <v>2</v>
      </c>
      <c r="G136" s="372">
        <v>3</v>
      </c>
      <c r="H136" s="360">
        <v>4</v>
      </c>
    </row>
    <row r="137" spans="1:10" ht="13.95" customHeight="1">
      <c r="A137" s="390" t="s">
        <v>303</v>
      </c>
      <c r="B137" s="390" t="s">
        <v>306</v>
      </c>
      <c r="C137" s="390" t="s">
        <v>295</v>
      </c>
      <c r="D137" s="390" t="s">
        <v>299</v>
      </c>
      <c r="E137" s="360">
        <v>16</v>
      </c>
      <c r="F137" s="360">
        <v>15</v>
      </c>
      <c r="G137" s="372">
        <v>14</v>
      </c>
      <c r="H137" s="360">
        <v>13</v>
      </c>
    </row>
    <row r="138" spans="1:10">
      <c r="A138" s="390" t="s">
        <v>321</v>
      </c>
      <c r="B138" s="390" t="s">
        <v>1070</v>
      </c>
      <c r="C138" s="390" t="s">
        <v>313</v>
      </c>
      <c r="D138" s="390" t="s">
        <v>317</v>
      </c>
    </row>
    <row r="140" spans="1:10">
      <c r="E140" s="247" t="s">
        <v>343</v>
      </c>
      <c r="F140" s="247" t="s">
        <v>344</v>
      </c>
      <c r="G140" s="247" t="s">
        <v>345</v>
      </c>
      <c r="H140" s="247" t="s">
        <v>346</v>
      </c>
    </row>
    <row r="141" spans="1:10" ht="13.95" customHeight="1">
      <c r="A141" s="248" t="s">
        <v>745</v>
      </c>
      <c r="B141" s="248" t="s">
        <v>746</v>
      </c>
      <c r="C141" s="248" t="s">
        <v>747</v>
      </c>
      <c r="D141" s="248" t="s">
        <v>748</v>
      </c>
      <c r="E141" s="360">
        <v>5</v>
      </c>
      <c r="F141" s="360">
        <v>6</v>
      </c>
      <c r="G141" s="372">
        <v>7</v>
      </c>
      <c r="H141" s="360">
        <v>8</v>
      </c>
    </row>
    <row r="142" spans="1:10" ht="13.95" customHeight="1">
      <c r="A142" s="389" t="s">
        <v>567</v>
      </c>
      <c r="B142" s="389" t="s">
        <v>744</v>
      </c>
      <c r="C142" s="389" t="s">
        <v>1071</v>
      </c>
      <c r="D142" s="389" t="s">
        <v>559</v>
      </c>
      <c r="E142" s="360">
        <v>12</v>
      </c>
      <c r="F142" s="360">
        <v>11</v>
      </c>
      <c r="G142" s="372">
        <v>10</v>
      </c>
      <c r="H142" s="360">
        <v>9</v>
      </c>
    </row>
    <row r="143" spans="1:10" ht="13.95" customHeight="1">
      <c r="A143" s="376" t="s">
        <v>281</v>
      </c>
      <c r="B143" s="376" t="s">
        <v>277</v>
      </c>
      <c r="C143" s="376" t="s">
        <v>288</v>
      </c>
      <c r="D143" s="376" t="s">
        <v>285</v>
      </c>
    </row>
    <row r="144" spans="1:10" ht="13.95" customHeight="1">
      <c r="A144" s="376" t="s">
        <v>1072</v>
      </c>
      <c r="B144" s="376" t="s">
        <v>1073</v>
      </c>
      <c r="C144" s="376" t="s">
        <v>1074</v>
      </c>
      <c r="D144" s="376" t="s">
        <v>1075</v>
      </c>
      <c r="F144" s="360" t="s">
        <v>1076</v>
      </c>
      <c r="J144" s="360" t="s">
        <v>1077</v>
      </c>
    </row>
    <row r="145" spans="1:14" ht="13.95" customHeight="1">
      <c r="A145" s="369" t="s">
        <v>1078</v>
      </c>
      <c r="B145" s="376" t="s">
        <v>1079</v>
      </c>
      <c r="C145" s="376" t="s">
        <v>1080</v>
      </c>
      <c r="D145" s="391" t="s">
        <v>1081</v>
      </c>
      <c r="E145" s="360" t="s">
        <v>191</v>
      </c>
      <c r="F145" s="360" t="s">
        <v>1082</v>
      </c>
      <c r="G145" s="372" t="s">
        <v>182</v>
      </c>
      <c r="I145" s="360" t="s">
        <v>197</v>
      </c>
      <c r="J145" s="360" t="s">
        <v>1083</v>
      </c>
      <c r="K145" s="372" t="s">
        <v>179</v>
      </c>
    </row>
    <row r="146" spans="1:14" ht="13.95" customHeight="1">
      <c r="E146" s="360" t="s">
        <v>193</v>
      </c>
      <c r="F146" s="360" t="s">
        <v>1084</v>
      </c>
      <c r="G146" s="372" t="s">
        <v>168</v>
      </c>
      <c r="I146" s="360" t="s">
        <v>195</v>
      </c>
      <c r="J146" s="360" t="s">
        <v>1085</v>
      </c>
      <c r="K146" s="372" t="s">
        <v>171</v>
      </c>
    </row>
    <row r="147" spans="1:14" ht="13.95" customHeight="1">
      <c r="E147" s="360" t="s">
        <v>192</v>
      </c>
      <c r="F147" s="360" t="s">
        <v>1086</v>
      </c>
      <c r="G147" s="372" t="s">
        <v>1087</v>
      </c>
      <c r="I147" s="360" t="s">
        <v>196</v>
      </c>
      <c r="J147" s="360" t="s">
        <v>1088</v>
      </c>
      <c r="K147" s="372" t="s">
        <v>1089</v>
      </c>
    </row>
    <row r="148" spans="1:14" ht="13.95" customHeight="1">
      <c r="E148" s="360" t="s">
        <v>190</v>
      </c>
      <c r="F148" s="360" t="s">
        <v>1090</v>
      </c>
      <c r="G148" s="372" t="s">
        <v>1091</v>
      </c>
      <c r="I148" s="360" t="s">
        <v>198</v>
      </c>
      <c r="J148" s="360" t="s">
        <v>1092</v>
      </c>
      <c r="K148" s="372" t="s">
        <v>1093</v>
      </c>
    </row>
    <row r="149" spans="1:14" ht="13.95" customHeight="1">
      <c r="K149" s="372"/>
    </row>
    <row r="150" spans="1:14" ht="13.95" customHeight="1">
      <c r="F150" s="360" t="s">
        <v>1094</v>
      </c>
      <c r="J150" s="360" t="s">
        <v>1095</v>
      </c>
      <c r="K150" s="372"/>
    </row>
    <row r="151" spans="1:14" ht="13.95" customHeight="1">
      <c r="E151" s="360" t="s">
        <v>1096</v>
      </c>
      <c r="F151" s="360" t="s">
        <v>1097</v>
      </c>
      <c r="G151" s="372" t="s">
        <v>1098</v>
      </c>
      <c r="I151" s="360" t="s">
        <v>1099</v>
      </c>
      <c r="J151" s="360" t="s">
        <v>1100</v>
      </c>
      <c r="K151" s="372" t="s">
        <v>1101</v>
      </c>
    </row>
    <row r="152" spans="1:14" ht="13.95" customHeight="1">
      <c r="E152" s="360" t="s">
        <v>1102</v>
      </c>
      <c r="F152" s="360" t="s">
        <v>1103</v>
      </c>
      <c r="G152" s="372" t="s">
        <v>1104</v>
      </c>
      <c r="I152" s="360" t="s">
        <v>1105</v>
      </c>
      <c r="J152" s="360" t="s">
        <v>1106</v>
      </c>
      <c r="K152" s="372" t="s">
        <v>1107</v>
      </c>
    </row>
    <row r="153" spans="1:14" ht="13.95" customHeight="1">
      <c r="E153" s="360" t="s">
        <v>1108</v>
      </c>
      <c r="F153" s="360" t="s">
        <v>1109</v>
      </c>
      <c r="G153" s="372" t="s">
        <v>1110</v>
      </c>
      <c r="I153" s="360" t="s">
        <v>1111</v>
      </c>
      <c r="J153" s="360" t="s">
        <v>1112</v>
      </c>
      <c r="K153" s="372" t="s">
        <v>1113</v>
      </c>
    </row>
    <row r="154" spans="1:14" ht="13.95" customHeight="1" thickBot="1">
      <c r="E154" s="360" t="s">
        <v>1114</v>
      </c>
      <c r="F154" s="360" t="s">
        <v>1115</v>
      </c>
      <c r="G154" s="372" t="s">
        <v>1116</v>
      </c>
      <c r="I154" s="360" t="s">
        <v>1117</v>
      </c>
      <c r="J154" s="360" t="s">
        <v>1118</v>
      </c>
      <c r="K154" s="372" t="s">
        <v>1119</v>
      </c>
    </row>
    <row r="155" spans="1:14" ht="13.95" customHeight="1" thickTop="1" thickBot="1">
      <c r="A155" s="1" t="s">
        <v>326</v>
      </c>
      <c r="M155" s="392" t="s">
        <v>373</v>
      </c>
    </row>
    <row r="156" spans="1:14" ht="13.8" thickBot="1">
      <c r="A156" s="361">
        <v>46222</v>
      </c>
      <c r="D156" s="212" t="str">
        <f>'CHICLETS MASTER S1'!$R$27</f>
        <v>SAN CLEMENTE HS</v>
      </c>
      <c r="M156" s="393" t="s">
        <v>374</v>
      </c>
    </row>
    <row r="157" spans="1:14">
      <c r="A157" s="356" t="s">
        <v>110</v>
      </c>
      <c r="B157" s="356" t="s">
        <v>111</v>
      </c>
      <c r="C157" s="356" t="s">
        <v>112</v>
      </c>
      <c r="D157" s="356" t="s">
        <v>113</v>
      </c>
      <c r="E157" s="356" t="s">
        <v>114</v>
      </c>
      <c r="F157" s="356" t="s">
        <v>115</v>
      </c>
      <c r="G157" s="356" t="s">
        <v>116</v>
      </c>
      <c r="H157" s="356" t="s">
        <v>117</v>
      </c>
      <c r="I157" s="356" t="s">
        <v>116</v>
      </c>
      <c r="J157" s="356" t="s">
        <v>118</v>
      </c>
      <c r="K157" s="356" t="s">
        <v>119</v>
      </c>
      <c r="L157" s="356" t="s">
        <v>120</v>
      </c>
      <c r="M157" s="200"/>
      <c r="N157" s="200"/>
    </row>
    <row r="158" spans="1:14">
      <c r="A158" s="394">
        <f>$A$156</f>
        <v>46222</v>
      </c>
      <c r="B158" s="374">
        <f>'CHICLETS MASTER S1'!O30</f>
        <v>0.36111111111111099</v>
      </c>
      <c r="C158" s="357" t="s">
        <v>163</v>
      </c>
      <c r="D158" s="357" t="str">
        <f>$D$156</f>
        <v>SAN CLEMENTE HS</v>
      </c>
      <c r="E158" s="384" t="s">
        <v>1120</v>
      </c>
      <c r="F158" s="395" t="s">
        <v>350</v>
      </c>
      <c r="G158" s="396"/>
      <c r="H158" s="395" t="str">
        <f>IF(G103="","pt_M3",IF(G103&gt;I103,_xlfn.CONCAT("pt_M3-",RIGHT(F103,LEN(F103) - FIND("-",F103))), _xlfn.CONCAT("pt_M3-",RIGHT(H103,LEN(H103) - FIND("-",H103)))))</f>
        <v>pt_M3</v>
      </c>
      <c r="I158" s="396"/>
      <c r="J158" s="395"/>
      <c r="K158" s="395"/>
      <c r="L158" s="395" t="str">
        <f t="shared" ref="L158:L169" si="14">IF(E158="","",$L$66&amp;"-"&amp;TEXT(E158,"000"))</f>
        <v>12G-65A</v>
      </c>
      <c r="M158" s="200"/>
      <c r="N158" s="200" t="str">
        <f>$M$155&amp;C158</f>
        <v>pt_Group</v>
      </c>
    </row>
    <row r="159" spans="1:14">
      <c r="A159" s="394">
        <f t="shared" ref="A159:A169" si="15">$A$156</f>
        <v>46222</v>
      </c>
      <c r="B159" s="374">
        <f>'CHICLETS MASTER S1'!O31</f>
        <v>0.39583333333333398</v>
      </c>
      <c r="C159" s="357" t="s">
        <v>163</v>
      </c>
      <c r="D159" s="357" t="str">
        <f t="shared" ref="D159:D169" si="16">$D$156</f>
        <v>SAN CLEMENTE HS</v>
      </c>
      <c r="E159" s="375">
        <v>67</v>
      </c>
      <c r="F159" s="395" t="s">
        <v>360</v>
      </c>
      <c r="G159" s="396"/>
      <c r="H159" s="395" t="str">
        <f>IF(G102="","pt_N3",IF(G102&gt;I102,_xlfn.CONCAT("pt_N3-",RIGHT(F102,LEN(F102) - FIND("-",F102))), _xlfn.CONCAT("pt_N3-",RIGHT(H102,LEN(H102) - FIND("-",H102)))))</f>
        <v>pt_N3</v>
      </c>
      <c r="I159" s="396"/>
      <c r="J159" s="395"/>
      <c r="K159" s="395"/>
      <c r="L159" s="395" t="str">
        <f t="shared" si="14"/>
        <v>12G-067</v>
      </c>
      <c r="M159" s="200"/>
      <c r="N159" s="200" t="str">
        <f t="shared" ref="N159:N169" si="17">$M$155&amp;C159</f>
        <v>pt_Group</v>
      </c>
    </row>
    <row r="160" spans="1:14">
      <c r="A160" s="394">
        <f t="shared" si="15"/>
        <v>46222</v>
      </c>
      <c r="B160" s="374">
        <f>'CHICLETS MASTER S1'!O32</f>
        <v>0.43055555555555602</v>
      </c>
      <c r="C160" s="357" t="s">
        <v>163</v>
      </c>
      <c r="D160" s="357" t="str">
        <f t="shared" si="16"/>
        <v>SAN CLEMENTE HS</v>
      </c>
      <c r="E160" s="375">
        <v>71</v>
      </c>
      <c r="F160" s="395" t="s">
        <v>1121</v>
      </c>
      <c r="G160" s="396"/>
      <c r="H160" s="395" t="s">
        <v>1122</v>
      </c>
      <c r="I160" s="396"/>
      <c r="J160" s="395"/>
      <c r="K160" s="395"/>
      <c r="L160" s="395" t="str">
        <f t="shared" si="14"/>
        <v>12G-071</v>
      </c>
      <c r="M160" s="200"/>
      <c r="N160" s="200" t="str">
        <f t="shared" si="17"/>
        <v>pt_Group</v>
      </c>
    </row>
    <row r="161" spans="1:14">
      <c r="A161" s="394">
        <f t="shared" si="15"/>
        <v>46222</v>
      </c>
      <c r="B161" s="374">
        <f>'CHICLETS MASTER S1'!O33</f>
        <v>0.46527777777777801</v>
      </c>
      <c r="C161" s="357" t="s">
        <v>163</v>
      </c>
      <c r="D161" s="357" t="str">
        <f t="shared" si="16"/>
        <v>SAN CLEMENTE HS</v>
      </c>
      <c r="E161" s="375">
        <v>75</v>
      </c>
      <c r="F161" s="395" t="s">
        <v>1123</v>
      </c>
      <c r="G161" s="396"/>
      <c r="H161" s="395" t="s">
        <v>1124</v>
      </c>
      <c r="I161" s="396"/>
      <c r="J161" s="395"/>
      <c r="K161" s="395"/>
      <c r="L161" s="395" t="str">
        <f t="shared" si="14"/>
        <v>12G-075</v>
      </c>
      <c r="M161" s="200"/>
      <c r="N161" s="200" t="str">
        <f t="shared" si="17"/>
        <v>pt_Group</v>
      </c>
    </row>
    <row r="162" spans="1:14">
      <c r="A162" s="394">
        <f t="shared" si="15"/>
        <v>46222</v>
      </c>
      <c r="B162" s="374">
        <f>'CHICLETS MASTER S1'!O34</f>
        <v>0.5</v>
      </c>
      <c r="C162" s="357" t="s">
        <v>163</v>
      </c>
      <c r="D162" s="357" t="str">
        <f t="shared" si="16"/>
        <v>SAN CLEMENTE HS</v>
      </c>
      <c r="E162" s="375">
        <v>79</v>
      </c>
      <c r="F162" s="395" t="s">
        <v>353</v>
      </c>
      <c r="G162" s="396"/>
      <c r="H162" s="395" t="str">
        <f>IF(G103="","pt_M3",IF(G103&gt;I103,_xlfn.CONCAT("pt_M3-",RIGHT(F103,LEN(F103) - FIND("-",F103))), _xlfn.CONCAT("pt_M3-",RIGHT(H103,LEN(H103) - FIND("-",H103)))))</f>
        <v>pt_M3</v>
      </c>
      <c r="I162" s="396"/>
      <c r="J162" s="395"/>
      <c r="K162" s="395"/>
      <c r="L162" s="395" t="str">
        <f t="shared" si="14"/>
        <v>12G-079</v>
      </c>
      <c r="M162" s="200"/>
      <c r="N162" s="200" t="str">
        <f t="shared" si="17"/>
        <v>pt_Group</v>
      </c>
    </row>
    <row r="163" spans="1:14">
      <c r="A163" s="394">
        <f t="shared" si="15"/>
        <v>46222</v>
      </c>
      <c r="B163" s="374">
        <f>'CHICLETS MASTER S1'!O35</f>
        <v>0.53472222222222199</v>
      </c>
      <c r="C163" s="357" t="s">
        <v>163</v>
      </c>
      <c r="D163" s="357" t="str">
        <f t="shared" si="16"/>
        <v>SAN CLEMENTE HS</v>
      </c>
      <c r="E163" s="375">
        <v>83</v>
      </c>
      <c r="F163" s="395" t="s">
        <v>363</v>
      </c>
      <c r="G163" s="396"/>
      <c r="H163" s="395" t="str">
        <f>IF(G102="","pt_N3",IF(G102&gt;I102,_xlfn.CONCAT("pt_N3-",RIGHT(F102,LEN(F102) - FIND("-",F102))), _xlfn.CONCAT("pt_N3-",RIGHT(H102,LEN(H102) - FIND("-",H102)))))</f>
        <v>pt_N3</v>
      </c>
      <c r="I163" s="396"/>
      <c r="J163" s="395"/>
      <c r="K163" s="395"/>
      <c r="L163" s="395" t="str">
        <f t="shared" si="14"/>
        <v>12G-083</v>
      </c>
      <c r="M163" s="200"/>
      <c r="N163" s="200" t="str">
        <f t="shared" si="17"/>
        <v>pt_Group</v>
      </c>
    </row>
    <row r="164" spans="1:14">
      <c r="A164" s="394">
        <f t="shared" si="15"/>
        <v>46222</v>
      </c>
      <c r="B164" s="374">
        <f>'CHICLETS MASTER S1'!O36</f>
        <v>0.56944444444444497</v>
      </c>
      <c r="C164" s="357" t="s">
        <v>163</v>
      </c>
      <c r="D164" s="357" t="str">
        <f t="shared" si="16"/>
        <v>SAN CLEMENTE HS</v>
      </c>
      <c r="E164" s="375">
        <v>87</v>
      </c>
      <c r="F164" s="395" t="s">
        <v>1121</v>
      </c>
      <c r="G164" s="396"/>
      <c r="H164" s="395" t="str">
        <f>IF(G63="","pt_S3",IF(G63&gt;I63,_xlfn.CONCAT("pt_S3-",RIGHT(F63,LEN(F63) - FIND("-",F63))), _xlfn.CONCAT("pt_S3-",RIGHT(H63,LEN(H63) - FIND("-",H63)))))</f>
        <v>pt_S3</v>
      </c>
      <c r="I164" s="396"/>
      <c r="J164" s="395"/>
      <c r="K164" s="395"/>
      <c r="L164" s="395" t="str">
        <f t="shared" si="14"/>
        <v>12G-087</v>
      </c>
      <c r="M164" s="200"/>
      <c r="N164" s="200" t="str">
        <f t="shared" si="17"/>
        <v>pt_Group</v>
      </c>
    </row>
    <row r="165" spans="1:14">
      <c r="A165" s="394">
        <f t="shared" si="15"/>
        <v>46222</v>
      </c>
      <c r="B165" s="374">
        <f>'CHICLETS MASTER S1'!O37</f>
        <v>0.60416666666666696</v>
      </c>
      <c r="C165" s="357" t="s">
        <v>163</v>
      </c>
      <c r="D165" s="357" t="str">
        <f t="shared" si="16"/>
        <v>SAN CLEMENTE HS</v>
      </c>
      <c r="E165" s="375">
        <v>91</v>
      </c>
      <c r="F165" s="395" t="s">
        <v>1123</v>
      </c>
      <c r="G165" s="396"/>
      <c r="H165" s="395" t="str">
        <f>IF(G62="","pt_R3",IF(G62&gt;I62,_xlfn.CONCAT("pt_R3-",RIGHT(F62,LEN(F62) - FIND("-",F62))), _xlfn.CONCAT("pt_R3-",RIGHT(H62,LEN(H62) - FIND("-",H62)))))</f>
        <v>pt_R3</v>
      </c>
      <c r="I165" s="396"/>
      <c r="J165" s="395"/>
      <c r="K165" s="395"/>
      <c r="L165" s="395" t="str">
        <f t="shared" si="14"/>
        <v>12G-091</v>
      </c>
      <c r="M165" s="200"/>
      <c r="N165" s="200" t="str">
        <f t="shared" si="17"/>
        <v>pt_Group</v>
      </c>
    </row>
    <row r="166" spans="1:14">
      <c r="A166" s="394">
        <f t="shared" si="15"/>
        <v>46222</v>
      </c>
      <c r="B166" s="374">
        <f>'CHICLETS MASTER S1'!O38</f>
        <v>0.63888888888888895</v>
      </c>
      <c r="C166" s="357" t="s">
        <v>163</v>
      </c>
      <c r="D166" s="357" t="str">
        <f t="shared" si="16"/>
        <v>SAN CLEMENTE HS</v>
      </c>
      <c r="E166" s="375">
        <v>95</v>
      </c>
      <c r="F166" s="395" t="s">
        <v>353</v>
      </c>
      <c r="G166" s="396"/>
      <c r="H166" s="395" t="s">
        <v>350</v>
      </c>
      <c r="I166" s="396"/>
      <c r="J166" s="395"/>
      <c r="K166" s="395"/>
      <c r="L166" s="395" t="str">
        <f t="shared" si="14"/>
        <v>12G-095</v>
      </c>
      <c r="M166" s="200"/>
      <c r="N166" s="200" t="str">
        <f t="shared" si="17"/>
        <v>pt_Group</v>
      </c>
    </row>
    <row r="167" spans="1:14">
      <c r="A167" s="394">
        <f t="shared" si="15"/>
        <v>46222</v>
      </c>
      <c r="B167" s="374">
        <f>'CHICLETS MASTER S1'!O39</f>
        <v>0.67361111111111105</v>
      </c>
      <c r="C167" s="357" t="s">
        <v>163</v>
      </c>
      <c r="D167" s="357" t="str">
        <f t="shared" si="16"/>
        <v>SAN CLEMENTE HS</v>
      </c>
      <c r="E167" s="375">
        <v>99</v>
      </c>
      <c r="F167" s="395" t="s">
        <v>363</v>
      </c>
      <c r="G167" s="396"/>
      <c r="H167" s="395" t="s">
        <v>360</v>
      </c>
      <c r="I167" s="396"/>
      <c r="J167" s="395"/>
      <c r="K167" s="395"/>
      <c r="L167" s="395" t="str">
        <f t="shared" si="14"/>
        <v>12G-099</v>
      </c>
      <c r="M167" s="200"/>
      <c r="N167" s="200" t="str">
        <f t="shared" si="17"/>
        <v>pt_Group</v>
      </c>
    </row>
    <row r="168" spans="1:14">
      <c r="A168" s="394">
        <f t="shared" si="15"/>
        <v>46222</v>
      </c>
      <c r="B168" s="374">
        <f>'CHICLETS MASTER S1'!O40</f>
        <v>0.70833333333333404</v>
      </c>
      <c r="C168" s="357" t="s">
        <v>163</v>
      </c>
      <c r="D168" s="357" t="str">
        <f t="shared" si="16"/>
        <v>SAN CLEMENTE HS</v>
      </c>
      <c r="E168" s="375">
        <v>103</v>
      </c>
      <c r="F168" s="395" t="s">
        <v>1122</v>
      </c>
      <c r="G168" s="396"/>
      <c r="H168" s="395" t="str">
        <f>IF(G63="","pt_S3",IF(G63&gt;I63,_xlfn.CONCAT("pt_S3-",RIGHT(F63,LEN(F63) - FIND("-",F63))), _xlfn.CONCAT("pt_S3-",RIGHT(H63,LEN(H63) - FIND("-",H63)))))</f>
        <v>pt_S3</v>
      </c>
      <c r="I168" s="396"/>
      <c r="J168" s="395"/>
      <c r="K168" s="395"/>
      <c r="L168" s="395" t="str">
        <f t="shared" si="14"/>
        <v>12G-103</v>
      </c>
      <c r="M168" s="200"/>
      <c r="N168" s="200" t="str">
        <f t="shared" si="17"/>
        <v>pt_Group</v>
      </c>
    </row>
    <row r="169" spans="1:14">
      <c r="A169" s="394">
        <f t="shared" si="15"/>
        <v>46222</v>
      </c>
      <c r="B169" s="374">
        <f>'CHICLETS MASTER S1'!O41</f>
        <v>0.74305555555555602</v>
      </c>
      <c r="C169" s="357" t="s">
        <v>163</v>
      </c>
      <c r="D169" s="357" t="str">
        <f t="shared" si="16"/>
        <v>SAN CLEMENTE HS</v>
      </c>
      <c r="E169" s="375">
        <v>107</v>
      </c>
      <c r="F169" s="395" t="s">
        <v>1124</v>
      </c>
      <c r="G169" s="396"/>
      <c r="H169" s="395" t="str">
        <f>IF(G62="","pt_R3",IF(G62&gt;I62,_xlfn.CONCAT("pt_R3-",RIGHT(F62,LEN(F62) - FIND("-",F62))), _xlfn.CONCAT("pt_R3-",RIGHT(H62,LEN(H62) - FIND("-",H62)))))</f>
        <v>pt_R3</v>
      </c>
      <c r="I169" s="396"/>
      <c r="J169" s="395"/>
      <c r="K169" s="395"/>
      <c r="L169" s="395" t="str">
        <f t="shared" si="14"/>
        <v>12G-107</v>
      </c>
      <c r="M169" s="200"/>
      <c r="N169" s="200" t="str">
        <f t="shared" si="17"/>
        <v>pt_Group</v>
      </c>
    </row>
    <row r="170" spans="1:14" ht="13.8" thickBot="1">
      <c r="A170" s="397"/>
      <c r="B170" s="66"/>
      <c r="C170" s="16"/>
      <c r="D170" s="16"/>
      <c r="E170" s="16"/>
      <c r="F170" s="16" t="s">
        <v>173</v>
      </c>
      <c r="G170" s="362"/>
      <c r="H170" s="16" t="s">
        <v>173</v>
      </c>
      <c r="I170" s="16"/>
      <c r="J170" s="16"/>
      <c r="K170" s="16"/>
      <c r="L170" s="16"/>
      <c r="M170" s="200"/>
      <c r="N170" s="200"/>
    </row>
    <row r="171" spans="1:14" ht="13.8" thickBot="1">
      <c r="A171" s="397"/>
      <c r="B171" s="66"/>
      <c r="C171" s="16"/>
      <c r="D171" s="244" t="str">
        <f>'CHICLETS MASTER S1'!$S$27</f>
        <v>MISSION VIEJO HS</v>
      </c>
      <c r="E171" s="16"/>
      <c r="F171" s="16"/>
      <c r="G171" s="362"/>
      <c r="H171" s="16"/>
      <c r="I171" s="16"/>
      <c r="J171" s="16"/>
      <c r="K171" s="16"/>
      <c r="L171" s="16"/>
      <c r="M171" s="200"/>
      <c r="N171" s="200"/>
    </row>
    <row r="172" spans="1:14">
      <c r="A172" s="356" t="s">
        <v>110</v>
      </c>
      <c r="B172" s="356" t="s">
        <v>111</v>
      </c>
      <c r="C172" s="356" t="s">
        <v>112</v>
      </c>
      <c r="D172" s="356" t="s">
        <v>113</v>
      </c>
      <c r="E172" s="356" t="s">
        <v>114</v>
      </c>
      <c r="F172" s="356" t="s">
        <v>115</v>
      </c>
      <c r="G172" s="356" t="s">
        <v>116</v>
      </c>
      <c r="H172" s="356" t="s">
        <v>117</v>
      </c>
      <c r="I172" s="356" t="s">
        <v>116</v>
      </c>
      <c r="J172" s="356" t="s">
        <v>118</v>
      </c>
      <c r="K172" s="356" t="s">
        <v>119</v>
      </c>
      <c r="L172" s="356" t="s">
        <v>120</v>
      </c>
      <c r="M172" s="200"/>
      <c r="N172" s="200"/>
    </row>
    <row r="173" spans="1:14">
      <c r="A173" s="394">
        <f t="shared" ref="A173:A184" si="18">$A$156</f>
        <v>46222</v>
      </c>
      <c r="B173" s="374">
        <f>'CHICLETS MASTER S1'!O30</f>
        <v>0.36111111111111099</v>
      </c>
      <c r="C173" s="357" t="s">
        <v>163</v>
      </c>
      <c r="D173" s="357" t="str">
        <f>$D$171</f>
        <v>MISSION VIEJO HS</v>
      </c>
      <c r="E173" s="384" t="s">
        <v>1125</v>
      </c>
      <c r="F173" s="395" t="s">
        <v>348</v>
      </c>
      <c r="G173" s="396"/>
      <c r="H173" s="395" t="str">
        <f>IF(G83="","pt_O3",IF(G83&gt;I83,_xlfn.CONCAT("pt_O3-",RIGHT(F83,LEN(F83) - FIND("-",F83))), _xlfn.CONCAT("pt_O3-",RIGHT(H83,LEN(H83) - FIND("-",H83)))))</f>
        <v>pt_O3</v>
      </c>
      <c r="I173" s="396"/>
      <c r="J173" s="395"/>
      <c r="K173" s="395"/>
      <c r="L173" s="395" t="str">
        <f t="shared" ref="L173:L184" si="19">IF(E173="","",$L$66&amp;"-"&amp;TEXT(E173,"000"))</f>
        <v>12G-65B</v>
      </c>
      <c r="M173" s="200"/>
      <c r="N173" s="200" t="str">
        <f t="shared" ref="N173:N184" si="20">$M$155&amp;C173</f>
        <v>pt_Group</v>
      </c>
    </row>
    <row r="174" spans="1:14">
      <c r="A174" s="394">
        <f t="shared" si="18"/>
        <v>46222</v>
      </c>
      <c r="B174" s="374">
        <f>'CHICLETS MASTER S1'!O31</f>
        <v>0.39583333333333398</v>
      </c>
      <c r="C174" s="357" t="s">
        <v>163</v>
      </c>
      <c r="D174" s="357" t="str">
        <f t="shared" ref="D174:D184" si="21">$D$171</f>
        <v>MISSION VIEJO HS</v>
      </c>
      <c r="E174" s="375">
        <v>68</v>
      </c>
      <c r="F174" s="395" t="s">
        <v>358</v>
      </c>
      <c r="G174" s="396"/>
      <c r="H174" s="395" t="str">
        <f>IF(G82="","pt_P3",IF(G82&gt;I82,_xlfn.CONCAT("pt_P3-",RIGHT(F82,LEN(F82) - FIND("-",F82))), _xlfn.CONCAT("pt_P3-",RIGHT(H82,LEN(H82) - FIND("-",H82)))))</f>
        <v>pt_P3</v>
      </c>
      <c r="I174" s="396"/>
      <c r="J174" s="395"/>
      <c r="K174" s="395"/>
      <c r="L174" s="395" t="str">
        <f t="shared" si="19"/>
        <v>12G-068</v>
      </c>
      <c r="M174" s="200"/>
      <c r="N174" s="200" t="str">
        <f t="shared" si="20"/>
        <v>pt_Group</v>
      </c>
    </row>
    <row r="175" spans="1:14">
      <c r="A175" s="394">
        <f t="shared" si="18"/>
        <v>46222</v>
      </c>
      <c r="B175" s="374">
        <f>'CHICLETS MASTER S1'!O32</f>
        <v>0.43055555555555602</v>
      </c>
      <c r="C175" s="357" t="s">
        <v>163</v>
      </c>
      <c r="D175" s="357" t="str">
        <f t="shared" si="21"/>
        <v>MISSION VIEJO HS</v>
      </c>
      <c r="E175" s="375">
        <v>72</v>
      </c>
      <c r="F175" s="395" t="s">
        <v>1126</v>
      </c>
      <c r="G175" s="396"/>
      <c r="H175" s="395" t="s">
        <v>1127</v>
      </c>
      <c r="I175" s="396"/>
      <c r="J175" s="395"/>
      <c r="K175" s="395"/>
      <c r="L175" s="395" t="str">
        <f t="shared" si="19"/>
        <v>12G-072</v>
      </c>
      <c r="M175" s="200"/>
      <c r="N175" s="200" t="str">
        <f t="shared" si="20"/>
        <v>pt_Group</v>
      </c>
    </row>
    <row r="176" spans="1:14">
      <c r="A176" s="394">
        <f t="shared" si="18"/>
        <v>46222</v>
      </c>
      <c r="B176" s="374">
        <f>'CHICLETS MASTER S1'!O33</f>
        <v>0.46527777777777801</v>
      </c>
      <c r="C176" s="357" t="s">
        <v>163</v>
      </c>
      <c r="D176" s="357" t="str">
        <f t="shared" si="21"/>
        <v>MISSION VIEJO HS</v>
      </c>
      <c r="E176" s="375">
        <v>76</v>
      </c>
      <c r="F176" s="395" t="s">
        <v>1128</v>
      </c>
      <c r="G176" s="396"/>
      <c r="H176" s="395" t="s">
        <v>1129</v>
      </c>
      <c r="I176" s="396"/>
      <c r="J176" s="395"/>
      <c r="K176" s="395"/>
      <c r="L176" s="395" t="str">
        <f t="shared" si="19"/>
        <v>12G-076</v>
      </c>
      <c r="M176" s="200"/>
      <c r="N176" s="200" t="str">
        <f t="shared" si="20"/>
        <v>pt_Group</v>
      </c>
    </row>
    <row r="177" spans="1:14">
      <c r="A177" s="394">
        <f t="shared" si="18"/>
        <v>46222</v>
      </c>
      <c r="B177" s="374">
        <f>'CHICLETS MASTER S1'!O34</f>
        <v>0.5</v>
      </c>
      <c r="C177" s="357" t="s">
        <v>163</v>
      </c>
      <c r="D177" s="357" t="str">
        <f t="shared" si="21"/>
        <v>MISSION VIEJO HS</v>
      </c>
      <c r="E177" s="375">
        <v>80</v>
      </c>
      <c r="F177" s="395" t="s">
        <v>352</v>
      </c>
      <c r="G177" s="396"/>
      <c r="H177" s="395" t="str">
        <f>IF(G83="","pt_O3",IF(G83&gt;I83,_xlfn.CONCAT("pt_O3-",RIGHT(F83,LEN(F83) - FIND("-",F83))), _xlfn.CONCAT("pt_O3-",RIGHT(H83,LEN(H83) - FIND("-",H83)))))</f>
        <v>pt_O3</v>
      </c>
      <c r="I177" s="396"/>
      <c r="J177" s="395"/>
      <c r="K177" s="395"/>
      <c r="L177" s="395" t="str">
        <f t="shared" si="19"/>
        <v>12G-080</v>
      </c>
      <c r="M177" s="200"/>
      <c r="N177" s="200" t="str">
        <f t="shared" si="20"/>
        <v>pt_Group</v>
      </c>
    </row>
    <row r="178" spans="1:14">
      <c r="A178" s="394">
        <f t="shared" si="18"/>
        <v>46222</v>
      </c>
      <c r="B178" s="374">
        <f>'CHICLETS MASTER S1'!O35</f>
        <v>0.53472222222222199</v>
      </c>
      <c r="C178" s="357" t="s">
        <v>163</v>
      </c>
      <c r="D178" s="357" t="str">
        <f t="shared" si="21"/>
        <v>MISSION VIEJO HS</v>
      </c>
      <c r="E178" s="375">
        <v>84</v>
      </c>
      <c r="F178" s="395" t="s">
        <v>362</v>
      </c>
      <c r="G178" s="396"/>
      <c r="H178" s="395" t="str">
        <f>IF(G82="","pt_P3",IF(G82&gt;I82,_xlfn.CONCAT("pt_P3-",RIGHT(F82,LEN(F82) - FIND("-",F82))), _xlfn.CONCAT("pt_P3-",RIGHT(H82,LEN(H82) - FIND("-",H82)))))</f>
        <v>pt_P3</v>
      </c>
      <c r="I178" s="396"/>
      <c r="J178" s="395"/>
      <c r="K178" s="395"/>
      <c r="L178" s="395" t="str">
        <f t="shared" si="19"/>
        <v>12G-084</v>
      </c>
      <c r="M178" s="200"/>
      <c r="N178" s="200" t="str">
        <f t="shared" si="20"/>
        <v>pt_Group</v>
      </c>
    </row>
    <row r="179" spans="1:14">
      <c r="A179" s="394">
        <f t="shared" si="18"/>
        <v>46222</v>
      </c>
      <c r="B179" s="374">
        <f>'CHICLETS MASTER S1'!O36</f>
        <v>0.56944444444444497</v>
      </c>
      <c r="C179" s="357" t="s">
        <v>163</v>
      </c>
      <c r="D179" s="357" t="str">
        <f t="shared" si="21"/>
        <v>MISSION VIEJO HS</v>
      </c>
      <c r="E179" s="375">
        <v>88</v>
      </c>
      <c r="F179" s="395" t="s">
        <v>1126</v>
      </c>
      <c r="G179" s="396"/>
      <c r="H179" s="395" t="str">
        <f>IF(G43="","pt_U3",IF(G43&gt;I43,_xlfn.CONCAT("pt_U3-",RIGHT(F43,LEN(F43) - FIND("-",F43))), _xlfn.CONCAT("pt_U3-",RIGHT(H43,LEN(H43) - FIND("-",H43)))))</f>
        <v>pt_U3</v>
      </c>
      <c r="I179" s="396"/>
      <c r="J179" s="395"/>
      <c r="K179" s="395"/>
      <c r="L179" s="395" t="str">
        <f t="shared" si="19"/>
        <v>12G-088</v>
      </c>
      <c r="M179" s="200"/>
      <c r="N179" s="200" t="str">
        <f t="shared" si="20"/>
        <v>pt_Group</v>
      </c>
    </row>
    <row r="180" spans="1:14">
      <c r="A180" s="394">
        <f t="shared" si="18"/>
        <v>46222</v>
      </c>
      <c r="B180" s="374">
        <f>'CHICLETS MASTER S1'!O37</f>
        <v>0.60416666666666696</v>
      </c>
      <c r="C180" s="357" t="s">
        <v>163</v>
      </c>
      <c r="D180" s="357" t="str">
        <f t="shared" si="21"/>
        <v>MISSION VIEJO HS</v>
      </c>
      <c r="E180" s="375">
        <v>92</v>
      </c>
      <c r="F180" s="395" t="s">
        <v>1128</v>
      </c>
      <c r="G180" s="396"/>
      <c r="H180" s="395" t="str">
        <f>IF(G121="","pt_T3",IF(G121&gt;I121,_xlfn.CONCAT("pt_T3-",RIGHT(F121,LEN(F121) - FIND("-",F121))), _xlfn.CONCAT("pt_T3-",RIGHT(H121,LEN(H121) - FIND("-",H121)))))</f>
        <v>pt_T3</v>
      </c>
      <c r="I180" s="396"/>
      <c r="J180" s="395"/>
      <c r="K180" s="395"/>
      <c r="L180" s="395" t="str">
        <f t="shared" si="19"/>
        <v>12G-092</v>
      </c>
      <c r="M180" s="200"/>
      <c r="N180" s="200" t="str">
        <f t="shared" si="20"/>
        <v>pt_Group</v>
      </c>
    </row>
    <row r="181" spans="1:14">
      <c r="A181" s="394">
        <f t="shared" si="18"/>
        <v>46222</v>
      </c>
      <c r="B181" s="374">
        <f>'CHICLETS MASTER S1'!O38</f>
        <v>0.63888888888888895</v>
      </c>
      <c r="C181" s="357" t="s">
        <v>163</v>
      </c>
      <c r="D181" s="357" t="str">
        <f t="shared" si="21"/>
        <v>MISSION VIEJO HS</v>
      </c>
      <c r="E181" s="375">
        <v>96</v>
      </c>
      <c r="F181" s="395" t="s">
        <v>352</v>
      </c>
      <c r="G181" s="396"/>
      <c r="H181" s="395" t="s">
        <v>348</v>
      </c>
      <c r="I181" s="396"/>
      <c r="J181" s="395"/>
      <c r="K181" s="395"/>
      <c r="L181" s="395" t="str">
        <f t="shared" si="19"/>
        <v>12G-096</v>
      </c>
      <c r="M181" s="200"/>
      <c r="N181" s="200" t="str">
        <f t="shared" si="20"/>
        <v>pt_Group</v>
      </c>
    </row>
    <row r="182" spans="1:14">
      <c r="A182" s="394">
        <f t="shared" si="18"/>
        <v>46222</v>
      </c>
      <c r="B182" s="374">
        <f>'CHICLETS MASTER S1'!O39</f>
        <v>0.67361111111111105</v>
      </c>
      <c r="C182" s="357" t="s">
        <v>163</v>
      </c>
      <c r="D182" s="357" t="str">
        <f t="shared" si="21"/>
        <v>MISSION VIEJO HS</v>
      </c>
      <c r="E182" s="375">
        <v>100</v>
      </c>
      <c r="F182" s="395" t="s">
        <v>362</v>
      </c>
      <c r="G182" s="396"/>
      <c r="H182" s="395" t="s">
        <v>358</v>
      </c>
      <c r="I182" s="396"/>
      <c r="J182" s="395"/>
      <c r="K182" s="395"/>
      <c r="L182" s="395" t="str">
        <f t="shared" si="19"/>
        <v>12G-100</v>
      </c>
      <c r="M182" s="200"/>
      <c r="N182" s="200" t="str">
        <f t="shared" si="20"/>
        <v>pt_Group</v>
      </c>
    </row>
    <row r="183" spans="1:14">
      <c r="A183" s="394">
        <f t="shared" si="18"/>
        <v>46222</v>
      </c>
      <c r="B183" s="374">
        <f>'CHICLETS MASTER S1'!O40</f>
        <v>0.70833333333333404</v>
      </c>
      <c r="C183" s="357" t="s">
        <v>163</v>
      </c>
      <c r="D183" s="357" t="str">
        <f t="shared" si="21"/>
        <v>MISSION VIEJO HS</v>
      </c>
      <c r="E183" s="375">
        <v>104</v>
      </c>
      <c r="F183" s="395" t="s">
        <v>1127</v>
      </c>
      <c r="G183" s="396"/>
      <c r="H183" s="395" t="str">
        <f>IF(G43="","pt_U3",IF(G43&gt;I43,_xlfn.CONCAT("pt_U3-",RIGHT(F43,LEN(F43) - FIND("-",F43))), _xlfn.CONCAT("pt_U3-",RIGHT(H43,LEN(H43) - FIND("-",H43)))))</f>
        <v>pt_U3</v>
      </c>
      <c r="I183" s="396"/>
      <c r="J183" s="395"/>
      <c r="K183" s="395"/>
      <c r="L183" s="395" t="str">
        <f t="shared" si="19"/>
        <v>12G-104</v>
      </c>
      <c r="M183" s="200"/>
      <c r="N183" s="200" t="str">
        <f t="shared" si="20"/>
        <v>pt_Group</v>
      </c>
    </row>
    <row r="184" spans="1:14">
      <c r="A184" s="394">
        <f t="shared" si="18"/>
        <v>46222</v>
      </c>
      <c r="B184" s="374">
        <f>'CHICLETS MASTER S1'!O41</f>
        <v>0.74305555555555602</v>
      </c>
      <c r="C184" s="357" t="s">
        <v>163</v>
      </c>
      <c r="D184" s="357" t="str">
        <f t="shared" si="21"/>
        <v>MISSION VIEJO HS</v>
      </c>
      <c r="E184" s="375">
        <v>108</v>
      </c>
      <c r="F184" s="395" t="s">
        <v>1129</v>
      </c>
      <c r="G184" s="396"/>
      <c r="H184" s="395" t="str">
        <f>IF(G121="","pt_T3",IF(G121&gt;I121,_xlfn.CONCAT("pt_T3-",RIGHT(F121,LEN(F121) - FIND("-",F121))), _xlfn.CONCAT("pt_T3-",RIGHT(H121,LEN(H121) - FIND("-",H121)))))</f>
        <v>pt_T3</v>
      </c>
      <c r="I184" s="396"/>
      <c r="J184" s="395"/>
      <c r="K184" s="395"/>
      <c r="L184" s="395" t="str">
        <f t="shared" si="19"/>
        <v>12G-108</v>
      </c>
      <c r="M184" s="200"/>
      <c r="N184" s="200" t="str">
        <f t="shared" si="20"/>
        <v>pt_Group</v>
      </c>
    </row>
    <row r="185" spans="1:14" ht="13.8" thickBot="1">
      <c r="A185" s="397"/>
      <c r="B185" s="16"/>
      <c r="C185" s="16"/>
      <c r="D185" s="16"/>
      <c r="E185" s="16"/>
      <c r="F185" s="16" t="s">
        <v>173</v>
      </c>
      <c r="G185" s="362" t="s">
        <v>173</v>
      </c>
      <c r="H185" s="362"/>
      <c r="I185" s="16"/>
      <c r="J185" s="16"/>
      <c r="K185" s="16"/>
      <c r="L185" s="16"/>
      <c r="M185" s="200"/>
      <c r="N185" s="200"/>
    </row>
    <row r="186" spans="1:14" ht="13.8" thickBot="1">
      <c r="A186" s="200"/>
      <c r="B186" s="16"/>
      <c r="C186" s="16"/>
      <c r="D186" s="244" t="str">
        <f>'CHICLETS MASTER S1'!$P$27</f>
        <v>WOOLLETT FAR RIGHT</v>
      </c>
      <c r="E186" s="200"/>
      <c r="F186" s="16"/>
      <c r="G186" s="362"/>
      <c r="H186" s="16"/>
      <c r="I186" s="16"/>
      <c r="J186" s="16"/>
      <c r="K186" s="16"/>
      <c r="L186" s="16"/>
      <c r="M186" s="200"/>
      <c r="N186" s="200"/>
    </row>
    <row r="187" spans="1:14">
      <c r="A187" s="356" t="s">
        <v>110</v>
      </c>
      <c r="B187" s="356" t="s">
        <v>111</v>
      </c>
      <c r="C187" s="356" t="s">
        <v>112</v>
      </c>
      <c r="D187" s="356" t="s">
        <v>113</v>
      </c>
      <c r="E187" s="356" t="s">
        <v>114</v>
      </c>
      <c r="F187" s="356" t="s">
        <v>115</v>
      </c>
      <c r="G187" s="356" t="s">
        <v>116</v>
      </c>
      <c r="H187" s="356" t="s">
        <v>117</v>
      </c>
      <c r="I187" s="356" t="s">
        <v>116</v>
      </c>
      <c r="J187" s="356" t="s">
        <v>118</v>
      </c>
      <c r="K187" s="356" t="s">
        <v>119</v>
      </c>
      <c r="L187" s="356" t="s">
        <v>120</v>
      </c>
      <c r="M187" s="200"/>
      <c r="N187" s="200"/>
    </row>
    <row r="188" spans="1:14">
      <c r="A188" s="394">
        <f t="shared" ref="A188:A202" si="22">$A$156</f>
        <v>46222</v>
      </c>
      <c r="B188" s="374">
        <f>'CHICLETS MASTER S1'!O28</f>
        <v>0.29166666666666669</v>
      </c>
      <c r="C188" s="357" t="s">
        <v>163</v>
      </c>
      <c r="D188" s="357" t="str">
        <f>$D$186</f>
        <v>WOOLLETT FAR RIGHT</v>
      </c>
      <c r="E188" s="384" t="s">
        <v>1130</v>
      </c>
      <c r="F188" s="398" t="str">
        <f>IF(G63="","au_N1",IF(G63&lt;I63,_xlfn.CONCAT("au_N1-",RIGHT(F63,LEN(F63) - FIND("-",F63))), _xlfn.CONCAT("au_N1-",RIGHT(H63,LEN(H63) - FIND("-",H63)))))</f>
        <v>au_N1</v>
      </c>
      <c r="G188" s="399"/>
      <c r="H188" s="398" t="s">
        <v>1131</v>
      </c>
      <c r="I188" s="399"/>
      <c r="J188" s="398"/>
      <c r="K188" s="398"/>
      <c r="L188" s="398" t="str">
        <f t="shared" ref="L188:L198" si="23">IF(E188="","",$L$66&amp;"-"&amp;TEXT(E188,"000"))</f>
        <v>12G-65C</v>
      </c>
      <c r="M188" s="200"/>
      <c r="N188" s="200" t="str">
        <f>$M$156&amp;C188</f>
        <v>au_Group</v>
      </c>
    </row>
    <row r="189" spans="1:14">
      <c r="A189" s="394">
        <f t="shared" si="22"/>
        <v>46222</v>
      </c>
      <c r="B189" s="374">
        <f>'CHICLETS MASTER S1'!O29</f>
        <v>0.3263888888888889</v>
      </c>
      <c r="C189" s="357" t="s">
        <v>163</v>
      </c>
      <c r="D189" s="357" t="str">
        <f t="shared" ref="D189:D202" si="24">$D$186</f>
        <v>WOOLLETT FAR RIGHT</v>
      </c>
      <c r="E189" s="375">
        <v>69</v>
      </c>
      <c r="F189" s="398" t="s">
        <v>1132</v>
      </c>
      <c r="G189" s="399"/>
      <c r="H189" s="398" t="s">
        <v>1133</v>
      </c>
      <c r="I189" s="399"/>
      <c r="J189" s="398"/>
      <c r="K189" s="398"/>
      <c r="L189" s="398" t="str">
        <f>IF(E189="","",$L$66&amp;"-"&amp;TEXT(E189,"000"))</f>
        <v>12G-069</v>
      </c>
      <c r="M189" s="200"/>
      <c r="N189" s="200" t="str">
        <f t="shared" ref="N189:N202" si="25">$M$156&amp;C189</f>
        <v>au_Group</v>
      </c>
    </row>
    <row r="190" spans="1:14">
      <c r="A190" s="394">
        <f t="shared" si="22"/>
        <v>46222</v>
      </c>
      <c r="B190" s="374">
        <f>'CHICLETS MASTER S1'!O30</f>
        <v>0.36111111111111099</v>
      </c>
      <c r="C190" s="400" t="s">
        <v>1134</v>
      </c>
      <c r="D190" s="357" t="str">
        <f t="shared" si="24"/>
        <v>WOOLLETT FAR RIGHT</v>
      </c>
      <c r="E190" s="375">
        <v>73</v>
      </c>
      <c r="F190" s="401" t="str">
        <f>IF(G103="","au_R1",IF(G103&lt;I103,_xlfn.CONCAT("au_R1-",RIGHT(F103,LEN(F103) - FIND("-",F103))), _xlfn.CONCAT("au_R1-",RIGHT(H103,LEN(H103) - FIND("-",H103)))))</f>
        <v>au_R1</v>
      </c>
      <c r="G190" s="399"/>
      <c r="H190" s="401" t="s">
        <v>1135</v>
      </c>
      <c r="I190" s="402"/>
      <c r="J190" s="398">
        <v>93</v>
      </c>
      <c r="K190" s="398" t="s">
        <v>1136</v>
      </c>
      <c r="L190" s="398" t="str">
        <f t="shared" si="23"/>
        <v>12G-073</v>
      </c>
      <c r="M190" s="200"/>
      <c r="N190" s="200" t="str">
        <f t="shared" si="25"/>
        <v>au_R Group of 4</v>
      </c>
    </row>
    <row r="191" spans="1:14">
      <c r="A191" s="394">
        <f t="shared" si="22"/>
        <v>46222</v>
      </c>
      <c r="B191" s="374">
        <f>'CHICLETS MASTER S1'!O31</f>
        <v>0.39583333333333398</v>
      </c>
      <c r="C191" s="400" t="s">
        <v>1134</v>
      </c>
      <c r="D191" s="357" t="str">
        <f t="shared" si="24"/>
        <v>WOOLLETT FAR RIGHT</v>
      </c>
      <c r="E191" s="375" t="s">
        <v>1137</v>
      </c>
      <c r="F191" s="401" t="s">
        <v>1138</v>
      </c>
      <c r="G191" s="399"/>
      <c r="H191" s="401" t="s">
        <v>1139</v>
      </c>
      <c r="I191" s="402"/>
      <c r="J191" s="398">
        <v>93</v>
      </c>
      <c r="K191" s="398" t="s">
        <v>1136</v>
      </c>
      <c r="L191" s="398" t="str">
        <f t="shared" si="23"/>
        <v>12G-73A</v>
      </c>
      <c r="M191" s="200"/>
      <c r="N191" s="200" t="str">
        <f t="shared" si="25"/>
        <v>au_R Group of 4</v>
      </c>
    </row>
    <row r="192" spans="1:14">
      <c r="A192" s="394">
        <f t="shared" si="22"/>
        <v>46222</v>
      </c>
      <c r="B192" s="374">
        <f>'CHICLETS MASTER S1'!O32</f>
        <v>0.43055555555555602</v>
      </c>
      <c r="C192" s="403" t="s">
        <v>1140</v>
      </c>
      <c r="D192" s="357" t="str">
        <f t="shared" si="24"/>
        <v>WOOLLETT FAR RIGHT</v>
      </c>
      <c r="E192" s="375">
        <v>77</v>
      </c>
      <c r="F192" s="399" t="s">
        <v>1141</v>
      </c>
      <c r="G192" s="399"/>
      <c r="H192" s="399" t="s">
        <v>1142</v>
      </c>
      <c r="I192" s="399"/>
      <c r="J192" s="399">
        <v>97</v>
      </c>
      <c r="K192" s="399">
        <v>111</v>
      </c>
      <c r="L192" s="404" t="str">
        <f>IF(E192="","",$L$66&amp;"-"&amp;TEXT(E192,"000"))</f>
        <v>12G-077</v>
      </c>
      <c r="M192" s="405"/>
      <c r="N192" s="405" t="str">
        <f t="shared" si="25"/>
        <v>au_S Group of 4</v>
      </c>
    </row>
    <row r="193" spans="1:14">
      <c r="A193" s="394">
        <f t="shared" si="22"/>
        <v>46222</v>
      </c>
      <c r="B193" s="374">
        <f>'CHICLETS MASTER S1'!O33</f>
        <v>0.46527777777777801</v>
      </c>
      <c r="C193" s="403" t="s">
        <v>1140</v>
      </c>
      <c r="D193" s="357" t="str">
        <f t="shared" si="24"/>
        <v>WOOLLETT FAR RIGHT</v>
      </c>
      <c r="E193" s="375">
        <v>81</v>
      </c>
      <c r="F193" s="399" t="str">
        <f>IF(G102="","au_S1",IF(G102&lt;I102,_xlfn.CONCAT("au_S1-",RIGHT(F102,LEN(F102) - FIND("-",F102))), _xlfn.CONCAT("au_S1-",RIGHT(H102,LEN(H102) - FIND("-",H102)))))</f>
        <v>au_S1</v>
      </c>
      <c r="G193" s="399"/>
      <c r="H193" s="399" t="s">
        <v>1143</v>
      </c>
      <c r="I193" s="399"/>
      <c r="J193" s="399">
        <v>97</v>
      </c>
      <c r="K193" s="399">
        <v>111</v>
      </c>
      <c r="L193" s="404" t="str">
        <f>IF(E193="","",$L$66&amp;"-"&amp;TEXT(E193,"000"))</f>
        <v>12G-081</v>
      </c>
      <c r="M193" s="405"/>
      <c r="N193" s="405" t="str">
        <f t="shared" si="25"/>
        <v>au_S Group of 4</v>
      </c>
    </row>
    <row r="194" spans="1:14">
      <c r="A194" s="394">
        <f t="shared" si="22"/>
        <v>46222</v>
      </c>
      <c r="B194" s="374">
        <f>'CHICLETS MASTER S1'!O34</f>
        <v>0.5</v>
      </c>
      <c r="C194" s="357" t="s">
        <v>163</v>
      </c>
      <c r="D194" s="357" t="str">
        <f t="shared" si="24"/>
        <v>WOOLLETT FAR RIGHT</v>
      </c>
      <c r="E194" s="375">
        <v>85</v>
      </c>
      <c r="F194" s="398" t="str">
        <f>IF(G63="","au_N1",IF(G63&lt;I63,_xlfn.CONCAT("au_N1-",RIGHT(F63,LEN(F63) - FIND("-",F63))), _xlfn.CONCAT("au_N1-",RIGHT(H63,LEN(H63) - FIND("-",H63)))))</f>
        <v>au_N1</v>
      </c>
      <c r="G194" s="399"/>
      <c r="H194" s="398" t="s">
        <v>1144</v>
      </c>
      <c r="I194" s="399"/>
      <c r="J194" s="398"/>
      <c r="K194" s="398"/>
      <c r="L194" s="398" t="str">
        <f t="shared" si="23"/>
        <v>12G-085</v>
      </c>
      <c r="M194" s="200"/>
      <c r="N194" s="200" t="str">
        <f t="shared" si="25"/>
        <v>au_Group</v>
      </c>
    </row>
    <row r="195" spans="1:14">
      <c r="A195" s="394">
        <f t="shared" si="22"/>
        <v>46222</v>
      </c>
      <c r="B195" s="374">
        <f>'CHICLETS MASTER S1'!O35</f>
        <v>0.53472222222222199</v>
      </c>
      <c r="C195" s="357" t="s">
        <v>163</v>
      </c>
      <c r="D195" s="357" t="str">
        <f t="shared" si="24"/>
        <v>WOOLLETT FAR RIGHT</v>
      </c>
      <c r="E195" s="375">
        <v>89</v>
      </c>
      <c r="F195" s="398" t="str">
        <f>IF(G62="","au_M1",IF(G62&lt;I62,_xlfn.CONCAT("au_M1-",RIGHT(F62,LEN(F62) - FIND("-",F62))), _xlfn.CONCAT("au_M1-",RIGHT(H62,LEN(H62) - FIND("-",H62)))))</f>
        <v>au_M1</v>
      </c>
      <c r="G195" s="399"/>
      <c r="H195" s="398" t="s">
        <v>1133</v>
      </c>
      <c r="I195" s="399"/>
      <c r="J195" s="398"/>
      <c r="K195" s="398"/>
      <c r="L195" s="398" t="str">
        <f>IF(E195="","",$L$66&amp;"-"&amp;TEXT(E195,"000"))</f>
        <v>12G-089</v>
      </c>
      <c r="M195" s="200"/>
      <c r="N195" s="200" t="str">
        <f t="shared" si="25"/>
        <v>au_Group</v>
      </c>
    </row>
    <row r="196" spans="1:14">
      <c r="A196" s="394">
        <f t="shared" si="22"/>
        <v>46222</v>
      </c>
      <c r="B196" s="374">
        <f>'CHICLETS MASTER S1'!O36</f>
        <v>0.56944444444444497</v>
      </c>
      <c r="C196" s="400" t="s">
        <v>1145</v>
      </c>
      <c r="D196" s="357" t="str">
        <f t="shared" si="24"/>
        <v>WOOLLETT FAR RIGHT</v>
      </c>
      <c r="E196" s="400">
        <v>93</v>
      </c>
      <c r="F196" s="398" t="s">
        <v>591</v>
      </c>
      <c r="G196" s="399"/>
      <c r="H196" s="398" t="s">
        <v>1146</v>
      </c>
      <c r="I196" s="399"/>
      <c r="J196" s="399">
        <v>121</v>
      </c>
      <c r="K196" s="399">
        <v>134</v>
      </c>
      <c r="L196" s="398" t="str">
        <f t="shared" si="23"/>
        <v>12G-093</v>
      </c>
      <c r="M196" s="200"/>
      <c r="N196" s="200" t="str">
        <f t="shared" si="25"/>
        <v>au_1st/2ndR</v>
      </c>
    </row>
    <row r="197" spans="1:14">
      <c r="A197" s="394">
        <f t="shared" si="22"/>
        <v>46222</v>
      </c>
      <c r="B197" s="374">
        <f>'CHICLETS MASTER S1'!O37</f>
        <v>0.60416666666666696</v>
      </c>
      <c r="C197" s="357" t="s">
        <v>1147</v>
      </c>
      <c r="D197" s="357" t="str">
        <f t="shared" si="24"/>
        <v>WOOLLETT FAR RIGHT</v>
      </c>
      <c r="E197" s="375">
        <v>97</v>
      </c>
      <c r="F197" s="399" t="str">
        <f>IF(G192="","W77",IF(G192&gt;I192,_xlfn.CONCAT("W77-",RIGHT(F192,LEN(F192) - FIND("-",F192))), _xlfn.CONCAT("W77-",RIGHT(H192,LEN(H192) - FIND("-",H192)))))</f>
        <v>W77</v>
      </c>
      <c r="G197" s="399"/>
      <c r="H197" s="399" t="str">
        <f>IF(G193="","W81",IF(G193&gt;I193,_xlfn.CONCAT("W81-",RIGHT(F193,LEN(F193) - FIND("-",F193))), _xlfn.CONCAT("W81-",RIGHT(H193,LEN(H193) - FIND("-",H193)))))</f>
        <v>W81</v>
      </c>
      <c r="I197" s="399"/>
      <c r="J197" s="399">
        <v>116</v>
      </c>
      <c r="K197" s="399">
        <v>131</v>
      </c>
      <c r="L197" s="404" t="str">
        <f t="shared" si="23"/>
        <v>12G-097</v>
      </c>
      <c r="M197" s="405"/>
      <c r="N197" s="405" t="str">
        <f t="shared" si="25"/>
        <v>au_1st/2ndS</v>
      </c>
    </row>
    <row r="198" spans="1:14">
      <c r="A198" s="394">
        <f t="shared" si="22"/>
        <v>46222</v>
      </c>
      <c r="B198" s="374">
        <f>'CHICLETS MASTER S1'!O38</f>
        <v>0.63888888888888895</v>
      </c>
      <c r="C198" s="400" t="s">
        <v>1148</v>
      </c>
      <c r="D198" s="357" t="str">
        <f t="shared" si="24"/>
        <v>WOOLLETT FAR RIGHT</v>
      </c>
      <c r="E198" s="400" t="s">
        <v>1136</v>
      </c>
      <c r="F198" s="399" t="s">
        <v>569</v>
      </c>
      <c r="G198" s="399"/>
      <c r="H198" s="399" t="s">
        <v>1149</v>
      </c>
      <c r="I198" s="399"/>
      <c r="J198" s="399">
        <v>201</v>
      </c>
      <c r="K198" s="399" t="s">
        <v>1150</v>
      </c>
      <c r="L198" s="404" t="str">
        <f t="shared" si="23"/>
        <v>12G-97A</v>
      </c>
      <c r="M198" s="405"/>
      <c r="N198" s="405" t="str">
        <f t="shared" si="25"/>
        <v>au_3rd/4thR</v>
      </c>
    </row>
    <row r="199" spans="1:14">
      <c r="A199" s="394">
        <f t="shared" si="22"/>
        <v>46222</v>
      </c>
      <c r="B199" s="374">
        <f>'CHICLETS MASTER S1'!O39</f>
        <v>0.67361111111111105</v>
      </c>
      <c r="C199" s="357" t="s">
        <v>163</v>
      </c>
      <c r="D199" s="357" t="str">
        <f t="shared" si="24"/>
        <v>WOOLLETT FAR RIGHT</v>
      </c>
      <c r="E199" s="375">
        <v>101</v>
      </c>
      <c r="F199" s="398" t="str">
        <f>IF(G62="","au_M1",IF(G62&lt;I62,_xlfn.CONCAT("au_M1-",RIGHT(F62,LEN(F62) - FIND("-",F62))), _xlfn.CONCAT("au_M1-",RIGHT(H62,LEN(H62) - FIND("-",H62)))))</f>
        <v>au_M1</v>
      </c>
      <c r="G199" s="399"/>
      <c r="H199" s="398" t="s">
        <v>1132</v>
      </c>
      <c r="I199" s="399"/>
      <c r="J199" s="398"/>
      <c r="K199" s="398"/>
      <c r="L199" s="398" t="str">
        <f>IF(E199="","",$L$66&amp;"-"&amp;TEXT(E199,"000"))</f>
        <v>12G-101</v>
      </c>
      <c r="M199" s="200"/>
      <c r="N199" s="200" t="str">
        <f t="shared" si="25"/>
        <v>au_Group</v>
      </c>
    </row>
    <row r="200" spans="1:14">
      <c r="A200" s="394">
        <f t="shared" si="22"/>
        <v>46222</v>
      </c>
      <c r="B200" s="374">
        <f>'CHICLETS MASTER S1'!O40</f>
        <v>0.70833333333333404</v>
      </c>
      <c r="C200" s="357" t="s">
        <v>163</v>
      </c>
      <c r="D200" s="357" t="str">
        <f t="shared" si="24"/>
        <v>WOOLLETT FAR RIGHT</v>
      </c>
      <c r="E200" s="375">
        <v>105</v>
      </c>
      <c r="F200" s="398" t="s">
        <v>1131</v>
      </c>
      <c r="G200" s="399"/>
      <c r="H200" s="398" t="s">
        <v>1144</v>
      </c>
      <c r="I200" s="399"/>
      <c r="J200" s="398"/>
      <c r="K200" s="398"/>
      <c r="L200" s="398" t="str">
        <f>IF(E200="","",$L$66&amp;"-"&amp;TEXT(E200,"000"))</f>
        <v>12G-105</v>
      </c>
      <c r="M200" s="200"/>
      <c r="N200" s="200" t="str">
        <f t="shared" si="25"/>
        <v>au_Group</v>
      </c>
    </row>
    <row r="201" spans="1:14">
      <c r="A201" s="394">
        <f t="shared" si="22"/>
        <v>46222</v>
      </c>
      <c r="B201" s="374">
        <f>'CHICLETS MASTER S1'!O41</f>
        <v>0.74305555555555602</v>
      </c>
      <c r="C201" s="357" t="s">
        <v>163</v>
      </c>
      <c r="D201" s="357" t="str">
        <f t="shared" si="24"/>
        <v>WOOLLETT FAR RIGHT</v>
      </c>
      <c r="E201" s="375">
        <v>109</v>
      </c>
      <c r="F201" s="404" t="s">
        <v>1138</v>
      </c>
      <c r="G201" s="404"/>
      <c r="H201" s="404" t="s">
        <v>1139</v>
      </c>
      <c r="I201" s="399"/>
      <c r="J201" s="398"/>
      <c r="K201" s="398"/>
      <c r="L201" s="398" t="str">
        <f>IF(E201="","",$L$66&amp;"-"&amp;TEXT(E201,"000"))</f>
        <v>12G-109</v>
      </c>
      <c r="M201" s="200"/>
      <c r="N201" s="200" t="str">
        <f t="shared" si="25"/>
        <v>au_Group</v>
      </c>
    </row>
    <row r="202" spans="1:14">
      <c r="A202" s="394">
        <f t="shared" si="22"/>
        <v>46222</v>
      </c>
      <c r="B202" s="374">
        <f>'CHICLETS MASTER S1'!O42</f>
        <v>0.77777777777777801</v>
      </c>
      <c r="C202" s="357" t="s">
        <v>1151</v>
      </c>
      <c r="D202" s="357" t="str">
        <f t="shared" si="24"/>
        <v>WOOLLETT FAR RIGHT</v>
      </c>
      <c r="E202" s="375">
        <v>111</v>
      </c>
      <c r="F202" s="399" t="str">
        <f>IF(G192="","L77",IF(G192&lt;I192,_xlfn.CONCAT("L77-",RIGHT(F192,LEN(F192) - FIND("-",F192))), _xlfn.CONCAT("L77-",RIGHT(H192,LEN(H192) - FIND("-",H192)))))</f>
        <v>L77</v>
      </c>
      <c r="G202" s="399"/>
      <c r="H202" s="399" t="str">
        <f>IF(G193="","L81",IF(G193&lt;I193,_xlfn.CONCAT("L81-",RIGHT(F193,LEN(F193) - FIND("-",F193))), _xlfn.CONCAT("L81-",RIGHT(H193,LEN(H193) - FIND("-",H193)))))</f>
        <v>L81</v>
      </c>
      <c r="I202" s="399"/>
      <c r="J202" s="399">
        <v>203</v>
      </c>
      <c r="K202" s="399" t="s">
        <v>172</v>
      </c>
      <c r="L202" s="404" t="str">
        <f>IF(E202="","",$L$66&amp;"-"&amp;TEXT(E202,"000"))</f>
        <v>12G-111</v>
      </c>
      <c r="M202" s="405"/>
      <c r="N202" s="405" t="str">
        <f t="shared" si="25"/>
        <v>au_3rd/4thS</v>
      </c>
    </row>
    <row r="203" spans="1:14" ht="13.8" thickBot="1">
      <c r="A203" s="397"/>
      <c r="B203" s="66"/>
      <c r="C203" s="16"/>
      <c r="D203" s="16"/>
      <c r="E203" s="16"/>
    </row>
    <row r="204" spans="1:14" ht="13.8" thickBot="1">
      <c r="A204" s="16"/>
      <c r="B204" s="16"/>
      <c r="C204" s="16"/>
      <c r="D204" s="244" t="str">
        <f>'CHICLETS MASTER S1'!$T$27</f>
        <v>LAGUNA HILLS HS</v>
      </c>
      <c r="E204" s="200"/>
      <c r="F204" s="16"/>
      <c r="G204" s="362"/>
      <c r="H204" s="16"/>
      <c r="I204" s="16"/>
      <c r="J204" s="200"/>
      <c r="K204" s="200"/>
      <c r="L204" s="200"/>
      <c r="M204" s="200"/>
      <c r="N204" s="200"/>
    </row>
    <row r="205" spans="1:14">
      <c r="A205" s="356" t="s">
        <v>110</v>
      </c>
      <c r="B205" s="356" t="s">
        <v>111</v>
      </c>
      <c r="C205" s="356" t="s">
        <v>112</v>
      </c>
      <c r="D205" s="356" t="s">
        <v>113</v>
      </c>
      <c r="E205" s="356" t="s">
        <v>114</v>
      </c>
      <c r="F205" s="356" t="s">
        <v>115</v>
      </c>
      <c r="G205" s="356" t="s">
        <v>116</v>
      </c>
      <c r="H205" s="356" t="s">
        <v>117</v>
      </c>
      <c r="I205" s="356" t="s">
        <v>116</v>
      </c>
      <c r="J205" s="356" t="s">
        <v>118</v>
      </c>
      <c r="K205" s="356" t="s">
        <v>119</v>
      </c>
      <c r="L205" s="356" t="s">
        <v>120</v>
      </c>
      <c r="M205" s="200"/>
      <c r="N205" s="200"/>
    </row>
    <row r="206" spans="1:14">
      <c r="A206" s="394">
        <f t="shared" ref="A206:A220" si="26">$A$156</f>
        <v>46222</v>
      </c>
      <c r="B206" s="374">
        <f>'CHICLETS MASTER S1'!O28</f>
        <v>0.29166666666666669</v>
      </c>
      <c r="C206" s="357" t="s">
        <v>163</v>
      </c>
      <c r="D206" s="357" t="str">
        <f t="shared" ref="D206:D220" si="27">$D$204</f>
        <v>LAGUNA HILLS HS</v>
      </c>
      <c r="E206" s="375">
        <v>66</v>
      </c>
      <c r="F206" s="398" t="str">
        <f>IF(G121="","au_O1",IF(G121&lt;I121,_xlfn.CONCAT("au_O1-",RIGHT(F121,LEN(F121) - FIND("-",F121))), _xlfn.CONCAT("au_O1-",RIGHT(H121,LEN(H121) - FIND("-",H121)))))</f>
        <v>au_O1</v>
      </c>
      <c r="G206" s="399"/>
      <c r="H206" s="398" t="s">
        <v>1152</v>
      </c>
      <c r="I206" s="399"/>
      <c r="J206" s="398"/>
      <c r="K206" s="398"/>
      <c r="L206" s="398" t="str">
        <f t="shared" ref="L206:L220" si="28">IF(E206="","",$L$66&amp;"-"&amp;TEXT(E206,"000"))</f>
        <v>12G-066</v>
      </c>
      <c r="M206" s="200"/>
      <c r="N206" s="200" t="str">
        <f t="shared" ref="N206:N217" si="29">$M$156&amp;C206</f>
        <v>au_Group</v>
      </c>
    </row>
    <row r="207" spans="1:14">
      <c r="A207" s="394">
        <f t="shared" si="26"/>
        <v>46222</v>
      </c>
      <c r="B207" s="374">
        <f>'CHICLETS MASTER S1'!O29</f>
        <v>0.3263888888888889</v>
      </c>
      <c r="C207" s="357" t="s">
        <v>1153</v>
      </c>
      <c r="D207" s="357" t="str">
        <f t="shared" si="27"/>
        <v>LAGUNA HILLS HS</v>
      </c>
      <c r="E207" s="375">
        <v>70</v>
      </c>
      <c r="F207" s="398" t="str">
        <f>IF(G82="","au_U1",IF(G82&lt;I82,_xlfn.CONCAT("au_U1-",RIGHT(F82,LEN(F82) - FIND("-",F82))), _xlfn.CONCAT("au_U1-",RIGHT(H82,LEN(H82) - FIND("-",H82)))))</f>
        <v>au_U1</v>
      </c>
      <c r="G207" s="399"/>
      <c r="H207" s="404" t="s">
        <v>1154</v>
      </c>
      <c r="I207" s="399"/>
      <c r="J207" s="398">
        <v>90</v>
      </c>
      <c r="K207" s="398" t="s">
        <v>1155</v>
      </c>
      <c r="L207" s="398" t="str">
        <f t="shared" si="28"/>
        <v>12G-070</v>
      </c>
      <c r="M207" s="200"/>
      <c r="N207" s="200" t="str">
        <f t="shared" si="29"/>
        <v>au_U Group of 4</v>
      </c>
    </row>
    <row r="208" spans="1:14">
      <c r="A208" s="394">
        <f t="shared" si="26"/>
        <v>46222</v>
      </c>
      <c r="B208" s="374">
        <f>'CHICLETS MASTER S1'!O30</f>
        <v>0.36111111111111099</v>
      </c>
      <c r="C208" s="357" t="s">
        <v>1153</v>
      </c>
      <c r="D208" s="357" t="str">
        <f t="shared" si="27"/>
        <v>LAGUNA HILLS HS</v>
      </c>
      <c r="E208" s="375">
        <v>106</v>
      </c>
      <c r="F208" s="399" t="s">
        <v>1156</v>
      </c>
      <c r="G208" s="399"/>
      <c r="H208" s="399" t="s">
        <v>1157</v>
      </c>
      <c r="I208" s="399"/>
      <c r="J208" s="398">
        <v>90</v>
      </c>
      <c r="K208" s="398" t="s">
        <v>1155</v>
      </c>
      <c r="L208" s="398" t="str">
        <f>IF(E208="","",$L$66&amp;"-"&amp;TEXT(E208,"000"))</f>
        <v>12G-106</v>
      </c>
      <c r="M208" s="200"/>
      <c r="N208" s="200" t="str">
        <f t="shared" si="29"/>
        <v>au_U Group of 4</v>
      </c>
    </row>
    <row r="209" spans="1:14">
      <c r="A209" s="394">
        <f t="shared" si="26"/>
        <v>46222</v>
      </c>
      <c r="B209" s="374">
        <f>'CHICLETS MASTER S1'!O31</f>
        <v>0.39583333333333398</v>
      </c>
      <c r="C209" s="357" t="s">
        <v>163</v>
      </c>
      <c r="D209" s="357" t="str">
        <f t="shared" si="27"/>
        <v>LAGUNA HILLS HS</v>
      </c>
      <c r="E209" s="375">
        <v>74</v>
      </c>
      <c r="F209" s="398" t="str">
        <f>IF(G43="","au_P1",IF(G43&lt;I43,_xlfn.CONCAT("au_P1-",RIGHT(F43,LEN(F43) - FIND("-",F43))), _xlfn.CONCAT("au_P1-",RIGHT(H43,LEN(H43) - FIND("-",H43)))))</f>
        <v>au_P1</v>
      </c>
      <c r="G209" s="399"/>
      <c r="H209" s="398" t="s">
        <v>1158</v>
      </c>
      <c r="I209" s="399"/>
      <c r="J209" s="398"/>
      <c r="K209" s="398"/>
      <c r="L209" s="398" t="str">
        <f t="shared" si="28"/>
        <v>12G-074</v>
      </c>
      <c r="M209" s="200"/>
      <c r="N209" s="200" t="str">
        <f t="shared" si="29"/>
        <v>au_Group</v>
      </c>
    </row>
    <row r="210" spans="1:14">
      <c r="A210" s="394">
        <f t="shared" si="26"/>
        <v>46222</v>
      </c>
      <c r="B210" s="374">
        <f>'CHICLETS MASTER S1'!O32</f>
        <v>0.43055555555555602</v>
      </c>
      <c r="C210" s="357" t="s">
        <v>1159</v>
      </c>
      <c r="D210" s="357" t="str">
        <f t="shared" si="27"/>
        <v>LAGUNA HILLS HS</v>
      </c>
      <c r="E210" s="375">
        <v>78</v>
      </c>
      <c r="F210" s="399" t="s">
        <v>1160</v>
      </c>
      <c r="G210" s="399"/>
      <c r="H210" s="399" t="s">
        <v>1161</v>
      </c>
      <c r="I210" s="399"/>
      <c r="J210" s="399">
        <v>98</v>
      </c>
      <c r="K210" s="399">
        <v>112</v>
      </c>
      <c r="L210" s="404" t="str">
        <f t="shared" si="28"/>
        <v>12G-078</v>
      </c>
      <c r="M210" s="405"/>
      <c r="N210" s="405" t="str">
        <f t="shared" si="29"/>
        <v>au_T group of 4</v>
      </c>
    </row>
    <row r="211" spans="1:14">
      <c r="A211" s="394">
        <f t="shared" si="26"/>
        <v>46222</v>
      </c>
      <c r="B211" s="374">
        <f>'CHICLETS MASTER S1'!O33</f>
        <v>0.46527777777777801</v>
      </c>
      <c r="C211" s="357" t="s">
        <v>1159</v>
      </c>
      <c r="D211" s="357" t="str">
        <f t="shared" si="27"/>
        <v>LAGUNA HILLS HS</v>
      </c>
      <c r="E211" s="375">
        <v>82</v>
      </c>
      <c r="F211" s="399" t="str">
        <f>IF(G83="","au_T1",IF(G83&lt;I83,_xlfn.CONCAT("au_T1-",RIGHT(F83,LEN(F83) - FIND("-",F83))), _xlfn.CONCAT("au_T1-",RIGHT(H83,LEN(H83) - FIND("-",H83)))))</f>
        <v>au_T1</v>
      </c>
      <c r="G211" s="399"/>
      <c r="H211" s="399" t="s">
        <v>1162</v>
      </c>
      <c r="I211" s="399"/>
      <c r="J211" s="399">
        <v>98</v>
      </c>
      <c r="K211" s="399">
        <v>112</v>
      </c>
      <c r="L211" s="404" t="str">
        <f t="shared" si="28"/>
        <v>12G-082</v>
      </c>
      <c r="M211" s="405"/>
      <c r="N211" s="405" t="str">
        <f t="shared" si="29"/>
        <v>au_T group of 4</v>
      </c>
    </row>
    <row r="212" spans="1:14">
      <c r="A212" s="394">
        <f t="shared" si="26"/>
        <v>46222</v>
      </c>
      <c r="B212" s="374">
        <f>'CHICLETS MASTER S1'!O34</f>
        <v>0.5</v>
      </c>
      <c r="C212" s="357" t="s">
        <v>163</v>
      </c>
      <c r="D212" s="357" t="str">
        <f t="shared" si="27"/>
        <v>LAGUNA HILLS HS</v>
      </c>
      <c r="E212" s="375">
        <v>86</v>
      </c>
      <c r="F212" s="398" t="str">
        <f>IF(G121="","au_O1",IF(G121&lt;I121,_xlfn.CONCAT("au_O1-",RIGHT(F121,LEN(F121) - FIND("-",F121))), _xlfn.CONCAT("au_O1-",RIGHT(H121,LEN(H121) - FIND("-",H121)))))</f>
        <v>au_O1</v>
      </c>
      <c r="G212" s="399"/>
      <c r="H212" s="398" t="s">
        <v>1163</v>
      </c>
      <c r="I212" s="399"/>
      <c r="J212" s="404"/>
      <c r="K212" s="404"/>
      <c r="L212" s="398" t="str">
        <f t="shared" si="28"/>
        <v>12G-086</v>
      </c>
      <c r="M212" s="405"/>
      <c r="N212" s="200" t="str">
        <f t="shared" si="29"/>
        <v>au_Group</v>
      </c>
    </row>
    <row r="213" spans="1:14">
      <c r="A213" s="394">
        <f t="shared" si="26"/>
        <v>46222</v>
      </c>
      <c r="B213" s="374">
        <f>'CHICLETS MASTER S1'!O35</f>
        <v>0.53472222222222199</v>
      </c>
      <c r="C213" s="357" t="s">
        <v>1164</v>
      </c>
      <c r="D213" s="357" t="str">
        <f t="shared" si="27"/>
        <v>LAGUNA HILLS HS</v>
      </c>
      <c r="E213" s="375">
        <v>90</v>
      </c>
      <c r="F213" s="398" t="s">
        <v>1165</v>
      </c>
      <c r="G213" s="399"/>
      <c r="H213" s="398" t="s">
        <v>1166</v>
      </c>
      <c r="I213" s="399"/>
      <c r="J213" s="398">
        <v>115</v>
      </c>
      <c r="K213" s="398">
        <v>125</v>
      </c>
      <c r="L213" s="398" t="str">
        <f t="shared" si="28"/>
        <v>12G-090</v>
      </c>
      <c r="M213" s="405"/>
      <c r="N213" s="200" t="str">
        <f t="shared" si="29"/>
        <v>au_1st/2ndU</v>
      </c>
    </row>
    <row r="214" spans="1:14">
      <c r="A214" s="394">
        <f t="shared" si="26"/>
        <v>46222</v>
      </c>
      <c r="B214" s="374">
        <f>'CHICLETS MASTER S1'!O36</f>
        <v>0.56944444444444497</v>
      </c>
      <c r="C214" s="357" t="s">
        <v>1167</v>
      </c>
      <c r="D214" s="357" t="str">
        <f t="shared" si="27"/>
        <v>LAGUNA HILLS HS</v>
      </c>
      <c r="E214" s="406" t="s">
        <v>1155</v>
      </c>
      <c r="F214" s="398" t="s">
        <v>1168</v>
      </c>
      <c r="G214" s="399"/>
      <c r="H214" s="398" t="s">
        <v>1169</v>
      </c>
      <c r="I214" s="399"/>
      <c r="J214" s="398">
        <v>204</v>
      </c>
      <c r="K214" s="398" t="s">
        <v>1170</v>
      </c>
      <c r="L214" s="407" t="str">
        <f t="shared" si="28"/>
        <v>12G-90A</v>
      </c>
      <c r="M214" s="405"/>
      <c r="N214" s="200" t="str">
        <f t="shared" si="29"/>
        <v>au_3rd/4thU</v>
      </c>
    </row>
    <row r="215" spans="1:14">
      <c r="A215" s="394">
        <f t="shared" si="26"/>
        <v>46222</v>
      </c>
      <c r="B215" s="374">
        <f>'CHICLETS MASTER S1'!O37</f>
        <v>0.60416666666666696</v>
      </c>
      <c r="C215" s="357" t="s">
        <v>163</v>
      </c>
      <c r="D215" s="357" t="str">
        <f t="shared" si="27"/>
        <v>LAGUNA HILLS HS</v>
      </c>
      <c r="E215" s="375">
        <v>94</v>
      </c>
      <c r="F215" s="398" t="str">
        <f>IF(G43="","au_P1",IF(G43&lt;I43,_xlfn.CONCAT("au_P1-",RIGHT(F43,LEN(F43) - FIND("-",F43))), _xlfn.CONCAT("au_P1-",RIGHT(H43,LEN(H43) - FIND("-",H43)))))</f>
        <v>au_P1</v>
      </c>
      <c r="G215" s="399"/>
      <c r="H215" s="398" t="s">
        <v>1171</v>
      </c>
      <c r="I215" s="399"/>
      <c r="J215" s="398"/>
      <c r="K215" s="398"/>
      <c r="L215" s="398" t="str">
        <f t="shared" si="28"/>
        <v>12G-094</v>
      </c>
      <c r="M215" s="405"/>
      <c r="N215" s="200" t="str">
        <f t="shared" si="29"/>
        <v>au_Group</v>
      </c>
    </row>
    <row r="216" spans="1:14">
      <c r="A216" s="394">
        <f t="shared" si="26"/>
        <v>46222</v>
      </c>
      <c r="B216" s="374">
        <f>'CHICLETS MASTER S1'!O38</f>
        <v>0.63888888888888895</v>
      </c>
      <c r="C216" s="357" t="s">
        <v>1172</v>
      </c>
      <c r="D216" s="357" t="str">
        <f t="shared" si="27"/>
        <v>LAGUNA HILLS HS</v>
      </c>
      <c r="E216" s="375">
        <v>98</v>
      </c>
      <c r="F216" s="399" t="str">
        <f>IF(G210="","W78",IF(G210&gt;I210,_xlfn.CONCAT("W78-",RIGHT(F210,LEN(F210) - FIND("-",F210))), _xlfn.CONCAT("W78-",RIGHT(H210,LEN(H210) - FIND("-",H210)))))</f>
        <v>W78</v>
      </c>
      <c r="G216" s="399"/>
      <c r="H216" s="399" t="str">
        <f>IF(G211="","W82",IF(G211&gt;I211,_xlfn.CONCAT("W82-",RIGHT(F211,LEN(F211) - FIND("-",F211))), _xlfn.CONCAT("W82-",RIGHT(H211,LEN(H211) - FIND("-",H211)))))</f>
        <v>W82</v>
      </c>
      <c r="I216" s="399"/>
      <c r="J216" s="399">
        <v>120</v>
      </c>
      <c r="K216" s="399">
        <v>130</v>
      </c>
      <c r="L216" s="404" t="str">
        <f t="shared" si="28"/>
        <v>12G-098</v>
      </c>
      <c r="M216" s="405"/>
      <c r="N216" s="405" t="str">
        <f t="shared" si="29"/>
        <v>au_1st/2ndT</v>
      </c>
    </row>
    <row r="217" spans="1:14">
      <c r="A217" s="394">
        <f t="shared" si="26"/>
        <v>46222</v>
      </c>
      <c r="B217" s="374">
        <f>'CHICLETS MASTER S1'!O39</f>
        <v>0.67361111111111105</v>
      </c>
      <c r="C217" s="357" t="s">
        <v>163</v>
      </c>
      <c r="D217" s="357" t="str">
        <f t="shared" si="27"/>
        <v>LAGUNA HILLS HS</v>
      </c>
      <c r="E217" s="375">
        <v>102</v>
      </c>
      <c r="F217" s="399" t="s">
        <v>1152</v>
      </c>
      <c r="G217" s="399"/>
      <c r="H217" s="399" t="s">
        <v>1163</v>
      </c>
      <c r="I217" s="399"/>
      <c r="J217" s="404"/>
      <c r="K217" s="404"/>
      <c r="L217" s="398" t="str">
        <f t="shared" si="28"/>
        <v>12G-102</v>
      </c>
      <c r="M217" s="405"/>
      <c r="N217" s="200" t="str">
        <f t="shared" si="29"/>
        <v>au_Group</v>
      </c>
    </row>
    <row r="218" spans="1:14">
      <c r="B218" s="359" t="s">
        <v>204</v>
      </c>
    </row>
    <row r="219" spans="1:14">
      <c r="A219" s="394">
        <f t="shared" si="26"/>
        <v>46222</v>
      </c>
      <c r="B219" s="374">
        <f>'CHICLETS MASTER S1'!O41</f>
        <v>0.74305555555555602</v>
      </c>
      <c r="C219" s="357" t="s">
        <v>163</v>
      </c>
      <c r="D219" s="357" t="str">
        <f t="shared" si="27"/>
        <v>LAGUNA HILLS HS</v>
      </c>
      <c r="E219" s="375">
        <v>110</v>
      </c>
      <c r="F219" s="399" t="s">
        <v>1158</v>
      </c>
      <c r="G219" s="399"/>
      <c r="H219" s="399" t="s">
        <v>1171</v>
      </c>
      <c r="I219" s="399"/>
      <c r="J219" s="398"/>
      <c r="K219" s="398"/>
      <c r="L219" s="398" t="str">
        <f t="shared" si="28"/>
        <v>12G-110</v>
      </c>
      <c r="M219" s="200"/>
      <c r="N219" s="200" t="str">
        <f t="shared" ref="N219:N220" si="30">$M$156&amp;C219</f>
        <v>au_Group</v>
      </c>
    </row>
    <row r="220" spans="1:14">
      <c r="A220" s="394">
        <f t="shared" si="26"/>
        <v>46222</v>
      </c>
      <c r="B220" s="374">
        <f>'CHICLETS MASTER S1'!O42</f>
        <v>0.77777777777777801</v>
      </c>
      <c r="C220" s="357" t="s">
        <v>1173</v>
      </c>
      <c r="D220" s="357" t="str">
        <f t="shared" si="27"/>
        <v>LAGUNA HILLS HS</v>
      </c>
      <c r="E220" s="375">
        <v>112</v>
      </c>
      <c r="F220" s="399" t="str">
        <f>IF(G210="","L78",IF(G210&lt;I210,_xlfn.CONCAT("L78-",RIGHT(F210,LEN(F210) - FIND("-",F210))), _xlfn.CONCAT("L78-",RIGHT(H210,LEN(H210) - FIND("-",H210)))))</f>
        <v>L78</v>
      </c>
      <c r="G220" s="399"/>
      <c r="H220" s="399" t="str">
        <f>IF(G211="","L82",IF(G211&lt;I211,_xlfn.CONCAT("L82-",RIGHT(F211,LEN(F211) - FIND("-",F211))), _xlfn.CONCAT("L82-",RIGHT(H211,LEN(H211) - FIND("-",H211)))))</f>
        <v>L82</v>
      </c>
      <c r="I220" s="399"/>
      <c r="J220" s="399">
        <v>202</v>
      </c>
      <c r="K220" s="399" t="s">
        <v>180</v>
      </c>
      <c r="L220" s="404" t="str">
        <f t="shared" si="28"/>
        <v>12G-112</v>
      </c>
      <c r="M220" s="405"/>
      <c r="N220" s="405" t="str">
        <f t="shared" si="30"/>
        <v>au_3rd/4thT</v>
      </c>
    </row>
    <row r="221" spans="1:14">
      <c r="A221" s="200"/>
      <c r="B221" s="200"/>
      <c r="C221" s="200"/>
      <c r="D221" s="200"/>
      <c r="E221" s="200"/>
      <c r="F221" s="200"/>
      <c r="G221" s="200"/>
      <c r="H221" s="200"/>
      <c r="I221" s="200"/>
      <c r="J221" s="200"/>
      <c r="K221" s="200"/>
      <c r="L221" s="200"/>
      <c r="M221" s="200"/>
      <c r="N221" s="200"/>
    </row>
    <row r="222" spans="1:14">
      <c r="A222" s="200"/>
      <c r="B222" s="200"/>
      <c r="C222" s="200"/>
      <c r="D222" s="200"/>
      <c r="E222" s="200"/>
      <c r="K222" s="200"/>
      <c r="L222" s="200"/>
      <c r="M222" s="200"/>
      <c r="N222" s="200"/>
    </row>
    <row r="223" spans="1:14">
      <c r="B223" s="360" t="s">
        <v>1174</v>
      </c>
      <c r="D223" s="200"/>
      <c r="E223" s="200"/>
      <c r="K223" s="200"/>
      <c r="L223" s="200"/>
      <c r="M223" s="200"/>
      <c r="N223" s="200"/>
    </row>
    <row r="224" spans="1:14">
      <c r="A224" s="360" t="s">
        <v>381</v>
      </c>
      <c r="B224" s="360" t="s">
        <v>1083</v>
      </c>
      <c r="C224" s="372" t="s">
        <v>357</v>
      </c>
      <c r="D224" s="200"/>
      <c r="E224" s="395" t="s">
        <v>1175</v>
      </c>
      <c r="K224" s="200"/>
      <c r="L224" s="200"/>
      <c r="M224" s="200"/>
      <c r="N224" s="200"/>
    </row>
    <row r="225" spans="1:14">
      <c r="A225" s="360" t="s">
        <v>379</v>
      </c>
      <c r="B225" s="360" t="s">
        <v>1085</v>
      </c>
      <c r="C225" s="372" t="s">
        <v>367</v>
      </c>
      <c r="D225" s="200"/>
      <c r="E225" s="395" t="s">
        <v>1176</v>
      </c>
      <c r="K225" s="200"/>
      <c r="L225" s="200"/>
      <c r="M225" s="200"/>
      <c r="N225" s="200"/>
    </row>
    <row r="226" spans="1:14">
      <c r="A226" s="360" t="s">
        <v>380</v>
      </c>
      <c r="B226" s="360" t="s">
        <v>1088</v>
      </c>
      <c r="C226" s="372" t="s">
        <v>355</v>
      </c>
      <c r="D226" s="200"/>
      <c r="E226" s="395" t="s">
        <v>1177</v>
      </c>
      <c r="K226" s="200"/>
      <c r="L226" s="200"/>
      <c r="M226" s="200"/>
      <c r="N226" s="200"/>
    </row>
    <row r="227" spans="1:14">
      <c r="A227" s="360" t="s">
        <v>382</v>
      </c>
      <c r="B227" s="360" t="s">
        <v>1092</v>
      </c>
      <c r="C227" s="372" t="s">
        <v>365</v>
      </c>
      <c r="D227" s="200"/>
      <c r="E227" s="395" t="s">
        <v>1178</v>
      </c>
      <c r="K227" s="200"/>
      <c r="L227" s="200"/>
      <c r="M227" s="200"/>
      <c r="N227" s="200"/>
    </row>
    <row r="228" spans="1:14">
      <c r="C228" s="372"/>
      <c r="D228" s="200"/>
      <c r="E228" s="200"/>
      <c r="K228" s="200"/>
      <c r="L228" s="200"/>
      <c r="M228" s="200"/>
      <c r="N228" s="200"/>
    </row>
    <row r="229" spans="1:14">
      <c r="B229" s="360" t="s">
        <v>1179</v>
      </c>
      <c r="C229" s="372"/>
      <c r="D229" s="200"/>
      <c r="E229" s="200"/>
      <c r="K229" s="200"/>
      <c r="L229" s="200"/>
      <c r="M229" s="200"/>
      <c r="N229" s="200"/>
    </row>
    <row r="230" spans="1:14">
      <c r="A230" s="360" t="s">
        <v>1099</v>
      </c>
      <c r="B230" s="360" t="s">
        <v>1100</v>
      </c>
      <c r="C230" s="372" t="s">
        <v>1101</v>
      </c>
      <c r="D230" s="200"/>
      <c r="E230" s="388" t="s">
        <v>1180</v>
      </c>
      <c r="F230" s="388" t="s">
        <v>1181</v>
      </c>
      <c r="G230" s="388" t="s">
        <v>1180</v>
      </c>
      <c r="H230" s="388" t="s">
        <v>1181</v>
      </c>
      <c r="I230" s="372" t="s">
        <v>888</v>
      </c>
      <c r="J230" s="372" t="s">
        <v>889</v>
      </c>
      <c r="K230" s="360" t="s">
        <v>415</v>
      </c>
      <c r="L230" s="200"/>
      <c r="M230" s="200"/>
      <c r="N230" s="200"/>
    </row>
    <row r="231" spans="1:14">
      <c r="A231" s="360" t="s">
        <v>1105</v>
      </c>
      <c r="B231" s="360" t="s">
        <v>1106</v>
      </c>
      <c r="C231" s="372" t="s">
        <v>1107</v>
      </c>
      <c r="D231" s="200"/>
      <c r="E231" s="363" t="str">
        <f>IF(G276="","L203",IF(G276&lt;I276,_xlfn.CONCAT("L203-",RIGHT(F276,LEN(F276) - FIND("-",F276))), _xlfn.CONCAT("L203-",RIGHT(H276,LEN(H276) - FIND("-",H276)))))</f>
        <v>L203</v>
      </c>
      <c r="F231" s="363" t="str">
        <f>IF(G275="","L201",IF(G275&lt;I275,_xlfn.CONCAT("L201-",RIGHT(F275,LEN(F275) - FIND("-",F275))), _xlfn.CONCAT("L201-",RIGHT(H275,LEN(H275) - FIND("-",H275)))))</f>
        <v>L201</v>
      </c>
      <c r="G231" s="372" t="s">
        <v>202</v>
      </c>
      <c r="H231" s="372" t="s">
        <v>203</v>
      </c>
      <c r="I231" s="372" t="s">
        <v>916</v>
      </c>
      <c r="J231" s="372" t="s">
        <v>917</v>
      </c>
      <c r="K231" s="360" t="s">
        <v>417</v>
      </c>
      <c r="L231" s="200"/>
      <c r="M231" s="200"/>
      <c r="N231" s="200"/>
    </row>
    <row r="232" spans="1:14">
      <c r="A232" s="360" t="s">
        <v>1111</v>
      </c>
      <c r="B232" s="360" t="s">
        <v>1112</v>
      </c>
      <c r="C232" s="372" t="s">
        <v>1113</v>
      </c>
      <c r="D232" s="200"/>
      <c r="E232" s="363" t="str">
        <f>IF(G278="","L204",IF(G278&lt;I278,_xlfn.CONCAT("L204-",RIGHT(F278,LEN(F278) - FIND("-",F278))), _xlfn.CONCAT("L204-",RIGHT(H278,LEN(H278) - FIND("-",H278)))))</f>
        <v>L204</v>
      </c>
      <c r="F232" s="363" t="str">
        <f>IF(G277="","L202",IF(G277&lt;I277,_xlfn.CONCAT("L202-",RIGHT(F277,LEN(F277) - FIND("-",F277))), _xlfn.CONCAT("L202-",RIGHT(H277,LEN(H277) - FIND("-",H277)))))</f>
        <v>L202</v>
      </c>
      <c r="G232" s="372" t="s">
        <v>183</v>
      </c>
      <c r="H232" s="372" t="s">
        <v>169</v>
      </c>
      <c r="I232" s="372" t="s">
        <v>884</v>
      </c>
      <c r="J232" s="372" t="s">
        <v>885</v>
      </c>
      <c r="K232" s="360" t="s">
        <v>1182</v>
      </c>
      <c r="L232" s="200"/>
      <c r="M232" s="200"/>
      <c r="N232" s="200"/>
    </row>
    <row r="233" spans="1:14">
      <c r="A233" s="360" t="s">
        <v>1117</v>
      </c>
      <c r="B233" s="360" t="s">
        <v>1118</v>
      </c>
      <c r="C233" s="372" t="s">
        <v>1119</v>
      </c>
      <c r="D233" s="200"/>
      <c r="E233" s="363" t="str">
        <f>IF(G202="","4th au_S(L111)",IF(G202&lt;I202,_xlfn.CONCAT("4th au_S(L111)-",RIGHT(F202,LEN(F202) - FIND("-",F202))), _xlfn.CONCAT("4th au_S(L111)-",RIGHT(H202,LEN(H202) - FIND("-",H202)))))</f>
        <v>4th au_S(L111)</v>
      </c>
      <c r="F233" s="363" t="str">
        <f>IF(G220="","4th au_T(L112)",IF(G220&lt;I220,_xlfn.CONCAT("4th au_T(L112)-",RIGHT(F220,LEN(F220) - FIND("-",F220))), _xlfn.CONCAT("4th au_T(L112)-",RIGHT(H220,LEN(H220) - FIND("-",H220)))))</f>
        <v>4th au_T(L112)</v>
      </c>
      <c r="G233" s="372" t="s">
        <v>172</v>
      </c>
      <c r="H233" s="372" t="s">
        <v>180</v>
      </c>
      <c r="I233" s="372" t="s">
        <v>1183</v>
      </c>
      <c r="J233" s="372" t="s">
        <v>1184</v>
      </c>
      <c r="K233" s="360" t="s">
        <v>1185</v>
      </c>
      <c r="L233" s="200"/>
      <c r="M233" s="200"/>
      <c r="N233" s="200"/>
    </row>
    <row r="234" spans="1:14">
      <c r="A234" s="200"/>
      <c r="B234" s="200"/>
      <c r="C234" s="200"/>
      <c r="D234" s="200"/>
      <c r="E234" s="369" t="s">
        <v>1186</v>
      </c>
      <c r="F234" s="365" t="s">
        <v>1187</v>
      </c>
      <c r="G234" s="200" t="s">
        <v>1150</v>
      </c>
      <c r="H234" s="200" t="s">
        <v>1170</v>
      </c>
      <c r="I234" s="200"/>
      <c r="J234" s="200"/>
      <c r="K234" s="200"/>
      <c r="L234" s="200"/>
      <c r="M234" s="200"/>
      <c r="N234" s="200"/>
    </row>
    <row r="235" spans="1:14" ht="13.8" thickBot="1">
      <c r="A235" s="200"/>
      <c r="B235" s="200"/>
      <c r="C235" s="200"/>
      <c r="D235" s="200"/>
      <c r="E235" s="200"/>
      <c r="F235" s="200"/>
      <c r="G235" s="200"/>
      <c r="H235" s="200"/>
      <c r="I235" s="200"/>
      <c r="J235" s="200"/>
      <c r="K235" s="200"/>
      <c r="L235" s="200"/>
      <c r="M235" s="200"/>
      <c r="N235" s="200"/>
    </row>
    <row r="236" spans="1:14" ht="14.4" thickTop="1" thickBot="1">
      <c r="A236" s="244" t="s">
        <v>188</v>
      </c>
      <c r="B236" s="292"/>
      <c r="C236" s="292"/>
      <c r="D236" s="292"/>
      <c r="E236" s="292"/>
      <c r="F236" s="292"/>
      <c r="G236" s="292"/>
      <c r="H236" s="292"/>
      <c r="I236" s="292"/>
      <c r="J236" s="292"/>
      <c r="K236" s="292"/>
      <c r="L236" s="292"/>
    </row>
    <row r="237" spans="1:14" ht="13.8" thickBot="1">
      <c r="A237" s="361">
        <v>46223</v>
      </c>
      <c r="B237" s="200"/>
      <c r="C237" s="200"/>
      <c r="D237" s="200"/>
      <c r="E237" s="200"/>
      <c r="F237" s="200"/>
      <c r="G237" s="200"/>
      <c r="H237" s="200"/>
      <c r="I237" s="200"/>
      <c r="J237" s="200"/>
      <c r="K237" s="200"/>
      <c r="L237" s="200"/>
      <c r="M237" s="200"/>
      <c r="N237" s="200"/>
    </row>
    <row r="238" spans="1:14" ht="13.8" thickBot="1">
      <c r="A238" s="200"/>
      <c r="B238" s="200"/>
      <c r="C238" s="200"/>
      <c r="D238" s="244" t="str">
        <f>'CHICLETS MASTER S1'!$Q$51</f>
        <v>ALISO NIGUEL HS</v>
      </c>
      <c r="E238" s="200"/>
      <c r="F238" s="200"/>
      <c r="G238" s="200"/>
      <c r="H238" s="200"/>
      <c r="I238" s="200"/>
      <c r="J238" s="200"/>
      <c r="K238" s="200"/>
      <c r="L238" s="200"/>
      <c r="M238" s="200"/>
      <c r="N238" s="200"/>
    </row>
    <row r="239" spans="1:14">
      <c r="A239" s="356" t="s">
        <v>110</v>
      </c>
      <c r="B239" s="356" t="s">
        <v>111</v>
      </c>
      <c r="C239" s="356" t="s">
        <v>112</v>
      </c>
      <c r="D239" s="356" t="s">
        <v>113</v>
      </c>
      <c r="E239" s="356" t="s">
        <v>114</v>
      </c>
      <c r="F239" s="356" t="s">
        <v>115</v>
      </c>
      <c r="G239" s="356" t="s">
        <v>116</v>
      </c>
      <c r="H239" s="356" t="s">
        <v>117</v>
      </c>
      <c r="I239" s="356" t="s">
        <v>116</v>
      </c>
      <c r="J239" s="356" t="s">
        <v>118</v>
      </c>
      <c r="K239" s="356" t="s">
        <v>119</v>
      </c>
      <c r="L239" s="356" t="s">
        <v>120</v>
      </c>
      <c r="M239" s="200"/>
      <c r="N239" s="200"/>
    </row>
    <row r="240" spans="1:14">
      <c r="A240" s="373">
        <f>$A$237</f>
        <v>46223</v>
      </c>
      <c r="B240" s="408">
        <f>'CHICLETS MASTER S1'!J53</f>
        <v>0.33333333333333331</v>
      </c>
      <c r="C240" s="403" t="s">
        <v>1188</v>
      </c>
      <c r="D240" s="357" t="str">
        <f t="shared" ref="D240:D253" si="31">$D$238</f>
        <v>ALISO NIGUEL HS</v>
      </c>
      <c r="E240" s="409">
        <v>113</v>
      </c>
      <c r="F240" s="395" t="str">
        <f>A224</f>
        <v>1st pt_M-</v>
      </c>
      <c r="G240" s="396"/>
      <c r="H240" s="395" t="str">
        <f>C224</f>
        <v>1st pt_S-</v>
      </c>
      <c r="I240" s="396"/>
      <c r="J240" s="395">
        <v>133</v>
      </c>
      <c r="K240" s="395">
        <v>139</v>
      </c>
      <c r="L240" s="395" t="str">
        <f t="shared" ref="L240:L241" si="32">IF(E240="","",$L$66&amp;"-"&amp;TEXT(E240,"000"))</f>
        <v>12G-113</v>
      </c>
      <c r="M240" s="200"/>
      <c r="N240" s="405" t="str">
        <f t="shared" ref="N240:N253" si="33">$M$155&amp;C240</f>
        <v>pt_1v6 QF</v>
      </c>
    </row>
    <row r="241" spans="1:14">
      <c r="A241" s="373">
        <f>$A$237</f>
        <v>46223</v>
      </c>
      <c r="B241" s="408">
        <f>'CHICLETS MASTER S1'!J54</f>
        <v>0.36805555555555558</v>
      </c>
      <c r="C241" s="403" t="s">
        <v>1189</v>
      </c>
      <c r="D241" s="357" t="str">
        <f t="shared" si="31"/>
        <v>ALISO NIGUEL HS</v>
      </c>
      <c r="E241" s="409">
        <v>118</v>
      </c>
      <c r="F241" s="395" t="str">
        <f>A225</f>
        <v>1st pt_N-</v>
      </c>
      <c r="G241" s="396"/>
      <c r="H241" s="395" t="str">
        <f>C225</f>
        <v>1st pt_R-</v>
      </c>
      <c r="I241" s="396"/>
      <c r="J241" s="395">
        <v>136</v>
      </c>
      <c r="K241" s="395">
        <v>142</v>
      </c>
      <c r="L241" s="395" t="str">
        <f t="shared" si="32"/>
        <v>12G-118</v>
      </c>
      <c r="M241" s="200"/>
      <c r="N241" s="405" t="str">
        <f t="shared" si="33"/>
        <v>pt_2v5 QF</v>
      </c>
    </row>
    <row r="242" spans="1:14">
      <c r="A242" s="373">
        <f t="shared" ref="A242:A307" si="34">$A$237</f>
        <v>46223</v>
      </c>
      <c r="B242" s="408">
        <f>'CHICLETS MASTER S1'!J55</f>
        <v>0.40277777777777801</v>
      </c>
      <c r="C242" s="357" t="s">
        <v>1190</v>
      </c>
      <c r="D242" s="357" t="str">
        <f t="shared" si="31"/>
        <v>ALISO NIGUEL HS</v>
      </c>
      <c r="E242" s="375">
        <v>124</v>
      </c>
      <c r="F242" s="396" t="s">
        <v>376</v>
      </c>
      <c r="G242" s="396"/>
      <c r="H242" s="410" t="s">
        <v>390</v>
      </c>
      <c r="I242" s="396"/>
      <c r="J242" s="396">
        <v>143</v>
      </c>
      <c r="K242" s="396">
        <v>151</v>
      </c>
      <c r="L242" s="395" t="str">
        <f>IF(E242="","",$L$66&amp;"-"&amp;TEXT(E242,"000"))</f>
        <v>12G-124</v>
      </c>
      <c r="M242" s="200"/>
      <c r="N242" s="200" t="str">
        <f t="shared" si="33"/>
        <v>pt_9-16 QF</v>
      </c>
    </row>
    <row r="243" spans="1:14">
      <c r="A243" s="373">
        <f t="shared" si="34"/>
        <v>46223</v>
      </c>
      <c r="B243" s="408">
        <f>'CHICLETS MASTER S1'!J56</f>
        <v>0.4375</v>
      </c>
      <c r="C243" s="357" t="s">
        <v>1190</v>
      </c>
      <c r="D243" s="357" t="str">
        <f t="shared" si="31"/>
        <v>ALISO NIGUEL HS</v>
      </c>
      <c r="E243" s="375">
        <v>127</v>
      </c>
      <c r="F243" s="396" t="s">
        <v>378</v>
      </c>
      <c r="G243" s="396"/>
      <c r="H243" s="410" t="s">
        <v>392</v>
      </c>
      <c r="I243" s="396"/>
      <c r="J243" s="396">
        <v>146</v>
      </c>
      <c r="K243" s="396">
        <v>156</v>
      </c>
      <c r="L243" s="395" t="str">
        <f>IF(E243="","",$L$66&amp;"-"&amp;TEXT(E243,"000"))</f>
        <v>12G-127</v>
      </c>
      <c r="M243" s="200"/>
      <c r="N243" s="200" t="str">
        <f t="shared" si="33"/>
        <v>pt_9-16 QF</v>
      </c>
    </row>
    <row r="244" spans="1:14">
      <c r="A244" s="373">
        <f>$A$237</f>
        <v>46223</v>
      </c>
      <c r="B244" s="408">
        <f>'CHICLETS MASTER S1'!J57</f>
        <v>0.47222222222222199</v>
      </c>
      <c r="C244" s="357" t="s">
        <v>1191</v>
      </c>
      <c r="D244" s="357" t="str">
        <f t="shared" si="31"/>
        <v>ALISO NIGUEL HS</v>
      </c>
      <c r="E244" s="375">
        <v>133</v>
      </c>
      <c r="F244" s="411" t="str">
        <f>IF(G240="","W113",IF(G240&gt;I240,_xlfn.CONCAT("W113-",RIGHT(F240,LEN(F240) - FIND("-",F240))), _xlfn.CONCAT("W113-",RIGHT(H240,LEN(H240) - FIND("-",H240)))))</f>
        <v>W113</v>
      </c>
      <c r="G244" s="396"/>
      <c r="H244" s="412" t="str">
        <f>IF(G258="","W119",IF(G258&gt;I258,_xlfn.CONCAT("W119-",RIGHT(F258,LEN(F258) - FIND("-",F258))), _xlfn.CONCAT("W119-",RIGHT(H258,LEN(H258) - FIND("-",H258)))))</f>
        <v>W119</v>
      </c>
      <c r="I244" s="396"/>
      <c r="J244" s="396">
        <v>171</v>
      </c>
      <c r="K244" s="395">
        <v>159</v>
      </c>
      <c r="L244" s="395" t="str">
        <f t="shared" ref="L244:L253" si="35">IF(E244="","",$L$66&amp;"-"&amp;TEXT(E244,"000"))</f>
        <v>12G-133</v>
      </c>
      <c r="M244" s="200"/>
      <c r="N244" s="200" t="str">
        <f t="shared" si="33"/>
        <v>pt_W to semi, L to play-in 1v4</v>
      </c>
    </row>
    <row r="245" spans="1:14">
      <c r="A245" s="373">
        <f>$A$237</f>
        <v>46223</v>
      </c>
      <c r="B245" s="408">
        <f>'CHICLETS MASTER S1'!J58</f>
        <v>0.50694444444444398</v>
      </c>
      <c r="C245" s="357" t="s">
        <v>1192</v>
      </c>
      <c r="D245" s="357" t="str">
        <f t="shared" si="31"/>
        <v>ALISO NIGUEL HS</v>
      </c>
      <c r="E245" s="375">
        <v>136</v>
      </c>
      <c r="F245" s="413" t="str">
        <f>IF(G257="","W114",IF(G257&gt;I257,_xlfn.CONCAT("W114-",RIGHT(F257,LEN(F257) - FIND("-",F257))), _xlfn.CONCAT("W114-",RIGHT(H257,LEN(H257) - FIND("-",H257)))))</f>
        <v>W114</v>
      </c>
      <c r="G245" s="396"/>
      <c r="H245" s="395" t="str">
        <f>IF(G241="","W118",IF(G241&gt;I241,_xlfn.CONCAT("W118-",RIGHT(F241,LEN(F241) - FIND("-",F241))), _xlfn.CONCAT("W118-",RIGHT(H241,LEN(H241) - FIND("-",H241)))))</f>
        <v>W118</v>
      </c>
      <c r="I245" s="396"/>
      <c r="J245" s="396">
        <v>172</v>
      </c>
      <c r="K245" s="395">
        <v>162</v>
      </c>
      <c r="L245" s="395" t="str">
        <f t="shared" si="35"/>
        <v>12G-136</v>
      </c>
      <c r="M245" s="200"/>
      <c r="N245" s="200" t="str">
        <f t="shared" si="33"/>
        <v>pt_W to semi, L to play-in 2v3</v>
      </c>
    </row>
    <row r="246" spans="1:14">
      <c r="A246" s="373">
        <f>$A$237</f>
        <v>46223</v>
      </c>
      <c r="B246" s="408">
        <f>'CHICLETS MASTER S1'!J59</f>
        <v>0.54166666666666696</v>
      </c>
      <c r="C246" s="357" t="s">
        <v>1193</v>
      </c>
      <c r="D246" s="357" t="str">
        <f t="shared" si="31"/>
        <v>ALISO NIGUEL HS</v>
      </c>
      <c r="E246" s="375">
        <v>139</v>
      </c>
      <c r="F246" s="395" t="str">
        <f>IF(G240="","L113",IF(G240&lt;I240,_xlfn.CONCAT("L113-",RIGHT(F240,LEN(F240) - FIND("-",F240))), _xlfn.CONCAT("L113-",RIGHT(H240,LEN(H240) - FIND("-",H240)))))</f>
        <v>L113</v>
      </c>
      <c r="G246" s="396"/>
      <c r="H246" s="413" t="str">
        <f>IF(G258="","L119",IF(G258&lt;I258,_xlfn.CONCAT("L119-",RIGHT(F258,LEN(F258) - FIND("-",F258))), _xlfn.CONCAT("L119-",RIGHT(H258,LEN(H258) - FIND("-",H258)))))</f>
        <v>L119</v>
      </c>
      <c r="I246" s="396"/>
      <c r="J246" s="395">
        <v>159</v>
      </c>
      <c r="K246" s="396">
        <v>191</v>
      </c>
      <c r="L246" s="395" t="str">
        <f t="shared" si="35"/>
        <v>12G-139</v>
      </c>
      <c r="M246" s="200"/>
      <c r="N246" s="357" t="str">
        <f t="shared" si="33"/>
        <v>pt_W to play-in</v>
      </c>
    </row>
    <row r="247" spans="1:14">
      <c r="A247" s="373">
        <f>$A$237</f>
        <v>46223</v>
      </c>
      <c r="B247" s="408">
        <f>'CHICLETS MASTER S1'!J60</f>
        <v>0.57638888888888895</v>
      </c>
      <c r="C247" s="357" t="s">
        <v>1193</v>
      </c>
      <c r="D247" s="357" t="str">
        <f t="shared" si="31"/>
        <v>ALISO NIGUEL HS</v>
      </c>
      <c r="E247" s="375">
        <v>142</v>
      </c>
      <c r="F247" s="413" t="str">
        <f>IF(G257="","L114",IF(G257&lt;I257,_xlfn.CONCAT("L114-",RIGHT(F257,LEN(F257) - FIND("-",F257))), _xlfn.CONCAT("L114-",RIGHT(H257,LEN(H257) - FIND("-",H257)))))</f>
        <v>L114</v>
      </c>
      <c r="G247" s="396"/>
      <c r="H247" s="395" t="str">
        <f>IF(G241="","L118",IF(G241&lt;I241,_xlfn.CONCAT("L118-",RIGHT(F241,LEN(F241) - FIND("-",F241))), _xlfn.CONCAT("L118-",RIGHT(H241,LEN(H241) - FIND("-",H241)))))</f>
        <v>L118</v>
      </c>
      <c r="I247" s="396"/>
      <c r="J247" s="395">
        <v>162</v>
      </c>
      <c r="K247" s="396">
        <v>191</v>
      </c>
      <c r="L247" s="395" t="str">
        <f t="shared" si="35"/>
        <v>12G-142</v>
      </c>
      <c r="M247" s="200"/>
      <c r="N247" s="357" t="str">
        <f t="shared" si="33"/>
        <v>pt_W to play-in</v>
      </c>
    </row>
    <row r="248" spans="1:14">
      <c r="A248" s="373">
        <f t="shared" ref="A248:A249" si="36">$A$237</f>
        <v>46223</v>
      </c>
      <c r="B248" s="408">
        <f>'CHICLETS MASTER S1'!J61</f>
        <v>0.61111111111111105</v>
      </c>
      <c r="C248" s="357" t="s">
        <v>1194</v>
      </c>
      <c r="D248" s="357" t="str">
        <f t="shared" si="31"/>
        <v>ALISO NIGUEL HS</v>
      </c>
      <c r="E248" s="375">
        <v>145</v>
      </c>
      <c r="F248" s="413" t="str">
        <f>IF(G261="","L137",IF(G261&lt;I261,_xlfn.CONCAT("L137-",RIGHT(F261,LEN(F261) - FIND("-",F261))), _xlfn.CONCAT("L137-",RIGHT(H261,LEN(H261) - FIND("-",H261)))))</f>
        <v>L137</v>
      </c>
      <c r="G248" s="396"/>
      <c r="H248" s="413" t="str">
        <f>IF(G262="","L140",IF(G262&lt;I262,_xlfn.CONCAT("L140-",RIGHT(F262,LEN(F262) - FIND("-",F262))), _xlfn.CONCAT("L140-",RIGHT(H262,LEN(H262) - FIND("-",H262)))))</f>
        <v>L140</v>
      </c>
      <c r="I248" s="396"/>
      <c r="J248" s="396">
        <v>177</v>
      </c>
      <c r="K248" s="396">
        <v>175</v>
      </c>
      <c r="L248" s="395" t="str">
        <f t="shared" si="35"/>
        <v>12G-145</v>
      </c>
      <c r="M248" s="200"/>
      <c r="N248" s="357" t="str">
        <f t="shared" si="33"/>
        <v>pt_21st-24th</v>
      </c>
    </row>
    <row r="249" spans="1:14">
      <c r="A249" s="373">
        <f t="shared" si="36"/>
        <v>46223</v>
      </c>
      <c r="B249" s="408">
        <f>'CHICLETS MASTER S1'!J62</f>
        <v>0.64583333333333304</v>
      </c>
      <c r="C249" s="357" t="s">
        <v>1194</v>
      </c>
      <c r="D249" s="357" t="str">
        <f t="shared" si="31"/>
        <v>ALISO NIGUEL HS</v>
      </c>
      <c r="E249" s="375">
        <v>148</v>
      </c>
      <c r="F249" s="413" t="str">
        <f>IF(G259="","L123",IF(G259&lt;I259,_xlfn.CONCAT("L123-",RIGHT(F259,LEN(F259) - FIND("-",F259))), _xlfn.CONCAT("L123-",RIGHT(H259,LEN(H259) - FIND("-",H259)))))</f>
        <v>L123</v>
      </c>
      <c r="G249" s="396"/>
      <c r="H249" s="413" t="str">
        <f>IF(G260="","L126",IF(G260&lt;I260,_xlfn.CONCAT("L126-",RIGHT(F260,LEN(F260) - FIND("-",F260))), _xlfn.CONCAT("L126-",RIGHT(H260,LEN(H260) - FIND("-",H260)))))</f>
        <v>L126</v>
      </c>
      <c r="I249" s="396"/>
      <c r="J249" s="396">
        <v>177</v>
      </c>
      <c r="K249" s="396">
        <v>175</v>
      </c>
      <c r="L249" s="395" t="str">
        <f t="shared" si="35"/>
        <v>12G-148</v>
      </c>
      <c r="M249" s="200"/>
      <c r="N249" s="357" t="str">
        <f t="shared" si="33"/>
        <v>pt_21st-24th</v>
      </c>
    </row>
    <row r="250" spans="1:14">
      <c r="A250" s="373">
        <f>$A$237</f>
        <v>46223</v>
      </c>
      <c r="B250" s="408">
        <f>'CHICLETS MASTER S1'!J63</f>
        <v>0.68055555555555602</v>
      </c>
      <c r="C250" s="357" t="s">
        <v>1195</v>
      </c>
      <c r="D250" s="357" t="str">
        <f t="shared" si="31"/>
        <v>ALISO NIGUEL HS</v>
      </c>
      <c r="E250" s="375">
        <v>151</v>
      </c>
      <c r="F250" s="396" t="str">
        <f>IF(G242="","L124",IF(G242&lt;I242,_xlfn.CONCAT("L124-",RIGHT(F242,LEN(F242) - FIND("-",F242))), _xlfn.CONCAT("L124-",RIGHT(H242,LEN(H242) - FIND("-",H242)))))</f>
        <v>L124</v>
      </c>
      <c r="G250" s="396"/>
      <c r="H250" s="413" t="str">
        <f>IF(G264="","L122",IF(G264&lt;I264,_xlfn.CONCAT("L122-",RIGHT(F264,LEN(F264) - FIND("-",F264))), _xlfn.CONCAT("L122-",RIGHT(H264,LEN(H264) - FIND("-",H264)))))</f>
        <v>L122</v>
      </c>
      <c r="I250" s="396"/>
      <c r="J250" s="396">
        <v>185</v>
      </c>
      <c r="K250" s="396">
        <v>183</v>
      </c>
      <c r="L250" s="395" t="str">
        <f t="shared" si="35"/>
        <v>12G-151</v>
      </c>
      <c r="M250" s="200"/>
      <c r="N250" s="200" t="str">
        <f t="shared" si="33"/>
        <v>pt_13th-16th</v>
      </c>
    </row>
    <row r="251" spans="1:14">
      <c r="A251" s="373">
        <f>$A$237</f>
        <v>46223</v>
      </c>
      <c r="B251" s="408">
        <f>'CHICLETS MASTER S1'!J64</f>
        <v>0.71527777777777801</v>
      </c>
      <c r="C251" s="357" t="s">
        <v>1195</v>
      </c>
      <c r="D251" s="357" t="str">
        <f t="shared" si="31"/>
        <v>ALISO NIGUEL HS</v>
      </c>
      <c r="E251" s="375">
        <v>156</v>
      </c>
      <c r="F251" s="413" t="s">
        <v>1196</v>
      </c>
      <c r="G251" s="396"/>
      <c r="H251" s="396" t="str">
        <f>IF(G243="","L127",IF(G243&lt;I243,_xlfn.CONCAT("L127-",RIGHT(F243,LEN(F243) - FIND("-",F243))), _xlfn.CONCAT("L127-",RIGHT(H243,LEN(H243) - FIND("-",H243)))))</f>
        <v>L127</v>
      </c>
      <c r="I251" s="396"/>
      <c r="J251" s="396">
        <v>185</v>
      </c>
      <c r="K251" s="396">
        <v>183</v>
      </c>
      <c r="L251" s="395" t="str">
        <f t="shared" si="35"/>
        <v>12G-156</v>
      </c>
      <c r="M251" s="200"/>
      <c r="N251" s="200" t="str">
        <f t="shared" si="33"/>
        <v>pt_13th-16th</v>
      </c>
    </row>
    <row r="252" spans="1:14">
      <c r="A252" s="373">
        <f>$A$237</f>
        <v>46223</v>
      </c>
      <c r="B252" s="408">
        <f>'CHICLETS MASTER S1'!J65</f>
        <v>0.75</v>
      </c>
      <c r="C252" s="357" t="s">
        <v>1197</v>
      </c>
      <c r="D252" s="357" t="str">
        <f t="shared" si="31"/>
        <v>ALISO NIGUEL HS</v>
      </c>
      <c r="E252" s="375">
        <v>159</v>
      </c>
      <c r="F252" s="396" t="str">
        <f>IF(G244="","L133",IF(G244&lt;I244,_xlfn.CONCAT("L133-",RIGHT(F244,LEN(F244) - FIND("-",F244))), _xlfn.CONCAT("L133-",RIGHT(H244,LEN(H244) - FIND("-",H244)))))</f>
        <v>L133</v>
      </c>
      <c r="G252" s="396"/>
      <c r="H252" s="395" t="str">
        <f>IF(G246="","W139",IF(G246&gt;I246,_xlfn.CONCAT("W139-",RIGHT(F246,LEN(F246) - FIND("-",F246))), _xlfn.CONCAT("W139-",RIGHT(H246,LEN(H246) - FIND("-",H246)))))</f>
        <v>W139</v>
      </c>
      <c r="I252" s="396"/>
      <c r="J252" s="396">
        <v>172</v>
      </c>
      <c r="K252" s="396">
        <v>193</v>
      </c>
      <c r="L252" s="395" t="str">
        <f t="shared" si="35"/>
        <v>12G-159</v>
      </c>
      <c r="M252" s="200"/>
      <c r="N252" s="200" t="str">
        <f t="shared" si="33"/>
        <v>pt_play to semi, L to 5th</v>
      </c>
    </row>
    <row r="253" spans="1:14">
      <c r="A253" s="373">
        <f>$A$237</f>
        <v>46223</v>
      </c>
      <c r="B253" s="408">
        <f>'CHICLETS MASTER S1'!J66</f>
        <v>0.78472222222222199</v>
      </c>
      <c r="C253" s="357" t="s">
        <v>1197</v>
      </c>
      <c r="D253" s="357" t="str">
        <f t="shared" si="31"/>
        <v>ALISO NIGUEL HS</v>
      </c>
      <c r="E253" s="375">
        <v>162</v>
      </c>
      <c r="F253" s="396" t="str">
        <f>IF(G245="","L136",IF(G245&lt;I245,_xlfn.CONCAT("L136-",RIGHT(F245,LEN(F245) - FIND("-",F245))), _xlfn.CONCAT("L136-",RIGHT(H245,LEN(H245) - FIND("-",H245)))))</f>
        <v>L136</v>
      </c>
      <c r="G253" s="396"/>
      <c r="H253" s="395" t="str">
        <f>IF(G247="","W142",IF(G247&gt;I247,_xlfn.CONCAT("W142-",RIGHT(F247,LEN(F247) - FIND("-",F247))), _xlfn.CONCAT("W142-",RIGHT(H247,LEN(H247) - FIND("-",H247)))))</f>
        <v>W142</v>
      </c>
      <c r="I253" s="396"/>
      <c r="J253" s="396">
        <v>171</v>
      </c>
      <c r="K253" s="396">
        <v>193</v>
      </c>
      <c r="L253" s="395" t="str">
        <f t="shared" si="35"/>
        <v>12G-162</v>
      </c>
      <c r="M253" s="200"/>
      <c r="N253" s="200" t="str">
        <f t="shared" si="33"/>
        <v>pt_play to semi, L to 5th</v>
      </c>
    </row>
    <row r="254" spans="1:14" ht="13.8" thickBot="1">
      <c r="A254" s="200"/>
      <c r="B254" s="200"/>
      <c r="C254" s="200"/>
      <c r="D254" s="200"/>
      <c r="E254" s="200"/>
      <c r="F254" s="405"/>
      <c r="G254" s="405"/>
      <c r="H254" s="405"/>
      <c r="I254" s="200"/>
      <c r="J254" s="405"/>
      <c r="K254" s="405"/>
      <c r="L254" s="200"/>
      <c r="M254" s="200"/>
      <c r="N254" s="200"/>
    </row>
    <row r="255" spans="1:14" ht="13.8" thickBot="1">
      <c r="A255" s="397"/>
      <c r="B255" s="66"/>
      <c r="C255" s="200"/>
      <c r="D255" s="244" t="str">
        <f>'CHICLETS MASTER S1'!$R$51</f>
        <v>SAN CLEMENTE HS</v>
      </c>
      <c r="E255" s="200"/>
      <c r="F255" s="405" t="s">
        <v>173</v>
      </c>
      <c r="G255" s="414" t="s">
        <v>173</v>
      </c>
      <c r="H255" s="405" t="s">
        <v>173</v>
      </c>
      <c r="I255" s="16"/>
      <c r="J255" s="405"/>
      <c r="K255" s="405"/>
      <c r="L255" s="16"/>
      <c r="M255" s="200"/>
      <c r="N255" s="200"/>
    </row>
    <row r="256" spans="1:14">
      <c r="A256" s="356" t="s">
        <v>110</v>
      </c>
      <c r="B256" s="356" t="s">
        <v>111</v>
      </c>
      <c r="C256" s="356" t="s">
        <v>112</v>
      </c>
      <c r="D256" s="356" t="s">
        <v>113</v>
      </c>
      <c r="E256" s="356" t="s">
        <v>114</v>
      </c>
      <c r="F256" s="356" t="s">
        <v>115</v>
      </c>
      <c r="G256" s="356" t="s">
        <v>116</v>
      </c>
      <c r="H256" s="356" t="s">
        <v>117</v>
      </c>
      <c r="I256" s="356" t="s">
        <v>116</v>
      </c>
      <c r="J256" s="356" t="s">
        <v>118</v>
      </c>
      <c r="K256" s="356" t="s">
        <v>119</v>
      </c>
      <c r="L256" s="356" t="s">
        <v>120</v>
      </c>
      <c r="M256" s="200"/>
      <c r="N256" s="200"/>
    </row>
    <row r="257" spans="1:14">
      <c r="A257" s="373">
        <f t="shared" si="34"/>
        <v>46223</v>
      </c>
      <c r="B257" s="408">
        <f>'CHICLETS MASTER S1'!J53</f>
        <v>0.33333333333333331</v>
      </c>
      <c r="C257" s="403" t="s">
        <v>1198</v>
      </c>
      <c r="D257" s="357" t="str">
        <f>$D$255</f>
        <v>SAN CLEMENTE HS</v>
      </c>
      <c r="E257" s="409">
        <v>114</v>
      </c>
      <c r="F257" s="396" t="str">
        <f>A226</f>
        <v>1st pt_O-</v>
      </c>
      <c r="G257" s="396"/>
      <c r="H257" s="396" t="str">
        <f>C226</f>
        <v>1st pt_U-</v>
      </c>
      <c r="I257" s="396"/>
      <c r="J257" s="396">
        <v>136</v>
      </c>
      <c r="K257" s="396">
        <v>142</v>
      </c>
      <c r="L257" s="396" t="str">
        <f t="shared" ref="L257:L270" si="37">IF(E257="","",$L$66&amp;"-"&amp;TEXT(E257,"000"))</f>
        <v>12G-114</v>
      </c>
      <c r="M257" s="405"/>
      <c r="N257" s="405" t="str">
        <f t="shared" ref="N257:N264" si="38">$M$155&amp;C257</f>
        <v>pt_3v8 QF</v>
      </c>
    </row>
    <row r="258" spans="1:14">
      <c r="A258" s="373">
        <f t="shared" si="34"/>
        <v>46223</v>
      </c>
      <c r="B258" s="408">
        <f>'CHICLETS MASTER S1'!J54</f>
        <v>0.36805555555555558</v>
      </c>
      <c r="C258" s="403" t="s">
        <v>1199</v>
      </c>
      <c r="D258" s="357" t="str">
        <f t="shared" ref="D258:D270" si="39">$D$255</f>
        <v>SAN CLEMENTE HS</v>
      </c>
      <c r="E258" s="409">
        <v>119</v>
      </c>
      <c r="F258" s="396" t="str">
        <f>A227</f>
        <v>1st pt_P-</v>
      </c>
      <c r="G258" s="396"/>
      <c r="H258" s="396" t="str">
        <f>C227</f>
        <v>1st pt_T-</v>
      </c>
      <c r="I258" s="396"/>
      <c r="J258" s="396">
        <v>133</v>
      </c>
      <c r="K258" s="396">
        <v>139</v>
      </c>
      <c r="L258" s="396" t="str">
        <f t="shared" si="37"/>
        <v>12G-119</v>
      </c>
      <c r="M258" s="405"/>
      <c r="N258" s="405" t="str">
        <f t="shared" si="38"/>
        <v>pt_4v7 QF</v>
      </c>
    </row>
    <row r="259" spans="1:14">
      <c r="A259" s="373">
        <f t="shared" si="34"/>
        <v>46223</v>
      </c>
      <c r="B259" s="408">
        <f>'CHICLETS MASTER S1'!J55</f>
        <v>0.40277777777777801</v>
      </c>
      <c r="C259" s="357" t="s">
        <v>1200</v>
      </c>
      <c r="D259" s="357" t="str">
        <f t="shared" si="39"/>
        <v>SAN CLEMENTE HS</v>
      </c>
      <c r="E259" s="375">
        <v>123</v>
      </c>
      <c r="F259" s="395" t="s">
        <v>354</v>
      </c>
      <c r="G259" s="396"/>
      <c r="H259" s="395" t="s">
        <v>386</v>
      </c>
      <c r="I259" s="396"/>
      <c r="J259" s="396">
        <v>160</v>
      </c>
      <c r="K259" s="396">
        <v>148</v>
      </c>
      <c r="L259" s="395" t="str">
        <f t="shared" si="37"/>
        <v>12G-123</v>
      </c>
      <c r="M259" s="200"/>
      <c r="N259" s="357" t="str">
        <f t="shared" si="38"/>
        <v>pt_17th-24th</v>
      </c>
    </row>
    <row r="260" spans="1:14">
      <c r="A260" s="373">
        <f t="shared" si="34"/>
        <v>46223</v>
      </c>
      <c r="B260" s="408">
        <f>'CHICLETS MASTER S1'!J56</f>
        <v>0.4375</v>
      </c>
      <c r="C260" s="357" t="s">
        <v>1200</v>
      </c>
      <c r="D260" s="357" t="str">
        <f t="shared" si="39"/>
        <v>SAN CLEMENTE HS</v>
      </c>
      <c r="E260" s="375">
        <v>126</v>
      </c>
      <c r="F260" s="395" t="s">
        <v>364</v>
      </c>
      <c r="G260" s="396"/>
      <c r="H260" s="395" t="s">
        <v>384</v>
      </c>
      <c r="I260" s="396"/>
      <c r="J260" s="396">
        <v>160</v>
      </c>
      <c r="K260" s="396">
        <v>148</v>
      </c>
      <c r="L260" s="395" t="str">
        <f t="shared" si="37"/>
        <v>12G-126</v>
      </c>
      <c r="M260" s="200"/>
      <c r="N260" s="357" t="str">
        <f t="shared" si="38"/>
        <v>pt_17th-24th</v>
      </c>
    </row>
    <row r="261" spans="1:14">
      <c r="A261" s="373">
        <f t="shared" si="34"/>
        <v>46223</v>
      </c>
      <c r="B261" s="408">
        <f>'CHICLETS MASTER S1'!J57</f>
        <v>0.47222222222222199</v>
      </c>
      <c r="C261" s="357" t="s">
        <v>1200</v>
      </c>
      <c r="D261" s="357" t="str">
        <f t="shared" si="39"/>
        <v>SAN CLEMENTE HS</v>
      </c>
      <c r="E261" s="375">
        <v>137</v>
      </c>
      <c r="F261" s="415" t="s">
        <v>356</v>
      </c>
      <c r="G261" s="410"/>
      <c r="H261" s="415" t="s">
        <v>385</v>
      </c>
      <c r="I261" s="410"/>
      <c r="J261" s="396">
        <v>157</v>
      </c>
      <c r="K261" s="396">
        <v>145</v>
      </c>
      <c r="L261" s="395" t="str">
        <f t="shared" si="37"/>
        <v>12G-137</v>
      </c>
      <c r="M261" s="200"/>
      <c r="N261" s="357" t="str">
        <f t="shared" si="38"/>
        <v>pt_17th-24th</v>
      </c>
    </row>
    <row r="262" spans="1:14">
      <c r="A262" s="373">
        <f t="shared" si="34"/>
        <v>46223</v>
      </c>
      <c r="B262" s="408">
        <f>'CHICLETS MASTER S1'!J58</f>
        <v>0.50694444444444398</v>
      </c>
      <c r="C262" s="357" t="s">
        <v>1200</v>
      </c>
      <c r="D262" s="357" t="str">
        <f t="shared" si="39"/>
        <v>SAN CLEMENTE HS</v>
      </c>
      <c r="E262" s="375">
        <v>140</v>
      </c>
      <c r="F262" s="415" t="s">
        <v>366</v>
      </c>
      <c r="G262" s="410"/>
      <c r="H262" s="415" t="s">
        <v>387</v>
      </c>
      <c r="I262" s="396"/>
      <c r="J262" s="396">
        <v>157</v>
      </c>
      <c r="K262" s="396">
        <v>145</v>
      </c>
      <c r="L262" s="395" t="str">
        <f t="shared" si="37"/>
        <v>12G-140</v>
      </c>
      <c r="M262" s="200"/>
      <c r="N262" s="357" t="str">
        <f t="shared" si="38"/>
        <v>pt_17th-24th</v>
      </c>
    </row>
    <row r="263" spans="1:14">
      <c r="A263" s="373">
        <f t="shared" si="34"/>
        <v>46223</v>
      </c>
      <c r="B263" s="408">
        <f>'CHICLETS MASTER S1'!J59</f>
        <v>0.54166666666666696</v>
      </c>
      <c r="C263" s="357" t="s">
        <v>1190</v>
      </c>
      <c r="D263" s="357" t="str">
        <f t="shared" si="39"/>
        <v>SAN CLEMENTE HS</v>
      </c>
      <c r="E263" s="375">
        <v>117</v>
      </c>
      <c r="F263" s="396" t="s">
        <v>377</v>
      </c>
      <c r="G263" s="396"/>
      <c r="H263" s="410" t="s">
        <v>389</v>
      </c>
      <c r="I263" s="396"/>
      <c r="J263" s="396">
        <v>146</v>
      </c>
      <c r="K263" s="396">
        <v>156</v>
      </c>
      <c r="L263" s="395" t="str">
        <f t="shared" si="37"/>
        <v>12G-117</v>
      </c>
      <c r="M263" s="200"/>
      <c r="N263" s="200" t="str">
        <f t="shared" si="38"/>
        <v>pt_9-16 QF</v>
      </c>
    </row>
    <row r="264" spans="1:14">
      <c r="A264" s="373">
        <f t="shared" si="34"/>
        <v>46223</v>
      </c>
      <c r="B264" s="408">
        <f>'CHICLETS MASTER S1'!J60</f>
        <v>0.57638888888888895</v>
      </c>
      <c r="C264" s="357" t="s">
        <v>1190</v>
      </c>
      <c r="D264" s="357" t="str">
        <f t="shared" si="39"/>
        <v>SAN CLEMENTE HS</v>
      </c>
      <c r="E264" s="375">
        <v>122</v>
      </c>
      <c r="F264" s="396" t="s">
        <v>375</v>
      </c>
      <c r="G264" s="396"/>
      <c r="H264" s="410" t="s">
        <v>391</v>
      </c>
      <c r="I264" s="396"/>
      <c r="J264" s="396">
        <v>143</v>
      </c>
      <c r="K264" s="396">
        <v>151</v>
      </c>
      <c r="L264" s="395" t="str">
        <f t="shared" si="37"/>
        <v>12G-122</v>
      </c>
      <c r="M264" s="200"/>
      <c r="N264" s="200" t="str">
        <f t="shared" si="38"/>
        <v>pt_9-16 QF</v>
      </c>
    </row>
    <row r="265" spans="1:14">
      <c r="A265" s="373">
        <f t="shared" si="34"/>
        <v>46223</v>
      </c>
      <c r="B265" s="408">
        <f>'CHICLETS MASTER S1'!J61</f>
        <v>0.61111111111111105</v>
      </c>
      <c r="C265" s="403" t="s">
        <v>394</v>
      </c>
      <c r="D265" s="357" t="str">
        <f t="shared" si="39"/>
        <v>SAN CLEMENTE HS</v>
      </c>
      <c r="E265" s="416">
        <v>128</v>
      </c>
      <c r="F265" s="399" t="str">
        <f>IF(G275="","W201",IF(G275&gt;I275,_xlfn.CONCAT("W201-",RIGHT(F275,LEN(F275) - FIND("-",F275))), _xlfn.CONCAT("W201-",RIGHT(H275,LEN(H275) - FIND("-",H275)))))</f>
        <v>W201</v>
      </c>
      <c r="G265" s="399"/>
      <c r="H265" s="399" t="str">
        <f>IF(G277="","W202",IF(G277&gt;I277,_xlfn.CONCAT("W202-",RIGHT(F277,LEN(F277) - FIND("-",F277))), _xlfn.CONCAT("W202-",RIGHT(H277,LEN(H277) - FIND("-",H277)))))</f>
        <v>W202</v>
      </c>
      <c r="I265" s="399"/>
      <c r="J265" s="398">
        <v>167</v>
      </c>
      <c r="K265" s="398">
        <v>168</v>
      </c>
      <c r="L265" s="398" t="str">
        <f t="shared" si="37"/>
        <v>12G-128</v>
      </c>
      <c r="M265" s="200"/>
      <c r="N265" s="200" t="str">
        <f t="shared" ref="N265:N266" si="40">$M$156&amp;C265</f>
        <v>au_17-20 semi</v>
      </c>
    </row>
    <row r="266" spans="1:14">
      <c r="A266" s="373">
        <f t="shared" si="34"/>
        <v>46223</v>
      </c>
      <c r="B266" s="408">
        <f>'CHICLETS MASTER S1'!J62</f>
        <v>0.64583333333333304</v>
      </c>
      <c r="C266" s="403" t="s">
        <v>394</v>
      </c>
      <c r="D266" s="357" t="str">
        <f t="shared" si="39"/>
        <v>SAN CLEMENTE HS</v>
      </c>
      <c r="E266" s="417">
        <v>129</v>
      </c>
      <c r="F266" s="418" t="str">
        <f>IF(G276="","W203",IF(G276&gt;I276,_xlfn.CONCAT("W203-",RIGHT(F276,LEN(F276) - FIND("-",F276))), _xlfn.CONCAT("W203-",RIGHT(H276,LEN(H276) - FIND("-",H276)))))</f>
        <v>W203</v>
      </c>
      <c r="G266" s="399"/>
      <c r="H266" s="418" t="str">
        <f>IF(G278="","W204",IF(G278&gt;I278,_xlfn.CONCAT("W204-",RIGHT(F278,LEN(F278) - FIND("-",F278))), _xlfn.CONCAT("W204-",RIGHT(H278,LEN(H278) - FIND("-",H278)))))</f>
        <v>W204</v>
      </c>
      <c r="I266" s="399"/>
      <c r="J266" s="398">
        <v>167</v>
      </c>
      <c r="K266" s="398">
        <v>168</v>
      </c>
      <c r="L266" s="398" t="str">
        <f t="shared" si="37"/>
        <v>12G-129</v>
      </c>
      <c r="M266" s="200"/>
      <c r="N266" s="200" t="str">
        <f t="shared" si="40"/>
        <v>au_17-20 semi</v>
      </c>
    </row>
    <row r="267" spans="1:14">
      <c r="A267" s="373">
        <f t="shared" si="34"/>
        <v>46223</v>
      </c>
      <c r="B267" s="408">
        <f>'CHICLETS MASTER S1'!J63</f>
        <v>0.68055555555555602</v>
      </c>
      <c r="C267" s="357" t="s">
        <v>1201</v>
      </c>
      <c r="D267" s="357" t="str">
        <f t="shared" si="39"/>
        <v>SAN CLEMENTE HS</v>
      </c>
      <c r="E267" s="375">
        <v>157</v>
      </c>
      <c r="F267" s="411" t="str">
        <f>IF(G261="","W137",IF(G261&gt;I261,_xlfn.CONCAT("W137-",RIGHT(F261,LEN(F261) - FIND("-",F261))), _xlfn.CONCAT("W137-",RIGHT(H261,LEN(H261) - FIND("-",H261)))))</f>
        <v>W137</v>
      </c>
      <c r="G267" s="396"/>
      <c r="H267" s="395" t="str">
        <f>IF(G262="","W140",IF(G262&gt;I262,_xlfn.CONCAT("W140-",RIGHT(F262,LEN(F262) - FIND("-",F262))), _xlfn.CONCAT("W140-",RIGHT(H262,LEN(H262) - FIND("-",H262)))))</f>
        <v>W140</v>
      </c>
      <c r="I267" s="396"/>
      <c r="J267" s="396">
        <v>181</v>
      </c>
      <c r="K267" s="396">
        <v>179</v>
      </c>
      <c r="L267" s="395" t="str">
        <f t="shared" si="37"/>
        <v>12G-157</v>
      </c>
      <c r="M267" s="200"/>
      <c r="N267" s="357" t="str">
        <f t="shared" ref="N267:N270" si="41">$M$155&amp;C267</f>
        <v>pt_17th-20th</v>
      </c>
    </row>
    <row r="268" spans="1:14">
      <c r="A268" s="373">
        <f t="shared" si="34"/>
        <v>46223</v>
      </c>
      <c r="B268" s="408">
        <f>'CHICLETS MASTER S1'!J64</f>
        <v>0.71527777777777801</v>
      </c>
      <c r="C268" s="357" t="s">
        <v>1201</v>
      </c>
      <c r="D268" s="357" t="str">
        <f t="shared" si="39"/>
        <v>SAN CLEMENTE HS</v>
      </c>
      <c r="E268" s="375">
        <v>160</v>
      </c>
      <c r="F268" s="411" t="str">
        <f>IF(G259="","W123",IF(G259&gt;I259,_xlfn.CONCAT("W123-",RIGHT(F259,LEN(F259) - FIND("-",F259))), _xlfn.CONCAT("W123-",RIGHT(H259,LEN(H259) - FIND("-",H259)))))</f>
        <v>W123</v>
      </c>
      <c r="G268" s="410"/>
      <c r="H268" s="395" t="str">
        <f>IF(G260="","W126",IF(G260&gt;I260,_xlfn.CONCAT("W126-",RIGHT(F260,LEN(F260) - FIND("-",F260))), _xlfn.CONCAT("W126-",RIGHT(H260,LEN(H260) - FIND("-",H260)))))</f>
        <v>W126</v>
      </c>
      <c r="I268" s="396"/>
      <c r="J268" s="396">
        <v>181</v>
      </c>
      <c r="K268" s="396">
        <v>179</v>
      </c>
      <c r="L268" s="395" t="str">
        <f t="shared" si="37"/>
        <v>12G-160</v>
      </c>
      <c r="M268" s="200"/>
      <c r="N268" s="357" t="str">
        <f t="shared" si="41"/>
        <v>pt_17th-20th</v>
      </c>
    </row>
    <row r="269" spans="1:14">
      <c r="A269" s="373">
        <f>$A$237</f>
        <v>46223</v>
      </c>
      <c r="B269" s="408">
        <f>'CHICLETS MASTER S1'!J65</f>
        <v>0.75</v>
      </c>
      <c r="C269" s="373" t="s">
        <v>1202</v>
      </c>
      <c r="D269" s="357" t="str">
        <f t="shared" si="39"/>
        <v>SAN CLEMENTE HS</v>
      </c>
      <c r="E269" s="375">
        <v>143</v>
      </c>
      <c r="F269" s="413" t="str">
        <f>IF(G242="","W124",IF(G242&gt;I242,_xlfn.CONCAT("W124-",RIGHT(F242,LEN(F242) - FIND("-",F242))), _xlfn.CONCAT("W124-",RIGHT(H242,LEN(H242) - FIND("-",H242)))))</f>
        <v>W124</v>
      </c>
      <c r="G269" s="396"/>
      <c r="H269" s="413" t="str">
        <f>IF(G264="","W122",IF(G264&gt;I264,_xlfn.CONCAT("W122-",RIGHT(F264,LEN(F264) - FIND("-",F264))), _xlfn.CONCAT("W122-",RIGHT(H264,LEN(H264) - FIND("-",H264)))))</f>
        <v>W122</v>
      </c>
      <c r="I269" s="396"/>
      <c r="J269" s="396">
        <v>189</v>
      </c>
      <c r="K269" s="396">
        <v>187</v>
      </c>
      <c r="L269" s="395" t="str">
        <f t="shared" si="37"/>
        <v>12G-143</v>
      </c>
      <c r="M269" s="200"/>
      <c r="N269" s="200" t="str">
        <f t="shared" si="41"/>
        <v>pt_9th-12th</v>
      </c>
    </row>
    <row r="270" spans="1:14">
      <c r="A270" s="373">
        <f>$A$237</f>
        <v>46223</v>
      </c>
      <c r="B270" s="408">
        <f>'CHICLETS MASTER S1'!J66</f>
        <v>0.78472222222222199</v>
      </c>
      <c r="C270" s="373" t="s">
        <v>1202</v>
      </c>
      <c r="D270" s="357" t="str">
        <f t="shared" si="39"/>
        <v>SAN CLEMENTE HS</v>
      </c>
      <c r="E270" s="375">
        <v>146</v>
      </c>
      <c r="F270" s="413" t="s">
        <v>1203</v>
      </c>
      <c r="G270" s="410"/>
      <c r="H270" s="413" t="str">
        <f>IF(G243="","W127",IF(G243&gt;I243,_xlfn.CONCAT("W127-",RIGHT(F243,LEN(F243) - FIND("-",F243))), _xlfn.CONCAT("W127-",RIGHT(H243,LEN(H243) - FIND("-",H243)))))</f>
        <v>W127</v>
      </c>
      <c r="I270" s="410"/>
      <c r="J270" s="396">
        <v>189</v>
      </c>
      <c r="K270" s="396">
        <v>187</v>
      </c>
      <c r="L270" s="395" t="str">
        <f t="shared" si="37"/>
        <v>12G-146</v>
      </c>
      <c r="M270" s="200"/>
      <c r="N270" s="200" t="str">
        <f t="shared" si="41"/>
        <v>pt_9th-12th</v>
      </c>
    </row>
    <row r="271" spans="1:14">
      <c r="A271" s="200"/>
      <c r="B271" s="200"/>
      <c r="C271" s="200"/>
      <c r="D271" s="200"/>
      <c r="E271" s="200"/>
      <c r="F271" s="405"/>
      <c r="G271" s="405"/>
      <c r="H271" s="405"/>
      <c r="I271" s="200"/>
      <c r="J271" s="405"/>
      <c r="K271" s="405"/>
      <c r="L271" s="200"/>
      <c r="M271" s="200"/>
      <c r="N271" s="200"/>
    </row>
    <row r="272" spans="1:14" ht="13.8" thickBot="1">
      <c r="A272" s="397"/>
      <c r="B272" s="397"/>
      <c r="C272" s="16"/>
      <c r="D272" s="16"/>
      <c r="E272" s="16"/>
      <c r="F272" s="405"/>
      <c r="G272" s="414"/>
      <c r="H272" s="405"/>
      <c r="I272" s="16"/>
      <c r="J272" s="405"/>
      <c r="K272" s="405"/>
      <c r="L272" s="16"/>
      <c r="M272" s="200"/>
      <c r="N272" s="200"/>
    </row>
    <row r="273" spans="1:14" ht="13.8" thickBot="1">
      <c r="A273" s="200"/>
      <c r="B273" s="16"/>
      <c r="C273" s="16"/>
      <c r="D273" s="244" t="str">
        <f>'CHICLETS MASTER S1'!$S$51</f>
        <v>MISSION VIEJO HS</v>
      </c>
      <c r="E273" s="16"/>
      <c r="F273" s="405"/>
      <c r="G273" s="414"/>
      <c r="H273" s="405"/>
      <c r="I273" s="16"/>
      <c r="J273" s="405"/>
      <c r="K273" s="405"/>
      <c r="L273" s="16"/>
      <c r="M273" s="200"/>
      <c r="N273" s="200"/>
    </row>
    <row r="274" spans="1:14">
      <c r="A274" s="356" t="s">
        <v>110</v>
      </c>
      <c r="B274" s="356" t="s">
        <v>111</v>
      </c>
      <c r="C274" s="356" t="s">
        <v>112</v>
      </c>
      <c r="D274" s="356" t="s">
        <v>113</v>
      </c>
      <c r="E274" s="356" t="s">
        <v>114</v>
      </c>
      <c r="F274" s="356" t="s">
        <v>115</v>
      </c>
      <c r="G274" s="356" t="s">
        <v>116</v>
      </c>
      <c r="H274" s="356" t="s">
        <v>117</v>
      </c>
      <c r="I274" s="356" t="s">
        <v>116</v>
      </c>
      <c r="J274" s="356" t="s">
        <v>118</v>
      </c>
      <c r="K274" s="356" t="s">
        <v>119</v>
      </c>
      <c r="L274" s="356" t="s">
        <v>120</v>
      </c>
      <c r="M274" s="200"/>
      <c r="N274" s="200"/>
    </row>
    <row r="275" spans="1:14">
      <c r="A275" s="373">
        <f t="shared" si="34"/>
        <v>46223</v>
      </c>
      <c r="B275" s="408">
        <f>'CHICLETS MASTER S1'!J53</f>
        <v>0.33333333333333331</v>
      </c>
      <c r="C275" s="419" t="s">
        <v>1204</v>
      </c>
      <c r="D275" s="420" t="str">
        <f>$D$273</f>
        <v>MISSION VIEJO HS</v>
      </c>
      <c r="E275" s="419">
        <v>201</v>
      </c>
      <c r="F275" s="421" t="s">
        <v>400</v>
      </c>
      <c r="G275" s="399"/>
      <c r="H275" s="402" t="s">
        <v>1205</v>
      </c>
      <c r="I275" s="399"/>
      <c r="J275" s="399">
        <v>128</v>
      </c>
      <c r="K275" s="399" t="s">
        <v>203</v>
      </c>
      <c r="L275" s="398" t="str">
        <f t="shared" ref="L275:L289" si="42">IF(E275="","",$L$66&amp;"-"&amp;TEXT(E275,"000"))</f>
        <v>12G-201</v>
      </c>
      <c r="N275" s="360" t="str">
        <f t="shared" ref="N275:N289" si="43">$M$156&amp;C275</f>
        <v>au_17-24 QF</v>
      </c>
    </row>
    <row r="276" spans="1:14">
      <c r="A276" s="373">
        <f t="shared" si="34"/>
        <v>46223</v>
      </c>
      <c r="B276" s="408">
        <f>'CHICLETS MASTER S1'!J54</f>
        <v>0.36805555555555558</v>
      </c>
      <c r="C276" s="419" t="s">
        <v>1204</v>
      </c>
      <c r="D276" s="420" t="str">
        <f t="shared" ref="D276:D289" si="44">$D$273</f>
        <v>MISSION VIEJO HS</v>
      </c>
      <c r="E276" s="419">
        <v>203</v>
      </c>
      <c r="F276" s="421" t="s">
        <v>402</v>
      </c>
      <c r="G276" s="399"/>
      <c r="H276" s="402" t="str">
        <f>IF(G202="","3rd au_S (W111)",IF(G202&gt;I202,_xlfn.CONCAT("3rd au_S (W111)-",RIGHT(F202,LEN(F202) - FIND("-",F202))), _xlfn.CONCAT("3rd au_S (W111)-",RIGHT(H202,LEN(H202) - FIND("-",H202)))))</f>
        <v>3rd au_S (W111)</v>
      </c>
      <c r="I276" s="399"/>
      <c r="J276" s="399">
        <v>129</v>
      </c>
      <c r="K276" s="399" t="s">
        <v>202</v>
      </c>
      <c r="L276" s="398" t="str">
        <f t="shared" si="42"/>
        <v>12G-203</v>
      </c>
      <c r="N276" s="360" t="str">
        <f t="shared" si="43"/>
        <v>au_17-24 QF</v>
      </c>
    </row>
    <row r="277" spans="1:14">
      <c r="A277" s="373">
        <f t="shared" si="34"/>
        <v>46223</v>
      </c>
      <c r="B277" s="408">
        <f>'CHICLETS MASTER S1'!J55</f>
        <v>0.40277777777777801</v>
      </c>
      <c r="C277" s="419" t="s">
        <v>1204</v>
      </c>
      <c r="D277" s="420" t="str">
        <f t="shared" si="44"/>
        <v>MISSION VIEJO HS</v>
      </c>
      <c r="E277" s="419">
        <v>202</v>
      </c>
      <c r="F277" s="421" t="s">
        <v>398</v>
      </c>
      <c r="G277" s="399"/>
      <c r="H277" s="402" t="str">
        <f>IF(G220="","3rd au_T (W112)",IF(G220&gt;I220,_xlfn.CONCAT("3rd au_T (W112)-",RIGHT(F220,LEN(F220) - FIND("-",F220))), _xlfn.CONCAT("3rd au_T (W112)-",RIGHT(H220,LEN(H220) - FIND("-",H220)))))</f>
        <v>3rd au_T (W112)</v>
      </c>
      <c r="I277" s="399"/>
      <c r="J277" s="399">
        <v>128</v>
      </c>
      <c r="K277" s="399" t="s">
        <v>169</v>
      </c>
      <c r="L277" s="398" t="str">
        <f t="shared" si="42"/>
        <v>12G-202</v>
      </c>
      <c r="N277" s="360" t="str">
        <f t="shared" si="43"/>
        <v>au_17-24 QF</v>
      </c>
    </row>
    <row r="278" spans="1:14">
      <c r="A278" s="373">
        <f t="shared" si="34"/>
        <v>46223</v>
      </c>
      <c r="B278" s="408">
        <f>'CHICLETS MASTER S1'!J56</f>
        <v>0.4375</v>
      </c>
      <c r="C278" s="419" t="s">
        <v>1204</v>
      </c>
      <c r="D278" s="420" t="str">
        <f t="shared" si="44"/>
        <v>MISSION VIEJO HS</v>
      </c>
      <c r="E278" s="419">
        <v>204</v>
      </c>
      <c r="F278" s="421" t="s">
        <v>396</v>
      </c>
      <c r="G278" s="399"/>
      <c r="H278" s="402" t="s">
        <v>1206</v>
      </c>
      <c r="I278" s="399"/>
      <c r="J278" s="399">
        <v>129</v>
      </c>
      <c r="K278" s="399" t="s">
        <v>183</v>
      </c>
      <c r="L278" s="398" t="str">
        <f t="shared" si="42"/>
        <v>12G-204</v>
      </c>
      <c r="N278" s="360" t="str">
        <f t="shared" si="43"/>
        <v>au_17-24 QF</v>
      </c>
    </row>
    <row r="279" spans="1:14">
      <c r="A279" s="373">
        <f t="shared" si="34"/>
        <v>46223</v>
      </c>
      <c r="B279" s="408">
        <f>'CHICLETS MASTER S1'!J57</f>
        <v>0.47222222222222199</v>
      </c>
      <c r="C279" s="357" t="s">
        <v>1207</v>
      </c>
      <c r="D279" s="420" t="str">
        <f t="shared" si="44"/>
        <v>MISSION VIEJO HS</v>
      </c>
      <c r="E279" s="375">
        <v>135</v>
      </c>
      <c r="F279" s="422" t="str">
        <f>IF(G275="","au_W1",IF(G275&lt;I275,_xlfn.CONCAT("au_W1-",RIGHT(F275,LEN(F275) - FIND("-",F275))), _xlfn.CONCAT("au_W1-",RIGHT(H275,LEN(H275) - FIND("-",H275)))))</f>
        <v>au_W1</v>
      </c>
      <c r="G279" s="423"/>
      <c r="H279" s="422" t="s">
        <v>1170</v>
      </c>
      <c r="I279" s="399"/>
      <c r="J279" s="399" t="s">
        <v>1208</v>
      </c>
      <c r="K279" s="399" t="s">
        <v>1209</v>
      </c>
      <c r="L279" s="398" t="str">
        <f t="shared" si="42"/>
        <v>12G-135</v>
      </c>
      <c r="M279" s="200"/>
      <c r="N279" s="405" t="str">
        <f t="shared" si="43"/>
        <v>au_ 21-28 W1/W4</v>
      </c>
    </row>
    <row r="280" spans="1:14">
      <c r="A280" s="373">
        <f t="shared" si="34"/>
        <v>46223</v>
      </c>
      <c r="B280" s="408">
        <f>'CHICLETS MASTER S1'!J58</f>
        <v>0.50694444444444398</v>
      </c>
      <c r="C280" s="357" t="s">
        <v>1210</v>
      </c>
      <c r="D280" s="420" t="str">
        <f t="shared" si="44"/>
        <v>MISSION VIEJO HS</v>
      </c>
      <c r="E280" s="375">
        <v>147</v>
      </c>
      <c r="F280" s="422" t="str">
        <f>IF(G277="","au_W2",IF(G277&lt;I277,_xlfn.CONCAT("au_W2-",RIGHT(F277,LEN(F277) - FIND("-",F277))), _xlfn.CONCAT("au_W2-",RIGHT(H277,LEN(H277) - FIND("-",H277)))))</f>
        <v>au_W2</v>
      </c>
      <c r="G280" s="423"/>
      <c r="H280" s="422" t="str">
        <f>IF(G220="","au_W3",IF(G220&lt;I220,_xlfn.CONCAT("au_W3-",RIGHT(F220,LEN(F220) - FIND("-",F220))), _xlfn.CONCAT("au_W3-",RIGHT(H220,LEN(H220) - FIND("-",H220)))))</f>
        <v>au_W3</v>
      </c>
      <c r="I280" s="399"/>
      <c r="J280" s="399" t="s">
        <v>1208</v>
      </c>
      <c r="K280" s="399" t="s">
        <v>1209</v>
      </c>
      <c r="L280" s="398" t="str">
        <f t="shared" si="42"/>
        <v>12G-147</v>
      </c>
      <c r="M280" s="200"/>
      <c r="N280" s="405" t="str">
        <f t="shared" si="43"/>
        <v>au_21-28 W2/W3</v>
      </c>
    </row>
    <row r="281" spans="1:14">
      <c r="A281" s="373">
        <f t="shared" si="34"/>
        <v>46223</v>
      </c>
      <c r="B281" s="408">
        <f>'CHICLETS MASTER S1'!J59</f>
        <v>0.54166666666666696</v>
      </c>
      <c r="C281" s="357" t="s">
        <v>1190</v>
      </c>
      <c r="D281" s="420" t="str">
        <f t="shared" si="44"/>
        <v>MISSION VIEJO HS</v>
      </c>
      <c r="E281" s="375">
        <v>131</v>
      </c>
      <c r="F281" s="399" t="s">
        <v>399</v>
      </c>
      <c r="G281" s="399"/>
      <c r="H281" s="402" t="str">
        <f>IF(G197="","2nd au_S(L97)",IF(G197&lt;I197,_xlfn.CONCAT("2nd au_S(L97)-",RIGHT(F197,LEN(F197) - FIND("-",F197))), _xlfn.CONCAT("2nd au_S(L97)-",RIGHT(H197,LEN(H197) - FIND("-",H197)))))</f>
        <v>2nd au_S(L97)</v>
      </c>
      <c r="I281" s="399"/>
      <c r="J281" s="399">
        <v>149</v>
      </c>
      <c r="K281" s="399">
        <v>158</v>
      </c>
      <c r="L281" s="398" t="str">
        <f t="shared" si="42"/>
        <v>12G-131</v>
      </c>
      <c r="M281" s="200"/>
      <c r="N281" s="200" t="str">
        <f t="shared" si="43"/>
        <v>au_9-16 QF</v>
      </c>
    </row>
    <row r="282" spans="1:14">
      <c r="A282" s="373">
        <f t="shared" si="34"/>
        <v>46223</v>
      </c>
      <c r="B282" s="408">
        <f>'CHICLETS MASTER S1'!J60</f>
        <v>0.57638888888888895</v>
      </c>
      <c r="C282" s="357" t="s">
        <v>1190</v>
      </c>
      <c r="D282" s="420" t="str">
        <f t="shared" si="44"/>
        <v>MISSION VIEJO HS</v>
      </c>
      <c r="E282" s="375">
        <v>134</v>
      </c>
      <c r="F282" s="399" t="s">
        <v>401</v>
      </c>
      <c r="G282" s="424"/>
      <c r="H282" s="402" t="s">
        <v>1211</v>
      </c>
      <c r="I282" s="399"/>
      <c r="J282" s="399">
        <v>154</v>
      </c>
      <c r="K282" s="399">
        <v>161</v>
      </c>
      <c r="L282" s="398" t="str">
        <f t="shared" si="42"/>
        <v>12G-134</v>
      </c>
      <c r="M282" s="200"/>
      <c r="N282" s="200" t="str">
        <f t="shared" si="43"/>
        <v>au_9-16 QF</v>
      </c>
    </row>
    <row r="283" spans="1:14">
      <c r="A283" s="373">
        <f t="shared" si="34"/>
        <v>46223</v>
      </c>
      <c r="B283" s="408">
        <f>'CHICLETS MASTER S1'!J61</f>
        <v>0.61111111111111105</v>
      </c>
      <c r="C283" s="357" t="s">
        <v>1190</v>
      </c>
      <c r="D283" s="420" t="str">
        <f t="shared" si="44"/>
        <v>MISSION VIEJO HS</v>
      </c>
      <c r="E283" s="375">
        <v>130</v>
      </c>
      <c r="F283" s="399" t="s">
        <v>395</v>
      </c>
      <c r="G283" s="399"/>
      <c r="H283" s="402" t="str">
        <f>IF(G216="","2nd au_T(L98)",IF(G216&lt;I216,_xlfn.CONCAT("2nd au_T(L98)-",RIGHT(F216,LEN(F216) - FIND("-",F216))), _xlfn.CONCAT("2nd au_T(L98)-",RIGHT(H216,LEN(H216) - FIND("-",H216)))))</f>
        <v>2nd au_T(L98)</v>
      </c>
      <c r="I283" s="399"/>
      <c r="J283" s="399">
        <v>149</v>
      </c>
      <c r="K283" s="399">
        <v>158</v>
      </c>
      <c r="L283" s="398" t="str">
        <f t="shared" si="42"/>
        <v>12G-130</v>
      </c>
      <c r="M283" s="200"/>
      <c r="N283" s="200" t="str">
        <f t="shared" si="43"/>
        <v>au_9-16 QF</v>
      </c>
    </row>
    <row r="284" spans="1:14">
      <c r="A284" s="373">
        <f t="shared" si="34"/>
        <v>46223</v>
      </c>
      <c r="B284" s="408">
        <f>'CHICLETS MASTER S1'!J62</f>
        <v>0.64583333333333304</v>
      </c>
      <c r="C284" s="357" t="s">
        <v>1190</v>
      </c>
      <c r="D284" s="420" t="str">
        <f t="shared" si="44"/>
        <v>MISSION VIEJO HS</v>
      </c>
      <c r="E284" s="375">
        <v>125</v>
      </c>
      <c r="F284" s="399" t="s">
        <v>397</v>
      </c>
      <c r="G284" s="399"/>
      <c r="H284" s="402" t="s">
        <v>1212</v>
      </c>
      <c r="I284" s="399"/>
      <c r="J284" s="399">
        <v>154</v>
      </c>
      <c r="K284" s="399">
        <v>161</v>
      </c>
      <c r="L284" s="398" t="str">
        <f t="shared" si="42"/>
        <v>12G-125</v>
      </c>
      <c r="M284" s="200"/>
      <c r="N284" s="200" t="str">
        <f t="shared" si="43"/>
        <v>au_9-16 QF</v>
      </c>
    </row>
    <row r="285" spans="1:14">
      <c r="A285" s="373">
        <f t="shared" si="34"/>
        <v>46223</v>
      </c>
      <c r="B285" s="408">
        <f>'CHICLETS MASTER S1'!J63</f>
        <v>0.68055555555555602</v>
      </c>
      <c r="C285" s="384" t="s">
        <v>1213</v>
      </c>
      <c r="D285" s="420" t="str">
        <f t="shared" si="44"/>
        <v>MISSION VIEJO HS</v>
      </c>
      <c r="E285" s="375" t="s">
        <v>1208</v>
      </c>
      <c r="F285" s="422" t="s">
        <v>1214</v>
      </c>
      <c r="G285" s="423"/>
      <c r="H285" s="422" t="s">
        <v>1215</v>
      </c>
      <c r="I285" s="399"/>
      <c r="J285" s="399">
        <v>176</v>
      </c>
      <c r="K285" s="399">
        <v>174</v>
      </c>
      <c r="L285" s="398" t="str">
        <f t="shared" si="42"/>
        <v>12G-135A</v>
      </c>
      <c r="M285" s="200"/>
      <c r="N285" s="405" t="str">
        <f t="shared" si="43"/>
        <v>au_21-28 1st/2ndW</v>
      </c>
    </row>
    <row r="286" spans="1:14">
      <c r="A286" s="373">
        <f t="shared" si="34"/>
        <v>46223</v>
      </c>
      <c r="B286" s="408">
        <f>'CHICLETS MASTER S1'!J64</f>
        <v>0.71527777777777801</v>
      </c>
      <c r="C286" s="384" t="s">
        <v>1216</v>
      </c>
      <c r="D286" s="420" t="str">
        <f t="shared" si="44"/>
        <v>MISSION VIEJO HS</v>
      </c>
      <c r="E286" s="375" t="s">
        <v>1209</v>
      </c>
      <c r="F286" s="422" t="s">
        <v>1217</v>
      </c>
      <c r="G286" s="423"/>
      <c r="H286" s="422" t="s">
        <v>1218</v>
      </c>
      <c r="I286" s="399"/>
      <c r="J286" s="399">
        <v>173</v>
      </c>
      <c r="K286" s="399">
        <v>165</v>
      </c>
      <c r="L286" s="398" t="str">
        <f t="shared" si="42"/>
        <v>12G-147A</v>
      </c>
      <c r="M286" s="200"/>
      <c r="N286" s="405" t="str">
        <f t="shared" si="43"/>
        <v>au_21-28 3rd/4thW</v>
      </c>
    </row>
    <row r="287" spans="1:14">
      <c r="A287" s="373">
        <f t="shared" si="34"/>
        <v>46223</v>
      </c>
      <c r="B287" s="408">
        <f>'CHICLETS MASTER S1'!J65</f>
        <v>0.75</v>
      </c>
      <c r="C287" s="400" t="s">
        <v>1219</v>
      </c>
      <c r="D287" s="420" t="str">
        <f t="shared" si="44"/>
        <v>MISSION VIEJO HS</v>
      </c>
      <c r="E287" s="375" t="s">
        <v>1220</v>
      </c>
      <c r="F287" s="358" t="s">
        <v>848</v>
      </c>
      <c r="G287" s="401"/>
      <c r="H287" s="358" t="s">
        <v>1221</v>
      </c>
      <c r="I287" s="399"/>
      <c r="J287" s="399">
        <v>173</v>
      </c>
      <c r="K287" s="399">
        <v>165</v>
      </c>
      <c r="L287" s="398" t="str">
        <f>IF(E287="","",$L$66&amp;"-"&amp;TEXT(E287,"000"))</f>
        <v>12G-152A</v>
      </c>
      <c r="M287" s="200"/>
      <c r="N287" s="405" t="str">
        <f>$M$156&amp;C287</f>
        <v>au_21-28 3rd/4thV</v>
      </c>
    </row>
    <row r="288" spans="1:14">
      <c r="A288" s="373">
        <f t="shared" si="34"/>
        <v>46223</v>
      </c>
      <c r="B288" s="408">
        <f>'CHICLETS MASTER S1'!J66</f>
        <v>0.78472222222222199</v>
      </c>
      <c r="C288" s="373" t="s">
        <v>1202</v>
      </c>
      <c r="D288" s="420" t="str">
        <f t="shared" si="44"/>
        <v>MISSION VIEJO HS</v>
      </c>
      <c r="E288" s="375">
        <v>149</v>
      </c>
      <c r="F288" s="399" t="str">
        <f>IF(G281="","W131",IF(G281&gt;I281,_xlfn.CONCAT("W131-",RIGHT(F281,LEN(F281) - FIND("-",F281))), _xlfn.CONCAT("W131-",RIGHT(H281,LEN(H281) - FIND("-",H281)))))</f>
        <v>W131</v>
      </c>
      <c r="G288" s="399"/>
      <c r="H288" s="422" t="str">
        <f>IF(G283="","W130",IF(G283&gt;I283,_xlfn.CONCAT("W130-",RIGHT(F283,LEN(F283) - FIND("-",F283))), _xlfn.CONCAT("W130-",RIGHT(H283,LEN(H283) - FIND("-",H283)))))</f>
        <v>W130</v>
      </c>
      <c r="I288" s="399"/>
      <c r="J288" s="399">
        <v>188</v>
      </c>
      <c r="K288" s="399">
        <v>186</v>
      </c>
      <c r="L288" s="398" t="str">
        <f t="shared" si="42"/>
        <v>12G-149</v>
      </c>
      <c r="M288" s="200"/>
      <c r="N288" s="200" t="str">
        <f t="shared" si="43"/>
        <v>au_9th-12th</v>
      </c>
    </row>
    <row r="289" spans="1:14">
      <c r="A289" s="373">
        <f t="shared" si="34"/>
        <v>46223</v>
      </c>
      <c r="B289" s="408">
        <f>'CHICLETS MASTER S1'!J67</f>
        <v>0.81944444444444398</v>
      </c>
      <c r="C289" s="373" t="s">
        <v>1202</v>
      </c>
      <c r="D289" s="420" t="str">
        <f t="shared" si="44"/>
        <v>MISSION VIEJO HS</v>
      </c>
      <c r="E289" s="375">
        <v>154</v>
      </c>
      <c r="F289" s="399" t="str">
        <f>IF(G284="","W125",IF(G284&gt;I284,_xlfn.CONCAT("W125-",RIGHT(F284,LEN(F284) - FIND("-",F284))), _xlfn.CONCAT("W125-",RIGHT(H284,LEN(H284) - FIND("-",H284)))))</f>
        <v>W125</v>
      </c>
      <c r="G289" s="399"/>
      <c r="H289" s="399" t="str">
        <f>IF(G282="","W134",IF(G282&gt;I282,_xlfn.CONCAT("W134-",RIGHT(F282,LEN(F282) - FIND("-",F282))), _xlfn.CONCAT("W134-",RIGHT(H282,LEN(H282) - FIND("-",H282)))))</f>
        <v>W134</v>
      </c>
      <c r="I289" s="399"/>
      <c r="J289" s="399">
        <v>188</v>
      </c>
      <c r="K289" s="399">
        <v>186</v>
      </c>
      <c r="L289" s="398" t="str">
        <f t="shared" si="42"/>
        <v>12G-154</v>
      </c>
      <c r="M289" s="200"/>
      <c r="N289" s="200" t="str">
        <f t="shared" si="43"/>
        <v>au_9th-12th</v>
      </c>
    </row>
    <row r="290" spans="1:14" ht="13.8" thickBot="1">
      <c r="A290" s="200"/>
      <c r="B290" s="200"/>
      <c r="C290" s="200"/>
      <c r="D290" s="200"/>
      <c r="E290" s="200"/>
      <c r="F290" s="405"/>
      <c r="G290" s="405"/>
      <c r="H290" s="405"/>
      <c r="I290" s="200"/>
      <c r="J290" s="405"/>
      <c r="K290" s="405"/>
      <c r="L290" s="200"/>
      <c r="M290" s="200"/>
      <c r="N290" s="200"/>
    </row>
    <row r="291" spans="1:14" ht="13.8" thickBot="1">
      <c r="A291" s="397"/>
      <c r="B291" s="66"/>
      <c r="C291" s="16"/>
      <c r="D291" s="244" t="str">
        <f>'CHICLETS MASTER S1'!$T$51</f>
        <v>LAGUNA HILLS HS</v>
      </c>
      <c r="E291" s="16"/>
      <c r="F291" s="405"/>
      <c r="G291" s="414"/>
      <c r="H291" s="405"/>
      <c r="I291" s="16"/>
      <c r="J291" s="405"/>
      <c r="K291" s="405"/>
      <c r="L291" s="16"/>
      <c r="M291" s="200"/>
      <c r="N291" s="200"/>
    </row>
    <row r="292" spans="1:14">
      <c r="A292" s="356" t="s">
        <v>110</v>
      </c>
      <c r="B292" s="356" t="s">
        <v>111</v>
      </c>
      <c r="C292" s="356" t="s">
        <v>112</v>
      </c>
      <c r="D292" s="356" t="s">
        <v>113</v>
      </c>
      <c r="E292" s="356" t="s">
        <v>114</v>
      </c>
      <c r="F292" s="356" t="s">
        <v>115</v>
      </c>
      <c r="G292" s="356" t="s">
        <v>116</v>
      </c>
      <c r="H292" s="356" t="s">
        <v>117</v>
      </c>
      <c r="I292" s="356" t="s">
        <v>116</v>
      </c>
      <c r="J292" s="356" t="s">
        <v>118</v>
      </c>
      <c r="K292" s="356" t="s">
        <v>119</v>
      </c>
      <c r="L292" s="356" t="s">
        <v>120</v>
      </c>
      <c r="M292" s="200"/>
      <c r="N292" s="200"/>
    </row>
    <row r="293" spans="1:14">
      <c r="A293" s="373">
        <f t="shared" si="34"/>
        <v>46223</v>
      </c>
      <c r="B293" s="408">
        <f>'CHICLETS MASTER S1'!J53</f>
        <v>0.33333333333333331</v>
      </c>
      <c r="C293" s="403" t="s">
        <v>1198</v>
      </c>
      <c r="D293" s="357" t="str">
        <f t="shared" ref="D293:D307" si="45">$D$291</f>
        <v>LAGUNA HILLS HS</v>
      </c>
      <c r="E293" s="409">
        <v>115</v>
      </c>
      <c r="F293" s="399" t="s">
        <v>404</v>
      </c>
      <c r="G293" s="399"/>
      <c r="H293" s="399" t="s">
        <v>1222</v>
      </c>
      <c r="I293" s="399"/>
      <c r="J293" s="399">
        <v>141</v>
      </c>
      <c r="K293" s="399">
        <v>155</v>
      </c>
      <c r="L293" s="398" t="str">
        <f>IF(E293="","",$L$66&amp;"-"&amp;TEXT(E293,"000"))</f>
        <v>12G-115</v>
      </c>
      <c r="M293" s="200"/>
      <c r="N293" s="405" t="str">
        <f t="shared" ref="N293:N307" si="46">$M$156&amp;C293</f>
        <v>au_3v8 QF</v>
      </c>
    </row>
    <row r="294" spans="1:14">
      <c r="A294" s="373">
        <f t="shared" si="34"/>
        <v>46223</v>
      </c>
      <c r="B294" s="408">
        <f>'CHICLETS MASTER S1'!J54</f>
        <v>0.36805555555555558</v>
      </c>
      <c r="C294" s="403" t="s">
        <v>1199</v>
      </c>
      <c r="D294" s="357" t="str">
        <f t="shared" si="45"/>
        <v>LAGUNA HILLS HS</v>
      </c>
      <c r="E294" s="409">
        <v>120</v>
      </c>
      <c r="F294" s="399" t="s">
        <v>406</v>
      </c>
      <c r="G294" s="399"/>
      <c r="H294" s="399" t="str">
        <f>IF(G216="","1st au_T(W98)",IF(G216&gt;I216,_xlfn.CONCAT("1st au_T(W98)-",RIGHT(F216,LEN(F216) - FIND("-",F216))), _xlfn.CONCAT("1st au_T(W98)-",RIGHT(H216,LEN(H216) - FIND("-",H216)))))</f>
        <v>1st au_T(W98)</v>
      </c>
      <c r="I294" s="399"/>
      <c r="J294" s="399">
        <v>138</v>
      </c>
      <c r="K294" s="399">
        <v>150</v>
      </c>
      <c r="L294" s="398" t="str">
        <f>IF(E294="","",$L$66&amp;"-"&amp;TEXT(E294,"000"))</f>
        <v>12G-120</v>
      </c>
      <c r="M294" s="200"/>
      <c r="N294" s="405" t="str">
        <f t="shared" si="46"/>
        <v>au_4v7 QF</v>
      </c>
    </row>
    <row r="295" spans="1:14">
      <c r="A295" s="373">
        <f t="shared" si="34"/>
        <v>46223</v>
      </c>
      <c r="B295" s="408">
        <f>'CHICLETS MASTER S1'!J55</f>
        <v>0.40277777777777801</v>
      </c>
      <c r="C295" s="403" t="s">
        <v>1188</v>
      </c>
      <c r="D295" s="357" t="str">
        <f t="shared" si="45"/>
        <v>LAGUNA HILLS HS</v>
      </c>
      <c r="E295" s="375">
        <v>116</v>
      </c>
      <c r="F295" s="399" t="s">
        <v>405</v>
      </c>
      <c r="G295" s="399"/>
      <c r="H295" s="399" t="str">
        <f>IF(G197="","1st au_S(W97)",IF(G197&gt;I197,_xlfn.CONCAT("1st au_S(W97)-",RIGHT(F197,LEN(F197) - FIND("-",F197))), _xlfn.CONCAT("1st au_S(W97)-",RIGHT(H197,LEN(H197) - FIND("-",H197)))))</f>
        <v>1st au_S(W97)</v>
      </c>
      <c r="I295" s="399"/>
      <c r="J295" s="399">
        <v>138</v>
      </c>
      <c r="K295" s="399">
        <v>150</v>
      </c>
      <c r="L295" s="398" t="str">
        <f t="shared" ref="L295:L296" si="47">IF(E295="","",$L$66&amp;"-"&amp;TEXT(E295,"000"))</f>
        <v>12G-116</v>
      </c>
      <c r="M295" s="200"/>
      <c r="N295" s="200" t="str">
        <f t="shared" si="46"/>
        <v>au_1v6 QF</v>
      </c>
    </row>
    <row r="296" spans="1:14">
      <c r="A296" s="373">
        <f t="shared" si="34"/>
        <v>46223</v>
      </c>
      <c r="B296" s="408">
        <f>'CHICLETS MASTER S1'!J56</f>
        <v>0.4375</v>
      </c>
      <c r="C296" s="403" t="s">
        <v>1189</v>
      </c>
      <c r="D296" s="357" t="str">
        <f t="shared" si="45"/>
        <v>LAGUNA HILLS HS</v>
      </c>
      <c r="E296" s="375">
        <v>121</v>
      </c>
      <c r="F296" s="399" t="s">
        <v>403</v>
      </c>
      <c r="G296" s="399"/>
      <c r="H296" s="399" t="s">
        <v>1223</v>
      </c>
      <c r="I296" s="399"/>
      <c r="J296" s="399">
        <v>141</v>
      </c>
      <c r="K296" s="399">
        <v>155</v>
      </c>
      <c r="L296" s="398" t="str">
        <f t="shared" si="47"/>
        <v>12G-121</v>
      </c>
      <c r="M296" s="200"/>
      <c r="N296" s="200" t="str">
        <f t="shared" si="46"/>
        <v>au_2v5 QF</v>
      </c>
    </row>
    <row r="297" spans="1:14">
      <c r="A297" s="373">
        <f t="shared" si="34"/>
        <v>46223</v>
      </c>
      <c r="B297" s="408">
        <f>'CHICLETS MASTER S1'!J57</f>
        <v>0.47222222222222199</v>
      </c>
      <c r="C297" s="400" t="s">
        <v>1224</v>
      </c>
      <c r="D297" s="357" t="str">
        <f t="shared" si="45"/>
        <v>LAGUNA HILLS HS</v>
      </c>
      <c r="E297" s="375">
        <v>132</v>
      </c>
      <c r="F297" s="425" t="s">
        <v>202</v>
      </c>
      <c r="G297" s="426"/>
      <c r="H297" s="425" t="s">
        <v>1150</v>
      </c>
      <c r="I297" s="399"/>
      <c r="J297" s="399">
        <v>152</v>
      </c>
      <c r="K297" s="399" t="s">
        <v>1220</v>
      </c>
      <c r="L297" s="398" t="str">
        <f>IF(E297="","",$L$66&amp;"-"&amp;TEXT(E297,"000"))</f>
        <v>12G-132</v>
      </c>
      <c r="M297" s="200"/>
      <c r="N297" s="405" t="str">
        <f t="shared" si="46"/>
        <v>au_21-28 V1/V4</v>
      </c>
    </row>
    <row r="298" spans="1:14">
      <c r="A298" s="373">
        <f t="shared" si="34"/>
        <v>46223</v>
      </c>
      <c r="B298" s="408">
        <f>'CHICLETS MASTER S1'!J58</f>
        <v>0.50694444444444398</v>
      </c>
      <c r="C298" s="357" t="s">
        <v>1225</v>
      </c>
      <c r="D298" s="357" t="str">
        <f t="shared" si="45"/>
        <v>LAGUNA HILLS HS</v>
      </c>
      <c r="E298" s="375">
        <v>138</v>
      </c>
      <c r="F298" s="399" t="str">
        <f>IF(G295="","W116",IF(G295&gt;I295,_xlfn.CONCAT("W116-",RIGHT(F295,LEN(F295) - FIND("-",F295))), _xlfn.CONCAT("W116-",RIGHT(H295,LEN(H295) - FIND("-",H295)))))</f>
        <v>W116</v>
      </c>
      <c r="G298" s="399"/>
      <c r="H298" s="399" t="str">
        <f>IF(G294="","W120",IF(G294&gt;I294,_xlfn.CONCAT("W120-",RIGHT(F294,LEN(F294) - FIND("-",F294))), _xlfn.CONCAT("W120-",RIGHT(H294,LEN(H294) - FIND("-",H294)))))</f>
        <v>W120</v>
      </c>
      <c r="I298" s="399"/>
      <c r="J298" s="399">
        <v>169</v>
      </c>
      <c r="K298" s="399">
        <v>163</v>
      </c>
      <c r="L298" s="398" t="str">
        <f>IF(E298="","",$L$66&amp;"-"&amp;TEXT(E298,"000"))</f>
        <v>12G-138</v>
      </c>
      <c r="M298" s="200"/>
      <c r="N298" s="200" t="str">
        <f>$M$156&amp;C298</f>
        <v>au_W to semi, L to play-in</v>
      </c>
    </row>
    <row r="299" spans="1:14">
      <c r="A299" s="373">
        <f t="shared" si="34"/>
        <v>46223</v>
      </c>
      <c r="B299" s="408">
        <f>'CHICLETS MASTER S1'!J59</f>
        <v>0.54166666666666696</v>
      </c>
      <c r="C299" s="400" t="s">
        <v>1226</v>
      </c>
      <c r="D299" s="357" t="str">
        <f t="shared" si="45"/>
        <v>LAGUNA HILLS HS</v>
      </c>
      <c r="E299" s="375">
        <v>144</v>
      </c>
      <c r="F299" s="427" t="s">
        <v>183</v>
      </c>
      <c r="G299" s="426"/>
      <c r="H299" s="427" t="s">
        <v>172</v>
      </c>
      <c r="I299" s="399"/>
      <c r="J299" s="399">
        <v>152</v>
      </c>
      <c r="K299" s="399" t="s">
        <v>1220</v>
      </c>
      <c r="L299" s="398" t="str">
        <f>IF(E299="","",$L$66&amp;"-"&amp;TEXT(E299,"000"))</f>
        <v>12G-144</v>
      </c>
      <c r="M299" s="200"/>
      <c r="N299" s="405" t="str">
        <f>$M$156&amp;C299</f>
        <v>au_21-28 V2/V3</v>
      </c>
    </row>
    <row r="300" spans="1:14">
      <c r="A300" s="373">
        <f t="shared" si="34"/>
        <v>46223</v>
      </c>
      <c r="B300" s="408">
        <f>'CHICLETS MASTER S1'!J60</f>
        <v>0.57638888888888895</v>
      </c>
      <c r="C300" s="357" t="s">
        <v>1225</v>
      </c>
      <c r="D300" s="357" t="str">
        <f t="shared" si="45"/>
        <v>LAGUNA HILLS HS</v>
      </c>
      <c r="E300" s="375">
        <v>141</v>
      </c>
      <c r="F300" s="418" t="str">
        <f>IF(G293="","W115",IF(G293&gt;I293,_xlfn.CONCAT("W115-",RIGHT(F293,LEN(F293) - FIND("-",F293))), _xlfn.CONCAT("W115-",RIGHT(H293,LEN(H293) - FIND("-",H293)))))</f>
        <v>W115</v>
      </c>
      <c r="G300" s="399"/>
      <c r="H300" s="418" t="str">
        <f>IF(G296="","W121",IF(G296&gt;I296,_xlfn.CONCAT("W121-",RIGHT(F296,LEN(F296) - FIND("-",F296))), _xlfn.CONCAT("W121-",RIGHT(H296,LEN(H296) - FIND("-",H296)))))</f>
        <v>W121</v>
      </c>
      <c r="I300" s="399"/>
      <c r="J300" s="399">
        <v>170</v>
      </c>
      <c r="K300" s="399">
        <v>164</v>
      </c>
      <c r="L300" s="398" t="str">
        <f t="shared" ref="L300:L307" si="48">IF(E300="","",$L$66&amp;"-"&amp;TEXT(E300,"000"))</f>
        <v>12G-141</v>
      </c>
      <c r="M300" s="200"/>
      <c r="N300" s="200" t="str">
        <f t="shared" si="46"/>
        <v>au_W to semi, L to play-in</v>
      </c>
    </row>
    <row r="301" spans="1:14">
      <c r="A301" s="373">
        <f t="shared" si="34"/>
        <v>46223</v>
      </c>
      <c r="B301" s="408">
        <f>'CHICLETS MASTER S1'!J61</f>
        <v>0.61111111111111105</v>
      </c>
      <c r="C301" s="357" t="s">
        <v>1193</v>
      </c>
      <c r="D301" s="357" t="str">
        <f t="shared" si="45"/>
        <v>LAGUNA HILLS HS</v>
      </c>
      <c r="E301" s="375">
        <v>150</v>
      </c>
      <c r="F301" s="399" t="str">
        <f>IF(G295="","L116",IF(G295&lt;I295,_xlfn.CONCAT("L116-",RIGHT(F295,LEN(F295) - FIND("-",F295))), _xlfn.CONCAT("L116-",RIGHT(H295,LEN(H295) - FIND("-",H295)))))</f>
        <v>L116</v>
      </c>
      <c r="G301" s="399"/>
      <c r="H301" s="399" t="str">
        <f>IF(G294="","L120",IF(G294&lt;I294,_xlfn.CONCAT("L120-",RIGHT(F294,LEN(F294) - FIND("-",F294))), _xlfn.CONCAT("L120-",RIGHT(H294,LEN(H294) - FIND("-",H294)))))</f>
        <v>L120</v>
      </c>
      <c r="I301" s="399"/>
      <c r="J301" s="399">
        <v>163</v>
      </c>
      <c r="K301" s="399">
        <v>190</v>
      </c>
      <c r="L301" s="398" t="str">
        <f t="shared" si="48"/>
        <v>12G-150</v>
      </c>
      <c r="M301" s="200"/>
      <c r="N301" s="200" t="str">
        <f t="shared" si="46"/>
        <v>au_W to play-in</v>
      </c>
    </row>
    <row r="302" spans="1:14">
      <c r="A302" s="373">
        <f t="shared" si="34"/>
        <v>46223</v>
      </c>
      <c r="B302" s="408">
        <f>'CHICLETS MASTER S1'!J62</f>
        <v>0.64583333333333304</v>
      </c>
      <c r="C302" s="357" t="s">
        <v>1193</v>
      </c>
      <c r="D302" s="357" t="str">
        <f t="shared" si="45"/>
        <v>LAGUNA HILLS HS</v>
      </c>
      <c r="E302" s="375">
        <v>155</v>
      </c>
      <c r="F302" s="399" t="str">
        <f>IF(G293="","L115",IF(G293&lt;I293,_xlfn.CONCAT("L115-",RIGHT(F293,LEN(F293) - FIND("-",F293))), _xlfn.CONCAT("L115-",RIGHT(H293,LEN(H293) - FIND("-",H293)))))</f>
        <v>L115</v>
      </c>
      <c r="G302" s="399"/>
      <c r="H302" s="399" t="str">
        <f>IF(G296="","L121",IF(G296&lt;I296,_xlfn.CONCAT("L121-",RIGHT(F296,LEN(F296) - FIND("-",F296))), _xlfn.CONCAT("L121-",RIGHT(H296,LEN(H296) - FIND("-",H296)))))</f>
        <v>L121</v>
      </c>
      <c r="I302" s="399"/>
      <c r="J302" s="399">
        <v>164</v>
      </c>
      <c r="K302" s="399">
        <v>190</v>
      </c>
      <c r="L302" s="398" t="str">
        <f t="shared" si="48"/>
        <v>12G-155</v>
      </c>
      <c r="M302" s="200"/>
      <c r="N302" s="200" t="str">
        <f t="shared" si="46"/>
        <v>au_W to play-in</v>
      </c>
    </row>
    <row r="303" spans="1:14">
      <c r="A303" s="373">
        <f t="shared" si="34"/>
        <v>46223</v>
      </c>
      <c r="B303" s="408">
        <f>'CHICLETS MASTER S1'!J63</f>
        <v>0.68055555555555602</v>
      </c>
      <c r="C303" s="357" t="s">
        <v>1195</v>
      </c>
      <c r="D303" s="357" t="str">
        <f t="shared" si="45"/>
        <v>LAGUNA HILLS HS</v>
      </c>
      <c r="E303" s="375">
        <v>158</v>
      </c>
      <c r="F303" s="399" t="str">
        <f>IF(G281="","L131",IF(G281&lt;I281,_xlfn.CONCAT("L131-",RIGHT(F281,LEN(F281) - FIND("-",F281))), _xlfn.CONCAT("L131-",RIGHT(H281,LEN(H281) - FIND("-",H281)))))</f>
        <v>L131</v>
      </c>
      <c r="G303" s="399"/>
      <c r="H303" s="399" t="str">
        <f>IF(G283="","L130",IF(G283&lt;I283,_xlfn.CONCAT("L130-",RIGHT(F283,LEN(F283) - FIND("-",F283))), _xlfn.CONCAT("L130-",RIGHT(H283,LEN(H283) - FIND("-",H283)))))</f>
        <v>L130</v>
      </c>
      <c r="I303" s="399"/>
      <c r="J303" s="399">
        <v>184</v>
      </c>
      <c r="K303" s="399">
        <v>182</v>
      </c>
      <c r="L303" s="398" t="str">
        <f t="shared" si="48"/>
        <v>12G-158</v>
      </c>
      <c r="M303" s="200"/>
      <c r="N303" s="200" t="str">
        <f t="shared" si="46"/>
        <v>au_13th-16th</v>
      </c>
    </row>
    <row r="304" spans="1:14">
      <c r="A304" s="373">
        <f t="shared" si="34"/>
        <v>46223</v>
      </c>
      <c r="B304" s="408">
        <f>'CHICLETS MASTER S1'!J64</f>
        <v>0.71527777777777801</v>
      </c>
      <c r="C304" s="357" t="s">
        <v>1195</v>
      </c>
      <c r="D304" s="357" t="str">
        <f t="shared" si="45"/>
        <v>LAGUNA HILLS HS</v>
      </c>
      <c r="E304" s="375">
        <v>161</v>
      </c>
      <c r="F304" s="399" t="str">
        <f>IF(G284="","L125",IF(G284&lt;I284,_xlfn.CONCAT("L125-",RIGHT(F284,LEN(F284) - FIND("-",F284))), _xlfn.CONCAT("L125-",RIGHT(H284,LEN(H284) - FIND("-",H284)))))</f>
        <v>L125</v>
      </c>
      <c r="G304" s="399"/>
      <c r="H304" s="399" t="str">
        <f>IF(G282="","L134",IF(G282&lt;I282,_xlfn.CONCAT("L134-",RIGHT(F282,LEN(F282) - FIND("-",F282))), _xlfn.CONCAT("L134-",RIGHT(H282,LEN(H282) - FIND("-",H282)))))</f>
        <v>L134</v>
      </c>
      <c r="I304" s="399"/>
      <c r="J304" s="399">
        <v>184</v>
      </c>
      <c r="K304" s="399">
        <v>182</v>
      </c>
      <c r="L304" s="398" t="str">
        <f t="shared" si="48"/>
        <v>12G-161</v>
      </c>
      <c r="M304" s="200"/>
      <c r="N304" s="200" t="str">
        <f t="shared" si="46"/>
        <v>au_13th-16th</v>
      </c>
    </row>
    <row r="305" spans="1:14">
      <c r="A305" s="373">
        <f t="shared" si="34"/>
        <v>46223</v>
      </c>
      <c r="B305" s="408">
        <f>'CHICLETS MASTER S1'!J65</f>
        <v>0.75</v>
      </c>
      <c r="C305" s="400" t="s">
        <v>1227</v>
      </c>
      <c r="D305" s="357" t="str">
        <f t="shared" si="45"/>
        <v>LAGUNA HILLS HS</v>
      </c>
      <c r="E305" s="375">
        <v>152</v>
      </c>
      <c r="F305" s="399" t="s">
        <v>847</v>
      </c>
      <c r="G305" s="399"/>
      <c r="H305" s="399" t="s">
        <v>1228</v>
      </c>
      <c r="I305" s="399"/>
      <c r="J305" s="399">
        <v>176</v>
      </c>
      <c r="K305" s="399">
        <v>174</v>
      </c>
      <c r="L305" s="398" t="str">
        <f t="shared" si="48"/>
        <v>12G-152</v>
      </c>
      <c r="M305" s="200"/>
      <c r="N305" s="200" t="str">
        <f t="shared" si="46"/>
        <v>au_21-28 1st/2ndV</v>
      </c>
    </row>
    <row r="306" spans="1:14">
      <c r="A306" s="373">
        <f t="shared" si="34"/>
        <v>46223</v>
      </c>
      <c r="B306" s="408">
        <f>'CHICLETS MASTER S1'!J66</f>
        <v>0.78472222222222199</v>
      </c>
      <c r="C306" s="357" t="s">
        <v>1197</v>
      </c>
      <c r="D306" s="357" t="str">
        <f t="shared" si="45"/>
        <v>LAGUNA HILLS HS</v>
      </c>
      <c r="E306" s="375">
        <v>163</v>
      </c>
      <c r="F306" s="399" t="str">
        <f>IF(G298="","L138",IF(G298&lt;I298,_xlfn.CONCAT("L138-",RIGHT(F298,LEN(F298) - FIND("-",F298))), _xlfn.CONCAT("L138-",RIGHT(H298,LEN(H298) - FIND("-",H298)))))</f>
        <v>L138</v>
      </c>
      <c r="G306" s="399"/>
      <c r="H306" s="418" t="str">
        <f>IF(G301="","W150",IF(G301&gt;I301,_xlfn.CONCAT("W150-",RIGHT(F301,LEN(F301) - FIND("-",F301))), _xlfn.CONCAT("W150-",RIGHT(H301,LEN(H301) - FIND("-",H301)))))</f>
        <v>W150</v>
      </c>
      <c r="I306" s="399"/>
      <c r="J306" s="399">
        <v>170</v>
      </c>
      <c r="K306" s="399">
        <v>192</v>
      </c>
      <c r="L306" s="398" t="str">
        <f t="shared" si="48"/>
        <v>12G-163</v>
      </c>
      <c r="M306" s="200"/>
      <c r="N306" s="200" t="str">
        <f t="shared" si="46"/>
        <v>au_play to semi, L to 5th</v>
      </c>
    </row>
    <row r="307" spans="1:14">
      <c r="A307" s="373">
        <f t="shared" si="34"/>
        <v>46223</v>
      </c>
      <c r="B307" s="408">
        <f>'CHICLETS MASTER S1'!J67</f>
        <v>0.81944444444444398</v>
      </c>
      <c r="C307" s="357" t="s">
        <v>1197</v>
      </c>
      <c r="D307" s="357" t="str">
        <f t="shared" si="45"/>
        <v>LAGUNA HILLS HS</v>
      </c>
      <c r="E307" s="375">
        <v>164</v>
      </c>
      <c r="F307" s="399" t="str">
        <f>IF(G300="","L141",IF(G300&lt;I300,_xlfn.CONCAT("L141-",RIGHT(F300,LEN(F300) - FIND("-",F300))), _xlfn.CONCAT("L141-",RIGHT(H300,LEN(H300) - FIND("-",H300)))))</f>
        <v>L141</v>
      </c>
      <c r="G307" s="399"/>
      <c r="H307" s="418" t="str">
        <f>IF(G302="","W155",IF(G302&gt;I302,_xlfn.CONCAT("W155-",RIGHT(F302,LEN(F302) - FIND("-",F302))), _xlfn.CONCAT("W155-",RIGHT(H302,LEN(H302) - FIND("-",H302)))))</f>
        <v>W155</v>
      </c>
      <c r="I307" s="399"/>
      <c r="J307" s="399">
        <v>169</v>
      </c>
      <c r="K307" s="399">
        <v>192</v>
      </c>
      <c r="L307" s="398" t="str">
        <f t="shared" si="48"/>
        <v>12G-164</v>
      </c>
      <c r="M307" s="200"/>
      <c r="N307" s="200" t="str">
        <f t="shared" si="46"/>
        <v>au_play to semi, L to 5th</v>
      </c>
    </row>
    <row r="308" spans="1:14" ht="13.8" thickBot="1">
      <c r="A308" s="397"/>
      <c r="B308" s="66"/>
      <c r="C308" s="16"/>
      <c r="D308" s="16"/>
      <c r="E308" s="16"/>
      <c r="F308" s="405"/>
      <c r="G308" s="414"/>
      <c r="H308" s="405"/>
      <c r="I308" s="16"/>
      <c r="J308" s="16"/>
      <c r="K308" s="16"/>
      <c r="L308" s="16"/>
      <c r="M308" s="200"/>
      <c r="N308" s="200"/>
    </row>
    <row r="309" spans="1:14" ht="14.4" thickTop="1" thickBot="1">
      <c r="A309" s="244" t="s">
        <v>205</v>
      </c>
      <c r="B309" s="292"/>
      <c r="C309" s="292"/>
      <c r="D309" s="292"/>
      <c r="E309" s="292"/>
      <c r="F309" s="428"/>
      <c r="G309" s="429"/>
      <c r="H309" s="428"/>
      <c r="I309" s="292"/>
      <c r="J309" s="292"/>
      <c r="K309" s="292"/>
      <c r="L309" s="292"/>
      <c r="M309" s="200"/>
      <c r="N309" s="200"/>
    </row>
    <row r="310" spans="1:14" ht="13.8" thickBot="1">
      <c r="A310" s="361">
        <v>46224</v>
      </c>
      <c r="B310" s="200"/>
      <c r="C310" s="200"/>
      <c r="D310" s="200"/>
      <c r="E310" s="200"/>
      <c r="F310" s="405"/>
      <c r="G310" s="405"/>
      <c r="H310" s="405"/>
      <c r="I310" s="200"/>
      <c r="J310" s="200"/>
      <c r="K310" s="200" t="s">
        <v>373</v>
      </c>
      <c r="L310" s="200" t="s">
        <v>374</v>
      </c>
      <c r="M310" s="200"/>
      <c r="N310" s="200"/>
    </row>
    <row r="311" spans="1:14" ht="13.8" thickBot="1">
      <c r="A311" s="16"/>
      <c r="B311" s="16"/>
      <c r="C311" s="16"/>
      <c r="D311" s="244" t="str">
        <f>'CHICLETS MASTER S1'!$T$72</f>
        <v>LAGUNA HILLS HS</v>
      </c>
      <c r="E311" s="16"/>
      <c r="F311" s="405"/>
      <c r="G311" s="414"/>
      <c r="H311" s="405"/>
      <c r="I311" s="362"/>
      <c r="J311" s="16"/>
      <c r="K311" s="16"/>
      <c r="L311" s="16"/>
      <c r="M311" s="200"/>
      <c r="N311" s="200" t="s">
        <v>1229</v>
      </c>
    </row>
    <row r="312" spans="1:14">
      <c r="A312" s="356" t="s">
        <v>110</v>
      </c>
      <c r="B312" s="356" t="s">
        <v>111</v>
      </c>
      <c r="C312" s="356" t="s">
        <v>112</v>
      </c>
      <c r="D312" s="356" t="s">
        <v>113</v>
      </c>
      <c r="E312" s="356" t="s">
        <v>114</v>
      </c>
      <c r="F312" s="356" t="s">
        <v>115</v>
      </c>
      <c r="G312" s="356" t="s">
        <v>116</v>
      </c>
      <c r="H312" s="356" t="s">
        <v>117</v>
      </c>
      <c r="I312" s="356" t="s">
        <v>116</v>
      </c>
      <c r="J312" s="356" t="s">
        <v>118</v>
      </c>
      <c r="K312" s="356" t="s">
        <v>119</v>
      </c>
      <c r="L312" s="356" t="s">
        <v>120</v>
      </c>
      <c r="M312" s="200"/>
      <c r="N312" s="200"/>
    </row>
    <row r="313" spans="1:14">
      <c r="A313" s="373">
        <f t="shared" ref="A313:A338" si="49">$A$310</f>
        <v>46224</v>
      </c>
      <c r="B313" s="374">
        <f>'CHICLETS MASTER S1'!O73</f>
        <v>0.29166666666666669</v>
      </c>
      <c r="C313" s="384" t="s">
        <v>1185</v>
      </c>
      <c r="D313" s="357" t="str">
        <f t="shared" ref="D313:D319" si="50">$D$311</f>
        <v>LAGUNA HILLS HS</v>
      </c>
      <c r="E313" s="375">
        <v>165</v>
      </c>
      <c r="F313" s="430" t="s">
        <v>1230</v>
      </c>
      <c r="G313" s="402"/>
      <c r="H313" s="430" t="s">
        <v>1231</v>
      </c>
      <c r="I313" s="402"/>
      <c r="J313" s="398" t="s">
        <v>1185</v>
      </c>
      <c r="K313" s="398" t="s">
        <v>1232</v>
      </c>
      <c r="L313" s="398" t="str">
        <f t="shared" ref="L313:L319" si="51">IF(E313="","",$L$66&amp;"-"&amp;TEXT(E313,"000"))</f>
        <v>12G-165</v>
      </c>
      <c r="M313" s="200"/>
      <c r="N313" s="405" t="str">
        <f t="shared" ref="N313:N319" si="52">$M$156&amp;C313</f>
        <v>au_27th</v>
      </c>
    </row>
    <row r="314" spans="1:14">
      <c r="A314" s="373">
        <f t="shared" si="49"/>
        <v>46224</v>
      </c>
      <c r="B314" s="374">
        <f>'CHICLETS MASTER S1'!O74</f>
        <v>0.33333333333333298</v>
      </c>
      <c r="C314" s="384" t="s">
        <v>1182</v>
      </c>
      <c r="D314" s="357" t="str">
        <f t="shared" si="50"/>
        <v>LAGUNA HILLS HS</v>
      </c>
      <c r="E314" s="375">
        <v>173</v>
      </c>
      <c r="F314" s="430" t="s">
        <v>1233</v>
      </c>
      <c r="G314" s="402"/>
      <c r="H314" s="430" t="s">
        <v>1234</v>
      </c>
      <c r="I314" s="402"/>
      <c r="J314" s="398" t="s">
        <v>1182</v>
      </c>
      <c r="K314" s="398" t="s">
        <v>1235</v>
      </c>
      <c r="L314" s="398" t="str">
        <f>IF(E314="","",$L$66&amp;"-"&amp;TEXT(E314,"000"))</f>
        <v>12G-173</v>
      </c>
      <c r="M314" s="200"/>
      <c r="N314" s="405" t="str">
        <f>$M$156&amp;C314</f>
        <v>au_25th</v>
      </c>
    </row>
    <row r="315" spans="1:14">
      <c r="A315" s="373">
        <f t="shared" si="49"/>
        <v>46224</v>
      </c>
      <c r="B315" s="374">
        <f>'CHICLETS MASTER S1'!O75</f>
        <v>0.375</v>
      </c>
      <c r="C315" s="384" t="s">
        <v>417</v>
      </c>
      <c r="D315" s="357" t="str">
        <f t="shared" si="50"/>
        <v>LAGUNA HILLS HS</v>
      </c>
      <c r="E315" s="375">
        <v>174</v>
      </c>
      <c r="F315" s="430" t="s">
        <v>1236</v>
      </c>
      <c r="G315" s="402"/>
      <c r="H315" s="430" t="s">
        <v>1237</v>
      </c>
      <c r="I315" s="402"/>
      <c r="J315" s="398" t="s">
        <v>417</v>
      </c>
      <c r="K315" s="398" t="s">
        <v>418</v>
      </c>
      <c r="L315" s="398" t="str">
        <f>IF(E315="","",$L$66&amp;"-"&amp;TEXT(E315,"000"))</f>
        <v>12G-174</v>
      </c>
      <c r="M315" s="200"/>
      <c r="N315" s="405" t="str">
        <f>$M$156&amp;C315</f>
        <v>au_23rd</v>
      </c>
    </row>
    <row r="316" spans="1:14">
      <c r="A316" s="373">
        <f t="shared" si="49"/>
        <v>46224</v>
      </c>
      <c r="B316" s="374">
        <f>'CHICLETS MASTER S1'!O76</f>
        <v>0.41666666666666702</v>
      </c>
      <c r="C316" s="384" t="s">
        <v>415</v>
      </c>
      <c r="D316" s="357" t="str">
        <f t="shared" si="50"/>
        <v>LAGUNA HILLS HS</v>
      </c>
      <c r="E316" s="375">
        <v>176</v>
      </c>
      <c r="F316" s="430" t="s">
        <v>1238</v>
      </c>
      <c r="G316" s="402"/>
      <c r="H316" s="430" t="s">
        <v>1239</v>
      </c>
      <c r="I316" s="402"/>
      <c r="J316" s="398" t="s">
        <v>415</v>
      </c>
      <c r="K316" s="398" t="s">
        <v>416</v>
      </c>
      <c r="L316" s="398" t="str">
        <f>IF(E316="","",$L$66&amp;"-"&amp;TEXT(E316,"000"))</f>
        <v>12G-176</v>
      </c>
      <c r="M316" s="200"/>
      <c r="N316" s="405" t="str">
        <f>$M$156&amp;C316</f>
        <v>au_21st</v>
      </c>
    </row>
    <row r="317" spans="1:14">
      <c r="A317" s="373">
        <f t="shared" si="49"/>
        <v>46224</v>
      </c>
      <c r="B317" s="374">
        <f>'CHICLETS MASTER S1'!O77</f>
        <v>0.45833333333333298</v>
      </c>
      <c r="C317" s="357" t="s">
        <v>407</v>
      </c>
      <c r="D317" s="357" t="str">
        <f t="shared" si="50"/>
        <v>LAGUNA HILLS HS</v>
      </c>
      <c r="E317" s="375">
        <v>182</v>
      </c>
      <c r="F317" s="399" t="str">
        <f>IF(G303="","L158",IF(G303&lt;I303,_xlfn.CONCAT("L158-",RIGHT(F303,LEN(F303) - FIND("-",F303))), _xlfn.CONCAT("L158-",RIGHT(H303,LEN(H303) - FIND("-",H303)))))</f>
        <v>L158</v>
      </c>
      <c r="G317" s="402"/>
      <c r="H317" s="399" t="str">
        <f>IF(G304="","L161",IF(G304&lt;I304,_xlfn.CONCAT("L161-",RIGHT(F304,LEN(F304) - FIND("-",F304))), _xlfn.CONCAT("L161-",RIGHT(H304,LEN(H304) - FIND("-",H304)))))</f>
        <v>L161</v>
      </c>
      <c r="I317" s="402"/>
      <c r="J317" s="398" t="s">
        <v>407</v>
      </c>
      <c r="K317" s="398" t="s">
        <v>408</v>
      </c>
      <c r="L317" s="398" t="str">
        <f>IF(E317="","",$L$66&amp;"-"&amp;TEXT(E317,"000"))</f>
        <v>12G-182</v>
      </c>
      <c r="M317" s="200"/>
      <c r="N317" s="200" t="str">
        <f>$M$156&amp;C317</f>
        <v>au_15th</v>
      </c>
    </row>
    <row r="318" spans="1:14">
      <c r="A318" s="373">
        <f t="shared" si="49"/>
        <v>46224</v>
      </c>
      <c r="B318" s="374">
        <f>'CHICLETS MASTER S1'!O78</f>
        <v>0.5</v>
      </c>
      <c r="C318" s="384" t="s">
        <v>411</v>
      </c>
      <c r="D318" s="357" t="str">
        <f t="shared" si="50"/>
        <v>LAGUNA HILLS HS</v>
      </c>
      <c r="E318" s="375">
        <v>167</v>
      </c>
      <c r="F318" s="418" t="str">
        <f>IF(G265="","W128",IF(G265&gt;I265,_xlfn.CONCAT("W128-",RIGHT(F265,LEN(F265) - FIND("-",F265))), _xlfn.CONCAT("W128-",RIGHT(H265,LEN(H265) - FIND("-",H265)))))</f>
        <v>W128</v>
      </c>
      <c r="G318" s="402"/>
      <c r="H318" s="418" t="str">
        <f>IF(G266="","W129",IF(G266&gt;I266,_xlfn.CONCAT("W129-",RIGHT(F266,LEN(F266) - FIND("-",F266))), _xlfn.CONCAT("W129-",RIGHT(H266,LEN(H266) - FIND("-",H266)))))</f>
        <v>W129</v>
      </c>
      <c r="I318" s="402"/>
      <c r="J318" s="398" t="s">
        <v>411</v>
      </c>
      <c r="K318" s="398" t="s">
        <v>412</v>
      </c>
      <c r="L318" s="398" t="str">
        <f t="shared" si="51"/>
        <v>12G-167</v>
      </c>
      <c r="M318" s="200"/>
      <c r="N318" s="200" t="str">
        <f t="shared" si="52"/>
        <v>au_17th</v>
      </c>
    </row>
    <row r="319" spans="1:14">
      <c r="A319" s="373">
        <f t="shared" si="49"/>
        <v>46224</v>
      </c>
      <c r="B319" s="374">
        <f>'CHICLETS MASTER S1'!O79</f>
        <v>0.54166666666666696</v>
      </c>
      <c r="C319" s="384" t="s">
        <v>409</v>
      </c>
      <c r="D319" s="357" t="str">
        <f t="shared" si="50"/>
        <v>LAGUNA HILLS HS</v>
      </c>
      <c r="E319" s="375">
        <v>168</v>
      </c>
      <c r="F319" s="402" t="str">
        <f>IF(G265="","L128",IF(G265&lt;I265,_xlfn.CONCAT("L128-",RIGHT(F265,LEN(F265) - FIND("-",F265))), _xlfn.CONCAT("L128-",RIGHT(H265,LEN(H265) - FIND("-",H265)))))</f>
        <v>L128</v>
      </c>
      <c r="G319" s="402"/>
      <c r="H319" s="402" t="str">
        <f>IF(G266="","L129",IF(G266&lt;I266,_xlfn.CONCAT("L129-",RIGHT(F266,LEN(F266) - FIND("-",F266))), _xlfn.CONCAT("L129-",RIGHT(H266,LEN(H266) - FIND("-",H266)))))</f>
        <v>L129</v>
      </c>
      <c r="I319" s="402"/>
      <c r="J319" s="398" t="s">
        <v>409</v>
      </c>
      <c r="K319" s="398" t="s">
        <v>410</v>
      </c>
      <c r="L319" s="398" t="str">
        <f t="shared" si="51"/>
        <v>12G-168</v>
      </c>
      <c r="M319" s="200"/>
      <c r="N319" s="200" t="str">
        <f t="shared" si="52"/>
        <v>au_19th</v>
      </c>
    </row>
    <row r="320" spans="1:14" ht="13.8" thickBot="1">
      <c r="A320" s="431"/>
      <c r="B320" s="431"/>
      <c r="C320" s="432"/>
      <c r="D320" s="433"/>
      <c r="E320" s="200"/>
      <c r="F320" s="405"/>
      <c r="G320" s="414"/>
      <c r="H320" s="405"/>
      <c r="I320" s="200"/>
      <c r="J320" s="200"/>
      <c r="K320" s="200"/>
      <c r="L320" s="200"/>
      <c r="M320" s="200"/>
      <c r="N320" s="200"/>
    </row>
    <row r="321" spans="1:14" ht="13.8" thickBot="1">
      <c r="A321" s="16"/>
      <c r="B321" s="16"/>
      <c r="C321" s="16"/>
      <c r="D321" s="244" t="str">
        <f>'CHICLETS MASTER S1'!$S$72</f>
        <v>MISSION VIEJO HS</v>
      </c>
      <c r="E321" s="16"/>
      <c r="F321" s="405"/>
      <c r="G321" s="414"/>
      <c r="H321" s="405"/>
      <c r="I321" s="362"/>
      <c r="J321" s="16"/>
      <c r="K321" s="16"/>
      <c r="L321" s="16"/>
      <c r="M321" s="200"/>
      <c r="N321" s="200"/>
    </row>
    <row r="322" spans="1:14">
      <c r="A322" s="356" t="s">
        <v>110</v>
      </c>
      <c r="B322" s="356" t="s">
        <v>111</v>
      </c>
      <c r="C322" s="356" t="s">
        <v>112</v>
      </c>
      <c r="D322" s="356" t="s">
        <v>113</v>
      </c>
      <c r="E322" s="356" t="s">
        <v>114</v>
      </c>
      <c r="F322" s="356" t="s">
        <v>115</v>
      </c>
      <c r="G322" s="356" t="s">
        <v>116</v>
      </c>
      <c r="H322" s="356" t="s">
        <v>117</v>
      </c>
      <c r="I322" s="356" t="s">
        <v>116</v>
      </c>
      <c r="J322" s="356" t="s">
        <v>118</v>
      </c>
      <c r="K322" s="356" t="s">
        <v>119</v>
      </c>
      <c r="L322" s="356" t="s">
        <v>120</v>
      </c>
      <c r="M322" s="200"/>
      <c r="N322" s="200"/>
    </row>
    <row r="323" spans="1:14">
      <c r="A323" s="373">
        <f t="shared" ref="A323:A353" si="53">$A$310</f>
        <v>46224</v>
      </c>
      <c r="B323" s="374">
        <f>'CHICLETS MASTER S1'!O73</f>
        <v>0.29166666666666669</v>
      </c>
      <c r="C323" s="357" t="s">
        <v>415</v>
      </c>
      <c r="D323" s="357" t="str">
        <f t="shared" ref="D323:D328" si="54">$D$321</f>
        <v>MISSION VIEJO HS</v>
      </c>
      <c r="E323" s="375">
        <v>177</v>
      </c>
      <c r="F323" s="411" t="str">
        <f>IF(G248="","W145",IF(G248&gt;I248,_xlfn.CONCAT("W145-",RIGHT(F248,LEN(F248) - FIND("-",F248))), _xlfn.CONCAT("W145-",RIGHT(H248,LEN(H248) - FIND("-",H248)))))</f>
        <v>W145</v>
      </c>
      <c r="G323" s="434"/>
      <c r="H323" s="395" t="str">
        <f>IF(G249="","W148",IF(G249&gt;I249,_xlfn.CONCAT("W148-",RIGHT(F249,LEN(F249) - FIND("-",F249))), _xlfn.CONCAT("W148-",RIGHT(H249,LEN(H249) - FIND("-",H249)))))</f>
        <v>W148</v>
      </c>
      <c r="I323" s="434"/>
      <c r="J323" s="395" t="s">
        <v>415</v>
      </c>
      <c r="K323" s="395" t="s">
        <v>416</v>
      </c>
      <c r="L323" s="395" t="str">
        <f>IF(E323="","",$L$66&amp;"-"&amp;TEXT(E323,"000"))</f>
        <v>12G-177</v>
      </c>
      <c r="M323" s="200"/>
      <c r="N323" s="200" t="str">
        <f>$M$155&amp;C323</f>
        <v>pt_21st</v>
      </c>
    </row>
    <row r="324" spans="1:14">
      <c r="A324" s="373">
        <f t="shared" si="53"/>
        <v>46224</v>
      </c>
      <c r="B324" s="374">
        <f>'CHICLETS MASTER S1'!O74</f>
        <v>0.33333333333333298</v>
      </c>
      <c r="C324" s="357" t="s">
        <v>417</v>
      </c>
      <c r="D324" s="357" t="str">
        <f t="shared" si="54"/>
        <v>MISSION VIEJO HS</v>
      </c>
      <c r="E324" s="375">
        <v>175</v>
      </c>
      <c r="F324" s="396" t="str">
        <f>IF(G248="","L145",IF(G248&lt;I248,_xlfn.CONCAT("L145-",RIGHT(F248,LEN(F248) - FIND("-",F248))), _xlfn.CONCAT("L145-",RIGHT(H248,LEN(H248) - FIND("-",H248)))))</f>
        <v>L145</v>
      </c>
      <c r="G324" s="410"/>
      <c r="H324" s="396" t="str">
        <f>IF(G249="","L148",IF(G249&lt;I249,_xlfn.CONCAT("L148-",RIGHT(F249,LEN(F249) - FIND("-",F249))), _xlfn.CONCAT("L148-",RIGHT(H249,LEN(H249) - FIND("-",H249)))))</f>
        <v>L148</v>
      </c>
      <c r="I324" s="410"/>
      <c r="J324" s="395" t="s">
        <v>417</v>
      </c>
      <c r="K324" s="395" t="s">
        <v>418</v>
      </c>
      <c r="L324" s="395" t="str">
        <f>IF(E324="","",$L$66&amp;"-"&amp;TEXT(E324,"000"))</f>
        <v>12G-175</v>
      </c>
      <c r="M324" s="200"/>
      <c r="N324" s="200" t="str">
        <f>$M$155&amp;C324</f>
        <v>pt_23rd</v>
      </c>
    </row>
    <row r="325" spans="1:14">
      <c r="A325" s="373">
        <f t="shared" si="53"/>
        <v>46224</v>
      </c>
      <c r="B325" s="374">
        <f>'CHICLETS MASTER S1'!O75</f>
        <v>0.375</v>
      </c>
      <c r="C325" s="357" t="s">
        <v>206</v>
      </c>
      <c r="D325" s="357" t="str">
        <f t="shared" si="54"/>
        <v>MISSION VIEJO HS</v>
      </c>
      <c r="E325" s="375">
        <v>192</v>
      </c>
      <c r="F325" s="399" t="str">
        <f>IF(G306="","L163",IF(G306&lt;I306,_xlfn.CONCAT("L163-",RIGHT(F306,LEN(F306) - FIND("-",F306))), _xlfn.CONCAT("L163-",RIGHT(H306,LEN(H306) - FIND("-",H306)))))</f>
        <v>L163</v>
      </c>
      <c r="G325" s="402"/>
      <c r="H325" s="399" t="str">
        <f>IF(G307="","L164",IF(G307&lt;I307,_xlfn.CONCAT("L164-",RIGHT(F307,LEN(F307) - FIND("-",F307))), _xlfn.CONCAT("L164-",RIGHT(H307,LEN(H307) - FIND("-",H307)))))</f>
        <v>L164</v>
      </c>
      <c r="I325" s="402"/>
      <c r="J325" s="398" t="s">
        <v>206</v>
      </c>
      <c r="K325" s="398" t="s">
        <v>209</v>
      </c>
      <c r="L325" s="398" t="str">
        <f>IF(E325="","",$L$66&amp;"-"&amp;TEXT(E325,"000"))</f>
        <v>12G-192</v>
      </c>
      <c r="M325" s="200"/>
      <c r="N325" s="200" t="str">
        <f>$M$156&amp;C325</f>
        <v>au_5th</v>
      </c>
    </row>
    <row r="326" spans="1:14">
      <c r="A326" s="373">
        <f t="shared" si="49"/>
        <v>46224</v>
      </c>
      <c r="B326" s="374">
        <f>'CHICLETS MASTER S1'!O76</f>
        <v>0.41666666666666702</v>
      </c>
      <c r="C326" s="357" t="s">
        <v>220</v>
      </c>
      <c r="D326" s="357" t="str">
        <f t="shared" si="54"/>
        <v>MISSION VIEJO HS</v>
      </c>
      <c r="E326" s="375">
        <v>190</v>
      </c>
      <c r="F326" s="399" t="str">
        <f>IF(G301="","L150",IF(G301&lt;I301,_xlfn.CONCAT("L150-",RIGHT(F301,LEN(F301) - FIND("-",F301))), _xlfn.CONCAT("L150-",RIGHT(H301,LEN(H301) - FIND("-",H301)))))</f>
        <v>L150</v>
      </c>
      <c r="G326" s="402"/>
      <c r="H326" s="399" t="str">
        <f>IF(G302="","L155",IF(G302&lt;I302,_xlfn.CONCAT("L155-",RIGHT(F302,LEN(F302) - FIND("-",F302))), _xlfn.CONCAT("L155-",RIGHT(H302,LEN(H302) - FIND("-",H302)))))</f>
        <v>L155</v>
      </c>
      <c r="I326" s="402"/>
      <c r="J326" s="398" t="s">
        <v>220</v>
      </c>
      <c r="K326" s="398" t="s">
        <v>221</v>
      </c>
      <c r="L326" s="398" t="str">
        <f t="shared" ref="L326:L329" si="55">IF(E326="","",$L$66&amp;"-"&amp;TEXT(E326,"000"))</f>
        <v>12G-190</v>
      </c>
      <c r="M326" s="200"/>
      <c r="N326" s="200" t="str">
        <f t="shared" ref="N326:N329" si="56">$M$156&amp;C326</f>
        <v>au_7th</v>
      </c>
    </row>
    <row r="327" spans="1:14">
      <c r="A327" s="373">
        <f t="shared" si="49"/>
        <v>46224</v>
      </c>
      <c r="B327" s="374">
        <f>'CHICLETS MASTER S1'!O77</f>
        <v>0.45833333333333298</v>
      </c>
      <c r="C327" s="357" t="s">
        <v>222</v>
      </c>
      <c r="D327" s="357" t="str">
        <f t="shared" si="54"/>
        <v>MISSION VIEJO HS</v>
      </c>
      <c r="E327" s="375">
        <v>188</v>
      </c>
      <c r="F327" s="418" t="str">
        <f>IF(G288="","W149",IF(G288&gt;I288,_xlfn.CONCAT("W149-",RIGHT(F288,LEN(F288) - FIND("-",F288))), _xlfn.CONCAT("W149-",RIGHT(H288,LEN(H288) - FIND("-",H288)))))</f>
        <v>W149</v>
      </c>
      <c r="G327" s="402"/>
      <c r="H327" s="418" t="str">
        <f>IF(G289="","W154",IF(G289&gt;I289,_xlfn.CONCAT("W154-",RIGHT(F289,LEN(F289) - FIND("-",F289))), _xlfn.CONCAT("W154-",RIGHT(H289,LEN(H289) - FIND("-",H289)))))</f>
        <v>W154</v>
      </c>
      <c r="I327" s="402"/>
      <c r="J327" s="398" t="s">
        <v>222</v>
      </c>
      <c r="K327" s="398" t="s">
        <v>223</v>
      </c>
      <c r="L327" s="398" t="str">
        <f t="shared" si="55"/>
        <v>12G-188</v>
      </c>
      <c r="M327" s="200"/>
      <c r="N327" s="200" t="str">
        <f t="shared" si="56"/>
        <v>au_9th</v>
      </c>
    </row>
    <row r="328" spans="1:14">
      <c r="A328" s="373">
        <f t="shared" si="49"/>
        <v>46224</v>
      </c>
      <c r="B328" s="374">
        <f>'CHICLETS MASTER S1'!O78</f>
        <v>0.5</v>
      </c>
      <c r="C328" s="357" t="s">
        <v>218</v>
      </c>
      <c r="D328" s="357" t="str">
        <f t="shared" si="54"/>
        <v>MISSION VIEJO HS</v>
      </c>
      <c r="E328" s="375">
        <v>186</v>
      </c>
      <c r="F328" s="399" t="str">
        <f>IF(G288="","L149",IF(G288&lt;I288,_xlfn.CONCAT("L149-",RIGHT(F288,LEN(F288) - FIND("-",F288))), _xlfn.CONCAT("L149-",RIGHT(H288,LEN(H288) - FIND("-",H288)))))</f>
        <v>L149</v>
      </c>
      <c r="G328" s="402"/>
      <c r="H328" s="399" t="str">
        <f>IF(G289="","L154",IF(G289&lt;I289,_xlfn.CONCAT("L154-",RIGHT(F289,LEN(F289) - FIND("-",F289))), _xlfn.CONCAT("L154-",RIGHT(H289,LEN(H289) - FIND("-",H289)))))</f>
        <v>L154</v>
      </c>
      <c r="I328" s="402"/>
      <c r="J328" s="398" t="s">
        <v>218</v>
      </c>
      <c r="K328" s="398" t="s">
        <v>219</v>
      </c>
      <c r="L328" s="398" t="str">
        <f t="shared" si="55"/>
        <v>12G-186</v>
      </c>
      <c r="M328" s="200"/>
      <c r="N328" s="200" t="str">
        <f t="shared" si="56"/>
        <v>au_11th</v>
      </c>
    </row>
    <row r="329" spans="1:14">
      <c r="A329" s="373">
        <f t="shared" si="49"/>
        <v>46224</v>
      </c>
      <c r="B329" s="374">
        <f>'CHICLETS MASTER S1'!O79</f>
        <v>0.54166666666666696</v>
      </c>
      <c r="C329" s="357" t="s">
        <v>413</v>
      </c>
      <c r="D329" s="357" t="str">
        <f>$D$321</f>
        <v>MISSION VIEJO HS</v>
      </c>
      <c r="E329" s="375">
        <v>184</v>
      </c>
      <c r="F329" s="418" t="str">
        <f>IF(G303="","W158",IF(G303&gt;I303,_xlfn.CONCAT("W158-",RIGHT(F303,LEN(F303) - FIND("-",F303))), _xlfn.CONCAT("W158-",RIGHT(H303,LEN(H303) - FIND("-",H303)))))</f>
        <v>W158</v>
      </c>
      <c r="G329" s="402"/>
      <c r="H329" s="418" t="str">
        <f>IF(G304="","W161",IF(G304&gt;I304,_xlfn.CONCAT("W161-",RIGHT(F304,LEN(F304) - FIND("-",F304))), _xlfn.CONCAT("W161-",RIGHT(H304,LEN(H304) - FIND("-",H304)))))</f>
        <v>W161</v>
      </c>
      <c r="I329" s="402"/>
      <c r="J329" s="398" t="s">
        <v>413</v>
      </c>
      <c r="K329" s="398" t="s">
        <v>414</v>
      </c>
      <c r="L329" s="398" t="str">
        <f t="shared" si="55"/>
        <v>12G-184</v>
      </c>
      <c r="M329" s="200"/>
      <c r="N329" s="200" t="str">
        <f t="shared" si="56"/>
        <v>au_13th</v>
      </c>
    </row>
    <row r="330" spans="1:14" ht="13.8" thickBot="1">
      <c r="A330" s="431"/>
      <c r="B330" s="431"/>
      <c r="C330" s="432"/>
      <c r="D330" s="433"/>
      <c r="E330" s="200"/>
      <c r="F330" s="405"/>
      <c r="G330" s="414"/>
      <c r="H330" s="405"/>
      <c r="I330" s="200"/>
      <c r="J330" s="200"/>
      <c r="K330" s="200"/>
      <c r="L330" s="200"/>
      <c r="M330" s="200"/>
      <c r="N330" s="200"/>
    </row>
    <row r="331" spans="1:14" ht="13.8" thickBot="1">
      <c r="A331" s="16"/>
      <c r="B331" s="16"/>
      <c r="C331" s="16"/>
      <c r="D331" s="244" t="str">
        <f>'CHICLETS MASTER S1'!$R$72</f>
        <v>SAN CLEMENTE HS</v>
      </c>
      <c r="E331" s="16"/>
      <c r="F331" s="405"/>
      <c r="G331" s="414"/>
      <c r="H331" s="405"/>
      <c r="I331" s="362"/>
      <c r="J331" s="16"/>
      <c r="K331" s="16"/>
      <c r="L331" s="16"/>
      <c r="M331" s="200"/>
      <c r="N331" s="200"/>
    </row>
    <row r="332" spans="1:14">
      <c r="A332" s="356" t="s">
        <v>110</v>
      </c>
      <c r="B332" s="356" t="s">
        <v>111</v>
      </c>
      <c r="C332" s="356" t="s">
        <v>112</v>
      </c>
      <c r="D332" s="356" t="s">
        <v>113</v>
      </c>
      <c r="E332" s="356" t="s">
        <v>114</v>
      </c>
      <c r="F332" s="356" t="s">
        <v>115</v>
      </c>
      <c r="G332" s="356" t="s">
        <v>116</v>
      </c>
      <c r="H332" s="356" t="s">
        <v>117</v>
      </c>
      <c r="I332" s="356" t="s">
        <v>116</v>
      </c>
      <c r="J332" s="356" t="s">
        <v>118</v>
      </c>
      <c r="K332" s="356" t="s">
        <v>119</v>
      </c>
      <c r="L332" s="356" t="s">
        <v>120</v>
      </c>
      <c r="M332" s="200"/>
      <c r="N332" s="200"/>
    </row>
    <row r="333" spans="1:14">
      <c r="A333" s="373">
        <f t="shared" si="53"/>
        <v>46224</v>
      </c>
      <c r="B333" s="374">
        <f>'CHICLETS MASTER S1'!O73</f>
        <v>0.29166666666666669</v>
      </c>
      <c r="C333" s="357" t="s">
        <v>224</v>
      </c>
      <c r="D333" s="357" t="str">
        <f>$D$331</f>
        <v>SAN CLEMENTE HS</v>
      </c>
      <c r="E333" s="375">
        <v>172</v>
      </c>
      <c r="F333" s="396" t="str">
        <f>IF(G245="","W136",IF(G245&gt;I245,_xlfn.CONCAT("W136-",RIGHT(F245,LEN(F245) - FIND("-",F245))), _xlfn.CONCAT("W136-",RIGHT(H245,LEN(H245) - FIND("-",H245)))))</f>
        <v>W136</v>
      </c>
      <c r="G333" s="410"/>
      <c r="H333" s="396" t="str">
        <f>IF(G252="","W159",IF(G252&gt;I252,_xlfn.CONCAT("W159-",RIGHT(F252,LEN(F252) - FIND("-",F252))), _xlfn.CONCAT("W159-",RIGHT(H252,LEN(H252) - FIND("-",H252)))))</f>
        <v>W159</v>
      </c>
      <c r="I333" s="410"/>
      <c r="J333" s="396">
        <v>197</v>
      </c>
      <c r="K333" s="396">
        <v>196</v>
      </c>
      <c r="L333" s="395" t="str">
        <f>IF(E333="","",$L$66&amp;"-"&amp;TEXT(E333,"000"))</f>
        <v>12G-172</v>
      </c>
      <c r="M333" s="200"/>
      <c r="N333" s="200" t="str">
        <f>$M$155&amp;C333</f>
        <v>pt_semi</v>
      </c>
    </row>
    <row r="334" spans="1:14">
      <c r="A334" s="373">
        <f t="shared" si="53"/>
        <v>46224</v>
      </c>
      <c r="B334" s="374">
        <f>'CHICLETS MASTER S1'!O74</f>
        <v>0.33333333333333298</v>
      </c>
      <c r="C334" s="357" t="s">
        <v>222</v>
      </c>
      <c r="D334" s="357" t="str">
        <f t="shared" ref="D334:D346" si="57">$D$331</f>
        <v>SAN CLEMENTE HS</v>
      </c>
      <c r="E334" s="375">
        <v>189</v>
      </c>
      <c r="F334" s="411" t="str">
        <f>IF(G269="","W143",IF(G269&gt;I269,_xlfn.CONCAT("W143-",RIGHT(F269,LEN(F269) - FIND("-",F269))), _xlfn.CONCAT("W143-",RIGHT(H269,LEN(H269) - FIND("-",H269)))))</f>
        <v>W143</v>
      </c>
      <c r="G334" s="410"/>
      <c r="H334" s="395" t="str">
        <f>IF(G270="","W146",IF(G270&gt;I270,_xlfn.CONCAT("W146-",RIGHT(F270,LEN(F270) - FIND("-",F270))), _xlfn.CONCAT("W146-",RIGHT(H270,LEN(H270) - FIND("-",H270)))))</f>
        <v>W146</v>
      </c>
      <c r="I334" s="410"/>
      <c r="J334" s="395" t="s">
        <v>222</v>
      </c>
      <c r="K334" s="395" t="s">
        <v>223</v>
      </c>
      <c r="L334" s="395" t="str">
        <f t="shared" ref="L334:L336" si="58">IF(E334="","",$L$66&amp;"-"&amp;TEXT(E334,"000"))</f>
        <v>12G-189</v>
      </c>
      <c r="M334" s="200"/>
      <c r="N334" s="200" t="str">
        <f t="shared" ref="N334:N339" si="59">$M$155&amp;C334</f>
        <v>pt_9th</v>
      </c>
    </row>
    <row r="335" spans="1:14">
      <c r="A335" s="373">
        <f t="shared" si="53"/>
        <v>46224</v>
      </c>
      <c r="B335" s="374">
        <f>'CHICLETS MASTER S1'!O75</f>
        <v>0.375</v>
      </c>
      <c r="C335" s="357" t="s">
        <v>218</v>
      </c>
      <c r="D335" s="357" t="str">
        <f t="shared" si="57"/>
        <v>SAN CLEMENTE HS</v>
      </c>
      <c r="E335" s="375">
        <v>187</v>
      </c>
      <c r="F335" s="396" t="str">
        <f>IF(G269="","L143",IF(G269&lt;I269,_xlfn.CONCAT("L143-",RIGHT(F269,LEN(F269) - FIND("-",F269))), _xlfn.CONCAT("L143-",RIGHT(H269,LEN(H269) - FIND("-",H269)))))</f>
        <v>L143</v>
      </c>
      <c r="G335" s="410"/>
      <c r="H335" s="396" t="str">
        <f>IF(G270="","L146",IF(G270&lt;I270,_xlfn.CONCAT("L146-",RIGHT(F270,LEN(F270) - FIND("-",F270))), _xlfn.CONCAT("L146-",RIGHT(H270,LEN(H270) - FIND("-",H270)))))</f>
        <v>L146</v>
      </c>
      <c r="I335" s="410"/>
      <c r="J335" s="395" t="s">
        <v>218</v>
      </c>
      <c r="K335" s="395" t="s">
        <v>219</v>
      </c>
      <c r="L335" s="395" t="str">
        <f t="shared" si="58"/>
        <v>12G-187</v>
      </c>
      <c r="M335" s="200"/>
      <c r="N335" s="200" t="str">
        <f t="shared" si="59"/>
        <v>pt_11th</v>
      </c>
    </row>
    <row r="336" spans="1:14">
      <c r="A336" s="373">
        <f t="shared" si="53"/>
        <v>46224</v>
      </c>
      <c r="B336" s="374">
        <f>'CHICLETS MASTER S1'!O76</f>
        <v>0.41666666666666702</v>
      </c>
      <c r="C336" s="357" t="s">
        <v>413</v>
      </c>
      <c r="D336" s="357" t="str">
        <f>$D$331</f>
        <v>SAN CLEMENTE HS</v>
      </c>
      <c r="E336" s="375">
        <v>185</v>
      </c>
      <c r="F336" s="411" t="str">
        <f>IF(G250="","W151",IF(G250&gt;I250,_xlfn.CONCAT("W151-",RIGHT(F250,LEN(F250) - FIND("-",F250))), _xlfn.CONCAT("W151-",RIGHT(H250,LEN(H250) - FIND("-",H250)))))</f>
        <v>W151</v>
      </c>
      <c r="G336" s="410"/>
      <c r="H336" s="395" t="str">
        <f>IF(G251="","W156",IF(G251&gt;I251,_xlfn.CONCAT("W156-",RIGHT(F251,LEN(F251) - FIND("-",F251))), _xlfn.CONCAT("W156-",RIGHT(H251,LEN(H251) - FIND("-",H251)))))</f>
        <v>W156</v>
      </c>
      <c r="I336" s="410"/>
      <c r="J336" s="395" t="s">
        <v>413</v>
      </c>
      <c r="K336" s="395" t="s">
        <v>414</v>
      </c>
      <c r="L336" s="395" t="str">
        <f t="shared" si="58"/>
        <v>12G-185</v>
      </c>
      <c r="M336" s="200"/>
      <c r="N336" s="200" t="str">
        <f t="shared" si="59"/>
        <v>pt_13th</v>
      </c>
    </row>
    <row r="337" spans="1:14">
      <c r="A337" s="373">
        <f>$A$310</f>
        <v>46224</v>
      </c>
      <c r="B337" s="374">
        <f>'CHICLETS MASTER S1'!O77</f>
        <v>0.45833333333333298</v>
      </c>
      <c r="C337" s="357" t="s">
        <v>407</v>
      </c>
      <c r="D337" s="357" t="str">
        <f>$D$331</f>
        <v>SAN CLEMENTE HS</v>
      </c>
      <c r="E337" s="375">
        <v>183</v>
      </c>
      <c r="F337" s="396" t="str">
        <f>IF(G250="","L151",IF(G250&lt;I250,_xlfn.CONCAT("L151-",RIGHT(F250,LEN(F250) - FIND("-",F250))), _xlfn.CONCAT("L151-",RIGHT(H250,LEN(H250) - FIND("-",H250)))))</f>
        <v>L151</v>
      </c>
      <c r="G337" s="410"/>
      <c r="H337" s="396" t="str">
        <f>IF(G251="","L156",IF(G251&lt;I251,_xlfn.CONCAT("L156-",RIGHT(F251,LEN(F251) - FIND("-",F251))), _xlfn.CONCAT("L156-",RIGHT(H251,LEN(H251) - FIND("-",H251)))))</f>
        <v>L156</v>
      </c>
      <c r="I337" s="410"/>
      <c r="J337" s="395" t="s">
        <v>407</v>
      </c>
      <c r="K337" s="395" t="s">
        <v>408</v>
      </c>
      <c r="L337" s="395" t="str">
        <f>IF(E337="","",$L$66&amp;"-"&amp;TEXT(E337,"000"))</f>
        <v>12G-183</v>
      </c>
      <c r="M337" s="200"/>
      <c r="N337" s="200" t="str">
        <f t="shared" si="59"/>
        <v>pt_15th</v>
      </c>
    </row>
    <row r="338" spans="1:14">
      <c r="A338" s="373">
        <f t="shared" si="49"/>
        <v>46224</v>
      </c>
      <c r="B338" s="374">
        <f>'CHICLETS MASTER S1'!O78</f>
        <v>0.5</v>
      </c>
      <c r="C338" s="357" t="s">
        <v>411</v>
      </c>
      <c r="D338" s="357" t="str">
        <f>$D$331</f>
        <v>SAN CLEMENTE HS</v>
      </c>
      <c r="E338" s="375">
        <v>181</v>
      </c>
      <c r="F338" s="411" t="str">
        <f>IF(G267="","W157",IF(G267&gt;I267,_xlfn.CONCAT("W157-",RIGHT(F267,LEN(F267) - FIND("-",F267))), _xlfn.CONCAT("W157-",RIGHT(H267,LEN(H267) - FIND("-",H267)))))</f>
        <v>W157</v>
      </c>
      <c r="G338" s="410"/>
      <c r="H338" s="395" t="str">
        <f>IF(G268="","W160",IF(G268&gt;I268,_xlfn.CONCAT("W160-",RIGHT(F268,LEN(F268) - FIND("-",F268))), _xlfn.CONCAT("W160-",RIGHT(H268,LEN(H268) - FIND("-",H268)))))</f>
        <v>W160</v>
      </c>
      <c r="I338" s="410"/>
      <c r="J338" s="395" t="s">
        <v>411</v>
      </c>
      <c r="K338" s="395" t="s">
        <v>412</v>
      </c>
      <c r="L338" s="395" t="str">
        <f>IF(E338="","",$L$66&amp;"-"&amp;TEXT(E338,"000"))</f>
        <v>12G-181</v>
      </c>
      <c r="M338" s="200"/>
      <c r="N338" s="200" t="str">
        <f t="shared" si="59"/>
        <v>pt_17th</v>
      </c>
    </row>
    <row r="339" spans="1:14">
      <c r="A339" s="373">
        <f t="shared" si="53"/>
        <v>46224</v>
      </c>
      <c r="B339" s="374">
        <f>'CHICLETS MASTER S1'!O79</f>
        <v>0.54166666666666696</v>
      </c>
      <c r="C339" s="357" t="s">
        <v>409</v>
      </c>
      <c r="D339" s="357" t="str">
        <f>$D$331</f>
        <v>SAN CLEMENTE HS</v>
      </c>
      <c r="E339" s="375">
        <v>179</v>
      </c>
      <c r="F339" s="396" t="str">
        <f>IF(G267="","L157",IF(G267&lt;I267,_xlfn.CONCAT("L157-",RIGHT(F267,LEN(F267) - FIND("-",F267))), _xlfn.CONCAT("L157-",RIGHT(H267,LEN(H267) - FIND("-",H267)))))</f>
        <v>L157</v>
      </c>
      <c r="G339" s="410"/>
      <c r="H339" s="396" t="str">
        <f>IF(G268="","L160",IF(G268&lt;I268,_xlfn.CONCAT("L160-",RIGHT(F268,LEN(F268) - FIND("-",F268))), _xlfn.CONCAT("L160-",RIGHT(H268,LEN(H268) - FIND("-",H268)))))</f>
        <v>L160</v>
      </c>
      <c r="I339" s="410"/>
      <c r="J339" s="395" t="s">
        <v>409</v>
      </c>
      <c r="K339" s="395" t="s">
        <v>410</v>
      </c>
      <c r="L339" s="395" t="str">
        <f>IF(E339="","",$L$66&amp;"-"&amp;TEXT(E339,"000"))</f>
        <v>12G-179</v>
      </c>
      <c r="M339" s="200"/>
      <c r="N339" s="200" t="str">
        <f t="shared" si="59"/>
        <v>pt_19th</v>
      </c>
    </row>
    <row r="340" spans="1:14" ht="13.8" thickBot="1">
      <c r="A340" s="435"/>
      <c r="B340" s="66"/>
      <c r="C340" s="16"/>
      <c r="D340" s="16"/>
      <c r="E340" s="200"/>
      <c r="F340" s="405"/>
      <c r="G340" s="405"/>
      <c r="H340" s="405"/>
      <c r="I340" s="200"/>
      <c r="J340" s="200"/>
      <c r="K340" s="200"/>
      <c r="L340" s="200"/>
      <c r="M340" s="200"/>
      <c r="N340" s="200"/>
    </row>
    <row r="341" spans="1:14" ht="13.8" thickBot="1">
      <c r="A341" s="16"/>
      <c r="B341" s="16"/>
      <c r="C341" s="16"/>
      <c r="D341" s="244" t="str">
        <f>'CHICLETS MASTER S1'!$Q$72</f>
        <v>ALISO NIGUEL HS</v>
      </c>
      <c r="E341" s="200"/>
      <c r="F341" s="405"/>
      <c r="G341" s="405"/>
      <c r="H341" s="405"/>
      <c r="I341" s="200"/>
      <c r="J341" s="200"/>
      <c r="K341" s="200"/>
      <c r="L341" s="200"/>
      <c r="M341" s="200"/>
      <c r="N341" s="200"/>
    </row>
    <row r="342" spans="1:14">
      <c r="A342" s="356" t="s">
        <v>110</v>
      </c>
      <c r="B342" s="356" t="s">
        <v>111</v>
      </c>
      <c r="C342" s="356" t="s">
        <v>112</v>
      </c>
      <c r="D342" s="356" t="s">
        <v>113</v>
      </c>
      <c r="E342" s="356" t="s">
        <v>114</v>
      </c>
      <c r="F342" s="356" t="s">
        <v>115</v>
      </c>
      <c r="G342" s="356" t="s">
        <v>116</v>
      </c>
      <c r="H342" s="356" t="s">
        <v>117</v>
      </c>
      <c r="I342" s="356" t="s">
        <v>116</v>
      </c>
      <c r="J342" s="356" t="s">
        <v>118</v>
      </c>
      <c r="K342" s="356" t="s">
        <v>119</v>
      </c>
      <c r="L342" s="356" t="s">
        <v>120</v>
      </c>
      <c r="M342" s="200"/>
      <c r="N342" s="200"/>
    </row>
    <row r="343" spans="1:14">
      <c r="A343" s="373">
        <f t="shared" si="53"/>
        <v>46224</v>
      </c>
      <c r="B343" s="374">
        <f>'CHICLETS MASTER S1'!O73</f>
        <v>0.29166666666666669</v>
      </c>
      <c r="C343" s="357" t="s">
        <v>224</v>
      </c>
      <c r="D343" s="436" t="str">
        <f>$D$341</f>
        <v>ALISO NIGUEL HS</v>
      </c>
      <c r="E343" s="375">
        <v>171</v>
      </c>
      <c r="F343" s="410" t="str">
        <f>IF(G244="","W133",IF(G244&gt;I244,_xlfn.CONCAT("W133-",RIGHT(F244,LEN(F244) - FIND("-",F244))), _xlfn.CONCAT("W133-",RIGHT(H244,LEN(H244) - FIND("-",H244)))))</f>
        <v>W133</v>
      </c>
      <c r="G343" s="410"/>
      <c r="H343" s="395" t="str">
        <f>IF(G253="","W162",IF(G253&gt;I253,_xlfn.CONCAT("W162-",RIGHT(F253,LEN(F253) - FIND("-",F253))), _xlfn.CONCAT("W162-",RIGHT(H253,LEN(H253) - FIND("-",H253)))))</f>
        <v>W162</v>
      </c>
      <c r="I343" s="410"/>
      <c r="J343" s="396">
        <v>197</v>
      </c>
      <c r="K343" s="396">
        <v>196</v>
      </c>
      <c r="L343" s="395" t="str">
        <f>IF(E343="","",$L$66&amp;"-"&amp;TEXT(E343,"000"))</f>
        <v>12G-171</v>
      </c>
      <c r="M343" s="200"/>
      <c r="N343" s="200" t="str">
        <f>$M$155&amp;C343</f>
        <v>pt_semi</v>
      </c>
    </row>
    <row r="344" spans="1:14">
      <c r="A344" s="373">
        <f t="shared" si="53"/>
        <v>46224</v>
      </c>
      <c r="B344" s="374">
        <f>'CHICLETS MASTER S1'!O74</f>
        <v>0.33333333333333298</v>
      </c>
      <c r="C344" s="357" t="s">
        <v>224</v>
      </c>
      <c r="D344" s="436" t="str">
        <f>$D$341</f>
        <v>ALISO NIGUEL HS</v>
      </c>
      <c r="E344" s="375">
        <v>169</v>
      </c>
      <c r="F344" s="418" t="str">
        <f>IF(G298="","W138",IF(G298&gt;I298,_xlfn.CONCAT("W138-",RIGHT(F298,LEN(F298) - FIND("-",F298))), _xlfn.CONCAT("W138-",RIGHT(H298,LEN(H298) - FIND("-",H298)))))</f>
        <v>W138</v>
      </c>
      <c r="G344" s="402"/>
      <c r="H344" s="418" t="str">
        <f>IF(G307="","W164",IF(G307&gt;I307,_xlfn.CONCAT("W164-",RIGHT(F307,LEN(F307) - FIND("-",F307))), _xlfn.CONCAT("W164-",RIGHT(H307,LEN(H307) - FIND("-",H307)))))</f>
        <v>W164</v>
      </c>
      <c r="I344" s="402"/>
      <c r="J344" s="399">
        <v>195</v>
      </c>
      <c r="K344" s="399">
        <v>194</v>
      </c>
      <c r="L344" s="398" t="str">
        <f>IF(E344="","",$L$66&amp;"-"&amp;TEXT(E344,"000"))</f>
        <v>12G-169</v>
      </c>
      <c r="M344" s="200"/>
      <c r="N344" s="200" t="str">
        <f>$M$156&amp;C344</f>
        <v>au_semi</v>
      </c>
    </row>
    <row r="345" spans="1:14">
      <c r="A345" s="373">
        <f t="shared" si="53"/>
        <v>46224</v>
      </c>
      <c r="B345" s="374">
        <f>'CHICLETS MASTER S1'!O75</f>
        <v>0.375</v>
      </c>
      <c r="C345" s="357" t="s">
        <v>224</v>
      </c>
      <c r="D345" s="436" t="str">
        <f>$D$341</f>
        <v>ALISO NIGUEL HS</v>
      </c>
      <c r="E345" s="375">
        <v>170</v>
      </c>
      <c r="F345" s="418" t="str">
        <f>IF(G300="","W141",IF(G300&gt;I300,_xlfn.CONCAT("W141-",RIGHT(F300,LEN(F300) - FIND("-",F300))), _xlfn.CONCAT("W141-",RIGHT(H300,LEN(H300) - FIND("-",H300)))))</f>
        <v>W141</v>
      </c>
      <c r="G345" s="424"/>
      <c r="H345" s="418" t="str">
        <f>IF(G306="","W163",IF(G306&gt;I306,_xlfn.CONCAT("W163-",RIGHT(F306,LEN(F306) - FIND("-",F306))), _xlfn.CONCAT("W163-",RIGHT(H306,LEN(H306) - FIND("-",H306)))))</f>
        <v>W163</v>
      </c>
      <c r="I345" s="424"/>
      <c r="J345" s="399">
        <v>195</v>
      </c>
      <c r="K345" s="399">
        <v>194</v>
      </c>
      <c r="L345" s="398" t="str">
        <f>IF(E345="","",$L$66&amp;"-"&amp;TEXT(E345,"000"))</f>
        <v>12G-170</v>
      </c>
      <c r="M345" s="200"/>
      <c r="N345" s="200" t="str">
        <f>$M$156&amp;C345</f>
        <v>au_semi</v>
      </c>
    </row>
    <row r="346" spans="1:14">
      <c r="A346" s="373">
        <f t="shared" si="53"/>
        <v>46224</v>
      </c>
      <c r="B346" s="374">
        <f>'CHICLETS MASTER S1'!O76</f>
        <v>0.41666666666666702</v>
      </c>
      <c r="C346" s="357" t="s">
        <v>206</v>
      </c>
      <c r="D346" s="357" t="str">
        <f t="shared" si="57"/>
        <v>SAN CLEMENTE HS</v>
      </c>
      <c r="E346" s="375">
        <v>193</v>
      </c>
      <c r="F346" s="396" t="str">
        <f>IF(G252="","L159",IF(G252&lt;I252,_xlfn.CONCAT("L159-",RIGHT(F252,LEN(F252) - FIND("-",F252))), _xlfn.CONCAT("L159-",RIGHT(H252,LEN(H252) - FIND("-",H252)))))</f>
        <v>L159</v>
      </c>
      <c r="G346" s="434"/>
      <c r="H346" s="396" t="str">
        <f>IF(G253="","L162",IF(G253&lt;I253,_xlfn.CONCAT("L162-",RIGHT(F253,LEN(F253) - FIND("-",F253))), _xlfn.CONCAT("L162-",RIGHT(H253,LEN(H253) - FIND("-",H253)))))</f>
        <v>L162</v>
      </c>
      <c r="I346" s="434"/>
      <c r="J346" s="395" t="s">
        <v>206</v>
      </c>
      <c r="K346" s="395" t="s">
        <v>209</v>
      </c>
      <c r="L346" s="395" t="str">
        <f>IF(E346="","",$L$66&amp;"-"&amp;TEXT(E346,"000"))</f>
        <v>12G-193</v>
      </c>
      <c r="M346" s="200"/>
      <c r="N346" s="200" t="str">
        <f t="shared" ref="N346" si="60">$M$155&amp;C346</f>
        <v>pt_5th</v>
      </c>
    </row>
    <row r="347" spans="1:14">
      <c r="A347" s="373">
        <f t="shared" si="53"/>
        <v>46224</v>
      </c>
      <c r="B347" s="374">
        <f>'CHICLETS MASTER S1'!O77</f>
        <v>0.45833333333333298</v>
      </c>
      <c r="C347" s="357" t="s">
        <v>220</v>
      </c>
      <c r="D347" s="357" t="str">
        <f>$D$331</f>
        <v>SAN CLEMENTE HS</v>
      </c>
      <c r="E347" s="375">
        <v>191</v>
      </c>
      <c r="F347" s="396" t="str">
        <f>IF(G246="","L139",IF(G246&lt;I246,_xlfn.CONCAT("L139-",RIGHT(F246,LEN(F246) - FIND("-",F246))), _xlfn.CONCAT("L139-",RIGHT(H246,LEN(H246) - FIND("-",H246)))))</f>
        <v>L139</v>
      </c>
      <c r="G347" s="410"/>
      <c r="H347" s="396" t="str">
        <f>IF(G247="","L142",IF(G247&lt;I247,_xlfn.CONCAT("L142-",RIGHT(F247,LEN(F247) - FIND("-",F247))), _xlfn.CONCAT("L142-",RIGHT(H247,LEN(H247) - FIND("-",H247)))))</f>
        <v>L142</v>
      </c>
      <c r="I347" s="410"/>
      <c r="J347" s="395" t="s">
        <v>220</v>
      </c>
      <c r="K347" s="395" t="s">
        <v>221</v>
      </c>
      <c r="L347" s="395" t="str">
        <f>IF(E347="","",$L$66&amp;"-"&amp;TEXT(E347,"000"))</f>
        <v>12G-191</v>
      </c>
      <c r="M347" s="200"/>
      <c r="N347" s="200" t="str">
        <f>$M$155&amp;C347</f>
        <v>pt_7th</v>
      </c>
    </row>
    <row r="348" spans="1:14">
      <c r="A348" s="373">
        <f t="shared" si="53"/>
        <v>46224</v>
      </c>
      <c r="B348" s="374">
        <f>'CHICLETS MASTER S1'!O78</f>
        <v>0.5</v>
      </c>
      <c r="C348" s="357" t="s">
        <v>210</v>
      </c>
      <c r="D348" s="436" t="str">
        <f>$D$341</f>
        <v>ALISO NIGUEL HS</v>
      </c>
      <c r="E348" s="375">
        <v>194</v>
      </c>
      <c r="F348" s="399" t="str">
        <f>IF(G344="","L169",IF(G344&lt;I344,_xlfn.CONCAT("L169-",RIGHT(F344,LEN(F344) - FIND("-",F344))), _xlfn.CONCAT("L169-",RIGHT(H344,LEN(H344) - FIND("-",H344)))))</f>
        <v>L169</v>
      </c>
      <c r="G348" s="402"/>
      <c r="H348" s="399" t="str">
        <f>IF(G345="","L170",IF(G345&lt;I345,_xlfn.CONCAT("L170-",RIGHT(F345,LEN(F345) - FIND("-",F345))), _xlfn.CONCAT("L170-",RIGHT(H345,LEN(H345) - FIND("-",H345)))))</f>
        <v>L170</v>
      </c>
      <c r="I348" s="402"/>
      <c r="J348" s="398" t="s">
        <v>210</v>
      </c>
      <c r="K348" s="398" t="s">
        <v>213</v>
      </c>
      <c r="L348" s="398" t="str">
        <f t="shared" ref="L348:L349" si="61">IF(E348="","",$L$66&amp;"-"&amp;TEXT(E348,"000"))</f>
        <v>12G-194</v>
      </c>
      <c r="M348" s="200"/>
      <c r="N348" s="200" t="str">
        <f t="shared" ref="N348:N349" si="62">$M$156&amp;C348</f>
        <v>au_3rd</v>
      </c>
    </row>
    <row r="349" spans="1:14">
      <c r="A349" s="373">
        <f t="shared" si="53"/>
        <v>46224</v>
      </c>
      <c r="B349" s="374">
        <f>'CHICLETS MASTER S1'!O79</f>
        <v>0.54166666666666696</v>
      </c>
      <c r="C349" s="357" t="s">
        <v>214</v>
      </c>
      <c r="D349" s="436" t="str">
        <f>$D$341</f>
        <v>ALISO NIGUEL HS</v>
      </c>
      <c r="E349" s="375">
        <v>195</v>
      </c>
      <c r="F349" s="418" t="str">
        <f>IF(G344="","W169",IF(G344&gt;I344,_xlfn.CONCAT("W169-",RIGHT(F344,LEN(F344) - FIND("-",F344))), _xlfn.CONCAT("W169-",RIGHT(H344,LEN(H344) - FIND("-",H344)))))</f>
        <v>W169</v>
      </c>
      <c r="G349" s="424"/>
      <c r="H349" s="418" t="str">
        <f>IF(G345="","W170",IF(G345&gt;I345,_xlfn.CONCAT("W170-",RIGHT(F345,LEN(F345) - FIND("-",F345))), _xlfn.CONCAT("W170-",RIGHT(H345,LEN(H345) - FIND("-",H345)))))</f>
        <v>W170</v>
      </c>
      <c r="I349" s="424"/>
      <c r="J349" s="398" t="s">
        <v>214</v>
      </c>
      <c r="K349" s="398" t="s">
        <v>217</v>
      </c>
      <c r="L349" s="398" t="str">
        <f t="shared" si="61"/>
        <v>12G-195</v>
      </c>
      <c r="M349" s="200"/>
      <c r="N349" s="200" t="str">
        <f t="shared" si="62"/>
        <v>au_1st</v>
      </c>
    </row>
    <row r="350" spans="1:14" ht="13.8" thickBot="1">
      <c r="A350" s="435"/>
      <c r="B350" s="66"/>
      <c r="C350" s="16"/>
      <c r="D350" s="16"/>
      <c r="E350" s="200"/>
      <c r="F350" s="405"/>
      <c r="G350" s="405"/>
      <c r="H350" s="405"/>
      <c r="I350" s="200"/>
      <c r="J350" s="200"/>
      <c r="K350" s="200"/>
      <c r="L350" s="200"/>
      <c r="M350" s="200"/>
      <c r="N350" s="200"/>
    </row>
    <row r="351" spans="1:14" ht="13.8" thickBot="1">
      <c r="A351" s="16"/>
      <c r="B351" s="16"/>
      <c r="C351" s="16"/>
      <c r="D351" s="244" t="str">
        <f>'CHICLETS MASTER S1'!$B$84</f>
        <v>WOOLLETT LEFT</v>
      </c>
      <c r="E351" s="200"/>
      <c r="F351" s="405"/>
      <c r="G351" s="405"/>
      <c r="H351" s="405"/>
      <c r="I351" s="200"/>
      <c r="J351" s="200"/>
      <c r="K351" s="200"/>
      <c r="L351" s="200"/>
      <c r="M351" s="200"/>
      <c r="N351" s="200"/>
    </row>
    <row r="352" spans="1:14">
      <c r="A352" s="356" t="s">
        <v>110</v>
      </c>
      <c r="B352" s="356" t="s">
        <v>111</v>
      </c>
      <c r="C352" s="356" t="s">
        <v>112</v>
      </c>
      <c r="D352" s="356" t="s">
        <v>113</v>
      </c>
      <c r="E352" s="356" t="s">
        <v>114</v>
      </c>
      <c r="F352" s="356" t="s">
        <v>115</v>
      </c>
      <c r="G352" s="356" t="s">
        <v>116</v>
      </c>
      <c r="H352" s="356" t="s">
        <v>117</v>
      </c>
      <c r="I352" s="356" t="s">
        <v>116</v>
      </c>
      <c r="J352" s="356" t="s">
        <v>118</v>
      </c>
      <c r="K352" s="356" t="s">
        <v>119</v>
      </c>
      <c r="L352" s="356" t="s">
        <v>120</v>
      </c>
      <c r="M352" s="200"/>
      <c r="N352" s="200"/>
    </row>
    <row r="353" spans="1:14">
      <c r="A353" s="373">
        <f t="shared" si="53"/>
        <v>46224</v>
      </c>
      <c r="B353" s="374">
        <f>'CHICLETS MASTER S1'!A90</f>
        <v>0.5</v>
      </c>
      <c r="C353" s="357" t="s">
        <v>210</v>
      </c>
      <c r="D353" s="436" t="str">
        <f>$D$351</f>
        <v>WOOLLETT LEFT</v>
      </c>
      <c r="E353" s="375">
        <v>196</v>
      </c>
      <c r="F353" s="396" t="str">
        <f>IF(G343="","L171",IF(G343&lt;I343,_xlfn.CONCAT("L171-",RIGHT(F343,LEN(F343) - FIND("-",F343))), _xlfn.CONCAT("L171-",RIGHT(H343,LEN(H343) - FIND("-",H343)))))</f>
        <v>L171</v>
      </c>
      <c r="G353" s="410"/>
      <c r="H353" s="396" t="str">
        <f>IF(G333="","L172",IF(G333&lt;I333,_xlfn.CONCAT("L172-",RIGHT(F333,LEN(F333) - FIND("-",F333))), _xlfn.CONCAT("L172-",RIGHT(H333,LEN(H333) - FIND("-",H333)))))</f>
        <v>L172</v>
      </c>
      <c r="I353" s="410"/>
      <c r="J353" s="395" t="s">
        <v>210</v>
      </c>
      <c r="K353" s="395" t="s">
        <v>213</v>
      </c>
      <c r="L353" s="395" t="str">
        <f>IF(E353="","",$L$66&amp;"-"&amp;TEXT(E353,"000"))</f>
        <v>12G-196</v>
      </c>
      <c r="M353" s="200"/>
      <c r="N353" s="200" t="str">
        <f>$M$155&amp;C353</f>
        <v>pt_3rd</v>
      </c>
    </row>
    <row r="354" spans="1:14" ht="13.8" thickBot="1">
      <c r="A354" s="435"/>
      <c r="B354" s="66"/>
      <c r="C354" s="16"/>
      <c r="D354" s="16"/>
      <c r="E354" s="200"/>
      <c r="F354" s="405"/>
      <c r="G354" s="405"/>
      <c r="H354" s="405"/>
      <c r="I354" s="200"/>
      <c r="J354" s="200"/>
      <c r="K354" s="200"/>
      <c r="L354" s="200"/>
      <c r="M354" s="200"/>
      <c r="N354" s="200"/>
    </row>
    <row r="355" spans="1:14" ht="13.8" thickBot="1">
      <c r="A355" s="16"/>
      <c r="B355" s="16"/>
      <c r="C355" s="16"/>
      <c r="D355" s="244" t="str">
        <f>'CHICLETS MASTER S1'!$C$84</f>
        <v>WOOLLETT RIGHT</v>
      </c>
      <c r="E355" s="200"/>
      <c r="F355" s="405"/>
      <c r="G355" s="405"/>
      <c r="H355" s="405"/>
      <c r="I355" s="200"/>
      <c r="J355" s="200"/>
      <c r="K355" s="200"/>
      <c r="L355" s="200"/>
      <c r="M355" s="200"/>
      <c r="N355" s="200"/>
    </row>
    <row r="356" spans="1:14">
      <c r="A356" s="356" t="s">
        <v>110</v>
      </c>
      <c r="B356" s="356" t="s">
        <v>111</v>
      </c>
      <c r="C356" s="356" t="s">
        <v>112</v>
      </c>
      <c r="D356" s="356" t="s">
        <v>113</v>
      </c>
      <c r="E356" s="356" t="s">
        <v>114</v>
      </c>
      <c r="F356" s="356" t="s">
        <v>115</v>
      </c>
      <c r="G356" s="356" t="s">
        <v>116</v>
      </c>
      <c r="H356" s="356" t="s">
        <v>117</v>
      </c>
      <c r="I356" s="356" t="s">
        <v>116</v>
      </c>
      <c r="J356" s="356" t="s">
        <v>118</v>
      </c>
      <c r="K356" s="356" t="s">
        <v>119</v>
      </c>
      <c r="L356" s="356" t="s">
        <v>120</v>
      </c>
      <c r="M356" s="200"/>
      <c r="N356" s="200"/>
    </row>
    <row r="357" spans="1:14">
      <c r="A357" s="373">
        <f>$A$310</f>
        <v>46224</v>
      </c>
      <c r="B357" s="374">
        <f>'CHICLETS MASTER S1'!A90</f>
        <v>0.5</v>
      </c>
      <c r="C357" s="357" t="s">
        <v>214</v>
      </c>
      <c r="D357" s="436" t="str">
        <f>$D$355</f>
        <v>WOOLLETT RIGHT</v>
      </c>
      <c r="E357" s="375">
        <v>197</v>
      </c>
      <c r="F357" s="411" t="str">
        <f>IF(G343="","W171",IF(G343&gt;I343,_xlfn.CONCAT("W171-",RIGHT(F343,LEN(F343) - FIND("-",F343))), _xlfn.CONCAT("W171-",RIGHT(H343,LEN(H343) - FIND("-",H343)))))</f>
        <v>W171</v>
      </c>
      <c r="G357" s="410"/>
      <c r="H357" s="395" t="str">
        <f>IF(G333="","W172",IF(G333&gt;I333,_xlfn.CONCAT("W172-",RIGHT(F333,LEN(F333) - FIND("-",F333))), _xlfn.CONCAT("W172-",RIGHT(H333,LEN(H333) - FIND("-",H333)))))</f>
        <v>W172</v>
      </c>
      <c r="I357" s="410"/>
      <c r="J357" s="395" t="s">
        <v>214</v>
      </c>
      <c r="K357" s="395" t="s">
        <v>217</v>
      </c>
      <c r="L357" s="395" t="str">
        <f t="shared" ref="L357" si="63">IF(E357="","",$L$66&amp;"-"&amp;TEXT(E357,"000"))</f>
        <v>12G-197</v>
      </c>
      <c r="M357" s="200"/>
      <c r="N357" s="200" t="str">
        <f>$M$155&amp;C357</f>
        <v>pt_1st</v>
      </c>
    </row>
    <row r="358" spans="1:14">
      <c r="A358" s="200"/>
      <c r="B358" s="200"/>
      <c r="C358" s="200"/>
      <c r="D358" s="200"/>
      <c r="E358" s="200"/>
      <c r="F358" s="405"/>
      <c r="G358" s="414"/>
      <c r="H358" s="405"/>
      <c r="I358" s="200"/>
      <c r="J358" s="200"/>
      <c r="K358" s="200"/>
      <c r="L358" s="200"/>
      <c r="M358" s="200"/>
      <c r="N358" s="200"/>
    </row>
    <row r="359" spans="1:14">
      <c r="A359" s="200"/>
      <c r="B359" s="200"/>
      <c r="C359" s="200"/>
      <c r="D359" s="200"/>
      <c r="E359" s="200"/>
      <c r="F359" s="200"/>
      <c r="G359" s="437"/>
      <c r="H359" s="200"/>
      <c r="I359" s="200"/>
      <c r="J359" s="200"/>
      <c r="K359" s="200"/>
      <c r="L359" s="200"/>
      <c r="M359" s="200"/>
      <c r="N359" s="200"/>
    </row>
    <row r="360" spans="1:14">
      <c r="A360" s="200"/>
      <c r="B360" s="200"/>
      <c r="C360" s="200"/>
      <c r="D360" s="200"/>
      <c r="E360" s="200"/>
      <c r="F360" s="200"/>
      <c r="G360" s="437"/>
      <c r="H360" s="200"/>
      <c r="I360" s="200"/>
      <c r="J360" s="200"/>
      <c r="K360" s="200"/>
      <c r="L360" s="200"/>
      <c r="M360" s="200"/>
      <c r="N360" s="200"/>
    </row>
    <row r="361" spans="1:14">
      <c r="A361" s="395" t="s">
        <v>1240</v>
      </c>
      <c r="B361" s="200"/>
      <c r="C361" s="398" t="s">
        <v>226</v>
      </c>
      <c r="D361" s="200"/>
      <c r="E361" s="200"/>
      <c r="F361" s="200"/>
      <c r="G361" s="437"/>
      <c r="H361" s="200"/>
      <c r="I361" s="200"/>
      <c r="J361" s="200"/>
      <c r="K361" s="200"/>
      <c r="L361" s="200"/>
      <c r="M361" s="200"/>
      <c r="N361" s="200"/>
    </row>
    <row r="362" spans="1:14">
      <c r="A362" s="395" t="s">
        <v>214</v>
      </c>
      <c r="B362" s="438" t="str">
        <f>IF(G357="","W197",IF(G357&gt;I357,_xlfn.CONCAT("W197-",RIGHT(F357,LEN(F357) - FIND("-",F357))), _xlfn.CONCAT("W197-",RIGHT(H357,LEN(H357) - FIND("-",H357)))))</f>
        <v>W197</v>
      </c>
      <c r="C362" s="398" t="s">
        <v>214</v>
      </c>
      <c r="D362" s="436" t="str">
        <f>IF(G349="","W195",IF(G349&gt;I349,_xlfn.CONCAT("W195-",RIGHT(F349,LEN(F349) - FIND("-",F349))), _xlfn.CONCAT("W195-",RIGHT(H349,LEN(H349) - FIND("-",H349)))))</f>
        <v>W195</v>
      </c>
      <c r="E362" s="200"/>
      <c r="F362" s="200"/>
      <c r="G362" s="437"/>
      <c r="H362" s="200"/>
      <c r="I362" s="200"/>
      <c r="J362" s="200"/>
      <c r="K362" s="200"/>
      <c r="L362" s="200"/>
      <c r="M362" s="200"/>
      <c r="N362" s="200"/>
    </row>
    <row r="363" spans="1:14">
      <c r="A363" s="395" t="s">
        <v>217</v>
      </c>
      <c r="B363" s="438" t="str">
        <f>IF(G357="","L197",IF(G357&lt;I357,_xlfn.CONCAT("L197-",RIGHT(F357,LEN(F357) - FIND("-",F357))), _xlfn.CONCAT("L197-",RIGHT(H357,LEN(H357) - FIND("-",H357)))))</f>
        <v>L197</v>
      </c>
      <c r="C363" s="398" t="s">
        <v>217</v>
      </c>
      <c r="D363" s="436" t="str">
        <f>IF(G349="","L195",IF(G349&lt;I349,_xlfn.CONCAT("L195-",RIGHT(F349,LEN(F349) - FIND("-",F349))), _xlfn.CONCAT("L195-",RIGHT(H349,LEN(H349) - FIND("-",H349)))))</f>
        <v>L195</v>
      </c>
      <c r="E363" s="200"/>
      <c r="F363" s="200"/>
      <c r="G363" s="437"/>
      <c r="H363" s="200"/>
      <c r="I363" s="200"/>
      <c r="J363" s="200"/>
      <c r="K363" s="200"/>
      <c r="L363" s="200"/>
      <c r="M363" s="200"/>
      <c r="N363" s="200"/>
    </row>
    <row r="364" spans="1:14">
      <c r="A364" s="395" t="s">
        <v>210</v>
      </c>
      <c r="B364" s="438" t="str">
        <f>IF(G353="","W196",IF(G353&gt;I353,_xlfn.CONCAT("W196-",RIGHT(F353,LEN(F353) - FIND("-",F353))), _xlfn.CONCAT("W196-",RIGHT(H353,LEN(H353) - FIND("-",H353)))))</f>
        <v>W196</v>
      </c>
      <c r="C364" s="398" t="s">
        <v>210</v>
      </c>
      <c r="D364" s="436" t="str">
        <f>IF(G348="","W194",IF(G348&gt;I348,_xlfn.CONCAT("W194-",RIGHT(F348,LEN(F348) - FIND("-",F348))), _xlfn.CONCAT("W194-",RIGHT(H348,LEN(H348) - FIND("-",H348)))))</f>
        <v>W194</v>
      </c>
      <c r="E364" s="200"/>
      <c r="F364" s="200"/>
      <c r="G364" s="437"/>
      <c r="H364" s="200"/>
      <c r="I364" s="200"/>
      <c r="J364" s="200"/>
      <c r="K364" s="200"/>
      <c r="L364" s="200"/>
      <c r="M364" s="200"/>
      <c r="N364" s="200"/>
    </row>
    <row r="365" spans="1:14">
      <c r="A365" s="395" t="s">
        <v>213</v>
      </c>
      <c r="B365" s="438" t="str">
        <f>IF(G353="","L196",IF(G353&lt;I353,_xlfn.CONCAT("L196-",RIGHT(F353,LEN(F353) - FIND("-",F353))), _xlfn.CONCAT("L196-",RIGHT(H353,LEN(H353) - FIND("-",H353)))))</f>
        <v>L196</v>
      </c>
      <c r="C365" s="439" t="s">
        <v>213</v>
      </c>
      <c r="D365" s="436" t="str">
        <f>IF(G348="","L194",IF(G348&lt;I348,_xlfn.CONCAT("L194-",RIGHT(F348,LEN(F348) - FIND("-",F348))), _xlfn.CONCAT("L194-",RIGHT(H348,LEN(H348) - FIND("-",H348)))))</f>
        <v>L194</v>
      </c>
      <c r="E365" s="200"/>
      <c r="F365" s="200"/>
      <c r="G365" s="437"/>
      <c r="H365" s="200"/>
      <c r="I365" s="200"/>
      <c r="J365" s="200"/>
      <c r="K365" s="200"/>
      <c r="L365" s="200"/>
      <c r="M365" s="200"/>
      <c r="N365" s="200"/>
    </row>
    <row r="366" spans="1:14">
      <c r="A366" s="395" t="s">
        <v>206</v>
      </c>
      <c r="B366" s="438" t="str">
        <f>IF(G346="","W193",IF(G346&gt;I346,_xlfn.CONCAT("W193-",RIGHT(F346,LEN(F346) - FIND("-",F346))), _xlfn.CONCAT("W193-",RIGHT(H346,LEN(H346) - FIND("-",H346)))))</f>
        <v>W193</v>
      </c>
      <c r="C366" s="398" t="s">
        <v>206</v>
      </c>
      <c r="D366" s="436" t="str">
        <f>IF(G325="","W192",IF(G325&gt;I325,_xlfn.CONCAT("W192-",RIGHT(F325,LEN(F325) - FIND("-",F325))), _xlfn.CONCAT("W192-",RIGHT(H325,LEN(H325) - FIND("-",H325)))))</f>
        <v>W192</v>
      </c>
    </row>
    <row r="367" spans="1:14">
      <c r="A367" s="395" t="s">
        <v>209</v>
      </c>
      <c r="B367" s="438" t="str">
        <f>IF(G346="","L193",IF(G346&lt;I346,_xlfn.CONCAT("L193-",RIGHT(F346,LEN(F346) - FIND("-",F346))), _xlfn.CONCAT("L193-",RIGHT(H346,LEN(H346) - FIND("-",H346)))))</f>
        <v>L193</v>
      </c>
      <c r="C367" s="398" t="s">
        <v>209</v>
      </c>
      <c r="D367" s="436" t="str">
        <f>IF(G325="","L192",IF(G325&lt;I325,_xlfn.CONCAT("L192-",RIGHT(F325,LEN(F325) - FIND("-",F325))), _xlfn.CONCAT("L192-",RIGHT(H325,LEN(H325) - FIND("-",H325)))))</f>
        <v>L192</v>
      </c>
    </row>
    <row r="368" spans="1:14">
      <c r="A368" s="395" t="s">
        <v>220</v>
      </c>
      <c r="B368" s="438" t="str">
        <f>IF(G347="","W191",IF(G347&gt;I347,_xlfn.CONCAT("W191-",RIGHT(F347,LEN(F347) - FIND("-",F347))), _xlfn.CONCAT("W191-",RIGHT(H347,LEN(H347) - FIND("-",H347)))))</f>
        <v>W191</v>
      </c>
      <c r="C368" s="398" t="s">
        <v>220</v>
      </c>
      <c r="D368" s="436" t="str">
        <f>IF(G326="","W190",IF(G326&gt;I326,_xlfn.CONCAT("W190-",RIGHT(F326,LEN(F326) - FIND("-",F326))), _xlfn.CONCAT("W190-",RIGHT(H326,LEN(H326) - FIND("-",H326)))))</f>
        <v>W190</v>
      </c>
    </row>
    <row r="369" spans="1:4">
      <c r="A369" s="395" t="s">
        <v>221</v>
      </c>
      <c r="B369" s="438" t="str">
        <f>IF(G347="","L191",IF(G347&lt;I347,_xlfn.CONCAT("L191-",RIGHT(F347,LEN(F347) - FIND("-",F347))), _xlfn.CONCAT("L191-",RIGHT(H347,LEN(H347) - FIND("-",H347)))))</f>
        <v>L191</v>
      </c>
      <c r="C369" s="398" t="s">
        <v>221</v>
      </c>
      <c r="D369" s="436" t="str">
        <f>IF(G326="","L190",IF(G326&lt;I326,_xlfn.CONCAT("L190-",RIGHT(F326,LEN(F326) - FIND("-",F326))), _xlfn.CONCAT("L190-",RIGHT(H326,LEN(H326) - FIND("-",H326)))))</f>
        <v>L190</v>
      </c>
    </row>
    <row r="370" spans="1:4">
      <c r="A370" s="395" t="s">
        <v>222</v>
      </c>
      <c r="B370" s="438" t="str">
        <f>IF(G334="","W189",IF(G334&gt;I334,_xlfn.CONCAT("W189-",RIGHT(F334,LEN(F334) - FIND("-",F334))), _xlfn.CONCAT("W189-",RIGHT(H334,LEN(H334) - FIND("-",H334)))))</f>
        <v>W189</v>
      </c>
      <c r="C370" s="398" t="s">
        <v>222</v>
      </c>
      <c r="D370" s="436" t="str">
        <f>IF(G327="","W188",IF(G327&gt;I327,_xlfn.CONCAT("W188-",RIGHT(F327,LEN(F327) - FIND("-",F327))), _xlfn.CONCAT("W188-",RIGHT(H327,LEN(H327) - FIND("-",H327)))))</f>
        <v>W188</v>
      </c>
    </row>
    <row r="371" spans="1:4">
      <c r="A371" s="395" t="s">
        <v>223</v>
      </c>
      <c r="B371" s="438" t="str">
        <f>IF(G334="","L189",IF(G334&lt;I334,_xlfn.CONCAT("L189-",RIGHT(F334,LEN(F334) - FIND("-",F334))), _xlfn.CONCAT("L189-",RIGHT(H334,LEN(H334) - FIND("-",H334)))))</f>
        <v>L189</v>
      </c>
      <c r="C371" s="398" t="s">
        <v>223</v>
      </c>
      <c r="D371" s="436" t="str">
        <f>IF(G327="","L188",IF(G327&lt;I327,_xlfn.CONCAT("L188-",RIGHT(F327,LEN(F327) - FIND("-",F327))), _xlfn.CONCAT("L188-",RIGHT(H327,LEN(H327) - FIND("-",H327)))))</f>
        <v>L188</v>
      </c>
    </row>
    <row r="372" spans="1:4">
      <c r="A372" s="395" t="s">
        <v>218</v>
      </c>
      <c r="B372" s="438" t="str">
        <f>IF(G335="","W187",IF(G335&gt;I335,_xlfn.CONCAT("W187-",RIGHT(F335,LEN(F335) - FIND("-",F335))), _xlfn.CONCAT("W187-",RIGHT(H335,LEN(H335) - FIND("-",H335)))))</f>
        <v>W187</v>
      </c>
      <c r="C372" s="398" t="s">
        <v>218</v>
      </c>
      <c r="D372" s="436" t="str">
        <f>IF(G328="","W186",IF(G328&gt;I328,_xlfn.CONCAT("W186-",RIGHT(F328,LEN(F328) - FIND("-",F328))), _xlfn.CONCAT("W186-",RIGHT(H328,LEN(H328) - FIND("-",H328)))))</f>
        <v>W186</v>
      </c>
    </row>
    <row r="373" spans="1:4">
      <c r="A373" s="395" t="s">
        <v>219</v>
      </c>
      <c r="B373" s="438" t="str">
        <f>IF(G335="","L187",IF(G335&lt;I335,_xlfn.CONCAT("L187-",RIGHT(F335,LEN(F335) - FIND("-",F335))), _xlfn.CONCAT("L187-",RIGHT(H335,LEN(H335) - FIND("-",H335)))))</f>
        <v>L187</v>
      </c>
      <c r="C373" s="398" t="s">
        <v>219</v>
      </c>
      <c r="D373" s="436" t="str">
        <f>IF(G328="","L186",IF(G328&lt;I328,_xlfn.CONCAT("L186-",RIGHT(F328,LEN(F328) - FIND("-",F328))), _xlfn.CONCAT("L186-",RIGHT(H328,LEN(H328) - FIND("-",H328)))))</f>
        <v>L186</v>
      </c>
    </row>
    <row r="374" spans="1:4">
      <c r="A374" s="395" t="s">
        <v>413</v>
      </c>
      <c r="B374" s="438" t="str">
        <f>IF(G336="","W185",IF(G336&gt;I336,_xlfn.CONCAT("W185-",RIGHT(F336,LEN(F336) - FIND("-",F336))), _xlfn.CONCAT("W185-",RIGHT(H336,LEN(H336) - FIND("-",H336)))))</f>
        <v>W185</v>
      </c>
      <c r="C374" s="398" t="s">
        <v>413</v>
      </c>
      <c r="D374" s="436" t="str">
        <f>IF(G329="","W184",IF(G329&gt;I329,_xlfn.CONCAT("W184-",RIGHT(F329,LEN(F329) - FIND("-",F329))), _xlfn.CONCAT("W184-",RIGHT(H329,LEN(H329) - FIND("-",H329)))))</f>
        <v>W184</v>
      </c>
    </row>
    <row r="375" spans="1:4">
      <c r="A375" s="395" t="s">
        <v>414</v>
      </c>
      <c r="B375" s="438" t="str">
        <f>IF(G336="","L185",IF(G336&lt;I336,_xlfn.CONCAT("L185-",RIGHT(F336,LEN(F336) - FIND("-",F336))), _xlfn.CONCAT("L185-",RIGHT(H336,LEN(H336) - FIND("-",H336)))))</f>
        <v>L185</v>
      </c>
      <c r="C375" s="398" t="s">
        <v>414</v>
      </c>
      <c r="D375" s="436" t="str">
        <f>IF(G329="","L184",IF(G329&lt;I329,_xlfn.CONCAT("L184-",RIGHT(F329,LEN(F329) - FIND("-",F329))), _xlfn.CONCAT("L184-",RIGHT(H329,LEN(H329) - FIND("-",H329)))))</f>
        <v>L184</v>
      </c>
    </row>
    <row r="376" spans="1:4">
      <c r="A376" s="395" t="s">
        <v>407</v>
      </c>
      <c r="B376" s="438" t="str">
        <f>IF(G337="","W183",IF(G337&gt;I337,_xlfn.CONCAT("W183-",RIGHT(F337,LEN(F337) - FIND("-",F337))), _xlfn.CONCAT("W183-",RIGHT(H337,LEN(H337) - FIND("-",H337)))))</f>
        <v>W183</v>
      </c>
      <c r="C376" s="398" t="s">
        <v>407</v>
      </c>
      <c r="D376" s="436" t="str">
        <f>IF(G317="","W182",IF(G317&gt;I317,_xlfn.CONCAT("W182-",RIGHT(F317,LEN(F317) - FIND("-",F317))), _xlfn.CONCAT("W182-",RIGHT(H317,LEN(H317) - FIND("-",H317)))))</f>
        <v>W182</v>
      </c>
    </row>
    <row r="377" spans="1:4">
      <c r="A377" s="395" t="s">
        <v>408</v>
      </c>
      <c r="B377" s="438" t="str">
        <f>IF(G337="","L183",IF(G337&lt;I337,_xlfn.CONCAT("L183-",RIGHT(F337,LEN(F337) - FIND("-",F337))), _xlfn.CONCAT("L183-",RIGHT(H337,LEN(H337) - FIND("-",H337)))))</f>
        <v>L183</v>
      </c>
      <c r="C377" s="398" t="s">
        <v>408</v>
      </c>
      <c r="D377" s="436" t="str">
        <f>IF(G317="","L182",IF(G317&lt;I317,_xlfn.CONCAT("L182-",RIGHT(F317,LEN(F317) - FIND("-",F317))), _xlfn.CONCAT("L182-",RIGHT(H317,LEN(H317) - FIND("-",H317)))))</f>
        <v>L182</v>
      </c>
    </row>
    <row r="378" spans="1:4">
      <c r="A378" s="395" t="s">
        <v>411</v>
      </c>
      <c r="B378" s="438" t="str">
        <f>IF(G338="","W181",IF(G338&gt;I338,_xlfn.CONCAT("W181-",RIGHT(F338,LEN(F338) - FIND("-",F338))), _xlfn.CONCAT("W181-",RIGHT(H338,LEN(H338) - FIND("-",H338)))))</f>
        <v>W181</v>
      </c>
      <c r="C378" s="398" t="s">
        <v>411</v>
      </c>
      <c r="D378" s="436" t="str">
        <f>IF(G318="","W167",IF(G318&gt;I318,_xlfn.CONCAT("W167-",RIGHT(F318,LEN(F318) - FIND("-",F318))), _xlfn.CONCAT("W167-",RIGHT(H318,LEN(H318) - FIND("-",H318)))))</f>
        <v>W167</v>
      </c>
    </row>
    <row r="379" spans="1:4">
      <c r="A379" s="395" t="s">
        <v>412</v>
      </c>
      <c r="B379" s="438" t="str">
        <f>IF(G338="","L181",IF(G338&lt;I338,_xlfn.CONCAT("L181-",RIGHT(F338,LEN(F338) - FIND("-",F338))), _xlfn.CONCAT("L181-",RIGHT(H338,LEN(H338) - FIND("-",H338)))))</f>
        <v>L181</v>
      </c>
      <c r="C379" s="398" t="s">
        <v>412</v>
      </c>
      <c r="D379" s="436" t="str">
        <f>IF(G318="","L167",IF(G318&lt;I318,_xlfn.CONCAT("L167-",RIGHT(F318,LEN(F318) - FIND("-",F318))), _xlfn.CONCAT("L167-",RIGHT(H318,LEN(H318) - FIND("-",H318)))))</f>
        <v>L167</v>
      </c>
    </row>
    <row r="380" spans="1:4">
      <c r="A380" s="440" t="s">
        <v>409</v>
      </c>
      <c r="B380" s="438" t="str">
        <f>IF(G339="","W179",IF(G339&gt;I339,_xlfn.CONCAT("W179-",RIGHT(F339,LEN(F339) - FIND("-",F339))), _xlfn.CONCAT("W179-",RIGHT(H339,LEN(H339) - FIND("-",H339)))))</f>
        <v>W179</v>
      </c>
      <c r="C380" s="398" t="s">
        <v>409</v>
      </c>
      <c r="D380" s="436" t="str">
        <f>IF(G319="","W168",IF(G319&gt;I319,_xlfn.CONCAT("W168-",RIGHT(F319,LEN(F319) - FIND("-",F319))), _xlfn.CONCAT("W168-",RIGHT(H319,LEN(H319) - FIND("-",H319)))))</f>
        <v>W168</v>
      </c>
    </row>
    <row r="381" spans="1:4">
      <c r="A381" s="441" t="s">
        <v>410</v>
      </c>
      <c r="B381" s="438" t="str">
        <f>IF(G339="","L179",IF(G339&lt;I339,_xlfn.CONCAT("L179-",RIGHT(F339,LEN(F339) - FIND("-",F339))), _xlfn.CONCAT("L179-",RIGHT(H339,LEN(H339) - FIND("-",H339)))))</f>
        <v>L179</v>
      </c>
      <c r="C381" s="442" t="s">
        <v>410</v>
      </c>
      <c r="D381" s="438" t="str">
        <f>IF(G319="","L168",IF(G319&lt;I319,_xlfn.CONCAT("L168-",RIGHT(F319,LEN(F319) - FIND("-",F319))), _xlfn.CONCAT("L168-",RIGHT(H319,LEN(H319) - FIND("-",H319)))))</f>
        <v>L168</v>
      </c>
    </row>
    <row r="382" spans="1:4">
      <c r="A382" s="443" t="s">
        <v>415</v>
      </c>
      <c r="B382" s="438" t="str">
        <f>IF(G323="","W177",IF(G323&gt;I323,_xlfn.CONCAT("W177-",RIGHT(F323,LEN(F323) - FIND("-",F323))), _xlfn.CONCAT("W177-",RIGHT(H323,LEN(H323) - FIND("-",H323)))))</f>
        <v>W177</v>
      </c>
      <c r="C382" s="444" t="s">
        <v>415</v>
      </c>
      <c r="D382" s="436" t="str">
        <f>IF(G316="","W176",IF(G316&gt;I316,_xlfn.CONCAT("W176-",RIGHT(F316,LEN(F316) - FIND("-",F316))), _xlfn.CONCAT("W176-",RIGHT(H316,LEN(H316) - FIND("-",H316)))))</f>
        <v>W176</v>
      </c>
    </row>
    <row r="383" spans="1:4">
      <c r="A383" s="445" t="s">
        <v>416</v>
      </c>
      <c r="B383" s="438" t="str">
        <f>IF(G323="","L177",IF(G323&lt;I323,_xlfn.CONCAT("L177-",RIGHT(F323,LEN(F323) - FIND("-",F323))), _xlfn.CONCAT("L177-",RIGHT(H323,LEN(H323) - FIND("-",H323)))))</f>
        <v>L177</v>
      </c>
      <c r="C383" s="444" t="s">
        <v>416</v>
      </c>
      <c r="D383" s="438" t="str">
        <f>IF(G316="","L176",IF(G316&lt;I316,_xlfn.CONCAT("L176-",RIGHT(F316,LEN(F316) - FIND("-",F316))), _xlfn.CONCAT("L176-",RIGHT(H316,LEN(H316) - FIND("-",H316)))))</f>
        <v>L176</v>
      </c>
    </row>
    <row r="384" spans="1:4">
      <c r="A384" s="445" t="s">
        <v>417</v>
      </c>
      <c r="B384" s="438" t="str">
        <f>IF(G324="","W175",IF(G324&gt;I324,_xlfn.CONCAT("W175-",RIGHT(F324,LEN(F324) - FIND("-",F324))), _xlfn.CONCAT("W175-",RIGHT(H324,LEN(H324) - FIND("-",H324)))))</f>
        <v>W175</v>
      </c>
      <c r="C384" s="444" t="s">
        <v>417</v>
      </c>
      <c r="D384" s="436" t="str">
        <f>IF(G315="","W174",IF(G315&gt;I315,_xlfn.CONCAT("W174-",RIGHT(F315,LEN(F315) - FIND("-",F315))), _xlfn.CONCAT("W174-",RIGHT(H315,LEN(H315) - FIND("-",H315)))))</f>
        <v>W174</v>
      </c>
    </row>
    <row r="385" spans="1:8">
      <c r="A385" s="445" t="s">
        <v>418</v>
      </c>
      <c r="B385" s="438" t="str">
        <f>IF(G324="","L175",IF(G324&lt;I324,_xlfn.CONCAT("L175-",RIGHT(F324,LEN(F324) - FIND("-",F324))), _xlfn.CONCAT("L175-",RIGHT(H324,LEN(H324) - FIND("-",H324)))))</f>
        <v>L175</v>
      </c>
      <c r="C385" s="446" t="s">
        <v>418</v>
      </c>
      <c r="D385" s="438" t="str">
        <f>IF(G315="","L174",IF(G315&lt;I315,_xlfn.CONCAT("L174-",RIGHT(F315,LEN(F315) - FIND("-",F315))), _xlfn.CONCAT("L174-",RIGHT(H315,LEN(H315) - FIND("-",H315)))))</f>
        <v>L174</v>
      </c>
    </row>
    <row r="386" spans="1:8">
      <c r="C386" s="447" t="s">
        <v>1182</v>
      </c>
      <c r="D386" s="436"/>
    </row>
    <row r="387" spans="1:8">
      <c r="C387" s="447" t="s">
        <v>1235</v>
      </c>
      <c r="D387" s="448"/>
    </row>
    <row r="388" spans="1:8">
      <c r="C388" s="447" t="s">
        <v>1185</v>
      </c>
      <c r="D388" s="448"/>
    </row>
    <row r="389" spans="1:8">
      <c r="C389" s="447" t="s">
        <v>1232</v>
      </c>
      <c r="D389" s="448"/>
    </row>
    <row r="395" spans="1:8">
      <c r="A395" s="360" t="s">
        <v>85</v>
      </c>
      <c r="B395" s="360" t="s">
        <v>86</v>
      </c>
      <c r="C395" s="360" t="s">
        <v>87</v>
      </c>
      <c r="D395" s="360" t="s">
        <v>88</v>
      </c>
      <c r="E395" s="360" t="s">
        <v>89</v>
      </c>
      <c r="F395" s="360" t="s">
        <v>951</v>
      </c>
      <c r="G395" s="372" t="s">
        <v>246</v>
      </c>
      <c r="H395" s="360" t="s">
        <v>247</v>
      </c>
    </row>
    <row r="396" spans="1:8">
      <c r="A396" s="360" t="s">
        <v>91</v>
      </c>
      <c r="B396" s="360" t="s">
        <v>952</v>
      </c>
      <c r="C396" s="360" t="s">
        <v>953</v>
      </c>
      <c r="D396" s="360" t="s">
        <v>954</v>
      </c>
      <c r="E396" s="360" t="s">
        <v>955</v>
      </c>
      <c r="F396" s="360" t="s">
        <v>956</v>
      </c>
      <c r="G396" s="372" t="s">
        <v>957</v>
      </c>
      <c r="H396" s="360" t="s">
        <v>958</v>
      </c>
    </row>
    <row r="397" spans="1:8">
      <c r="A397" s="360" t="s">
        <v>959</v>
      </c>
      <c r="B397" s="360" t="s">
        <v>960</v>
      </c>
      <c r="C397" s="360" t="s">
        <v>961</v>
      </c>
      <c r="D397" s="360" t="s">
        <v>962</v>
      </c>
      <c r="E397" s="360" t="s">
        <v>963</v>
      </c>
      <c r="F397" s="360" t="s">
        <v>964</v>
      </c>
      <c r="G397" s="372" t="s">
        <v>965</v>
      </c>
      <c r="H397" s="360" t="s">
        <v>966</v>
      </c>
    </row>
    <row r="398" spans="1:8">
      <c r="A398" s="360" t="s">
        <v>967</v>
      </c>
      <c r="B398" s="360" t="s">
        <v>968</v>
      </c>
      <c r="C398" s="360" t="s">
        <v>969</v>
      </c>
      <c r="D398" s="360" t="s">
        <v>970</v>
      </c>
      <c r="E398" s="360" t="s">
        <v>971</v>
      </c>
      <c r="F398" s="360" t="s">
        <v>972</v>
      </c>
      <c r="G398" s="372" t="s">
        <v>973</v>
      </c>
      <c r="H398" s="360" t="s">
        <v>974</v>
      </c>
    </row>
    <row r="399" spans="1:8">
      <c r="E399" s="360" t="s">
        <v>975</v>
      </c>
      <c r="F399" s="360" t="s">
        <v>976</v>
      </c>
    </row>
    <row r="401" spans="1:8">
      <c r="A401" s="354" t="s">
        <v>85</v>
      </c>
      <c r="B401" s="355" t="s">
        <v>86</v>
      </c>
      <c r="C401" s="354" t="s">
        <v>87</v>
      </c>
      <c r="D401" s="354" t="s">
        <v>88</v>
      </c>
      <c r="E401" s="354" t="s">
        <v>950</v>
      </c>
      <c r="F401" s="354" t="s">
        <v>951</v>
      </c>
      <c r="G401" s="354" t="s">
        <v>246</v>
      </c>
      <c r="H401" s="354" t="s">
        <v>247</v>
      </c>
    </row>
    <row r="402" spans="1:8">
      <c r="A402" s="363" t="s">
        <v>91</v>
      </c>
      <c r="B402" s="363" t="s">
        <v>952</v>
      </c>
      <c r="C402" s="363" t="s">
        <v>953</v>
      </c>
      <c r="D402" s="363" t="s">
        <v>954</v>
      </c>
      <c r="E402" s="363" t="s">
        <v>955</v>
      </c>
      <c r="F402" s="363" t="s">
        <v>956</v>
      </c>
      <c r="G402" s="363" t="s">
        <v>957</v>
      </c>
      <c r="H402" s="363" t="s">
        <v>958</v>
      </c>
    </row>
    <row r="403" spans="1:8">
      <c r="A403" s="363" t="s">
        <v>959</v>
      </c>
      <c r="B403" s="363" t="s">
        <v>960</v>
      </c>
      <c r="C403" s="363" t="s">
        <v>961</v>
      </c>
      <c r="D403" s="363" t="s">
        <v>962</v>
      </c>
      <c r="E403" s="363" t="s">
        <v>963</v>
      </c>
      <c r="F403" s="363" t="s">
        <v>964</v>
      </c>
      <c r="G403" s="363" t="s">
        <v>965</v>
      </c>
      <c r="H403" s="363" t="s">
        <v>966</v>
      </c>
    </row>
    <row r="404" spans="1:8">
      <c r="A404" s="363" t="s">
        <v>967</v>
      </c>
      <c r="B404" s="363" t="s">
        <v>968</v>
      </c>
      <c r="C404" s="363" t="s">
        <v>969</v>
      </c>
      <c r="D404" s="364" t="s">
        <v>970</v>
      </c>
      <c r="E404" s="364" t="s">
        <v>971</v>
      </c>
      <c r="F404" s="364" t="s">
        <v>972</v>
      </c>
      <c r="G404" s="364" t="s">
        <v>973</v>
      </c>
      <c r="H404" s="364" t="s">
        <v>974</v>
      </c>
    </row>
    <row r="405" spans="1:8">
      <c r="A405" s="363"/>
      <c r="B405" s="363"/>
      <c r="C405" s="363"/>
      <c r="D405" s="363"/>
      <c r="E405" s="365" t="s">
        <v>975</v>
      </c>
      <c r="F405" s="365" t="s">
        <v>976</v>
      </c>
      <c r="G405" s="363"/>
      <c r="H405" s="363"/>
    </row>
    <row r="406" spans="1:8">
      <c r="A406" s="363"/>
      <c r="B406" s="363"/>
      <c r="C406" s="363"/>
      <c r="D406" s="363"/>
      <c r="E406" s="363"/>
      <c r="F406" s="363"/>
      <c r="G406" s="363"/>
      <c r="H406" s="363"/>
    </row>
    <row r="407" spans="1:8">
      <c r="A407" s="363">
        <v>1</v>
      </c>
      <c r="B407" s="363">
        <v>2</v>
      </c>
      <c r="C407" s="363">
        <v>3</v>
      </c>
      <c r="D407" s="363">
        <v>4</v>
      </c>
      <c r="E407" s="363">
        <v>5</v>
      </c>
      <c r="F407" s="363">
        <v>6</v>
      </c>
      <c r="G407" s="363">
        <v>7</v>
      </c>
      <c r="H407" s="363">
        <v>8</v>
      </c>
    </row>
    <row r="408" spans="1:8">
      <c r="A408" s="363">
        <v>32</v>
      </c>
      <c r="B408" s="363">
        <v>31</v>
      </c>
      <c r="C408" s="363">
        <v>30</v>
      </c>
      <c r="D408" s="364">
        <v>29</v>
      </c>
      <c r="E408" s="364">
        <v>28</v>
      </c>
      <c r="F408" s="364">
        <v>27</v>
      </c>
      <c r="G408" s="364">
        <v>26</v>
      </c>
      <c r="H408" s="364">
        <v>25</v>
      </c>
    </row>
    <row r="409" spans="1:8">
      <c r="A409" s="363">
        <v>33</v>
      </c>
      <c r="B409" s="363">
        <v>34</v>
      </c>
      <c r="C409" s="363">
        <v>35</v>
      </c>
      <c r="D409" s="363">
        <v>36</v>
      </c>
      <c r="E409" s="363">
        <v>37</v>
      </c>
      <c r="F409" s="363">
        <v>38</v>
      </c>
      <c r="G409" s="363">
        <v>39</v>
      </c>
      <c r="H409" s="363">
        <v>40</v>
      </c>
    </row>
    <row r="410" spans="1:8">
      <c r="A410" s="365"/>
      <c r="B410" s="366"/>
      <c r="C410" s="363"/>
      <c r="D410" s="363"/>
      <c r="E410" s="365" t="s">
        <v>981</v>
      </c>
      <c r="F410" s="365" t="s">
        <v>982</v>
      </c>
      <c r="G410" s="367"/>
      <c r="H410" s="363"/>
    </row>
    <row r="411" spans="1:8">
      <c r="A411" s="363"/>
      <c r="B411" s="363"/>
      <c r="C411" s="363"/>
      <c r="D411" s="363"/>
      <c r="E411" s="363"/>
      <c r="F411" s="363"/>
      <c r="G411" s="363"/>
      <c r="H411" s="363"/>
    </row>
    <row r="417" spans="1:8">
      <c r="A417" s="354" t="s">
        <v>248</v>
      </c>
      <c r="B417" s="354" t="s">
        <v>249</v>
      </c>
      <c r="C417" s="354" t="s">
        <v>989</v>
      </c>
      <c r="D417" s="354" t="s">
        <v>251</v>
      </c>
      <c r="E417" s="354" t="s">
        <v>149</v>
      </c>
      <c r="F417" s="354" t="s">
        <v>150</v>
      </c>
      <c r="G417" s="354" t="s">
        <v>151</v>
      </c>
      <c r="H417" s="354" t="s">
        <v>152</v>
      </c>
    </row>
    <row r="418" spans="1:8">
      <c r="A418" s="363" t="s">
        <v>994</v>
      </c>
      <c r="B418" s="363" t="s">
        <v>995</v>
      </c>
      <c r="C418" s="363" t="s">
        <v>996</v>
      </c>
      <c r="D418" s="363" t="s">
        <v>997</v>
      </c>
      <c r="E418" s="363" t="s">
        <v>998</v>
      </c>
      <c r="F418" s="363" t="s">
        <v>999</v>
      </c>
      <c r="G418" s="363" t="s">
        <v>1000</v>
      </c>
      <c r="H418" s="363" t="s">
        <v>1001</v>
      </c>
    </row>
    <row r="419" spans="1:8">
      <c r="A419" s="364" t="s">
        <v>1005</v>
      </c>
      <c r="B419" s="363" t="s">
        <v>1006</v>
      </c>
      <c r="C419" s="363" t="s">
        <v>1007</v>
      </c>
      <c r="D419" s="363" t="s">
        <v>1008</v>
      </c>
      <c r="E419" s="363" t="s">
        <v>1009</v>
      </c>
      <c r="F419" s="363" t="s">
        <v>1010</v>
      </c>
      <c r="G419" s="363" t="s">
        <v>1011</v>
      </c>
      <c r="H419" s="363" t="s">
        <v>1012</v>
      </c>
    </row>
    <row r="420" spans="1:8">
      <c r="A420" s="363" t="s">
        <v>1016</v>
      </c>
      <c r="B420" s="364" t="s">
        <v>1017</v>
      </c>
      <c r="C420" s="363" t="s">
        <v>1018</v>
      </c>
      <c r="D420" s="363" t="s">
        <v>1019</v>
      </c>
      <c r="E420" s="363" t="s">
        <v>1020</v>
      </c>
      <c r="F420" s="363" t="s">
        <v>1021</v>
      </c>
      <c r="G420" s="363" t="s">
        <v>1022</v>
      </c>
      <c r="H420" s="363" t="s">
        <v>1023</v>
      </c>
    </row>
    <row r="421" spans="1:8">
      <c r="A421" s="363"/>
      <c r="B421" s="363"/>
      <c r="C421" s="365" t="s">
        <v>1027</v>
      </c>
      <c r="D421" s="368" t="s">
        <v>1028</v>
      </c>
      <c r="E421" s="363"/>
      <c r="F421" s="363"/>
      <c r="G421" s="363"/>
      <c r="H421" s="363"/>
    </row>
    <row r="422" spans="1:8">
      <c r="A422" s="363"/>
      <c r="B422" s="363"/>
      <c r="C422" s="363"/>
      <c r="D422" s="363"/>
      <c r="E422" s="363"/>
      <c r="F422" s="363"/>
      <c r="G422" s="363"/>
      <c r="H422" s="363"/>
    </row>
    <row r="423" spans="1:8">
      <c r="A423" s="363">
        <v>9</v>
      </c>
      <c r="B423" s="363">
        <v>10</v>
      </c>
      <c r="C423" s="363">
        <v>11</v>
      </c>
      <c r="D423" s="363">
        <v>12</v>
      </c>
      <c r="E423" s="363">
        <v>13</v>
      </c>
      <c r="F423" s="363">
        <v>14</v>
      </c>
      <c r="G423" s="363">
        <v>15</v>
      </c>
      <c r="H423" s="363">
        <v>16</v>
      </c>
    </row>
    <row r="424" spans="1:8">
      <c r="A424" s="364">
        <v>24</v>
      </c>
      <c r="B424" s="364">
        <v>23</v>
      </c>
      <c r="C424" s="363">
        <v>22</v>
      </c>
      <c r="D424" s="363">
        <v>21</v>
      </c>
      <c r="E424" s="363">
        <v>20</v>
      </c>
      <c r="F424" s="363">
        <v>19</v>
      </c>
      <c r="G424" s="363">
        <v>18</v>
      </c>
      <c r="H424" s="363">
        <v>17</v>
      </c>
    </row>
    <row r="425" spans="1:8">
      <c r="A425" s="363">
        <v>41</v>
      </c>
      <c r="B425" s="363">
        <v>42</v>
      </c>
      <c r="C425" s="363">
        <v>43</v>
      </c>
      <c r="D425" s="363">
        <v>44</v>
      </c>
      <c r="E425" s="363">
        <v>45</v>
      </c>
      <c r="F425" s="363">
        <v>46</v>
      </c>
      <c r="G425" s="363">
        <v>47</v>
      </c>
      <c r="H425" s="363">
        <v>48</v>
      </c>
    </row>
    <row r="426" spans="1:8">
      <c r="A426" s="363"/>
      <c r="B426" s="363"/>
      <c r="C426" s="365">
        <v>49</v>
      </c>
      <c r="D426" s="369">
        <v>52</v>
      </c>
      <c r="E426" s="363"/>
      <c r="F426" s="366"/>
      <c r="G426" s="366"/>
      <c r="H426" s="366"/>
    </row>
    <row r="428" spans="1:8">
      <c r="A428" s="360" t="s">
        <v>248</v>
      </c>
      <c r="B428" s="360" t="s">
        <v>249</v>
      </c>
      <c r="C428" s="360" t="s">
        <v>989</v>
      </c>
      <c r="D428" s="360" t="s">
        <v>251</v>
      </c>
      <c r="E428" s="360" t="s">
        <v>149</v>
      </c>
      <c r="F428" s="360" t="s">
        <v>150</v>
      </c>
      <c r="G428" s="360" t="s">
        <v>151</v>
      </c>
      <c r="H428" s="360" t="s">
        <v>152</v>
      </c>
    </row>
    <row r="429" spans="1:8">
      <c r="A429" s="360" t="s">
        <v>994</v>
      </c>
      <c r="B429" s="360" t="s">
        <v>995</v>
      </c>
      <c r="C429" s="360" t="s">
        <v>996</v>
      </c>
      <c r="D429" s="360" t="s">
        <v>997</v>
      </c>
      <c r="E429" s="360" t="s">
        <v>998</v>
      </c>
      <c r="F429" s="360" t="s">
        <v>999</v>
      </c>
      <c r="G429" s="360" t="s">
        <v>1000</v>
      </c>
      <c r="H429" s="360" t="s">
        <v>1001</v>
      </c>
    </row>
    <row r="430" spans="1:8">
      <c r="A430" s="360" t="s">
        <v>1005</v>
      </c>
      <c r="B430" s="360" t="s">
        <v>1006</v>
      </c>
      <c r="C430" s="360" t="s">
        <v>1007</v>
      </c>
      <c r="D430" s="360" t="s">
        <v>1008</v>
      </c>
      <c r="E430" s="360" t="s">
        <v>1009</v>
      </c>
      <c r="F430" s="360" t="s">
        <v>1010</v>
      </c>
      <c r="G430" s="360" t="s">
        <v>1011</v>
      </c>
      <c r="H430" s="360" t="s">
        <v>1012</v>
      </c>
    </row>
    <row r="431" spans="1:8">
      <c r="A431" s="360" t="s">
        <v>1016</v>
      </c>
      <c r="B431" s="360" t="s">
        <v>1017</v>
      </c>
      <c r="C431" s="360" t="s">
        <v>1018</v>
      </c>
      <c r="D431" s="360" t="s">
        <v>1019</v>
      </c>
      <c r="E431" s="360" t="s">
        <v>1020</v>
      </c>
      <c r="F431" s="360" t="s">
        <v>1021</v>
      </c>
      <c r="G431" s="360" t="s">
        <v>1022</v>
      </c>
      <c r="H431" s="360" t="s">
        <v>1023</v>
      </c>
    </row>
    <row r="432" spans="1:8">
      <c r="C432" s="360" t="s">
        <v>1027</v>
      </c>
      <c r="D432" s="360" t="s">
        <v>1028</v>
      </c>
      <c r="G432" s="360"/>
    </row>
  </sheetData>
  <phoneticPr fontId="34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423DC-A34A-478E-A024-27ADD836F6E2}">
  <sheetPr>
    <tabColor rgb="FFFFFF00"/>
  </sheetPr>
  <dimension ref="A1:Z1000"/>
  <sheetViews>
    <sheetView workbookViewId="0"/>
  </sheetViews>
  <sheetFormatPr defaultColWidth="12.5" defaultRowHeight="15" customHeight="1"/>
  <cols>
    <col min="1" max="1" width="23" style="107" customWidth="1"/>
    <col min="2" max="2" width="36.296875" style="107" customWidth="1"/>
    <col min="3" max="3" width="22.796875" style="107" customWidth="1"/>
    <col min="4" max="4" width="28.19921875" style="107" customWidth="1"/>
    <col min="5" max="5" width="24.5" style="107" customWidth="1"/>
    <col min="6" max="6" width="33" style="107" customWidth="1"/>
    <col min="7" max="7" width="5.296875" style="107" customWidth="1"/>
    <col min="8" max="8" width="28.5" style="107" customWidth="1"/>
    <col min="9" max="11" width="5.296875" style="107" customWidth="1"/>
    <col min="12" max="12" width="6" style="107" customWidth="1"/>
    <col min="13" max="13" width="10.296875" style="107" customWidth="1"/>
    <col min="14" max="14" width="10.69921875" style="107" customWidth="1"/>
    <col min="15" max="26" width="12.796875" style="107" customWidth="1"/>
    <col min="27" max="16384" width="12.5" style="107"/>
  </cols>
  <sheetData>
    <row r="1" spans="1:26" ht="13.5" customHeight="1" thickTop="1" thickBot="1">
      <c r="A1" s="105" t="s">
        <v>61</v>
      </c>
      <c r="B1" s="2" t="s">
        <v>62</v>
      </c>
      <c r="C1" s="2" t="s">
        <v>63</v>
      </c>
      <c r="D1" s="49" t="s">
        <v>64</v>
      </c>
      <c r="E1" s="109"/>
      <c r="F1" s="109"/>
      <c r="G1" s="148"/>
      <c r="H1" s="148"/>
      <c r="I1" s="148"/>
      <c r="J1" s="148"/>
      <c r="K1" s="148"/>
      <c r="L1" s="148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 spans="1:26" ht="13.5" customHeight="1" thickBot="1">
      <c r="A2" s="108">
        <v>46221</v>
      </c>
      <c r="B2" s="2"/>
      <c r="C2" s="2"/>
      <c r="D2" s="51" t="s">
        <v>1241</v>
      </c>
      <c r="E2" s="109"/>
      <c r="F2" s="106"/>
      <c r="G2" s="110"/>
      <c r="H2" s="106"/>
      <c r="I2" s="106"/>
      <c r="J2" s="106"/>
      <c r="K2" s="106"/>
      <c r="L2" s="106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</row>
    <row r="3" spans="1:26" ht="13.5" customHeight="1" thickBot="1">
      <c r="A3" s="109"/>
      <c r="B3" s="106"/>
      <c r="C3" s="106"/>
      <c r="D3" s="150" t="s">
        <v>72</v>
      </c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</row>
    <row r="4" spans="1:26" ht="13.5" customHeight="1">
      <c r="A4" s="151" t="s">
        <v>85</v>
      </c>
      <c r="B4" s="151" t="s">
        <v>86</v>
      </c>
      <c r="C4" s="151" t="s">
        <v>87</v>
      </c>
      <c r="D4" s="151" t="s">
        <v>88</v>
      </c>
      <c r="E4" s="151" t="s">
        <v>89</v>
      </c>
      <c r="F4" s="151" t="s">
        <v>90</v>
      </c>
      <c r="G4" s="110"/>
      <c r="H4" s="152" t="s">
        <v>227</v>
      </c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</row>
    <row r="5" spans="1:26" ht="13.5" customHeight="1">
      <c r="A5" s="122" t="s">
        <v>1242</v>
      </c>
      <c r="B5" s="122" t="s">
        <v>1243</v>
      </c>
      <c r="C5" s="122" t="s">
        <v>1244</v>
      </c>
      <c r="D5" s="122" t="s">
        <v>1245</v>
      </c>
      <c r="E5" s="122" t="s">
        <v>1246</v>
      </c>
      <c r="F5" s="122" t="s">
        <v>1247</v>
      </c>
      <c r="G5" s="110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</row>
    <row r="6" spans="1:26" ht="13.5" customHeight="1">
      <c r="A6" s="122" t="s">
        <v>1248</v>
      </c>
      <c r="B6" s="122" t="s">
        <v>1249</v>
      </c>
      <c r="C6" s="122" t="s">
        <v>1250</v>
      </c>
      <c r="D6" s="122" t="s">
        <v>1251</v>
      </c>
      <c r="E6" s="122" t="s">
        <v>1252</v>
      </c>
      <c r="F6" s="122" t="s">
        <v>1253</v>
      </c>
      <c r="G6" s="110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</row>
    <row r="7" spans="1:26" ht="13.5" customHeight="1">
      <c r="A7" s="122" t="s">
        <v>1254</v>
      </c>
      <c r="B7" s="122" t="s">
        <v>1255</v>
      </c>
      <c r="C7" s="122" t="s">
        <v>1256</v>
      </c>
      <c r="D7" s="122" t="s">
        <v>1257</v>
      </c>
      <c r="E7" s="122" t="s">
        <v>1258</v>
      </c>
      <c r="F7" s="122" t="s">
        <v>1259</v>
      </c>
      <c r="G7" s="110"/>
      <c r="H7" s="109"/>
      <c r="I7" s="109"/>
      <c r="J7" s="109"/>
      <c r="K7" s="109"/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</row>
    <row r="8" spans="1:26" ht="13.5" customHeight="1">
      <c r="A8" s="122" t="s">
        <v>1260</v>
      </c>
      <c r="B8" s="122" t="s">
        <v>1261</v>
      </c>
      <c r="C8" s="122" t="s">
        <v>1262</v>
      </c>
      <c r="D8" s="122" t="s">
        <v>1263</v>
      </c>
      <c r="E8" s="122" t="s">
        <v>1264</v>
      </c>
      <c r="F8" s="122" t="s">
        <v>1265</v>
      </c>
      <c r="G8" s="110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</row>
    <row r="9" spans="1:26" ht="13.5" customHeight="1">
      <c r="A9" s="106"/>
      <c r="B9" s="106"/>
      <c r="C9" s="106"/>
      <c r="D9" s="106"/>
      <c r="E9" s="106"/>
      <c r="F9" s="106"/>
      <c r="G9" s="110"/>
      <c r="H9" s="109"/>
      <c r="I9" s="109"/>
      <c r="J9" s="109"/>
      <c r="K9" s="109"/>
      <c r="L9" s="109"/>
      <c r="M9" s="109"/>
      <c r="N9" s="109"/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</row>
    <row r="10" spans="1:26" ht="13.5" customHeight="1">
      <c r="A10" s="151" t="s">
        <v>246</v>
      </c>
      <c r="B10" s="151" t="s">
        <v>247</v>
      </c>
      <c r="C10" s="151" t="s">
        <v>248</v>
      </c>
      <c r="D10" s="151" t="s">
        <v>249</v>
      </c>
      <c r="E10" s="151" t="s">
        <v>250</v>
      </c>
      <c r="F10" s="151" t="s">
        <v>251</v>
      </c>
      <c r="G10" s="110"/>
      <c r="H10" s="109"/>
      <c r="I10" s="109"/>
      <c r="J10" s="106"/>
      <c r="K10" s="109"/>
      <c r="L10" s="109"/>
      <c r="M10" s="109"/>
      <c r="N10" s="109"/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</row>
    <row r="11" spans="1:26" ht="13.5" customHeight="1">
      <c r="A11" s="122" t="s">
        <v>1266</v>
      </c>
      <c r="B11" s="122" t="s">
        <v>1267</v>
      </c>
      <c r="C11" s="122" t="s">
        <v>1268</v>
      </c>
      <c r="D11" s="122" t="s">
        <v>1269</v>
      </c>
      <c r="E11" s="122" t="s">
        <v>1270</v>
      </c>
      <c r="F11" s="122" t="s">
        <v>1271</v>
      </c>
      <c r="G11" s="110"/>
      <c r="H11" s="109"/>
      <c r="I11" s="109"/>
      <c r="J11" s="106"/>
      <c r="K11" s="109"/>
      <c r="L11" s="109"/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</row>
    <row r="12" spans="1:26" ht="13.5" customHeight="1">
      <c r="A12" s="122" t="s">
        <v>1272</v>
      </c>
      <c r="B12" s="122" t="s">
        <v>1273</v>
      </c>
      <c r="C12" s="122" t="s">
        <v>1274</v>
      </c>
      <c r="D12" s="122" t="s">
        <v>1275</v>
      </c>
      <c r="E12" s="122" t="s">
        <v>1276</v>
      </c>
      <c r="F12" s="122" t="s">
        <v>1277</v>
      </c>
      <c r="G12" s="110"/>
      <c r="H12" s="109"/>
      <c r="I12" s="109"/>
      <c r="J12" s="106"/>
      <c r="K12" s="109"/>
      <c r="L12" s="109"/>
      <c r="M12" s="109"/>
      <c r="N12" s="109"/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</row>
    <row r="13" spans="1:26" ht="13.5" customHeight="1">
      <c r="A13" s="122" t="s">
        <v>1278</v>
      </c>
      <c r="B13" s="122" t="s">
        <v>1279</v>
      </c>
      <c r="C13" s="122" t="s">
        <v>1280</v>
      </c>
      <c r="D13" s="122" t="s">
        <v>1281</v>
      </c>
      <c r="E13" s="122" t="s">
        <v>1282</v>
      </c>
      <c r="F13" s="122" t="s">
        <v>1283</v>
      </c>
      <c r="G13" s="110"/>
      <c r="H13" s="109"/>
      <c r="I13" s="109"/>
      <c r="J13" s="106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</row>
    <row r="14" spans="1:26" ht="13.5" customHeight="1">
      <c r="A14" s="122" t="s">
        <v>1284</v>
      </c>
      <c r="B14" s="122" t="s">
        <v>1285</v>
      </c>
      <c r="C14" s="122" t="s">
        <v>1286</v>
      </c>
      <c r="D14" s="122" t="s">
        <v>1287</v>
      </c>
      <c r="E14" s="122" t="s">
        <v>1288</v>
      </c>
      <c r="F14" s="122" t="s">
        <v>1289</v>
      </c>
      <c r="G14" s="110"/>
      <c r="H14" s="109"/>
      <c r="I14" s="109"/>
      <c r="J14" s="106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</row>
    <row r="15" spans="1:26" ht="13.5" customHeight="1" thickBot="1">
      <c r="A15" s="109"/>
      <c r="B15" s="109"/>
      <c r="C15" s="109"/>
      <c r="D15" s="109"/>
      <c r="E15" s="109"/>
      <c r="F15" s="109"/>
      <c r="G15" s="109"/>
      <c r="H15" s="109"/>
      <c r="I15" s="109"/>
      <c r="J15" s="109"/>
      <c r="K15" s="109"/>
      <c r="L15" s="109" t="s">
        <v>1290</v>
      </c>
      <c r="M15" s="109"/>
      <c r="N15" s="109"/>
      <c r="O15" s="109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</row>
    <row r="16" spans="1:26" ht="13.5" customHeight="1" thickBot="1">
      <c r="A16" s="109"/>
      <c r="B16" s="106"/>
      <c r="C16" s="106"/>
      <c r="D16" s="153" t="str">
        <f>'CHICLETS MASTER S1'!$V$3</f>
        <v>UC IRVINE 1</v>
      </c>
      <c r="E16" s="106"/>
      <c r="F16" s="106"/>
      <c r="G16" s="110"/>
      <c r="H16" s="106"/>
      <c r="I16" s="106"/>
      <c r="J16" s="106"/>
      <c r="K16" s="106"/>
      <c r="L16" s="106"/>
      <c r="M16" s="109"/>
      <c r="N16" s="109"/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</row>
    <row r="17" spans="1:26" ht="13.5" customHeight="1">
      <c r="A17" s="151" t="s">
        <v>110</v>
      </c>
      <c r="B17" s="154" t="s">
        <v>111</v>
      </c>
      <c r="C17" s="154" t="s">
        <v>112</v>
      </c>
      <c r="D17" s="154" t="s">
        <v>113</v>
      </c>
      <c r="E17" s="154" t="s">
        <v>114</v>
      </c>
      <c r="F17" s="154" t="s">
        <v>115</v>
      </c>
      <c r="G17" s="154" t="s">
        <v>116</v>
      </c>
      <c r="H17" s="154" t="s">
        <v>117</v>
      </c>
      <c r="I17" s="154" t="s">
        <v>116</v>
      </c>
      <c r="J17" s="154" t="s">
        <v>118</v>
      </c>
      <c r="K17" s="154" t="s">
        <v>119</v>
      </c>
      <c r="L17" s="154" t="s">
        <v>120</v>
      </c>
      <c r="M17" s="109"/>
      <c r="N17" s="109"/>
      <c r="O17" s="109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</row>
    <row r="18" spans="1:26" ht="13.5" customHeight="1">
      <c r="A18" s="155">
        <f t="shared" ref="A18:A29" si="0">$A$2</f>
        <v>46221</v>
      </c>
      <c r="B18" s="156">
        <f>'CHICLETS MASTER S1'!U4</f>
        <v>0.29166666666666669</v>
      </c>
      <c r="C18" s="122" t="s">
        <v>163</v>
      </c>
      <c r="D18" s="122" t="str">
        <f t="shared" ref="D18:D29" si="1">$D$16</f>
        <v>UC IRVINE 1</v>
      </c>
      <c r="E18" s="122">
        <v>1</v>
      </c>
      <c r="F18" s="122" t="str">
        <f t="shared" ref="F18:F19" si="2">C5</f>
        <v>3-908</v>
      </c>
      <c r="G18" s="157"/>
      <c r="H18" s="122" t="str">
        <f>C8</f>
        <v>46-ELITE</v>
      </c>
      <c r="I18" s="122"/>
      <c r="J18" s="122">
        <v>25</v>
      </c>
      <c r="K18" s="122">
        <v>29</v>
      </c>
      <c r="L18" s="122" t="str">
        <f t="shared" ref="L18:L29" si="3">IF(E18="","",$L$15&amp;"-"&amp;TEXT(E18,"000"))</f>
        <v>14G-001</v>
      </c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</row>
    <row r="19" spans="1:26" ht="13.5" customHeight="1">
      <c r="A19" s="155">
        <f t="shared" si="0"/>
        <v>46221</v>
      </c>
      <c r="B19" s="156">
        <f>'CHICLETS MASTER S1'!U5</f>
        <v>0.3263888888888889</v>
      </c>
      <c r="C19" s="122" t="s">
        <v>163</v>
      </c>
      <c r="D19" s="122" t="str">
        <f t="shared" si="1"/>
        <v>UC IRVINE 1</v>
      </c>
      <c r="E19" s="122">
        <v>5</v>
      </c>
      <c r="F19" s="122" t="str">
        <f t="shared" si="2"/>
        <v>22-STANFORD B</v>
      </c>
      <c r="G19" s="157"/>
      <c r="H19" s="122" t="str">
        <f>C7</f>
        <v>27-ARROYO GRANDE</v>
      </c>
      <c r="I19" s="122"/>
      <c r="J19" s="122">
        <v>25</v>
      </c>
      <c r="K19" s="122">
        <v>29</v>
      </c>
      <c r="L19" s="122" t="str">
        <f t="shared" si="3"/>
        <v>14G-005</v>
      </c>
      <c r="M19" s="109"/>
      <c r="N19" s="109"/>
      <c r="O19" s="109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</row>
    <row r="20" spans="1:26" ht="13.5" customHeight="1">
      <c r="A20" s="155">
        <f t="shared" si="0"/>
        <v>46221</v>
      </c>
      <c r="B20" s="156">
        <f>'CHICLETS MASTER S1'!U6</f>
        <v>0.36111111111111099</v>
      </c>
      <c r="C20" s="122" t="s">
        <v>163</v>
      </c>
      <c r="D20" s="122" t="str">
        <f t="shared" si="1"/>
        <v>UC IRVINE 1</v>
      </c>
      <c r="E20" s="122">
        <v>9</v>
      </c>
      <c r="F20" s="122" t="str">
        <f t="shared" ref="F20:F21" si="4">A5</f>
        <v>1-NEWPORT BEACH BLUE</v>
      </c>
      <c r="G20" s="157"/>
      <c r="H20" s="122" t="str">
        <f>A8</f>
        <v>48-TOPAZ TSUNAMI</v>
      </c>
      <c r="I20" s="122"/>
      <c r="J20" s="122">
        <v>33</v>
      </c>
      <c r="K20" s="122">
        <v>37</v>
      </c>
      <c r="L20" s="122" t="str">
        <f t="shared" si="3"/>
        <v>14G-009</v>
      </c>
      <c r="M20" s="109"/>
      <c r="N20" s="109"/>
      <c r="O20" s="109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</row>
    <row r="21" spans="1:26" ht="13.5" customHeight="1">
      <c r="A21" s="155">
        <f t="shared" si="0"/>
        <v>46221</v>
      </c>
      <c r="B21" s="156">
        <f>'CHICLETS MASTER S1'!U7</f>
        <v>0.39583333333333398</v>
      </c>
      <c r="C21" s="122" t="s">
        <v>163</v>
      </c>
      <c r="D21" s="122" t="str">
        <f t="shared" si="1"/>
        <v>UC IRVINE 1</v>
      </c>
      <c r="E21" s="122">
        <v>13</v>
      </c>
      <c r="F21" s="122" t="str">
        <f t="shared" si="4"/>
        <v>24-LAMORINDA B</v>
      </c>
      <c r="G21" s="157"/>
      <c r="H21" s="122" t="str">
        <f>A7</f>
        <v>25-SAN CLEMENTE BLACK</v>
      </c>
      <c r="I21" s="122"/>
      <c r="J21" s="122">
        <v>33</v>
      </c>
      <c r="K21" s="122">
        <v>37</v>
      </c>
      <c r="L21" s="122" t="str">
        <f t="shared" si="3"/>
        <v>14G-013</v>
      </c>
      <c r="M21" s="109"/>
      <c r="N21" s="109"/>
      <c r="O21" s="109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</row>
    <row r="22" spans="1:26" ht="13.5" customHeight="1">
      <c r="A22" s="155">
        <f t="shared" si="0"/>
        <v>46221</v>
      </c>
      <c r="B22" s="156">
        <f>'CHICLETS MASTER S1'!U8</f>
        <v>0.43055555555555602</v>
      </c>
      <c r="C22" s="122" t="s">
        <v>163</v>
      </c>
      <c r="D22" s="122" t="str">
        <f t="shared" si="1"/>
        <v>UC IRVINE 1</v>
      </c>
      <c r="E22" s="122">
        <v>17</v>
      </c>
      <c r="F22" s="122" t="str">
        <f t="shared" ref="F22:F23" si="5">B5</f>
        <v>2-SAN CLEMENTE RED</v>
      </c>
      <c r="G22" s="157"/>
      <c r="H22" s="122" t="str">
        <f>B8</f>
        <v>47-NORTHWEST</v>
      </c>
      <c r="I22" s="122"/>
      <c r="J22" s="122">
        <v>41</v>
      </c>
      <c r="K22" s="122">
        <v>45</v>
      </c>
      <c r="L22" s="122" t="str">
        <f t="shared" si="3"/>
        <v>14G-017</v>
      </c>
      <c r="M22" s="109"/>
      <c r="N22" s="109"/>
      <c r="O22" s="109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</row>
    <row r="23" spans="1:26" ht="13.5" customHeight="1">
      <c r="A23" s="155">
        <f t="shared" si="0"/>
        <v>46221</v>
      </c>
      <c r="B23" s="156">
        <f>'CHICLETS MASTER S1'!U9</f>
        <v>0.46527777777777801</v>
      </c>
      <c r="C23" s="122" t="s">
        <v>163</v>
      </c>
      <c r="D23" s="122" t="str">
        <f t="shared" si="1"/>
        <v>UC IRVINE 1</v>
      </c>
      <c r="E23" s="122">
        <v>21</v>
      </c>
      <c r="F23" s="122" t="str">
        <f t="shared" si="5"/>
        <v>23-INNIA ARDEN</v>
      </c>
      <c r="G23" s="157"/>
      <c r="H23" s="122" t="str">
        <f>B7</f>
        <v>26-SHAQ</v>
      </c>
      <c r="I23" s="122"/>
      <c r="J23" s="122">
        <v>41</v>
      </c>
      <c r="K23" s="122">
        <v>45</v>
      </c>
      <c r="L23" s="122" t="str">
        <f t="shared" si="3"/>
        <v>14G-021</v>
      </c>
      <c r="M23" s="109"/>
      <c r="N23" s="109"/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</row>
    <row r="24" spans="1:26" ht="13.5" customHeight="1">
      <c r="A24" s="155">
        <f t="shared" si="0"/>
        <v>46221</v>
      </c>
      <c r="B24" s="156">
        <f>'CHICLETS MASTER S1'!U10</f>
        <v>0.5</v>
      </c>
      <c r="C24" s="122" t="s">
        <v>163</v>
      </c>
      <c r="D24" s="122" t="str">
        <f t="shared" si="1"/>
        <v>UC IRVINE 1</v>
      </c>
      <c r="E24" s="122">
        <v>25</v>
      </c>
      <c r="F24" s="122" t="str">
        <f>IF(G18 = "", "W1", IF(G18 &gt; I18, _xlfn.CONCAT("W1-", RIGHT(F18, LEN(F18) - FIND("-", F18))), _xlfn.CONCAT("W1-", RIGHT(H18, LEN(H18) - FIND("-", H18)))))</f>
        <v>W1</v>
      </c>
      <c r="G24" s="122"/>
      <c r="H24" s="122" t="str">
        <f>IF(G19 = "", "W5", IF(G19 &gt; I19, _xlfn.CONCAT("W5-", RIGHT(F19, LEN(F19) - FIND("-", F19))), _xlfn.CONCAT("W5-", RIGHT(H19, LEN(H19) - FIND("-", H19)))))</f>
        <v>W5</v>
      </c>
      <c r="I24" s="122"/>
      <c r="J24" s="122" t="s">
        <v>174</v>
      </c>
      <c r="K24" s="122">
        <v>50</v>
      </c>
      <c r="L24" s="122" t="str">
        <f t="shared" si="3"/>
        <v>14G-025</v>
      </c>
      <c r="M24" s="109"/>
      <c r="N24" s="109"/>
      <c r="O24" s="109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</row>
    <row r="25" spans="1:26" ht="13.5" customHeight="1">
      <c r="A25" s="155">
        <f t="shared" si="0"/>
        <v>46221</v>
      </c>
      <c r="B25" s="156">
        <f>'CHICLETS MASTER S1'!U11</f>
        <v>0.53472222222222199</v>
      </c>
      <c r="C25" s="122" t="s">
        <v>163</v>
      </c>
      <c r="D25" s="122" t="str">
        <f t="shared" si="1"/>
        <v>UC IRVINE 1</v>
      </c>
      <c r="E25" s="122">
        <v>29</v>
      </c>
      <c r="F25" s="122" t="str">
        <f>IF(G18 = "", "L1", IF(G18 &lt; I18, _xlfn.CONCAT("L1-", RIGHT(F18, LEN(F18) - FIND("-", F18))), _xlfn.CONCAT("L1-", RIGHT(H18, LEN(H18) - FIND("-", H18)))))</f>
        <v>L1</v>
      </c>
      <c r="G25" s="122"/>
      <c r="H25" s="122" t="str">
        <f>IF(G19 = "", "L5", IF(G19 &lt; I19, _xlfn.CONCAT("L5-", RIGHT(F19, LEN(F19) - FIND("-", F19))), _xlfn.CONCAT("L5-", RIGHT(H19, LEN(H19) - FIND("-", H19)))))</f>
        <v>L5</v>
      </c>
      <c r="I25" s="122"/>
      <c r="J25" s="122">
        <v>49</v>
      </c>
      <c r="K25" s="122" t="s">
        <v>654</v>
      </c>
      <c r="L25" s="122" t="str">
        <f t="shared" si="3"/>
        <v>14G-029</v>
      </c>
      <c r="M25" s="109"/>
      <c r="N25" s="109"/>
      <c r="O25" s="109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</row>
    <row r="26" spans="1:26" ht="13.5" customHeight="1">
      <c r="A26" s="155">
        <f t="shared" si="0"/>
        <v>46221</v>
      </c>
      <c r="B26" s="156">
        <f>'CHICLETS MASTER S1'!U12</f>
        <v>0.56944444444444497</v>
      </c>
      <c r="C26" s="122" t="s">
        <v>163</v>
      </c>
      <c r="D26" s="122" t="str">
        <f t="shared" si="1"/>
        <v>UC IRVINE 1</v>
      </c>
      <c r="E26" s="122">
        <v>33</v>
      </c>
      <c r="F26" s="122" t="str">
        <f>IF(G20 = "", "W9", IF(G20 &gt; I20, _xlfn.CONCAT("W9-", RIGHT(F20, LEN(F20) - FIND("-", F20))), _xlfn.CONCAT("W9-", RIGHT(H20, LEN(H20) - FIND("-", H20)))))</f>
        <v>W9</v>
      </c>
      <c r="G26" s="122"/>
      <c r="H26" s="122" t="str">
        <f>IF(G21 = "", "W13", IF(G21 &gt; I21, _xlfn.CONCAT("W13-", RIGHT(F21, LEN(F21) - FIND("-", F21))), _xlfn.CONCAT("W13-", RIGHT(H21, LEN(H21) - FIND("-", H21)))))</f>
        <v>W13</v>
      </c>
      <c r="I26" s="122"/>
      <c r="J26" s="122" t="s">
        <v>164</v>
      </c>
      <c r="K26" s="122">
        <v>57</v>
      </c>
      <c r="L26" s="122" t="str">
        <f t="shared" si="3"/>
        <v>14G-033</v>
      </c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</row>
    <row r="27" spans="1:26" ht="13.5" customHeight="1">
      <c r="A27" s="155">
        <f t="shared" si="0"/>
        <v>46221</v>
      </c>
      <c r="B27" s="156">
        <f>'CHICLETS MASTER S1'!U13</f>
        <v>0.60416666666666696</v>
      </c>
      <c r="C27" s="122" t="s">
        <v>163</v>
      </c>
      <c r="D27" s="122" t="str">
        <f t="shared" si="1"/>
        <v>UC IRVINE 1</v>
      </c>
      <c r="E27" s="122">
        <v>37</v>
      </c>
      <c r="F27" s="122" t="str">
        <f>IF(G20 = "", "L9", IF(G20 &lt; I20, _xlfn.CONCAT("L9-", RIGHT(F20, LEN(F20) - FIND("-", F20))), _xlfn.CONCAT("L9-", RIGHT(H20, LEN(H20) - FIND("-", H20)))))</f>
        <v>L9</v>
      </c>
      <c r="G27" s="122"/>
      <c r="H27" s="122" t="str">
        <f>IF(G21 = "", "L13", IF(G21 &lt; I21, _xlfn.CONCAT("L13-", RIGHT(F21, LEN(F21) - FIND("-", F21))), _xlfn.CONCAT("L13-", RIGHT(H21, LEN(H21) - FIND("-", H21)))))</f>
        <v>L13</v>
      </c>
      <c r="I27" s="122"/>
      <c r="J27" s="122">
        <v>53</v>
      </c>
      <c r="K27" s="122" t="s">
        <v>1291</v>
      </c>
      <c r="L27" s="122" t="str">
        <f t="shared" si="3"/>
        <v>14G-037</v>
      </c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</row>
    <row r="28" spans="1:26" ht="13.5" customHeight="1">
      <c r="A28" s="155">
        <f t="shared" si="0"/>
        <v>46221</v>
      </c>
      <c r="B28" s="156">
        <f>'CHICLETS MASTER S1'!U14</f>
        <v>0.63888888888888895</v>
      </c>
      <c r="C28" s="122" t="s">
        <v>163</v>
      </c>
      <c r="D28" s="122" t="str">
        <f t="shared" si="1"/>
        <v>UC IRVINE 1</v>
      </c>
      <c r="E28" s="122">
        <v>41</v>
      </c>
      <c r="F28" s="122" t="str">
        <f>IF(G22 = "", "W17", IF(G22 &gt; I22, _xlfn.CONCAT("W17-", RIGHT(F22, LEN(F22) - FIND("-", F22))), _xlfn.CONCAT("W17-", RIGHT(H22, LEN(H22) - FIND("-", H22)))))</f>
        <v>W17</v>
      </c>
      <c r="G28" s="157"/>
      <c r="H28" s="122" t="str">
        <f>IF(G23 = "", "W21", IF(G23 &gt; I23, _xlfn.CONCAT("W21-", RIGHT(F23, LEN(F23) - FIND("-", F23))), _xlfn.CONCAT("W21-", RIGHT(H23, LEN(H23) - FIND("-", H23)))))</f>
        <v>W21</v>
      </c>
      <c r="I28" s="122"/>
      <c r="J28" s="122" t="s">
        <v>165</v>
      </c>
      <c r="K28" s="122">
        <v>53</v>
      </c>
      <c r="L28" s="122" t="str">
        <f t="shared" si="3"/>
        <v>14G-041</v>
      </c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</row>
    <row r="29" spans="1:26" ht="13.5" customHeight="1">
      <c r="A29" s="155">
        <f t="shared" si="0"/>
        <v>46221</v>
      </c>
      <c r="B29" s="156">
        <f>'CHICLETS MASTER S1'!U15</f>
        <v>0.67361111111111105</v>
      </c>
      <c r="C29" s="122" t="s">
        <v>163</v>
      </c>
      <c r="D29" s="122" t="str">
        <f t="shared" si="1"/>
        <v>UC IRVINE 1</v>
      </c>
      <c r="E29" s="122">
        <v>45</v>
      </c>
      <c r="F29" s="122" t="str">
        <f>IF(G22 = "", "L17", IF(G22 &lt; I22, _xlfn.CONCAT("L17-", RIGHT(F22, LEN(F22) - FIND("-", F22))), _xlfn.CONCAT("L17-", RIGHT(H22, LEN(H22) - FIND("-", H22)))))</f>
        <v>L17</v>
      </c>
      <c r="G29" s="157"/>
      <c r="H29" s="122" t="str">
        <f>IF(G23 = "", "L21", IF(G23 &lt; I23, _xlfn.CONCAT("L21-", RIGHT(F23, LEN(F23) - FIND("-", F23))), _xlfn.CONCAT("L21-", RIGHT(H23, LEN(H23) - FIND("-", H23)))))</f>
        <v>L21</v>
      </c>
      <c r="I29" s="122"/>
      <c r="J29" s="122">
        <v>57</v>
      </c>
      <c r="K29" s="122" t="s">
        <v>660</v>
      </c>
      <c r="L29" s="122" t="str">
        <f t="shared" si="3"/>
        <v>14G-045</v>
      </c>
      <c r="M29" s="109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</row>
    <row r="30" spans="1:26" ht="13.5" customHeight="1">
      <c r="A30" s="158"/>
      <c r="B30" s="106" t="s">
        <v>204</v>
      </c>
      <c r="C30" s="106"/>
      <c r="D30" s="106"/>
      <c r="E30" s="106"/>
      <c r="F30" s="106"/>
      <c r="G30" s="110"/>
      <c r="H30" s="106"/>
      <c r="I30" s="106"/>
      <c r="J30" s="106"/>
      <c r="K30" s="106"/>
      <c r="L30" s="106"/>
      <c r="M30" s="109"/>
      <c r="N30" s="109"/>
      <c r="O30" s="109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</row>
    <row r="31" spans="1:26" ht="13.5" customHeight="1">
      <c r="A31" s="155">
        <f t="shared" ref="A31:A33" si="6">$A$2</f>
        <v>46221</v>
      </c>
      <c r="B31" s="156">
        <f>'CHICLETS MASTER S1'!U17</f>
        <v>0.74305555555555602</v>
      </c>
      <c r="C31" s="122" t="s">
        <v>275</v>
      </c>
      <c r="D31" s="122" t="str">
        <f t="shared" ref="D31:D33" si="7">$D$16</f>
        <v>UC IRVINE 1</v>
      </c>
      <c r="E31" s="122">
        <v>49</v>
      </c>
      <c r="F31" s="152" t="str">
        <f>IF(G43 = "", "L26", IF(G43 &lt; I43, _xlfn.CONCAT("L26-", RIGHT(F43, LEN(F43) - FIND("-", F43))), _xlfn.CONCAT("L26-", RIGHT(H43, LEN(H43) - FIND("-", H43)))))</f>
        <v>L26</v>
      </c>
      <c r="G31" s="122"/>
      <c r="H31" s="122" t="str">
        <f>IF(G25 = "", "W29", IF(G25 &gt; I25, _xlfn.CONCAT("W29-", RIGHT(F25, LEN(F25) - FIND("-", F25))), _xlfn.CONCAT("W29-", RIGHT(H25, LEN(H25) - FIND("-", H25)))))</f>
        <v>W29</v>
      </c>
      <c r="I31" s="122"/>
      <c r="J31" s="122" t="s">
        <v>142</v>
      </c>
      <c r="K31" s="122" t="s">
        <v>289</v>
      </c>
      <c r="L31" s="122" t="str">
        <f t="shared" ref="L31:L33" si="8">IF(E31="","",$L$15&amp;"-"&amp;TEXT(E31,"000"))</f>
        <v>14G-049</v>
      </c>
      <c r="M31" s="109"/>
      <c r="N31" s="109"/>
      <c r="O31" s="109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</row>
    <row r="32" spans="1:26" ht="13.5" customHeight="1">
      <c r="A32" s="155">
        <f t="shared" si="6"/>
        <v>46221</v>
      </c>
      <c r="B32" s="156">
        <f>'CHICLETS MASTER S1'!U18</f>
        <v>0.77777777777777801</v>
      </c>
      <c r="C32" s="122" t="s">
        <v>275</v>
      </c>
      <c r="D32" s="122" t="str">
        <f t="shared" si="7"/>
        <v>UC IRVINE 1</v>
      </c>
      <c r="E32" s="122">
        <v>53</v>
      </c>
      <c r="F32" s="122" t="str">
        <f>IF(G28 = "", "L41", IF(G28 &lt; I28, _xlfn.CONCAT("L41-", RIGHT(F28, LEN(F28) - FIND("-", F28))), _xlfn.CONCAT("L41-", RIGHT(H28, LEN(H28) - FIND("-", H28)))))</f>
        <v>L41</v>
      </c>
      <c r="G32" s="122"/>
      <c r="H32" s="122" t="str">
        <f>IF(G27 = "", "W37", IF(G27 &gt; I27, _xlfn.CONCAT("W37-", RIGHT(F27, LEN(F27) - FIND("-", F27))), _xlfn.CONCAT("W37-", RIGHT(H27, LEN(H27) - FIND("-", H27)))))</f>
        <v>W37</v>
      </c>
      <c r="I32" s="122"/>
      <c r="J32" s="122" t="s">
        <v>282</v>
      </c>
      <c r="K32" s="122" t="s">
        <v>283</v>
      </c>
      <c r="L32" s="122" t="str">
        <f t="shared" si="8"/>
        <v>14G-053</v>
      </c>
      <c r="M32" s="109"/>
      <c r="N32" s="109"/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</row>
    <row r="33" spans="1:26" ht="13.5" customHeight="1">
      <c r="A33" s="155">
        <f t="shared" si="6"/>
        <v>46221</v>
      </c>
      <c r="B33" s="156">
        <f>'CHICLETS MASTER S1'!U19</f>
        <v>0.8125</v>
      </c>
      <c r="C33" s="122" t="s">
        <v>275</v>
      </c>
      <c r="D33" s="122" t="str">
        <f t="shared" si="7"/>
        <v>UC IRVINE 1</v>
      </c>
      <c r="E33" s="122">
        <v>57</v>
      </c>
      <c r="F33" s="122" t="str">
        <f>IF(G26 = "", "L33", IF(G26 &lt; I26, _xlfn.CONCAT("L33-", RIGHT(F26, LEN(F26) - FIND("-", F26))), _xlfn.CONCAT("L33-", RIGHT(H26, LEN(H26) - FIND("-", H26)))))</f>
        <v>L33</v>
      </c>
      <c r="G33" s="122"/>
      <c r="H33" s="122" t="str">
        <f>IF(G29 = "", "W45", IF(G29 &gt; I29, _xlfn.CONCAT("W45-", RIGHT(F29, LEN(F29) - FIND("-", F29))), _xlfn.CONCAT("W45-", RIGHT(H29, LEN(H29) - FIND("-", H29)))))</f>
        <v>W45</v>
      </c>
      <c r="I33" s="122"/>
      <c r="J33" s="122" t="s">
        <v>278</v>
      </c>
      <c r="K33" s="122" t="s">
        <v>279</v>
      </c>
      <c r="L33" s="122" t="str">
        <f t="shared" si="8"/>
        <v>14G-057</v>
      </c>
      <c r="M33" s="109"/>
      <c r="N33" s="109"/>
      <c r="O33" s="109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</row>
    <row r="34" spans="1:26" ht="13.5" customHeight="1" thickBot="1">
      <c r="A34" s="159"/>
      <c r="B34" s="160"/>
      <c r="C34" s="106"/>
      <c r="D34" s="106"/>
      <c r="E34" s="106"/>
      <c r="F34" s="109"/>
      <c r="G34" s="161"/>
      <c r="H34" s="109"/>
      <c r="I34" s="106"/>
      <c r="J34" s="106"/>
      <c r="K34" s="106"/>
      <c r="L34" s="106"/>
      <c r="M34" s="109"/>
      <c r="N34" s="109"/>
      <c r="O34" s="109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</row>
    <row r="35" spans="1:26" ht="13.5" customHeight="1" thickBot="1">
      <c r="A35" s="109"/>
      <c r="B35" s="160"/>
      <c r="C35" s="106"/>
      <c r="D35" s="153" t="str">
        <f>'CHICLETS MASTER S1'!$AB$3</f>
        <v>UC IRVINE 2</v>
      </c>
      <c r="E35" s="106"/>
      <c r="F35" s="109"/>
      <c r="G35" s="161"/>
      <c r="H35" s="109"/>
      <c r="I35" s="106"/>
      <c r="J35" s="106"/>
      <c r="K35" s="106"/>
      <c r="L35" s="106"/>
      <c r="M35" s="109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</row>
    <row r="36" spans="1:26" ht="13.5" customHeight="1">
      <c r="A36" s="151" t="s">
        <v>110</v>
      </c>
      <c r="B36" s="154" t="s">
        <v>111</v>
      </c>
      <c r="C36" s="154" t="s">
        <v>112</v>
      </c>
      <c r="D36" s="154" t="s">
        <v>113</v>
      </c>
      <c r="E36" s="154" t="s">
        <v>114</v>
      </c>
      <c r="F36" s="154" t="s">
        <v>115</v>
      </c>
      <c r="G36" s="154" t="s">
        <v>116</v>
      </c>
      <c r="H36" s="154" t="s">
        <v>117</v>
      </c>
      <c r="I36" s="154" t="s">
        <v>116</v>
      </c>
      <c r="J36" s="154" t="s">
        <v>118</v>
      </c>
      <c r="K36" s="154" t="s">
        <v>119</v>
      </c>
      <c r="L36" s="154" t="s">
        <v>120</v>
      </c>
      <c r="M36" s="109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09"/>
    </row>
    <row r="37" spans="1:26" ht="13.5" customHeight="1">
      <c r="A37" s="155">
        <f t="shared" ref="A37:A48" si="9">$A$2</f>
        <v>46221</v>
      </c>
      <c r="B37" s="156">
        <f>'CHICLETS MASTER S1'!Z4</f>
        <v>0.29166666666666669</v>
      </c>
      <c r="C37" s="122" t="s">
        <v>163</v>
      </c>
      <c r="D37" s="122" t="str">
        <f t="shared" ref="D37:D48" si="10">$D$35</f>
        <v>UC IRVINE 2</v>
      </c>
      <c r="E37" s="122">
        <v>2</v>
      </c>
      <c r="F37" s="122" t="str">
        <f t="shared" ref="F37:F38" si="11">D5</f>
        <v>4-DIABLO ALLIANCE A</v>
      </c>
      <c r="G37" s="157"/>
      <c r="H37" s="122" t="str">
        <f>D8</f>
        <v>45-SOUTHSIDE</v>
      </c>
      <c r="I37" s="122"/>
      <c r="J37" s="122">
        <v>26</v>
      </c>
      <c r="K37" s="122">
        <v>30</v>
      </c>
      <c r="L37" s="122" t="str">
        <f t="shared" ref="L37:L48" si="12">IF(E37="","",$L$15&amp;"-"&amp;TEXT(E37,"000"))</f>
        <v>14G-002</v>
      </c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</row>
    <row r="38" spans="1:26" ht="13.5" customHeight="1">
      <c r="A38" s="155">
        <f t="shared" si="9"/>
        <v>46221</v>
      </c>
      <c r="B38" s="156">
        <f>'CHICLETS MASTER S1'!Z5</f>
        <v>0.3263888888888889</v>
      </c>
      <c r="C38" s="122" t="s">
        <v>163</v>
      </c>
      <c r="D38" s="122" t="str">
        <f t="shared" si="10"/>
        <v>UC IRVINE 2</v>
      </c>
      <c r="E38" s="122">
        <v>6</v>
      </c>
      <c r="F38" s="122" t="str">
        <f t="shared" si="11"/>
        <v>21-CDM</v>
      </c>
      <c r="G38" s="157"/>
      <c r="H38" s="122" t="str">
        <f>D7</f>
        <v>28-CLOVIS A</v>
      </c>
      <c r="I38" s="122"/>
      <c r="J38" s="122">
        <v>26</v>
      </c>
      <c r="K38" s="122">
        <v>30</v>
      </c>
      <c r="L38" s="122" t="str">
        <f t="shared" si="12"/>
        <v>14G-006</v>
      </c>
      <c r="M38" s="109"/>
      <c r="N38" s="109"/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09"/>
      <c r="Z38" s="109"/>
    </row>
    <row r="39" spans="1:26" ht="13.5" customHeight="1">
      <c r="A39" s="155">
        <f t="shared" si="9"/>
        <v>46221</v>
      </c>
      <c r="B39" s="156">
        <f>'CHICLETS MASTER S1'!Z6</f>
        <v>0.36111111111111099</v>
      </c>
      <c r="C39" s="122" t="s">
        <v>163</v>
      </c>
      <c r="D39" s="122" t="str">
        <f t="shared" si="10"/>
        <v>UC IRVINE 2</v>
      </c>
      <c r="E39" s="122">
        <v>10</v>
      </c>
      <c r="F39" s="122" t="str">
        <f t="shared" ref="F39:F40" si="13">E5</f>
        <v>5-LAMORINDA A</v>
      </c>
      <c r="G39" s="157"/>
      <c r="H39" s="122" t="str">
        <f>E8</f>
        <v>44-CENTRAL COAST</v>
      </c>
      <c r="I39" s="122"/>
      <c r="J39" s="122">
        <v>34</v>
      </c>
      <c r="K39" s="122">
        <v>38</v>
      </c>
      <c r="L39" s="122" t="str">
        <f t="shared" si="12"/>
        <v>14G-010</v>
      </c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</row>
    <row r="40" spans="1:26" ht="13.5" customHeight="1">
      <c r="A40" s="155">
        <f t="shared" si="9"/>
        <v>46221</v>
      </c>
      <c r="B40" s="156">
        <f>'CHICLETS MASTER S1'!Z7</f>
        <v>0.39583333333333398</v>
      </c>
      <c r="C40" s="122" t="s">
        <v>163</v>
      </c>
      <c r="D40" s="122" t="str">
        <f t="shared" si="10"/>
        <v>UC IRVINE 2</v>
      </c>
      <c r="E40" s="122">
        <v>14</v>
      </c>
      <c r="F40" s="122" t="str">
        <f t="shared" si="13"/>
        <v>20-SD DONS</v>
      </c>
      <c r="G40" s="157"/>
      <c r="H40" s="122" t="str">
        <f>E7</f>
        <v>29-SD SHORES GOLD</v>
      </c>
      <c r="I40" s="157"/>
      <c r="J40" s="122">
        <v>34</v>
      </c>
      <c r="K40" s="122">
        <v>38</v>
      </c>
      <c r="L40" s="122" t="str">
        <f t="shared" si="12"/>
        <v>14G-014</v>
      </c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</row>
    <row r="41" spans="1:26" ht="13.5" customHeight="1">
      <c r="A41" s="155">
        <f t="shared" si="9"/>
        <v>46221</v>
      </c>
      <c r="B41" s="156">
        <f>'CHICLETS MASTER S1'!Z8</f>
        <v>0.43055555555555602</v>
      </c>
      <c r="C41" s="122" t="s">
        <v>163</v>
      </c>
      <c r="D41" s="122" t="str">
        <f t="shared" si="10"/>
        <v>UC IRVINE 2</v>
      </c>
      <c r="E41" s="122">
        <v>18</v>
      </c>
      <c r="F41" s="122" t="str">
        <f t="shared" ref="F41:F42" si="14">F5</f>
        <v>6-STANFORD A</v>
      </c>
      <c r="G41" s="157"/>
      <c r="H41" s="122" t="str">
        <f>F8</f>
        <v>43-CHICAGO PARK</v>
      </c>
      <c r="I41" s="122"/>
      <c r="J41" s="122">
        <v>42</v>
      </c>
      <c r="K41" s="122">
        <v>46</v>
      </c>
      <c r="L41" s="122" t="str">
        <f t="shared" si="12"/>
        <v>14G-018</v>
      </c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</row>
    <row r="42" spans="1:26" ht="13.5" customHeight="1">
      <c r="A42" s="155">
        <f t="shared" si="9"/>
        <v>46221</v>
      </c>
      <c r="B42" s="156">
        <f>'CHICLETS MASTER S1'!Z9</f>
        <v>0.46527777777777801</v>
      </c>
      <c r="C42" s="122" t="s">
        <v>163</v>
      </c>
      <c r="D42" s="122" t="str">
        <f t="shared" si="10"/>
        <v>UC IRVINE 2</v>
      </c>
      <c r="E42" s="122">
        <v>22</v>
      </c>
      <c r="F42" s="122" t="str">
        <f t="shared" si="14"/>
        <v>19-LAGUNA BEACH</v>
      </c>
      <c r="G42" s="157"/>
      <c r="H42" s="122" t="str">
        <f>F7</f>
        <v>30-MAVERICKS</v>
      </c>
      <c r="I42" s="122"/>
      <c r="J42" s="122">
        <v>42</v>
      </c>
      <c r="K42" s="122">
        <v>46</v>
      </c>
      <c r="L42" s="122" t="str">
        <f t="shared" si="12"/>
        <v>14G-022</v>
      </c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</row>
    <row r="43" spans="1:26" ht="13.5" customHeight="1">
      <c r="A43" s="155">
        <f t="shared" si="9"/>
        <v>46221</v>
      </c>
      <c r="B43" s="156">
        <f>'CHICLETS MASTER S1'!Z10</f>
        <v>0.5</v>
      </c>
      <c r="C43" s="122" t="s">
        <v>163</v>
      </c>
      <c r="D43" s="122" t="str">
        <f t="shared" si="10"/>
        <v>UC IRVINE 2</v>
      </c>
      <c r="E43" s="122">
        <v>26</v>
      </c>
      <c r="F43" s="122" t="str">
        <f>IF(G37 = "", "W2", IF(G37 &gt; I37, _xlfn.CONCAT("W2-", RIGHT(F37, LEN(F37) - FIND("-", F37))), _xlfn.CONCAT("W2-", RIGHT(H37, LEN(H37) - FIND("-", H37)))))</f>
        <v>W2</v>
      </c>
      <c r="G43" s="122"/>
      <c r="H43" s="122" t="str">
        <f>IF(G38 = "", "W6", IF(G38 &gt; I38, _xlfn.CONCAT("W6-", RIGHT(F38, LEN(F38) - FIND("-", F38))), _xlfn.CONCAT("W6-", RIGHT(H38, LEN(H38) - FIND("-", H38)))))</f>
        <v>W6</v>
      </c>
      <c r="I43" s="122"/>
      <c r="J43" s="122" t="s">
        <v>175</v>
      </c>
      <c r="K43" s="122">
        <v>49</v>
      </c>
      <c r="L43" s="122" t="str">
        <f t="shared" si="12"/>
        <v>14G-026</v>
      </c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109"/>
      <c r="Y43" s="109"/>
      <c r="Z43" s="109"/>
    </row>
    <row r="44" spans="1:26" ht="13.5" customHeight="1">
      <c r="A44" s="155">
        <f t="shared" si="9"/>
        <v>46221</v>
      </c>
      <c r="B44" s="156">
        <f>'CHICLETS MASTER S1'!Z11</f>
        <v>0.53472222222222199</v>
      </c>
      <c r="C44" s="122" t="s">
        <v>163</v>
      </c>
      <c r="D44" s="122" t="str">
        <f t="shared" si="10"/>
        <v>UC IRVINE 2</v>
      </c>
      <c r="E44" s="122">
        <v>30</v>
      </c>
      <c r="F44" s="122" t="str">
        <f>IF(G37 = "", "L2", IF(G37 &lt; I37, _xlfn.CONCAT("L2-", RIGHT(F37, LEN(F37) - FIND("-", F37))), _xlfn.CONCAT("L2-", RIGHT(H37, LEN(H37) - FIND("-", H37)))))</f>
        <v>L2</v>
      </c>
      <c r="G44" s="122"/>
      <c r="H44" s="122" t="str">
        <f>IF(G38 = "", "L6", IF(G38 &lt; I38, _xlfn.CONCAT("L6-", RIGHT(F38, LEN(F38) - FIND("-", F38))), _xlfn.CONCAT("L6-", RIGHT(H38, LEN(H38) - FIND("-", H38)))))</f>
        <v>L6</v>
      </c>
      <c r="I44" s="122"/>
      <c r="J44" s="122">
        <v>50</v>
      </c>
      <c r="K44" s="122" t="s">
        <v>705</v>
      </c>
      <c r="L44" s="122" t="str">
        <f t="shared" si="12"/>
        <v>14G-030</v>
      </c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</row>
    <row r="45" spans="1:26" ht="13.5" customHeight="1">
      <c r="A45" s="155">
        <f t="shared" si="9"/>
        <v>46221</v>
      </c>
      <c r="B45" s="156">
        <f>'CHICLETS MASTER S1'!Z12</f>
        <v>0.56944444444444497</v>
      </c>
      <c r="C45" s="122" t="s">
        <v>163</v>
      </c>
      <c r="D45" s="122" t="str">
        <f t="shared" si="10"/>
        <v>UC IRVINE 2</v>
      </c>
      <c r="E45" s="122">
        <v>34</v>
      </c>
      <c r="F45" s="122" t="str">
        <f>IF(G39 = "", "W10", IF(G39 &gt; I39, _xlfn.CONCAT("W10-", RIGHT(F39, LEN(F39) - FIND("-", F39))), _xlfn.CONCAT("W10-", RIGHT(H39, LEN(H39) - FIND("-", H39)))))</f>
        <v>W10</v>
      </c>
      <c r="G45" s="157"/>
      <c r="H45" s="122" t="str">
        <f>IF(G40 = "", "W14", IF(G40 &gt; I40, _xlfn.CONCAT("W14-", RIGHT(F40, LEN(F40) - FIND("-", F40))), _xlfn.CONCAT("W14-", RIGHT(H40, LEN(H40) - FIND("-", H40)))))</f>
        <v>W14</v>
      </c>
      <c r="I45" s="122"/>
      <c r="J45" s="122" t="s">
        <v>177</v>
      </c>
      <c r="K45" s="122">
        <v>58</v>
      </c>
      <c r="L45" s="122" t="str">
        <f t="shared" si="12"/>
        <v>14G-034</v>
      </c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</row>
    <row r="46" spans="1:26" ht="13.5" customHeight="1">
      <c r="A46" s="155">
        <f t="shared" si="9"/>
        <v>46221</v>
      </c>
      <c r="B46" s="156">
        <f>'CHICLETS MASTER S1'!Z13</f>
        <v>0.60416666666666696</v>
      </c>
      <c r="C46" s="122" t="s">
        <v>163</v>
      </c>
      <c r="D46" s="122" t="str">
        <f t="shared" si="10"/>
        <v>UC IRVINE 2</v>
      </c>
      <c r="E46" s="122">
        <v>38</v>
      </c>
      <c r="F46" s="122" t="str">
        <f>IF(G39 = "", "L10", IF(G39 &lt; I39, _xlfn.CONCAT("L10-", RIGHT(F39, LEN(F39) - FIND("-", F39))), _xlfn.CONCAT("L10-", RIGHT(H39, LEN(H39) - FIND("-", H39)))))</f>
        <v>L10</v>
      </c>
      <c r="G46" s="157"/>
      <c r="H46" s="122" t="str">
        <f>IF(G40 = "", "L14", IF(G40 &lt; I40, _xlfn.CONCAT("L14-", RIGHT(F40, LEN(F40) - FIND("-", F40))), _xlfn.CONCAT("L14-", RIGHT(H40, LEN(H40) - FIND("-", H40)))))</f>
        <v>L14</v>
      </c>
      <c r="I46" s="122"/>
      <c r="J46" s="122">
        <v>54</v>
      </c>
      <c r="K46" s="122" t="s">
        <v>710</v>
      </c>
      <c r="L46" s="122" t="str">
        <f t="shared" si="12"/>
        <v>14G-038</v>
      </c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</row>
    <row r="47" spans="1:26" ht="13.5" customHeight="1">
      <c r="A47" s="155">
        <f t="shared" si="9"/>
        <v>46221</v>
      </c>
      <c r="B47" s="156">
        <f>'CHICLETS MASTER S1'!Z14</f>
        <v>0.63888888888888895</v>
      </c>
      <c r="C47" s="122" t="s">
        <v>163</v>
      </c>
      <c r="D47" s="122" t="str">
        <f t="shared" si="10"/>
        <v>UC IRVINE 2</v>
      </c>
      <c r="E47" s="122">
        <v>42</v>
      </c>
      <c r="F47" s="122" t="str">
        <f>IF(G41 = "", "W18", IF(G41 &gt; I41, _xlfn.CONCAT("W18-", RIGHT(F41, LEN(F41) - FIND("-", F41))), _xlfn.CONCAT("W18-", RIGHT(H41, LEN(H41) - FIND("-", H41)))))</f>
        <v>W18</v>
      </c>
      <c r="G47" s="157"/>
      <c r="H47" s="122" t="str">
        <f>IF(G42 = "", "W22", IF(G42 &gt; I42, _xlfn.CONCAT("W22-", RIGHT(F42, LEN(F42) - FIND("-", F42))), _xlfn.CONCAT("W22-", RIGHT(H42, LEN(H42) - FIND("-", H42)))))</f>
        <v>W22</v>
      </c>
      <c r="I47" s="122"/>
      <c r="J47" s="122" t="s">
        <v>176</v>
      </c>
      <c r="K47" s="122">
        <v>54</v>
      </c>
      <c r="L47" s="122" t="str">
        <f t="shared" si="12"/>
        <v>14G-042</v>
      </c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</row>
    <row r="48" spans="1:26" ht="13.5" customHeight="1">
      <c r="A48" s="155">
        <f t="shared" si="9"/>
        <v>46221</v>
      </c>
      <c r="B48" s="156">
        <f>'CHICLETS MASTER S1'!Z15</f>
        <v>0.67361111111111105</v>
      </c>
      <c r="C48" s="122" t="s">
        <v>163</v>
      </c>
      <c r="D48" s="122" t="str">
        <f t="shared" si="10"/>
        <v>UC IRVINE 2</v>
      </c>
      <c r="E48" s="122">
        <v>46</v>
      </c>
      <c r="F48" s="122" t="str">
        <f>IF(G41 = "", "L18", IF(G41 &lt; I41, _xlfn.CONCAT("L18-", RIGHT(F41, LEN(F41) - FIND("-", F41))), _xlfn.CONCAT("L18-", RIGHT(H41, LEN(H41) - FIND("-", H41)))))</f>
        <v>L18</v>
      </c>
      <c r="G48" s="157"/>
      <c r="H48" s="122" t="str">
        <f>IF(G42 = "", "L22", IF(G42 &lt; I42, _xlfn.CONCAT("L22-", RIGHT(F42, LEN(F42) - FIND("-", F42))), _xlfn.CONCAT("L22-", RIGHT(H42, LEN(H42) - FIND("-", H42)))))</f>
        <v>L22</v>
      </c>
      <c r="I48" s="122"/>
      <c r="J48" s="122">
        <v>58</v>
      </c>
      <c r="K48" s="122" t="s">
        <v>689</v>
      </c>
      <c r="L48" s="122" t="str">
        <f t="shared" si="12"/>
        <v>14G-046</v>
      </c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</row>
    <row r="49" spans="1:26" ht="13.5" customHeight="1">
      <c r="A49" s="158"/>
      <c r="B49" s="106" t="s">
        <v>204</v>
      </c>
      <c r="C49" s="106"/>
      <c r="D49" s="106"/>
      <c r="E49" s="106"/>
      <c r="F49" s="106"/>
      <c r="G49" s="110"/>
      <c r="H49" s="106"/>
      <c r="I49" s="106"/>
      <c r="J49" s="106"/>
      <c r="K49" s="106"/>
      <c r="L49" s="106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</row>
    <row r="50" spans="1:26" ht="13.5" customHeight="1">
      <c r="A50" s="155">
        <f t="shared" ref="A50:A52" si="15">$A$2</f>
        <v>46221</v>
      </c>
      <c r="B50" s="156">
        <f>'CHICLETS MASTER S1'!Z17</f>
        <v>0.74305555555555602</v>
      </c>
      <c r="C50" s="122" t="s">
        <v>275</v>
      </c>
      <c r="D50" s="122" t="str">
        <f t="shared" ref="D50:D52" si="16">$D$35</f>
        <v>UC IRVINE 2</v>
      </c>
      <c r="E50" s="122">
        <v>50</v>
      </c>
      <c r="F50" s="162" t="str">
        <f>IF(G24 = "", "L25", IF(G24 &lt; I24, _xlfn.CONCAT("L25-", RIGHT(F24, LEN(F24) - FIND("-", F24))), _xlfn.CONCAT("L25-", RIGHT(H24, LEN(H24) - FIND("-", H24)))))</f>
        <v>L25</v>
      </c>
      <c r="G50" s="122"/>
      <c r="H50" s="122" t="str">
        <f>IF(G44 = "", "W30", IF(G44 &gt; I44, _xlfn.CONCAT("W30-", RIGHT(F44, LEN(F44) - FIND("-", F44))), _xlfn.CONCAT("W30-", RIGHT(H44, LEN(H44) - FIND("-", H44)))))</f>
        <v>W30</v>
      </c>
      <c r="I50" s="122"/>
      <c r="J50" s="122" t="s">
        <v>138</v>
      </c>
      <c r="K50" s="122" t="s">
        <v>286</v>
      </c>
      <c r="L50" s="122" t="str">
        <f t="shared" ref="L50:L52" si="17">IF(E50="","",$L$15&amp;"-"&amp;TEXT(E50,"000"))</f>
        <v>14G-050</v>
      </c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</row>
    <row r="51" spans="1:26" ht="13.5" customHeight="1">
      <c r="A51" s="155">
        <f t="shared" si="15"/>
        <v>46221</v>
      </c>
      <c r="B51" s="156">
        <f>'CHICLETS MASTER S1'!Z18</f>
        <v>0.77777777777777801</v>
      </c>
      <c r="C51" s="122" t="s">
        <v>275</v>
      </c>
      <c r="D51" s="122" t="str">
        <f t="shared" si="16"/>
        <v>UC IRVINE 2</v>
      </c>
      <c r="E51" s="122">
        <v>54</v>
      </c>
      <c r="F51" s="122" t="str">
        <f>IF(G47 = "", "L42", IF(G47 &lt; I47, _xlfn.CONCAT("L42-", RIGHT(F47, LEN(F47) - FIND("-", F47))), _xlfn.CONCAT("L42-", RIGHT(H47, LEN(H47) - FIND("-", H47)))))</f>
        <v>L42</v>
      </c>
      <c r="G51" s="122"/>
      <c r="H51" s="122" t="str">
        <f>IF(G46 = "", "W38", IF(G46 &gt; I46, _xlfn.CONCAT("W38-", RIGHT(F46, LEN(F46) - FIND("-", F46))), _xlfn.CONCAT("W38-", RIGHT(H46, LEN(H46) - FIND("-", H46)))))</f>
        <v>W38</v>
      </c>
      <c r="I51" s="122"/>
      <c r="J51" s="122" t="s">
        <v>134</v>
      </c>
      <c r="K51" s="122" t="s">
        <v>304</v>
      </c>
      <c r="L51" s="122" t="str">
        <f t="shared" si="17"/>
        <v>14G-054</v>
      </c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</row>
    <row r="52" spans="1:26" ht="13.5" customHeight="1">
      <c r="A52" s="155">
        <f t="shared" si="15"/>
        <v>46221</v>
      </c>
      <c r="B52" s="156">
        <f>'CHICLETS MASTER S1'!Z19</f>
        <v>0.8125</v>
      </c>
      <c r="C52" s="122" t="s">
        <v>275</v>
      </c>
      <c r="D52" s="122" t="str">
        <f t="shared" si="16"/>
        <v>UC IRVINE 2</v>
      </c>
      <c r="E52" s="122">
        <v>58</v>
      </c>
      <c r="F52" s="122" t="str">
        <f>IF(G45 = "", "L34", IF(G45 &lt; I45, _xlfn.CONCAT("L34-", RIGHT(F45, LEN(F45) - FIND("-", F45))), _xlfn.CONCAT("L34-", RIGHT(H45, LEN(H45) - FIND("-", H45)))))</f>
        <v>L34</v>
      </c>
      <c r="G52" s="122"/>
      <c r="H52" s="122" t="str">
        <f>IF(G48 = "", "W46", IF(G48 &gt; I48, _xlfn.CONCAT("W46-", RIGHT(F48, LEN(F48) - FIND("-", F48))), _xlfn.CONCAT("W46-", RIGHT(H48, LEN(H48) - FIND("-", H48)))))</f>
        <v>W46</v>
      </c>
      <c r="I52" s="122"/>
      <c r="J52" s="122" t="s">
        <v>146</v>
      </c>
      <c r="K52" s="122" t="s">
        <v>307</v>
      </c>
      <c r="L52" s="122" t="str">
        <f t="shared" si="17"/>
        <v>14G-058</v>
      </c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Z52" s="109"/>
    </row>
    <row r="53" spans="1:26" ht="13.5" customHeight="1" thickBot="1">
      <c r="A53" s="109"/>
      <c r="B53" s="109"/>
      <c r="C53" s="109"/>
      <c r="D53" s="109"/>
      <c r="E53" s="109"/>
      <c r="F53" s="109"/>
      <c r="G53" s="161"/>
      <c r="H53" s="109"/>
      <c r="I53" s="109"/>
      <c r="J53" s="109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109"/>
      <c r="Y53" s="109"/>
      <c r="Z53" s="109"/>
    </row>
    <row r="54" spans="1:26" ht="13.5" customHeight="1" thickBot="1">
      <c r="A54" s="109"/>
      <c r="B54" s="106"/>
      <c r="C54" s="106"/>
      <c r="D54" s="153" t="str">
        <f>'CHICLETS MASTER S1'!$AC$3</f>
        <v>SADDLEBACK COLLEGE 1</v>
      </c>
      <c r="E54" s="163"/>
      <c r="F54" s="109"/>
      <c r="G54" s="161"/>
      <c r="H54" s="109"/>
      <c r="I54" s="106"/>
      <c r="J54" s="106"/>
      <c r="K54" s="106"/>
      <c r="L54" s="106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/>
    </row>
    <row r="55" spans="1:26" ht="13.5" customHeight="1">
      <c r="A55" s="151" t="s">
        <v>110</v>
      </c>
      <c r="B55" s="154" t="s">
        <v>111</v>
      </c>
      <c r="C55" s="154" t="s">
        <v>112</v>
      </c>
      <c r="D55" s="154" t="s">
        <v>113</v>
      </c>
      <c r="E55" s="154" t="s">
        <v>114</v>
      </c>
      <c r="F55" s="154" t="s">
        <v>115</v>
      </c>
      <c r="G55" s="154" t="s">
        <v>116</v>
      </c>
      <c r="H55" s="154" t="s">
        <v>117</v>
      </c>
      <c r="I55" s="154" t="s">
        <v>116</v>
      </c>
      <c r="J55" s="154" t="s">
        <v>118</v>
      </c>
      <c r="K55" s="154" t="s">
        <v>119</v>
      </c>
      <c r="L55" s="154" t="s">
        <v>120</v>
      </c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109"/>
      <c r="Y55" s="109"/>
      <c r="Z55" s="109"/>
    </row>
    <row r="56" spans="1:26" ht="13.5" customHeight="1">
      <c r="A56" s="155">
        <f t="shared" ref="A56:A67" si="18">$A$2</f>
        <v>46221</v>
      </c>
      <c r="B56" s="156">
        <f>'CHICLETS MASTER S1'!Z4</f>
        <v>0.29166666666666669</v>
      </c>
      <c r="C56" s="122" t="s">
        <v>163</v>
      </c>
      <c r="D56" s="122" t="str">
        <f t="shared" ref="D56:D67" si="19">$D$54</f>
        <v>SADDLEBACK COLLEGE 1</v>
      </c>
      <c r="E56" s="122">
        <v>3</v>
      </c>
      <c r="F56" s="122" t="str">
        <f t="shared" ref="F56:F57" si="20">C11</f>
        <v>9-SANTA BARBARA WPC A</v>
      </c>
      <c r="G56" s="157"/>
      <c r="H56" s="122" t="str">
        <f>C14</f>
        <v>40-HONOLULU A</v>
      </c>
      <c r="I56" s="122"/>
      <c r="J56" s="122">
        <v>27</v>
      </c>
      <c r="K56" s="122">
        <v>31</v>
      </c>
      <c r="L56" s="122" t="str">
        <f t="shared" ref="L56:L67" si="21">IF(E56="","",$L$15&amp;"-"&amp;TEXT(E56,"000"))</f>
        <v>14G-003</v>
      </c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09"/>
      <c r="Y56" s="109"/>
      <c r="Z56" s="109"/>
    </row>
    <row r="57" spans="1:26" ht="13.5" customHeight="1">
      <c r="A57" s="155">
        <f t="shared" si="18"/>
        <v>46221</v>
      </c>
      <c r="B57" s="156">
        <f>'CHICLETS MASTER S1'!Z5</f>
        <v>0.3263888888888889</v>
      </c>
      <c r="C57" s="122" t="s">
        <v>163</v>
      </c>
      <c r="D57" s="122" t="str">
        <f t="shared" si="19"/>
        <v>SADDLEBACK COLLEGE 1</v>
      </c>
      <c r="E57" s="122">
        <v>7</v>
      </c>
      <c r="F57" s="122" t="str">
        <f t="shared" si="20"/>
        <v>16-DAVIS</v>
      </c>
      <c r="G57" s="157"/>
      <c r="H57" s="122" t="str">
        <f>C13</f>
        <v>33-BROOKLYN HUSTLE</v>
      </c>
      <c r="I57" s="122"/>
      <c r="J57" s="122">
        <v>27</v>
      </c>
      <c r="K57" s="122">
        <v>31</v>
      </c>
      <c r="L57" s="122" t="str">
        <f t="shared" si="21"/>
        <v>14G-007</v>
      </c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  <c r="Z57" s="109"/>
    </row>
    <row r="58" spans="1:26" ht="13.5" customHeight="1">
      <c r="A58" s="155">
        <f t="shared" si="18"/>
        <v>46221</v>
      </c>
      <c r="B58" s="156">
        <f>'CHICLETS MASTER S1'!Z6</f>
        <v>0.36111111111111099</v>
      </c>
      <c r="C58" s="122" t="s">
        <v>163</v>
      </c>
      <c r="D58" s="122" t="str">
        <f t="shared" si="19"/>
        <v>SADDLEBACK COLLEGE 1</v>
      </c>
      <c r="E58" s="122">
        <v>11</v>
      </c>
      <c r="F58" s="122" t="str">
        <f t="shared" ref="F58:F59" si="22">A11</f>
        <v>7-SANTA CRUZ</v>
      </c>
      <c r="G58" s="157"/>
      <c r="H58" s="122" t="str">
        <f>A14</f>
        <v>42-PUNAHOU</v>
      </c>
      <c r="I58" s="122"/>
      <c r="J58" s="122">
        <v>35</v>
      </c>
      <c r="K58" s="122">
        <v>39</v>
      </c>
      <c r="L58" s="122" t="str">
        <f t="shared" si="21"/>
        <v>14G-011</v>
      </c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109"/>
      <c r="Y58" s="109"/>
      <c r="Z58" s="109"/>
    </row>
    <row r="59" spans="1:26" ht="13.5" customHeight="1">
      <c r="A59" s="155">
        <f t="shared" si="18"/>
        <v>46221</v>
      </c>
      <c r="B59" s="156">
        <f>'CHICLETS MASTER S1'!Z7</f>
        <v>0.39583333333333398</v>
      </c>
      <c r="C59" s="122" t="s">
        <v>163</v>
      </c>
      <c r="D59" s="122" t="str">
        <f t="shared" si="19"/>
        <v>SADDLEBACK COLLEGE 1</v>
      </c>
      <c r="E59" s="122">
        <v>15</v>
      </c>
      <c r="F59" s="122" t="str">
        <f t="shared" si="22"/>
        <v>18-SOUTH COAST RED</v>
      </c>
      <c r="G59" s="157"/>
      <c r="H59" s="122" t="str">
        <f>A13</f>
        <v>31-BIG VALLEY</v>
      </c>
      <c r="I59" s="122"/>
      <c r="J59" s="122">
        <v>35</v>
      </c>
      <c r="K59" s="122">
        <v>39</v>
      </c>
      <c r="L59" s="122" t="str">
        <f t="shared" si="21"/>
        <v>14G-015</v>
      </c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  <c r="Y59" s="109"/>
      <c r="Z59" s="109"/>
    </row>
    <row r="60" spans="1:26" ht="13.5" customHeight="1">
      <c r="A60" s="155">
        <f t="shared" si="18"/>
        <v>46221</v>
      </c>
      <c r="B60" s="156">
        <f>'CHICLETS MASTER S1'!Z8</f>
        <v>0.43055555555555602</v>
      </c>
      <c r="C60" s="122" t="s">
        <v>163</v>
      </c>
      <c r="D60" s="122" t="str">
        <f t="shared" si="19"/>
        <v>SADDLEBACK COLLEGE 1</v>
      </c>
      <c r="E60" s="122">
        <v>19</v>
      </c>
      <c r="F60" s="122" t="str">
        <f t="shared" ref="F60:F61" si="23">B11</f>
        <v>8-GREENWICH</v>
      </c>
      <c r="G60" s="157"/>
      <c r="H60" s="122" t="str">
        <f>B14</f>
        <v>41-NORCO</v>
      </c>
      <c r="I60" s="122"/>
      <c r="J60" s="122">
        <v>43</v>
      </c>
      <c r="K60" s="122">
        <v>47</v>
      </c>
      <c r="L60" s="122" t="str">
        <f t="shared" si="21"/>
        <v>14G-019</v>
      </c>
      <c r="M60" s="109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109"/>
      <c r="Y60" s="109"/>
      <c r="Z60" s="109"/>
    </row>
    <row r="61" spans="1:26" ht="13.5" customHeight="1">
      <c r="A61" s="155">
        <f t="shared" si="18"/>
        <v>46221</v>
      </c>
      <c r="B61" s="156">
        <f>'CHICLETS MASTER S1'!Z9</f>
        <v>0.46527777777777801</v>
      </c>
      <c r="C61" s="122" t="s">
        <v>163</v>
      </c>
      <c r="D61" s="122" t="str">
        <f t="shared" si="19"/>
        <v>SADDLEBACK COLLEGE 1</v>
      </c>
      <c r="E61" s="122">
        <v>23</v>
      </c>
      <c r="F61" s="122" t="str">
        <f t="shared" si="23"/>
        <v>17-CC UNITED</v>
      </c>
      <c r="G61" s="157"/>
      <c r="H61" s="122" t="str">
        <f>B13</f>
        <v>32-TEMPLE CITY</v>
      </c>
      <c r="I61" s="122"/>
      <c r="J61" s="122">
        <v>43</v>
      </c>
      <c r="K61" s="122">
        <v>47</v>
      </c>
      <c r="L61" s="122" t="str">
        <f t="shared" si="21"/>
        <v>14G-023</v>
      </c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109"/>
      <c r="Z61" s="109"/>
    </row>
    <row r="62" spans="1:26" ht="13.5" customHeight="1">
      <c r="A62" s="155">
        <f t="shared" si="18"/>
        <v>46221</v>
      </c>
      <c r="B62" s="156">
        <f>'CHICLETS MASTER S1'!Z10</f>
        <v>0.5</v>
      </c>
      <c r="C62" s="122" t="s">
        <v>163</v>
      </c>
      <c r="D62" s="122" t="str">
        <f t="shared" si="19"/>
        <v>SADDLEBACK COLLEGE 1</v>
      </c>
      <c r="E62" s="122">
        <v>27</v>
      </c>
      <c r="F62" s="122" t="str">
        <f>IF(G56 = "", "W3", IF(G56 &gt; I56, _xlfn.CONCAT("W3-", RIGHT(F56, LEN(F56) - FIND("-", F56))), _xlfn.CONCAT("W3-", RIGHT(H56, LEN(H56) - FIND("-", H56)))))</f>
        <v>W3</v>
      </c>
      <c r="G62" s="157"/>
      <c r="H62" s="122" t="str">
        <f>IF(G57 = "", "W7", IF(G57 &gt; I57, _xlfn.CONCAT("W7-", RIGHT(F57, LEN(F57) - FIND("-", F57))), _xlfn.CONCAT("W7-", RIGHT(H57, LEN(H57) - FIND("-", H57)))))</f>
        <v>W7</v>
      </c>
      <c r="I62" s="122"/>
      <c r="J62" s="122" t="s">
        <v>145</v>
      </c>
      <c r="K62" s="122">
        <v>52</v>
      </c>
      <c r="L62" s="122" t="str">
        <f t="shared" si="21"/>
        <v>14G-027</v>
      </c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109"/>
    </row>
    <row r="63" spans="1:26" ht="13.5" customHeight="1">
      <c r="A63" s="155">
        <f t="shared" si="18"/>
        <v>46221</v>
      </c>
      <c r="B63" s="156">
        <f>'CHICLETS MASTER S1'!Z11</f>
        <v>0.53472222222222199</v>
      </c>
      <c r="C63" s="122" t="s">
        <v>163</v>
      </c>
      <c r="D63" s="122" t="str">
        <f t="shared" si="19"/>
        <v>SADDLEBACK COLLEGE 1</v>
      </c>
      <c r="E63" s="122">
        <v>31</v>
      </c>
      <c r="F63" s="122" t="str">
        <f>IF(G56 = "", "L3", IF(G56 &lt; I56, _xlfn.CONCAT("L3-", RIGHT(F56, LEN(F56) - FIND("-", F56))), _xlfn.CONCAT("L3-", RIGHT(H56, LEN(H56) - FIND("-", H56)))))</f>
        <v>L3</v>
      </c>
      <c r="G63" s="157"/>
      <c r="H63" s="122" t="str">
        <f>IF(G57 = "", "L7", IF(G57 &lt; I57, _xlfn.CONCAT("L7-", RIGHT(F57, LEN(F57) - FIND("-", F57))), _xlfn.CONCAT("L7-", RIGHT(H57, LEN(H57) - FIND("-", H57)))))</f>
        <v>L7</v>
      </c>
      <c r="I63" s="122"/>
      <c r="J63" s="122">
        <v>51</v>
      </c>
      <c r="K63" s="122" t="s">
        <v>1042</v>
      </c>
      <c r="L63" s="122" t="str">
        <f t="shared" si="21"/>
        <v>14G-031</v>
      </c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109"/>
      <c r="Y63" s="109"/>
      <c r="Z63" s="109"/>
    </row>
    <row r="64" spans="1:26" ht="13.5" customHeight="1">
      <c r="A64" s="155">
        <f t="shared" si="18"/>
        <v>46221</v>
      </c>
      <c r="B64" s="156">
        <f>'CHICLETS MASTER S1'!Z12</f>
        <v>0.56944444444444497</v>
      </c>
      <c r="C64" s="122" t="s">
        <v>163</v>
      </c>
      <c r="D64" s="122" t="str">
        <f t="shared" si="19"/>
        <v>SADDLEBACK COLLEGE 1</v>
      </c>
      <c r="E64" s="122">
        <v>35</v>
      </c>
      <c r="F64" s="122" t="str">
        <f>IF(G58 = "", "W11", IF(G58 &gt; I58, _xlfn.CONCAT("W11-", RIGHT(F58, LEN(F58) - FIND("-", F58))), _xlfn.CONCAT("W11-", RIGHT(H58, LEN(H58) - FIND("-", H58)))))</f>
        <v>W11</v>
      </c>
      <c r="G64" s="157"/>
      <c r="H64" s="122" t="str">
        <f>IF(G59 = "", "W15", IF(G59 &gt; I59, _xlfn.CONCAT("W15-", RIGHT(F59, LEN(F59) - FIND("-", F59))), _xlfn.CONCAT("W15-", RIGHT(H59, LEN(H59) - FIND("-", H59)))))</f>
        <v>W15</v>
      </c>
      <c r="I64" s="122"/>
      <c r="J64" s="122" t="s">
        <v>137</v>
      </c>
      <c r="K64" s="122">
        <v>59</v>
      </c>
      <c r="L64" s="122" t="str">
        <f t="shared" si="21"/>
        <v>14G-035</v>
      </c>
      <c r="M64" s="109"/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109"/>
      <c r="Y64" s="109"/>
      <c r="Z64" s="109"/>
    </row>
    <row r="65" spans="1:26" ht="13.5" customHeight="1">
      <c r="A65" s="155">
        <f t="shared" si="18"/>
        <v>46221</v>
      </c>
      <c r="B65" s="156">
        <f>'CHICLETS MASTER S1'!Z13</f>
        <v>0.60416666666666696</v>
      </c>
      <c r="C65" s="122" t="s">
        <v>163</v>
      </c>
      <c r="D65" s="122" t="str">
        <f t="shared" si="19"/>
        <v>SADDLEBACK COLLEGE 1</v>
      </c>
      <c r="E65" s="122">
        <v>39</v>
      </c>
      <c r="F65" s="122" t="str">
        <f>IF(G58 = "", "L11", IF(G58 &lt; I58, _xlfn.CONCAT("L11-", RIGHT(F58, LEN(F58) - FIND("-", F58))), _xlfn.CONCAT("L11-", RIGHT(H58, LEN(H58) - FIND("-", H58)))))</f>
        <v>L11</v>
      </c>
      <c r="G65" s="157"/>
      <c r="H65" s="122" t="str">
        <f>IF(G59 = "", "L15", IF(G59 &lt; I59, _xlfn.CONCAT("L15-", RIGHT(F59, LEN(F59) - FIND("-", F59))), _xlfn.CONCAT("L15-", RIGHT(H59, LEN(H59) - FIND("-", H59)))))</f>
        <v>L15</v>
      </c>
      <c r="I65" s="122"/>
      <c r="J65" s="122">
        <v>55</v>
      </c>
      <c r="K65" s="122" t="s">
        <v>694</v>
      </c>
      <c r="L65" s="122" t="str">
        <f t="shared" si="21"/>
        <v>14G-039</v>
      </c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109"/>
      <c r="Y65" s="109"/>
      <c r="Z65" s="109"/>
    </row>
    <row r="66" spans="1:26" ht="13.5" customHeight="1">
      <c r="A66" s="155">
        <f t="shared" si="18"/>
        <v>46221</v>
      </c>
      <c r="B66" s="156">
        <f>'CHICLETS MASTER S1'!Z14</f>
        <v>0.63888888888888895</v>
      </c>
      <c r="C66" s="122" t="s">
        <v>163</v>
      </c>
      <c r="D66" s="122" t="str">
        <f t="shared" si="19"/>
        <v>SADDLEBACK COLLEGE 1</v>
      </c>
      <c r="E66" s="122">
        <v>43</v>
      </c>
      <c r="F66" s="122" t="str">
        <f>IF(G60 = "", "W19", IF(G60 &gt; I60, _xlfn.CONCAT("W19-", RIGHT(F60, LEN(F60) - FIND("-", F60))), _xlfn.CONCAT("W19-", RIGHT(H60, LEN(H60) - FIND("-", H60)))))</f>
        <v>W19</v>
      </c>
      <c r="G66" s="157"/>
      <c r="H66" s="122" t="str">
        <f>IF(G61 = "", "W23", IF(G61 &gt; I61, _xlfn.CONCAT("W23-", RIGHT(F61, LEN(F61) - FIND("-", F61))), _xlfn.CONCAT("W23-", RIGHT(H61, LEN(H61) - FIND("-", H61)))))</f>
        <v>W23</v>
      </c>
      <c r="I66" s="122"/>
      <c r="J66" s="122" t="s">
        <v>141</v>
      </c>
      <c r="K66" s="122">
        <v>55</v>
      </c>
      <c r="L66" s="122" t="str">
        <f t="shared" si="21"/>
        <v>14G-043</v>
      </c>
      <c r="M66" s="109"/>
      <c r="N66" s="109"/>
      <c r="O66" s="109"/>
      <c r="P66" s="109"/>
      <c r="Q66" s="109"/>
      <c r="R66" s="109"/>
      <c r="S66" s="109"/>
      <c r="T66" s="109"/>
      <c r="U66" s="109"/>
      <c r="V66" s="109"/>
      <c r="W66" s="109"/>
      <c r="X66" s="109"/>
      <c r="Y66" s="109"/>
      <c r="Z66" s="109"/>
    </row>
    <row r="67" spans="1:26" ht="13.5" customHeight="1">
      <c r="A67" s="155">
        <f t="shared" si="18"/>
        <v>46221</v>
      </c>
      <c r="B67" s="156">
        <f>'CHICLETS MASTER S1'!Z15</f>
        <v>0.67361111111111105</v>
      </c>
      <c r="C67" s="122" t="s">
        <v>163</v>
      </c>
      <c r="D67" s="122" t="str">
        <f t="shared" si="19"/>
        <v>SADDLEBACK COLLEGE 1</v>
      </c>
      <c r="E67" s="122">
        <v>47</v>
      </c>
      <c r="F67" s="122" t="str">
        <f>IF(G60 = "", "L19", IF(G60 &lt; I60, _xlfn.CONCAT("L19-", RIGHT(F60, LEN(F60) - FIND("-", F60))), _xlfn.CONCAT("L19-", RIGHT(H60, LEN(H60) - FIND("-", H60)))))</f>
        <v>L19</v>
      </c>
      <c r="G67" s="157"/>
      <c r="H67" s="122" t="str">
        <f>IF(G61 = "", "L23", IF(G61 &lt; I61, _xlfn.CONCAT("L23-", RIGHT(F61, LEN(F61) - FIND("-", F61))), _xlfn.CONCAT("L23-", RIGHT(H61, LEN(H61) - FIND("-", H61)))))</f>
        <v>L23</v>
      </c>
      <c r="I67" s="122"/>
      <c r="J67" s="122">
        <v>59</v>
      </c>
      <c r="K67" s="122" t="s">
        <v>1292</v>
      </c>
      <c r="L67" s="122" t="str">
        <f t="shared" si="21"/>
        <v>14G-047</v>
      </c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</row>
    <row r="68" spans="1:26" ht="13.5" customHeight="1">
      <c r="A68" s="158"/>
      <c r="B68" s="106" t="s">
        <v>204</v>
      </c>
      <c r="C68" s="106"/>
      <c r="D68" s="106"/>
      <c r="E68" s="106"/>
      <c r="F68" s="106"/>
      <c r="G68" s="110"/>
      <c r="H68" s="106"/>
      <c r="I68" s="106"/>
      <c r="J68" s="106"/>
      <c r="K68" s="106"/>
      <c r="L68" s="106"/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9"/>
      <c r="Z68" s="109"/>
    </row>
    <row r="69" spans="1:26" ht="13.5" customHeight="1">
      <c r="A69" s="155">
        <f t="shared" ref="A69:A71" si="24">$A$2</f>
        <v>46221</v>
      </c>
      <c r="B69" s="156">
        <f>'CHICLETS MASTER S1'!Z17</f>
        <v>0.74305555555555602</v>
      </c>
      <c r="C69" s="122" t="s">
        <v>275</v>
      </c>
      <c r="D69" s="122" t="str">
        <f t="shared" ref="D69:D71" si="25">$D$54</f>
        <v>SADDLEBACK COLLEGE 1</v>
      </c>
      <c r="E69" s="122">
        <v>51</v>
      </c>
      <c r="F69" s="162" t="str">
        <f>IF(G81 = "", "L28", IF(G81 &lt; I81, _xlfn.CONCAT("L28-", RIGHT(F81, LEN(F81) - FIND("-", F81))), _xlfn.CONCAT("L28-", RIGHT(H81, LEN(H81) - FIND("-", H81)))))</f>
        <v>L28</v>
      </c>
      <c r="G69" s="157"/>
      <c r="H69" s="121" t="str">
        <f>IF(G63 = "", "W31", IF(G63 &gt; I63, _xlfn.CONCAT("W31-", RIGHT(F63, LEN(F63) - FIND("-", F63))), _xlfn.CONCAT("W31-", RIGHT(H63, LEN(H63) - FIND("-", H63)))))</f>
        <v>W31</v>
      </c>
      <c r="I69" s="157"/>
      <c r="J69" s="122" t="s">
        <v>318</v>
      </c>
      <c r="K69" s="122" t="s">
        <v>319</v>
      </c>
      <c r="L69" s="122" t="str">
        <f t="shared" ref="L69:L71" si="26">IF(E69="","",$L$15&amp;"-"&amp;TEXT(E69,"000"))</f>
        <v>14G-051</v>
      </c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</row>
    <row r="70" spans="1:26" ht="13.5" customHeight="1">
      <c r="A70" s="155">
        <f t="shared" si="24"/>
        <v>46221</v>
      </c>
      <c r="B70" s="156">
        <f>'CHICLETS MASTER S1'!Z18</f>
        <v>0.77777777777777801</v>
      </c>
      <c r="C70" s="122" t="s">
        <v>275</v>
      </c>
      <c r="D70" s="122" t="str">
        <f t="shared" si="25"/>
        <v>SADDLEBACK COLLEGE 1</v>
      </c>
      <c r="E70" s="122">
        <v>55</v>
      </c>
      <c r="F70" s="122" t="str">
        <f>IF(G66 = "", "L43", IF(G66 &lt; I66, _xlfn.CONCAT("L43-", RIGHT(F66, LEN(F66) - FIND("-", F66))), _xlfn.CONCAT("L43-", RIGHT(H66, LEN(H66) - FIND("-", H66)))))</f>
        <v>L43</v>
      </c>
      <c r="G70" s="157"/>
      <c r="H70" s="122" t="str">
        <f>IF(G65 = "", "W39", IF(G65 &gt; I65, _xlfn.CONCAT("W39-", RIGHT(F65, LEN(F65) - FIND("-", F65))), _xlfn.CONCAT("W39-", RIGHT(H65, LEN(H65) - FIND("-", H65)))))</f>
        <v>W39</v>
      </c>
      <c r="I70" s="122"/>
      <c r="J70" s="122" t="s">
        <v>296</v>
      </c>
      <c r="K70" s="122" t="s">
        <v>297</v>
      </c>
      <c r="L70" s="122" t="str">
        <f t="shared" si="26"/>
        <v>14G-055</v>
      </c>
      <c r="M70" s="109"/>
      <c r="N70" s="109"/>
      <c r="O70" s="109"/>
      <c r="P70" s="109"/>
      <c r="Q70" s="109"/>
      <c r="R70" s="109"/>
      <c r="S70" s="109"/>
      <c r="T70" s="109"/>
      <c r="U70" s="109"/>
      <c r="V70" s="109"/>
      <c r="W70" s="109"/>
      <c r="X70" s="109"/>
      <c r="Y70" s="109"/>
      <c r="Z70" s="109"/>
    </row>
    <row r="71" spans="1:26" ht="13.5" customHeight="1">
      <c r="A71" s="155">
        <f t="shared" si="24"/>
        <v>46221</v>
      </c>
      <c r="B71" s="156">
        <f>'CHICLETS MASTER S1'!Z19</f>
        <v>0.8125</v>
      </c>
      <c r="C71" s="122" t="s">
        <v>275</v>
      </c>
      <c r="D71" s="122" t="str">
        <f t="shared" si="25"/>
        <v>SADDLEBACK COLLEGE 1</v>
      </c>
      <c r="E71" s="122">
        <v>59</v>
      </c>
      <c r="F71" s="122" t="str">
        <f>IF(G64 = "", "L35", IF(G64 &lt; I64, _xlfn.CONCAT("L35-", RIGHT(F64, LEN(F64) - FIND("-", F64))), _xlfn.CONCAT("L35-", RIGHT(H64, LEN(H64) - FIND("-", H64)))))</f>
        <v>L35</v>
      </c>
      <c r="G71" s="157"/>
      <c r="H71" s="122" t="str">
        <f>IF(G67 = "", "W47", IF(G67 &gt; I67, _xlfn.CONCAT("W47-", RIGHT(F67, LEN(F67) - FIND("-", F67))), _xlfn.CONCAT("W47-", RIGHT(H67, LEN(H67) - FIND("-", H67)))))</f>
        <v>W47</v>
      </c>
      <c r="I71" s="122"/>
      <c r="J71" s="122" t="s">
        <v>300</v>
      </c>
      <c r="K71" s="122" t="s">
        <v>301</v>
      </c>
      <c r="L71" s="122" t="str">
        <f t="shared" si="26"/>
        <v>14G-059</v>
      </c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109"/>
      <c r="Y71" s="109"/>
      <c r="Z71" s="109"/>
    </row>
    <row r="72" spans="1:26" ht="13.5" customHeight="1" thickBot="1">
      <c r="A72" s="109"/>
      <c r="B72" s="109"/>
      <c r="C72" s="109"/>
      <c r="D72" s="109"/>
      <c r="E72" s="109"/>
      <c r="F72" s="109"/>
      <c r="G72" s="161"/>
      <c r="H72" s="109"/>
      <c r="I72" s="109"/>
      <c r="J72" s="109"/>
      <c r="K72" s="109"/>
      <c r="L72" s="109"/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109"/>
      <c r="Y72" s="109"/>
      <c r="Z72" s="109"/>
    </row>
    <row r="73" spans="1:26" ht="13.5" customHeight="1" thickBot="1">
      <c r="A73" s="106"/>
      <c r="B73" s="106"/>
      <c r="C73" s="106"/>
      <c r="D73" s="153" t="str">
        <f>'CHICLETS MASTER S1'!$AD$3</f>
        <v>BUENA PARK HS</v>
      </c>
      <c r="E73" s="109"/>
      <c r="F73" s="109"/>
      <c r="G73" s="161"/>
      <c r="H73" s="109"/>
      <c r="I73" s="106"/>
      <c r="J73" s="106"/>
      <c r="K73" s="106"/>
      <c r="L73" s="106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</row>
    <row r="74" spans="1:26" ht="13.5" customHeight="1">
      <c r="A74" s="151" t="s">
        <v>110</v>
      </c>
      <c r="B74" s="154" t="s">
        <v>111</v>
      </c>
      <c r="C74" s="154" t="s">
        <v>112</v>
      </c>
      <c r="D74" s="154" t="s">
        <v>113</v>
      </c>
      <c r="E74" s="154" t="s">
        <v>114</v>
      </c>
      <c r="F74" s="154" t="s">
        <v>115</v>
      </c>
      <c r="G74" s="154" t="s">
        <v>116</v>
      </c>
      <c r="H74" s="154" t="s">
        <v>117</v>
      </c>
      <c r="I74" s="154" t="s">
        <v>116</v>
      </c>
      <c r="J74" s="154" t="s">
        <v>118</v>
      </c>
      <c r="K74" s="154" t="s">
        <v>119</v>
      </c>
      <c r="L74" s="154" t="s">
        <v>120</v>
      </c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</row>
    <row r="75" spans="1:26" ht="13.5" customHeight="1">
      <c r="A75" s="155">
        <f t="shared" ref="A75:A86" si="27">$A$2</f>
        <v>46221</v>
      </c>
      <c r="B75" s="156">
        <f>'CHICLETS MASTER S1'!Z28</f>
        <v>0.29166666666666669</v>
      </c>
      <c r="C75" s="122" t="s">
        <v>163</v>
      </c>
      <c r="D75" s="122" t="str">
        <f t="shared" ref="D75:D86" si="28">$D$73</f>
        <v>BUENA PARK HS</v>
      </c>
      <c r="E75" s="122">
        <v>4</v>
      </c>
      <c r="F75" s="122" t="str">
        <f t="shared" ref="F75:F76" si="29">D11</f>
        <v>10-680 RED</v>
      </c>
      <c r="G75" s="157"/>
      <c r="H75" s="122" t="str">
        <f>D14</f>
        <v>39-TEXAS THUNDER</v>
      </c>
      <c r="I75" s="122"/>
      <c r="J75" s="122">
        <v>28</v>
      </c>
      <c r="K75" s="122">
        <v>32</v>
      </c>
      <c r="L75" s="122" t="str">
        <f t="shared" ref="L75:L86" si="30">IF(E75="","",$L$15&amp;"-"&amp;TEXT(E75,"000"))</f>
        <v>14G-004</v>
      </c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109"/>
      <c r="Y75" s="109"/>
      <c r="Z75" s="109"/>
    </row>
    <row r="76" spans="1:26" ht="13.5" customHeight="1">
      <c r="A76" s="155">
        <f t="shared" si="27"/>
        <v>46221</v>
      </c>
      <c r="B76" s="156">
        <f>'CHICLETS MASTER S1'!Z29</f>
        <v>0.3263888888888889</v>
      </c>
      <c r="C76" s="122" t="s">
        <v>163</v>
      </c>
      <c r="D76" s="122" t="str">
        <f t="shared" si="28"/>
        <v>BUENA PARK HS</v>
      </c>
      <c r="E76" s="122">
        <v>8</v>
      </c>
      <c r="F76" s="122" t="str">
        <f t="shared" si="29"/>
        <v>15-CHAWP WHITE</v>
      </c>
      <c r="G76" s="157"/>
      <c r="H76" s="122" t="str">
        <f>D13</f>
        <v>34-KEARNS</v>
      </c>
      <c r="I76" s="122"/>
      <c r="J76" s="122">
        <v>28</v>
      </c>
      <c r="K76" s="122">
        <v>32</v>
      </c>
      <c r="L76" s="122" t="str">
        <f t="shared" si="30"/>
        <v>14G-008</v>
      </c>
      <c r="M76" s="109"/>
      <c r="N76" s="109"/>
      <c r="O76" s="109"/>
      <c r="P76" s="109"/>
      <c r="Q76" s="109"/>
      <c r="R76" s="109"/>
      <c r="S76" s="109"/>
      <c r="T76" s="109"/>
      <c r="U76" s="109"/>
      <c r="V76" s="109"/>
      <c r="W76" s="109"/>
      <c r="X76" s="109"/>
      <c r="Y76" s="109"/>
      <c r="Z76" s="109"/>
    </row>
    <row r="77" spans="1:26" ht="13.5" customHeight="1">
      <c r="A77" s="155">
        <f t="shared" si="27"/>
        <v>46221</v>
      </c>
      <c r="B77" s="156">
        <f>'CHICLETS MASTER S1'!Z30</f>
        <v>0.36111111111111099</v>
      </c>
      <c r="C77" s="122" t="s">
        <v>163</v>
      </c>
      <c r="D77" s="122" t="str">
        <f t="shared" si="28"/>
        <v>BUENA PARK HS</v>
      </c>
      <c r="E77" s="122">
        <v>12</v>
      </c>
      <c r="F77" s="122" t="str">
        <f t="shared" ref="F77:F78" si="31">E11</f>
        <v>11-LB SHORE</v>
      </c>
      <c r="G77" s="157"/>
      <c r="H77" s="122" t="str">
        <f>E14</f>
        <v>38-AMERICAN RIVER</v>
      </c>
      <c r="I77" s="122"/>
      <c r="J77" s="122">
        <v>36</v>
      </c>
      <c r="K77" s="122">
        <v>40</v>
      </c>
      <c r="L77" s="122" t="str">
        <f t="shared" si="30"/>
        <v>14G-012</v>
      </c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109"/>
      <c r="Y77" s="109"/>
      <c r="Z77" s="109"/>
    </row>
    <row r="78" spans="1:26" ht="13.5" customHeight="1">
      <c r="A78" s="155">
        <f t="shared" si="27"/>
        <v>46221</v>
      </c>
      <c r="B78" s="156">
        <f>'CHICLETS MASTER S1'!Z31</f>
        <v>0.39583333333333398</v>
      </c>
      <c r="C78" s="122" t="s">
        <v>163</v>
      </c>
      <c r="D78" s="122" t="str">
        <f t="shared" si="28"/>
        <v>BUENA PARK HS</v>
      </c>
      <c r="E78" s="122">
        <v>16</v>
      </c>
      <c r="F78" s="122" t="str">
        <f t="shared" si="31"/>
        <v>14-SD SHORES BLACK</v>
      </c>
      <c r="G78" s="157"/>
      <c r="H78" s="122" t="str">
        <f>E13</f>
        <v>35-ROGUE 619</v>
      </c>
      <c r="I78" s="122"/>
      <c r="J78" s="122">
        <v>36</v>
      </c>
      <c r="K78" s="122">
        <v>40</v>
      </c>
      <c r="L78" s="122" t="str">
        <f t="shared" si="30"/>
        <v>14G-016</v>
      </c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109"/>
      <c r="Y78" s="109"/>
      <c r="Z78" s="109"/>
    </row>
    <row r="79" spans="1:26" ht="13.5" customHeight="1">
      <c r="A79" s="155">
        <f t="shared" si="27"/>
        <v>46221</v>
      </c>
      <c r="B79" s="156">
        <f>'CHICLETS MASTER S1'!Z32</f>
        <v>0.43055555555555602</v>
      </c>
      <c r="C79" s="122" t="s">
        <v>163</v>
      </c>
      <c r="D79" s="122" t="str">
        <f t="shared" si="28"/>
        <v>BUENA PARK HS</v>
      </c>
      <c r="E79" s="122">
        <v>20</v>
      </c>
      <c r="F79" s="122" t="str">
        <f t="shared" ref="F79:F80" si="32">F11</f>
        <v>12-COMMERCE</v>
      </c>
      <c r="G79" s="157"/>
      <c r="H79" s="122" t="str">
        <f>F14</f>
        <v>37-LA JOLLA UNITED</v>
      </c>
      <c r="I79" s="122"/>
      <c r="J79" s="122">
        <v>44</v>
      </c>
      <c r="K79" s="122">
        <v>48</v>
      </c>
      <c r="L79" s="122" t="str">
        <f t="shared" si="30"/>
        <v>14G-020</v>
      </c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109"/>
      <c r="Y79" s="109"/>
      <c r="Z79" s="109"/>
    </row>
    <row r="80" spans="1:26" ht="13.5" customHeight="1">
      <c r="A80" s="155">
        <f t="shared" si="27"/>
        <v>46221</v>
      </c>
      <c r="B80" s="156">
        <f>'CHICLETS MASTER S1'!Z33</f>
        <v>0.46527777777777801</v>
      </c>
      <c r="C80" s="122" t="s">
        <v>163</v>
      </c>
      <c r="D80" s="122" t="str">
        <f t="shared" si="28"/>
        <v>BUENA PARK HS</v>
      </c>
      <c r="E80" s="122">
        <v>24</v>
      </c>
      <c r="F80" s="122" t="str">
        <f t="shared" si="32"/>
        <v>13-PATRIOT NAVY</v>
      </c>
      <c r="G80" s="157"/>
      <c r="H80" s="122" t="str">
        <f>F13</f>
        <v>36-LOWPO</v>
      </c>
      <c r="I80" s="122"/>
      <c r="J80" s="122">
        <v>44</v>
      </c>
      <c r="K80" s="122">
        <v>48</v>
      </c>
      <c r="L80" s="122" t="str">
        <f t="shared" si="30"/>
        <v>14G-024</v>
      </c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109"/>
      <c r="Y80" s="109"/>
      <c r="Z80" s="109"/>
    </row>
    <row r="81" spans="1:26" ht="13.5" customHeight="1">
      <c r="A81" s="155">
        <f t="shared" si="27"/>
        <v>46221</v>
      </c>
      <c r="B81" s="156">
        <f>'CHICLETS MASTER S1'!Z34</f>
        <v>0.5</v>
      </c>
      <c r="C81" s="122" t="s">
        <v>163</v>
      </c>
      <c r="D81" s="122" t="str">
        <f t="shared" si="28"/>
        <v>BUENA PARK HS</v>
      </c>
      <c r="E81" s="122">
        <v>28</v>
      </c>
      <c r="F81" s="122" t="str">
        <f>IF(G75 = "", "W4", IF(G75 &gt; I75, _xlfn.CONCAT("W4-", RIGHT(F75, LEN(F75) - FIND("-", F75))), _xlfn.CONCAT("W4-", RIGHT(H75, LEN(H75) - FIND("-", H75)))))</f>
        <v>W4</v>
      </c>
      <c r="G81" s="157"/>
      <c r="H81" s="122" t="str">
        <f>IF(G76 = "", "W8", IF(G76 &gt; I76, _xlfn.CONCAT("W8-", RIGHT(F76, LEN(F76) - FIND("-", F76))), _xlfn.CONCAT("W8-", RIGHT(H76, LEN(H76) - FIND("-", H76)))))</f>
        <v>W8</v>
      </c>
      <c r="I81" s="122"/>
      <c r="J81" s="122" t="s">
        <v>133</v>
      </c>
      <c r="K81" s="122">
        <v>51</v>
      </c>
      <c r="L81" s="122" t="str">
        <f t="shared" si="30"/>
        <v>14G-028</v>
      </c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109"/>
      <c r="Y81" s="109"/>
      <c r="Z81" s="109"/>
    </row>
    <row r="82" spans="1:26" ht="13.5" customHeight="1">
      <c r="A82" s="155">
        <f t="shared" si="27"/>
        <v>46221</v>
      </c>
      <c r="B82" s="156">
        <f>'CHICLETS MASTER S1'!Z35</f>
        <v>0.53472222222222199</v>
      </c>
      <c r="C82" s="122" t="s">
        <v>163</v>
      </c>
      <c r="D82" s="122" t="str">
        <f t="shared" si="28"/>
        <v>BUENA PARK HS</v>
      </c>
      <c r="E82" s="122">
        <v>32</v>
      </c>
      <c r="F82" s="122" t="str">
        <f>IF(G75 = "", "L4", IF(G75 &lt; I75, _xlfn.CONCAT("L4-", RIGHT(F75, LEN(F75) - FIND("-", F75))), _xlfn.CONCAT("L4-", RIGHT(H75, LEN(H75) - FIND("-", H75)))))</f>
        <v>L4</v>
      </c>
      <c r="G82" s="157"/>
      <c r="H82" s="122" t="str">
        <f>IF(G76 = "", "L8", IF(G76 &lt; I76, _xlfn.CONCAT("L8-", RIGHT(F76, LEN(F76) - FIND("-", F76))), _xlfn.CONCAT("L8-", RIGHT(H76, LEN(H76) - FIND("-", H76)))))</f>
        <v>L8</v>
      </c>
      <c r="I82" s="122"/>
      <c r="J82" s="122">
        <v>52</v>
      </c>
      <c r="K82" s="122" t="s">
        <v>668</v>
      </c>
      <c r="L82" s="122" t="str">
        <f t="shared" si="30"/>
        <v>14G-032</v>
      </c>
      <c r="M82" s="109"/>
      <c r="N82" s="109"/>
      <c r="O82" s="109"/>
      <c r="P82" s="109"/>
      <c r="Q82" s="109"/>
      <c r="R82" s="109"/>
      <c r="S82" s="109"/>
      <c r="T82" s="109"/>
      <c r="U82" s="109"/>
      <c r="V82" s="109"/>
      <c r="W82" s="109"/>
      <c r="X82" s="109"/>
      <c r="Y82" s="109"/>
      <c r="Z82" s="109"/>
    </row>
    <row r="83" spans="1:26" ht="13.5" customHeight="1">
      <c r="A83" s="155">
        <f t="shared" si="27"/>
        <v>46221</v>
      </c>
      <c r="B83" s="156">
        <f>'CHICLETS MASTER S1'!Z36</f>
        <v>0.56944444444444497</v>
      </c>
      <c r="C83" s="122" t="s">
        <v>163</v>
      </c>
      <c r="D83" s="122" t="str">
        <f t="shared" si="28"/>
        <v>BUENA PARK HS</v>
      </c>
      <c r="E83" s="122">
        <v>36</v>
      </c>
      <c r="F83" s="122" t="str">
        <f>IF(G77 = "", "W12", IF(G77 &gt; I77, _xlfn.CONCAT("W12-", RIGHT(F77, LEN(F77) - FIND("-", F77))), _xlfn.CONCAT("W12-", RIGHT(H77, LEN(H77) - FIND("-", H77)))))</f>
        <v>W12</v>
      </c>
      <c r="G83" s="164"/>
      <c r="H83" s="122" t="str">
        <f>IF(G78 = "", "W16", IF(G78 &gt; I78, _xlfn.CONCAT("W16-", RIGHT(F78, LEN(F78) - FIND("-", F78))), _xlfn.CONCAT("W16-", RIGHT(H78, LEN(H78) - FIND("-", H78)))))</f>
        <v>W16</v>
      </c>
      <c r="I83" s="122"/>
      <c r="J83" s="122" t="s">
        <v>129</v>
      </c>
      <c r="K83" s="122">
        <v>60</v>
      </c>
      <c r="L83" s="122" t="str">
        <f t="shared" si="30"/>
        <v>14G-036</v>
      </c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109"/>
      <c r="Y83" s="109"/>
      <c r="Z83" s="109"/>
    </row>
    <row r="84" spans="1:26" ht="13.5" customHeight="1">
      <c r="A84" s="155">
        <f t="shared" si="27"/>
        <v>46221</v>
      </c>
      <c r="B84" s="156">
        <f>'CHICLETS MASTER S1'!Z37</f>
        <v>0.60416666666666696</v>
      </c>
      <c r="C84" s="122" t="s">
        <v>163</v>
      </c>
      <c r="D84" s="122" t="str">
        <f t="shared" si="28"/>
        <v>BUENA PARK HS</v>
      </c>
      <c r="E84" s="122">
        <v>40</v>
      </c>
      <c r="F84" s="122" t="str">
        <f>IF(G77 = "", "L12", IF(G77 &lt; I77, _xlfn.CONCAT("L12-", RIGHT(F77, LEN(F77) - FIND("-", F77))), _xlfn.CONCAT("L12-", RIGHT(H77, LEN(H77) - FIND("-", H77)))))</f>
        <v>L12</v>
      </c>
      <c r="G84" s="157"/>
      <c r="H84" s="122" t="str">
        <f>IF(G78 = "", "L16", IF(G78 &lt; I78, _xlfn.CONCAT("L16-", RIGHT(F78, LEN(F78) - FIND("-", F78))), _xlfn.CONCAT("L16-", RIGHT(H78, LEN(H78) - FIND("-", H78)))))</f>
        <v>L16</v>
      </c>
      <c r="I84" s="122"/>
      <c r="J84" s="122">
        <v>56</v>
      </c>
      <c r="K84" s="122" t="s">
        <v>673</v>
      </c>
      <c r="L84" s="122" t="str">
        <f t="shared" si="30"/>
        <v>14G-040</v>
      </c>
      <c r="M84" s="109"/>
      <c r="N84" s="109"/>
      <c r="O84" s="109"/>
      <c r="P84" s="109"/>
      <c r="Q84" s="109"/>
      <c r="R84" s="109"/>
      <c r="S84" s="109"/>
      <c r="T84" s="109"/>
      <c r="U84" s="109"/>
      <c r="V84" s="109"/>
      <c r="W84" s="109"/>
      <c r="X84" s="109"/>
      <c r="Y84" s="109"/>
      <c r="Z84" s="109"/>
    </row>
    <row r="85" spans="1:26" ht="13.5" customHeight="1">
      <c r="A85" s="155">
        <f t="shared" si="27"/>
        <v>46221</v>
      </c>
      <c r="B85" s="156">
        <f>'CHICLETS MASTER S1'!Z38</f>
        <v>0.63888888888888895</v>
      </c>
      <c r="C85" s="122" t="s">
        <v>163</v>
      </c>
      <c r="D85" s="122" t="str">
        <f t="shared" si="28"/>
        <v>BUENA PARK HS</v>
      </c>
      <c r="E85" s="122">
        <v>44</v>
      </c>
      <c r="F85" s="122" t="str">
        <f>IF(G79 = "", "W20", IF(G79 &gt; I79, _xlfn.CONCAT("W20-", RIGHT(F79, LEN(F79) - FIND("-", F79))), _xlfn.CONCAT("W20-", RIGHT(H79, LEN(H79) - FIND("-", H79)))))</f>
        <v>W20</v>
      </c>
      <c r="G85" s="157"/>
      <c r="H85" s="122" t="str">
        <f>IF(G80 = "", "W24", IF(G80 &gt; I80, _xlfn.CONCAT("W24-", RIGHT(F80, LEN(F80) - FIND("-", F80))), _xlfn.CONCAT("W24-", RIGHT(H80, LEN(H80) - FIND("-", H80)))))</f>
        <v>W24</v>
      </c>
      <c r="I85" s="122"/>
      <c r="J85" s="122" t="s">
        <v>125</v>
      </c>
      <c r="K85" s="122">
        <v>56</v>
      </c>
      <c r="L85" s="122" t="str">
        <f t="shared" si="30"/>
        <v>14G-044</v>
      </c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109"/>
      <c r="Y85" s="109"/>
      <c r="Z85" s="109"/>
    </row>
    <row r="86" spans="1:26" ht="13.5" customHeight="1">
      <c r="A86" s="155">
        <f t="shared" si="27"/>
        <v>46221</v>
      </c>
      <c r="B86" s="156">
        <f>'CHICLETS MASTER S1'!Z39</f>
        <v>0.67361111111111105</v>
      </c>
      <c r="C86" s="122" t="s">
        <v>163</v>
      </c>
      <c r="D86" s="122" t="str">
        <f t="shared" si="28"/>
        <v>BUENA PARK HS</v>
      </c>
      <c r="E86" s="122">
        <v>48</v>
      </c>
      <c r="F86" s="122" t="str">
        <f>IF(G79 = "", "L20", IF(G79 &lt; I79, _xlfn.CONCAT("L20-", RIGHT(F79, LEN(F79) - FIND("-", F79))), _xlfn.CONCAT("L20-", RIGHT(H79, LEN(H79) - FIND("-", H79)))))</f>
        <v>L20</v>
      </c>
      <c r="G86" s="157"/>
      <c r="H86" s="122" t="str">
        <f>IF(G80 = "", "L24", IF(G80 &lt; I80, _xlfn.CONCAT("L24-", RIGHT(F80, LEN(F80) - FIND("-", F80))), _xlfn.CONCAT("L24-", RIGHT(H80, LEN(H80) - FIND("-", H80)))))</f>
        <v>L24</v>
      </c>
      <c r="I86" s="122"/>
      <c r="J86" s="122">
        <v>60</v>
      </c>
      <c r="K86" s="122" t="s">
        <v>678</v>
      </c>
      <c r="L86" s="122" t="str">
        <f t="shared" si="30"/>
        <v>14G-048</v>
      </c>
      <c r="M86" s="109"/>
      <c r="N86" s="109"/>
      <c r="O86" s="109"/>
      <c r="P86" s="109"/>
      <c r="Q86" s="109"/>
      <c r="R86" s="109"/>
      <c r="S86" s="109"/>
      <c r="T86" s="109"/>
      <c r="U86" s="109"/>
      <c r="V86" s="109"/>
      <c r="W86" s="109"/>
      <c r="X86" s="109"/>
      <c r="Y86" s="109"/>
      <c r="Z86" s="109"/>
    </row>
    <row r="87" spans="1:26" ht="13.5" customHeight="1">
      <c r="A87" s="158"/>
      <c r="B87" s="106" t="s">
        <v>204</v>
      </c>
      <c r="C87" s="106"/>
      <c r="D87" s="106"/>
      <c r="E87" s="106"/>
      <c r="F87" s="106"/>
      <c r="G87" s="110"/>
      <c r="H87" s="106"/>
      <c r="I87" s="106"/>
      <c r="J87" s="106"/>
      <c r="K87" s="106"/>
      <c r="L87" s="106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109"/>
      <c r="Y87" s="109"/>
      <c r="Z87" s="109"/>
    </row>
    <row r="88" spans="1:26" ht="13.5" customHeight="1">
      <c r="A88" s="155">
        <f t="shared" ref="A88:A90" si="33">$A$2</f>
        <v>46221</v>
      </c>
      <c r="B88" s="156">
        <f>'CHICLETS MASTER S1'!Z41</f>
        <v>0.74305555555555602</v>
      </c>
      <c r="C88" s="122" t="s">
        <v>275</v>
      </c>
      <c r="D88" s="122" t="str">
        <f t="shared" ref="D88:D90" si="34">$D$73</f>
        <v>BUENA PARK HS</v>
      </c>
      <c r="E88" s="122">
        <v>52</v>
      </c>
      <c r="F88" s="162" t="str">
        <f>IF(G62 = "", "L27", IF(G62 &lt; I62, _xlfn.CONCAT("L27-", RIGHT(F62, LEN(F62) - FIND("-", F62))), _xlfn.CONCAT("L27-", RIGHT(H62, LEN(H62) - FIND("-", H62)))))</f>
        <v>L27</v>
      </c>
      <c r="G88" s="157"/>
      <c r="H88" s="121" t="str">
        <f>IF(G82 = "", "W32", IF(G82 &gt; I82, _xlfn.CONCAT("W32-", RIGHT(F82, LEN(F82) - FIND("-", F82))), _xlfn.CONCAT("W32-", RIGHT(H82, LEN(H82) - FIND("-", H82)))))</f>
        <v>W32</v>
      </c>
      <c r="I88" s="122"/>
      <c r="J88" s="122" t="s">
        <v>314</v>
      </c>
      <c r="K88" s="122" t="s">
        <v>315</v>
      </c>
      <c r="L88" s="122" t="str">
        <f t="shared" ref="L88:L90" si="35">IF(E88="","",$L$15&amp;"-"&amp;TEXT(E88,"000"))</f>
        <v>14G-052</v>
      </c>
      <c r="M88" s="109"/>
      <c r="N88" s="109"/>
      <c r="O88" s="109"/>
      <c r="P88" s="109"/>
      <c r="Q88" s="109"/>
      <c r="R88" s="109"/>
      <c r="S88" s="109"/>
      <c r="T88" s="109"/>
      <c r="U88" s="109"/>
      <c r="V88" s="109"/>
      <c r="W88" s="109"/>
      <c r="X88" s="109"/>
      <c r="Y88" s="109"/>
      <c r="Z88" s="109"/>
    </row>
    <row r="89" spans="1:26" ht="13.5" customHeight="1">
      <c r="A89" s="155">
        <f t="shared" si="33"/>
        <v>46221</v>
      </c>
      <c r="B89" s="156">
        <f>'CHICLETS MASTER S1'!Z42</f>
        <v>0.77777777777777801</v>
      </c>
      <c r="C89" s="122" t="s">
        <v>275</v>
      </c>
      <c r="D89" s="122" t="str">
        <f t="shared" si="34"/>
        <v>BUENA PARK HS</v>
      </c>
      <c r="E89" s="122">
        <v>56</v>
      </c>
      <c r="F89" s="122" t="str">
        <f>IF(G85 = "", "L44", IF(G85 &lt; I85, _xlfn.CONCAT("L44-", RIGHT(F85, LEN(F85) - FIND("-", F85))), _xlfn.CONCAT("L44-", RIGHT(H85, LEN(H85) - FIND("-", H85)))))</f>
        <v>L44</v>
      </c>
      <c r="G89" s="157"/>
      <c r="H89" s="122" t="str">
        <f>IF(G84 = "", "W40", IF(G84 &gt; I84, _xlfn.CONCAT("W40-", RIGHT(F84, LEN(F84) - FIND("-", F84))), _xlfn.CONCAT("W40-", RIGHT(H84, LEN(H84) - FIND("-", H84)))))</f>
        <v>W40</v>
      </c>
      <c r="I89" s="122"/>
      <c r="J89" s="122" t="s">
        <v>126</v>
      </c>
      <c r="K89" s="122" t="s">
        <v>325</v>
      </c>
      <c r="L89" s="122" t="str">
        <f t="shared" si="35"/>
        <v>14G-056</v>
      </c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109"/>
      <c r="Y89" s="109"/>
      <c r="Z89" s="109"/>
    </row>
    <row r="90" spans="1:26" ht="13.5" customHeight="1">
      <c r="A90" s="155">
        <f t="shared" si="33"/>
        <v>46221</v>
      </c>
      <c r="B90" s="156">
        <f>'CHICLETS MASTER S1'!Z43</f>
        <v>0.8125</v>
      </c>
      <c r="C90" s="122" t="s">
        <v>275</v>
      </c>
      <c r="D90" s="122" t="str">
        <f t="shared" si="34"/>
        <v>BUENA PARK HS</v>
      </c>
      <c r="E90" s="122">
        <v>60</v>
      </c>
      <c r="F90" s="122" t="str">
        <f>IF(G83 = "", "L36", IF(G83 &lt; I83, _xlfn.CONCAT("L36-", RIGHT(F83, LEN(F83) - FIND("-", F83))), _xlfn.CONCAT("L36-", RIGHT(H83, LEN(H83) - FIND("-", H83)))))</f>
        <v>L36</v>
      </c>
      <c r="G90" s="122"/>
      <c r="H90" s="122" t="str">
        <f>IF(G86 = "", "W48", IF(G86 &gt; I86, _xlfn.CONCAT("W48-", RIGHT(F86, LEN(F86) - FIND("-", F86))), _xlfn.CONCAT("W48-", RIGHT(H86, LEN(H86) - FIND("-", H86)))))</f>
        <v>W48</v>
      </c>
      <c r="I90" s="122"/>
      <c r="J90" s="122" t="s">
        <v>130</v>
      </c>
      <c r="K90" s="122" t="s">
        <v>322</v>
      </c>
      <c r="L90" s="122" t="str">
        <f t="shared" si="35"/>
        <v>14G-060</v>
      </c>
      <c r="M90" s="109"/>
      <c r="N90" s="109"/>
      <c r="O90" s="109"/>
      <c r="P90" s="109"/>
      <c r="Q90" s="109"/>
      <c r="R90" s="109"/>
      <c r="S90" s="109"/>
      <c r="T90" s="109"/>
      <c r="U90" s="109"/>
      <c r="V90" s="109"/>
      <c r="W90" s="109"/>
      <c r="X90" s="109"/>
      <c r="Y90" s="109"/>
      <c r="Z90" s="109"/>
    </row>
    <row r="91" spans="1:26" ht="13.5" customHeight="1">
      <c r="A91" s="109"/>
      <c r="B91" s="109"/>
      <c r="C91" s="109"/>
      <c r="D91" s="109"/>
      <c r="E91" s="109"/>
      <c r="F91" s="109"/>
      <c r="G91" s="161"/>
      <c r="H91" s="109"/>
      <c r="I91" s="109"/>
      <c r="J91" s="109"/>
      <c r="K91" s="109"/>
      <c r="L91" s="109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109"/>
      <c r="Y91" s="109"/>
      <c r="Z91" s="109"/>
    </row>
    <row r="92" spans="1:26" ht="13.5" customHeight="1" thickBot="1">
      <c r="A92" s="109"/>
      <c r="B92" s="109"/>
      <c r="C92" s="109"/>
      <c r="D92" s="109"/>
      <c r="E92" s="109"/>
      <c r="F92" s="109"/>
      <c r="G92" s="161"/>
      <c r="H92" s="109"/>
      <c r="I92" s="109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</row>
    <row r="93" spans="1:26" ht="13.5" customHeight="1" thickTop="1" thickBot="1">
      <c r="A93" s="153" t="s">
        <v>326</v>
      </c>
      <c r="B93" s="165"/>
      <c r="C93" s="165"/>
      <c r="D93" s="165"/>
      <c r="E93" s="165"/>
      <c r="F93" s="165"/>
      <c r="G93" s="166"/>
      <c r="H93" s="165"/>
      <c r="I93" s="165"/>
      <c r="J93" s="165"/>
      <c r="K93" s="165"/>
      <c r="L93" s="165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109"/>
      <c r="Y93" s="109"/>
      <c r="Z93" s="109"/>
    </row>
    <row r="94" spans="1:26" ht="13.5" customHeight="1">
      <c r="A94" s="108">
        <v>46222</v>
      </c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 spans="1:26" ht="13.5" customHeight="1">
      <c r="A95" s="109"/>
      <c r="B95" s="163" t="s">
        <v>148</v>
      </c>
      <c r="C95" s="106"/>
      <c r="D95" s="106"/>
      <c r="E95" s="106"/>
      <c r="F95" s="109"/>
      <c r="G95" s="161"/>
      <c r="H95" s="109"/>
      <c r="I95" s="109"/>
      <c r="J95" s="109"/>
      <c r="K95" s="109"/>
      <c r="L95" s="109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109"/>
      <c r="Y95" s="109"/>
      <c r="Z95" s="109"/>
    </row>
    <row r="96" spans="1:26" ht="13.5" customHeight="1">
      <c r="A96" s="106"/>
      <c r="B96" s="167" t="s">
        <v>327</v>
      </c>
      <c r="C96" s="167" t="s">
        <v>328</v>
      </c>
      <c r="D96" s="167" t="s">
        <v>329</v>
      </c>
      <c r="E96" s="167" t="s">
        <v>330</v>
      </c>
      <c r="F96" s="109"/>
      <c r="G96" s="161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</row>
    <row r="97" spans="1:26" ht="13.5" customHeight="1">
      <c r="A97" s="106">
        <v>1</v>
      </c>
      <c r="B97" s="126" t="str">
        <f>IF(G26 = "", "W33", IF(G26 &gt; I26, _xlfn.CONCAT("W33-", RIGHT(F26, LEN(F26) - FIND("-", F26))), _xlfn.CONCAT("W33-", RIGHT(H26, LEN(H26) - FIND("-", H26)))))</f>
        <v>W33</v>
      </c>
      <c r="C97" s="113" t="str">
        <f>IF(G28 = "", "W41", IF(G28 &gt; I28, _xlfn.CONCAT("W41-", RIGHT(F28, LEN(F28) - FIND("-", F28))), _xlfn.CONCAT("W41-", RIGHT(H28, LEN(H28) - FIND("-", H28)))))</f>
        <v>W41</v>
      </c>
      <c r="D97" s="113" t="str">
        <f>IF(G24 = "", "W25", IF(G24 &gt; I24, _xlfn.CONCAT("W25-", RIGHT(F24, LEN(F24) - FIND("-", F24))), _xlfn.CONCAT("W25-", RIGHT(H24, LEN(H24) - FIND("-", H24)))))</f>
        <v>W25</v>
      </c>
      <c r="E97" s="126" t="str">
        <f>IF(G43 = "", "W26", IF(G43 &gt; I43, _xlfn.CONCAT("W26-", RIGHT(F43, LEN(F43) - FIND("-", F43))), _xlfn.CONCAT("W26-", RIGHT(H43, LEN(H43) - FIND("-", H43)))))</f>
        <v>W26</v>
      </c>
      <c r="F97" s="109"/>
      <c r="G97" s="161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</row>
    <row r="98" spans="1:26" ht="13.5" customHeight="1">
      <c r="A98" s="106">
        <v>2</v>
      </c>
      <c r="B98" s="113" t="str">
        <f>IF(G66 = "", "W43", IF(G66 &gt; I66, _xlfn.CONCAT("W43-", RIGHT(F66, LEN(F66) - FIND("-", F66))), _xlfn.CONCAT("W43-", RIGHT(H66, LEN(H66) - FIND("-", H66)))))</f>
        <v>W43</v>
      </c>
      <c r="C98" s="126" t="str">
        <f>IF(G64 = "", "W35", IF(G64 &gt; I64, _xlfn.CONCAT("W35-", RIGHT(F64, LEN(F64) - FIND("-", F64))), _xlfn.CONCAT("W35-", RIGHT(H64, LEN(H64) - FIND("-", H64)))))</f>
        <v>W35</v>
      </c>
      <c r="D98" s="113" t="str">
        <f>IF(G47 = "", "W42", IF(G47 &gt; I47, _xlfn.CONCAT("W42-", RIGHT(F47, LEN(F47) - FIND("-", F47))), _xlfn.CONCAT("W42-", RIGHT(H47, LEN(H47) - FIND("-", H47)))))</f>
        <v>W42</v>
      </c>
      <c r="E98" s="113" t="str">
        <f>IF(G45 = "", "W34", IF(G45 &gt; I45, _xlfn.CONCAT("W34-", RIGHT(F45, LEN(F45) - FIND("-", F45))), _xlfn.CONCAT("W34-", RIGHT(H45, LEN(H45) - FIND("-", H45)))))</f>
        <v>W34</v>
      </c>
      <c r="F98" s="109"/>
      <c r="G98" s="161"/>
      <c r="H98" s="109"/>
      <c r="I98" s="109"/>
      <c r="J98" s="109"/>
      <c r="K98" s="109"/>
      <c r="L98" s="109"/>
      <c r="M98" s="109"/>
      <c r="N98" s="109"/>
      <c r="O98" s="109"/>
      <c r="P98" s="109"/>
      <c r="Q98" s="109"/>
      <c r="R98" s="109"/>
      <c r="S98" s="109"/>
      <c r="T98" s="109"/>
      <c r="U98" s="109"/>
      <c r="V98" s="109"/>
      <c r="W98" s="109"/>
      <c r="X98" s="109"/>
      <c r="Y98" s="109"/>
      <c r="Z98" s="109"/>
    </row>
    <row r="99" spans="1:26" ht="13.5" customHeight="1">
      <c r="A99" s="106">
        <v>3</v>
      </c>
      <c r="B99" s="113" t="str">
        <f>IF(G62 = "", "W27", IF(G62 &gt; I62, _xlfn.CONCAT("W27-", RIGHT(F62, LEN(F62) - FIND("-", F62))), _xlfn.CONCAT("W27-", RIGHT(H62, LEN(H62) - FIND("-", H62)))))</f>
        <v>W27</v>
      </c>
      <c r="C99" s="113" t="str">
        <f>IF(G81 = "", "W28", IF(G81 &gt; I81, _xlfn.CONCAT("W28-", RIGHT(F81, LEN(F81) - FIND("-", F81))), _xlfn.CONCAT("W28-", RIGHT(H81, LEN(H81) - FIND("-", H81)))))</f>
        <v>W28</v>
      </c>
      <c r="D99" s="113" t="str">
        <f>IF(G83 = "", "W36", IF(G83 &gt; I83, _xlfn.CONCAT("W36-", RIGHT(F83, LEN(F83) - FIND("-", F83))), _xlfn.CONCAT("W36-", RIGHT(H83, LEN(H83) - FIND("-", H83)))))</f>
        <v>W36</v>
      </c>
      <c r="E99" s="113" t="str">
        <f>IF(G85 = "", "W44", IF(G85 &gt; I85, _xlfn.CONCAT("W44-", RIGHT(F85, LEN(F85) - FIND("-", F85))), _xlfn.CONCAT("W44-", RIGHT(H85, LEN(H85) - FIND("-", H85)))))</f>
        <v>W44</v>
      </c>
      <c r="F99" s="109"/>
      <c r="G99" s="161"/>
      <c r="H99" s="109"/>
      <c r="I99" s="109"/>
      <c r="J99" s="109"/>
      <c r="K99" s="109"/>
      <c r="L99" s="109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109"/>
      <c r="Y99" s="109"/>
      <c r="Z99" s="109"/>
    </row>
    <row r="100" spans="1:26" ht="13.5" customHeight="1">
      <c r="A100" s="109"/>
      <c r="B100" s="109"/>
      <c r="C100" s="109"/>
      <c r="D100" s="109"/>
      <c r="E100" s="109"/>
      <c r="F100" s="109"/>
      <c r="G100" s="161"/>
      <c r="H100" s="109"/>
      <c r="I100" s="109"/>
      <c r="J100" s="109"/>
      <c r="K100" s="109"/>
      <c r="L100" s="109"/>
      <c r="M100" s="109"/>
      <c r="N100" s="109"/>
      <c r="O100" s="109"/>
      <c r="P100" s="109"/>
      <c r="Q100" s="109"/>
      <c r="R100" s="109"/>
      <c r="S100" s="109"/>
      <c r="T100" s="109"/>
      <c r="U100" s="109"/>
      <c r="V100" s="109"/>
      <c r="W100" s="109"/>
      <c r="X100" s="109"/>
      <c r="Y100" s="109"/>
      <c r="Z100" s="109"/>
    </row>
    <row r="101" spans="1:26" ht="13.5" customHeight="1">
      <c r="A101" s="109"/>
      <c r="B101" s="167" t="s">
        <v>343</v>
      </c>
      <c r="C101" s="167" t="s">
        <v>344</v>
      </c>
      <c r="D101" s="167" t="s">
        <v>345</v>
      </c>
      <c r="E101" s="167" t="s">
        <v>346</v>
      </c>
      <c r="F101" s="109"/>
      <c r="G101" s="161"/>
      <c r="H101" s="109"/>
      <c r="I101" s="109"/>
      <c r="J101" s="109"/>
      <c r="K101" s="109"/>
      <c r="L101" s="109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109"/>
      <c r="Y101" s="109"/>
      <c r="Z101" s="109"/>
    </row>
    <row r="102" spans="1:26" ht="13.5" customHeight="1">
      <c r="A102" s="106">
        <v>1</v>
      </c>
      <c r="B102" s="113" t="str">
        <f>IF(G89 = "", "W56", IF(G89 &gt; I89, _xlfn.CONCAT("W56-", RIGHT(F89, LEN(F89) - FIND("-", F89))), _xlfn.CONCAT("W56-", RIGHT(H89, LEN(H89) - FIND("-", H89)))))</f>
        <v>W56</v>
      </c>
      <c r="C102" s="113" t="str">
        <f>IF(G90 = "", "W60", IF(G90 &gt; I90, _xlfn.CONCAT("W60-", RIGHT(F90, LEN(F90) - FIND("-", F90))), _xlfn.CONCAT("W60-", RIGHT(H90, LEN(H90) - FIND("-", H90)))))</f>
        <v>W60</v>
      </c>
      <c r="D102" s="113" t="str">
        <f>IF(G69 = "", "W51", IF(G69 &gt; I69, _xlfn.CONCAT("W51-", RIGHT(F69, LEN(F69) - FIND("-", F69))), _xlfn.CONCAT("W51-", RIGHT(H69, LEN(H69) - FIND("-", H69)))))</f>
        <v>W51</v>
      </c>
      <c r="E102" s="126" t="str">
        <f>IF(G88 = "", "W52", IF(G88 &gt; I88, _xlfn.CONCAT("W52-", RIGHT(F88, LEN(F88) - FIND("-", F88))), _xlfn.CONCAT("W52-", RIGHT(H88, LEN(H88) - FIND("-", H88)))))</f>
        <v>W52</v>
      </c>
      <c r="F102" s="109"/>
      <c r="G102" s="161"/>
      <c r="H102" s="109"/>
      <c r="I102" s="109"/>
      <c r="J102" s="109"/>
      <c r="K102" s="109"/>
      <c r="L102" s="109"/>
      <c r="M102" s="109"/>
      <c r="N102" s="109"/>
      <c r="O102" s="109"/>
      <c r="P102" s="109"/>
      <c r="Q102" s="109"/>
      <c r="R102" s="109"/>
      <c r="S102" s="109"/>
      <c r="T102" s="109"/>
      <c r="U102" s="109"/>
      <c r="V102" s="109"/>
      <c r="W102" s="109"/>
      <c r="X102" s="109"/>
      <c r="Y102" s="109"/>
      <c r="Z102" s="109"/>
    </row>
    <row r="103" spans="1:26" ht="13.5" customHeight="1">
      <c r="A103" s="106">
        <v>2</v>
      </c>
      <c r="B103" s="113" t="str">
        <f>IF(G52 = "", "W58", IF(G52 &gt; I52, _xlfn.CONCAT("W58-", RIGHT(F52, LEN(F52) - FIND("-", F52))), _xlfn.CONCAT("W58-", RIGHT(H52, LEN(H52) - FIND("-", H52)))))</f>
        <v>W58</v>
      </c>
      <c r="C103" s="113" t="str">
        <f>IF(G51 = "", "W54", IF(G51 &gt; I51, _xlfn.CONCAT("W54-", RIGHT(F51, LEN(F51) - FIND("-", F51))), _xlfn.CONCAT("W54-", RIGHT(H51, LEN(H51) - FIND("-", H51)))))</f>
        <v>W54</v>
      </c>
      <c r="D103" s="126" t="str">
        <f>IF(G71 = "", "W59", IF(G71 &gt; I71, _xlfn.CONCAT("W59-", RIGHT(F71, LEN(F71) - FIND("-", F71))), _xlfn.CONCAT("W59-", RIGHT(H71, LEN(H71) - FIND("-", H71)))))</f>
        <v>W59</v>
      </c>
      <c r="E103" s="126" t="str">
        <f>IF(G70 = "", "W55", IF(G70 &gt; I70, _xlfn.CONCAT("W55-", RIGHT(F70, LEN(F70) - FIND("-", F70))), _xlfn.CONCAT("W55-", RIGHT(H70, LEN(H70) - FIND("-", H70)))))</f>
        <v>W55</v>
      </c>
      <c r="F103" s="109"/>
      <c r="G103" s="161"/>
      <c r="H103" s="109"/>
      <c r="I103" s="109"/>
      <c r="J103" s="109"/>
      <c r="K103" s="109"/>
      <c r="L103" s="109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109"/>
      <c r="Y103" s="109"/>
      <c r="Z103" s="109"/>
    </row>
    <row r="104" spans="1:26" ht="13.5" customHeight="1">
      <c r="A104" s="106">
        <v>3</v>
      </c>
      <c r="B104" s="113" t="str">
        <f>IF(G31 = "", "W49", IF(G31 &gt; I31, _xlfn.CONCAT("W49-", RIGHT(F31, LEN(F31) - FIND("-", F31))), _xlfn.CONCAT("W49-", RIGHT(H31, LEN(H31) - FIND("-", H31)))))</f>
        <v>W49</v>
      </c>
      <c r="C104" s="113" t="str">
        <f>IF(G50 = "", "W50", IF(G50 &gt; I50, _xlfn.CONCAT("W50-", RIGHT(F50, LEN(F50) - FIND("-", F50))), _xlfn.CONCAT("W50-", RIGHT(H50, LEN(H50) - FIND("-", H50)))))</f>
        <v>W50</v>
      </c>
      <c r="D104" s="113" t="str">
        <f>IF(G32 = "", "W53", IF(G32 &gt; I32, _xlfn.CONCAT("W53-", RIGHT(F32, LEN(F32) - FIND("-", F32))), _xlfn.CONCAT("W53-", RIGHT(H32, LEN(H32) - FIND("-", H32)))))</f>
        <v>W53</v>
      </c>
      <c r="E104" s="113" t="str">
        <f>IF(G33 = "", "W57", IF(G33 &gt; I33, _xlfn.CONCAT("W57-", RIGHT(F33, LEN(F33) - FIND("-", F33))), _xlfn.CONCAT("W57-", RIGHT(H33, LEN(H33) - FIND("-", H33)))))</f>
        <v>W57</v>
      </c>
      <c r="F104" s="109"/>
      <c r="G104" s="161"/>
      <c r="H104" s="109"/>
      <c r="I104" s="109"/>
      <c r="J104" s="109"/>
      <c r="K104" s="109"/>
      <c r="L104" s="109"/>
      <c r="M104" s="109"/>
      <c r="N104" s="109"/>
      <c r="O104" s="109"/>
      <c r="P104" s="109"/>
      <c r="Q104" s="109"/>
      <c r="R104" s="109"/>
      <c r="S104" s="109"/>
      <c r="T104" s="109"/>
      <c r="U104" s="109"/>
      <c r="V104" s="109"/>
      <c r="W104" s="109"/>
      <c r="X104" s="109"/>
      <c r="Y104" s="109"/>
      <c r="Z104" s="109"/>
    </row>
    <row r="105" spans="1:26" ht="13.5" customHeight="1">
      <c r="A105" s="109"/>
      <c r="B105" s="109"/>
      <c r="C105" s="109"/>
      <c r="D105" s="109"/>
      <c r="E105" s="109"/>
      <c r="F105" s="109"/>
      <c r="G105" s="161"/>
      <c r="H105" s="109"/>
      <c r="I105" s="109"/>
      <c r="J105" s="109"/>
      <c r="K105" s="109"/>
      <c r="L105" s="109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109"/>
      <c r="Y105" s="109"/>
      <c r="Z105" s="109"/>
    </row>
    <row r="106" spans="1:26" ht="13.5" customHeight="1">
      <c r="A106" s="106"/>
      <c r="B106" s="163" t="s">
        <v>368</v>
      </c>
      <c r="C106" s="106"/>
      <c r="D106" s="106"/>
      <c r="E106" s="106"/>
      <c r="F106" s="109"/>
      <c r="G106" s="161"/>
      <c r="H106" s="109"/>
      <c r="I106" s="109"/>
      <c r="J106" s="109"/>
      <c r="K106" s="109"/>
      <c r="L106" s="109"/>
      <c r="M106" s="109"/>
      <c r="N106" s="109"/>
      <c r="O106" s="109"/>
      <c r="P106" s="109"/>
      <c r="Q106" s="109"/>
      <c r="R106" s="109"/>
      <c r="S106" s="109"/>
      <c r="T106" s="109"/>
      <c r="U106" s="109"/>
      <c r="V106" s="109"/>
      <c r="W106" s="109"/>
      <c r="X106" s="109"/>
      <c r="Y106" s="109"/>
      <c r="Z106" s="109"/>
    </row>
    <row r="107" spans="1:26" ht="13.5" customHeight="1">
      <c r="A107" s="106"/>
      <c r="B107" s="168" t="s">
        <v>369</v>
      </c>
      <c r="C107" s="168" t="s">
        <v>370</v>
      </c>
      <c r="D107" s="168" t="s">
        <v>371</v>
      </c>
      <c r="E107" s="168" t="s">
        <v>372</v>
      </c>
      <c r="F107" s="109"/>
      <c r="G107" s="161"/>
      <c r="H107" s="109"/>
      <c r="I107" s="109"/>
      <c r="J107" s="109"/>
      <c r="K107" s="109"/>
      <c r="L107" s="109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109"/>
      <c r="Y107" s="109"/>
      <c r="Z107" s="109"/>
    </row>
    <row r="108" spans="1:26" ht="13.5" customHeight="1">
      <c r="A108" s="106">
        <v>1</v>
      </c>
      <c r="B108" s="113" t="str">
        <f>IF(G32 = "", "L53", IF(G32 &lt; I32, _xlfn.CONCAT("L53-", RIGHT(F32, LEN(F32) - FIND("-", F32))), _xlfn.CONCAT("L53-", RIGHT(H32, LEN(H32) - FIND("-", H32)))))</f>
        <v>L53</v>
      </c>
      <c r="C108" s="113" t="str">
        <f>IF(G33 = "", "L57", IF(G33 &lt; I33, _xlfn.CONCAT("L57-", RIGHT(F33, LEN(F33) - FIND("-", F33))), _xlfn.CONCAT("L57-", RIGHT(H33, LEN(H33) - FIND("-", H33)))))</f>
        <v>L57</v>
      </c>
      <c r="D108" s="113" t="str">
        <f>IF(G31 = "", "L49", IF(G31 &lt; I31, _xlfn.CONCAT("L49-", RIGHT(F31, LEN(F31) - FIND("-", F31))), _xlfn.CONCAT("L49-", RIGHT(H31, LEN(H31) - FIND("-", H31)))))</f>
        <v>L49</v>
      </c>
      <c r="E108" s="113" t="str">
        <f>IF(G50 = "", "L50", IF(G50 &lt; I50, _xlfn.CONCAT("L50-", RIGHT(F50, LEN(F50) - FIND("-", F50))), _xlfn.CONCAT("L50-", RIGHT(H50, LEN(H50) - FIND("-", H50)))))</f>
        <v>L50</v>
      </c>
      <c r="F108" s="109"/>
      <c r="G108" s="161"/>
      <c r="H108" s="109"/>
      <c r="I108" s="109"/>
      <c r="J108" s="109"/>
      <c r="K108" s="109"/>
      <c r="L108" s="109"/>
      <c r="M108" s="109"/>
      <c r="N108" s="109"/>
      <c r="O108" s="109"/>
      <c r="P108" s="109"/>
      <c r="Q108" s="109"/>
      <c r="R108" s="109"/>
      <c r="S108" s="109"/>
      <c r="T108" s="109"/>
      <c r="U108" s="109"/>
      <c r="V108" s="109"/>
      <c r="W108" s="109"/>
      <c r="X108" s="109"/>
      <c r="Y108" s="109"/>
      <c r="Z108" s="109"/>
    </row>
    <row r="109" spans="1:26" ht="13.5" customHeight="1">
      <c r="A109" s="106">
        <v>2</v>
      </c>
      <c r="B109" s="126" t="str">
        <f>IF(G71 = "", "L59", IF(G71 &lt; I71, _xlfn.CONCAT("L59-", RIGHT(F71, LEN(F71) - FIND("-", F71))), _xlfn.CONCAT("L59-", RIGHT(H71, LEN(H71) - FIND("-", H71)))))</f>
        <v>L59</v>
      </c>
      <c r="C109" s="126" t="str">
        <f>IF(G70 = "", "L55", IF(G70 &lt; I70, _xlfn.CONCAT("L55-", RIGHT(F70, LEN(F70) - FIND("-", F70))), _xlfn.CONCAT("L55-", RIGHT(H70, LEN(H70) - FIND("-", H70)))))</f>
        <v>L55</v>
      </c>
      <c r="D109" s="113" t="str">
        <f>IF(G52 = "", "L58", IF(G52 &lt; I52, _xlfn.CONCAT("L58-", RIGHT(F52, LEN(F52) - FIND("-", F52))), _xlfn.CONCAT("L58-", RIGHT(H52, LEN(H52) - FIND("-", H52)))))</f>
        <v>L58</v>
      </c>
      <c r="E109" s="113" t="str">
        <f>IF(G51 = "", "L54", IF(G51 &lt; I51, _xlfn.CONCAT("L54-", RIGHT(F51, LEN(F51) - FIND("-", F51))), _xlfn.CONCAT("L54-", RIGHT(H51, LEN(H51) - FIND("-", H51)))))</f>
        <v>L54</v>
      </c>
      <c r="F109" s="109"/>
      <c r="G109" s="161"/>
      <c r="H109" s="109"/>
      <c r="I109" s="109"/>
      <c r="J109" s="109"/>
      <c r="K109" s="109"/>
      <c r="L109" s="109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109"/>
      <c r="Y109" s="109"/>
      <c r="Z109" s="109"/>
    </row>
    <row r="110" spans="1:26" ht="13.5" customHeight="1">
      <c r="A110" s="106">
        <v>3</v>
      </c>
      <c r="B110" s="126" t="str">
        <f>IF(G69 = "", "L51", IF(G69 &lt; I69, _xlfn.CONCAT("L51-", RIGHT(F69, LEN(F69) - FIND("-", F69))), _xlfn.CONCAT("L51-", RIGHT(H69, LEN(H69) - FIND("-", H69)))))</f>
        <v>L51</v>
      </c>
      <c r="C110" s="126" t="str">
        <f>IF(G88 = "", "L52", IF(G88 &lt; I88, _xlfn.CONCAT("L52-", RIGHT(F88, LEN(F88) - FIND("-", F88))), _xlfn.CONCAT("L52-", RIGHT(H88, LEN(H88) - FIND("-", H88)))))</f>
        <v>L52</v>
      </c>
      <c r="D110" s="113" t="str">
        <f>IF(G89 = "", "L56", IF(G89 &lt; I89, _xlfn.CONCAT("L56-", RIGHT(F89, LEN(F89) - FIND("-", F89))), _xlfn.CONCAT("L56-", RIGHT(H89, LEN(H89) - FIND("-", H89)))))</f>
        <v>L56</v>
      </c>
      <c r="E110" s="113" t="str">
        <f>IF(G90 = "", "L60", IF(G90 &lt; I90, _xlfn.CONCAT("L60-", RIGHT(F90, LEN(F90) - FIND("-", F90))), _xlfn.CONCAT("L60-", RIGHT(H90, LEN(H90) - FIND("-", H90)))))</f>
        <v>L60</v>
      </c>
      <c r="F110" s="109"/>
      <c r="G110" s="161"/>
      <c r="H110" s="109"/>
      <c r="I110" s="109"/>
      <c r="J110" s="109"/>
      <c r="K110" s="109"/>
      <c r="L110" s="109"/>
      <c r="M110" s="109"/>
      <c r="N110" s="109"/>
      <c r="O110" s="109"/>
      <c r="P110" s="109"/>
      <c r="Q110" s="109"/>
      <c r="R110" s="109"/>
      <c r="S110" s="109"/>
      <c r="T110" s="109"/>
      <c r="U110" s="109"/>
      <c r="V110" s="109"/>
      <c r="W110" s="109"/>
      <c r="X110" s="109"/>
      <c r="Y110" s="109"/>
      <c r="Z110" s="109"/>
    </row>
    <row r="111" spans="1:26" ht="13.5" customHeight="1">
      <c r="A111" s="109"/>
      <c r="B111" s="106"/>
      <c r="C111" s="106"/>
      <c r="D111" s="106"/>
      <c r="E111" s="106"/>
      <c r="F111" s="109"/>
      <c r="G111" s="161"/>
      <c r="H111" s="109"/>
      <c r="I111" s="109"/>
      <c r="J111" s="109"/>
      <c r="K111" s="109"/>
      <c r="L111" s="109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109"/>
      <c r="Y111" s="109"/>
      <c r="Z111" s="109"/>
    </row>
    <row r="112" spans="1:26" ht="13.5" customHeight="1">
      <c r="A112" s="109"/>
      <c r="B112" s="168" t="s">
        <v>745</v>
      </c>
      <c r="C112" s="168" t="s">
        <v>746</v>
      </c>
      <c r="D112" s="168" t="s">
        <v>747</v>
      </c>
      <c r="E112" s="168" t="s">
        <v>748</v>
      </c>
      <c r="F112" s="109"/>
      <c r="G112" s="161"/>
      <c r="H112" s="109"/>
      <c r="I112" s="109"/>
      <c r="J112" s="109"/>
      <c r="K112" s="109"/>
      <c r="L112" s="109"/>
      <c r="M112" s="109"/>
      <c r="N112" s="109"/>
      <c r="O112" s="109"/>
      <c r="P112" s="109"/>
      <c r="Q112" s="109"/>
      <c r="R112" s="109"/>
      <c r="S112" s="109"/>
      <c r="T112" s="109"/>
      <c r="U112" s="109"/>
      <c r="V112" s="109"/>
      <c r="W112" s="109"/>
      <c r="X112" s="109"/>
      <c r="Y112" s="109"/>
      <c r="Z112" s="109"/>
    </row>
    <row r="113" spans="1:26" ht="13.5" customHeight="1">
      <c r="A113" s="106">
        <v>1</v>
      </c>
      <c r="B113" s="113" t="str">
        <f>IF(G86 = "", "L48", IF(G86 &lt; I86, _xlfn.CONCAT("L48-", RIGHT(F86, LEN(F86) - FIND("-", F86))), _xlfn.CONCAT("L48-", RIGHT(H86, LEN(H86) - FIND("-", H86)))))</f>
        <v>L48</v>
      </c>
      <c r="C113" s="113" t="str">
        <f>IF(G84 = "", "L40", IF(G84 &lt; I84, _xlfn.CONCAT("L40-", RIGHT(F84, LEN(F84) - FIND("-", F84))), _xlfn.CONCAT("L40-", RIGHT(H84, LEN(H84) - FIND("-", H84)))))</f>
        <v>L40</v>
      </c>
      <c r="D113" s="113" t="str">
        <f>IF(G82 = "", "L32", IF(G82 &lt; I82, _xlfn.CONCAT("L32-", RIGHT(F82, LEN(F82) - FIND("-", F82))), _xlfn.CONCAT("L32-", RIGHT(H82, LEN(H82) - FIND("-", H82)))))</f>
        <v>L32</v>
      </c>
      <c r="E113" s="126" t="str">
        <f>IF(G63 = "", "L31", IF(G63 &lt; I63, _xlfn.CONCAT("L31-", RIGHT(F63, LEN(F63) - FIND("-", F63))), _xlfn.CONCAT("L31-", RIGHT(H63, LEN(H63) - FIND("-", H63)))))</f>
        <v>L31</v>
      </c>
      <c r="F113" s="109"/>
      <c r="G113" s="161"/>
      <c r="H113" s="109"/>
      <c r="I113" s="109"/>
      <c r="J113" s="109"/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  <c r="Y113" s="109"/>
      <c r="Z113" s="109"/>
    </row>
    <row r="114" spans="1:26" ht="13.5" customHeight="1">
      <c r="A114" s="106">
        <v>2</v>
      </c>
      <c r="B114" s="113" t="str">
        <f>IF(G46 = "", "L38", IF(G46 &lt; I46, _xlfn.CONCAT("L38-", RIGHT(F46, LEN(F46) - FIND("-", F46))), _xlfn.CONCAT("L38-", RIGHT(H46, LEN(H46) - FIND("-", H46)))))</f>
        <v>L38</v>
      </c>
      <c r="C114" s="113" t="str">
        <f>IF(G48 = "", "L46", IF(G48 &lt; I48, _xlfn.CONCAT("L46-", RIGHT(F48, LEN(F48) - FIND("-", F48))), _xlfn.CONCAT("L46-", RIGHT(H48, LEN(H48) - FIND("-", H48)))))</f>
        <v>L46</v>
      </c>
      <c r="D114" s="126" t="str">
        <f>IF(G65 = "", "L39", IF(G65 &lt; I65, _xlfn.CONCAT("L39-", RIGHT(F65, LEN(F65) - FIND("-", F65))), _xlfn.CONCAT("L39-", RIGHT(H65, LEN(H65) - FIND("-", H65)))))</f>
        <v>L39</v>
      </c>
      <c r="E114" s="126" t="str">
        <f>IF(G67 = "", "L47", IF(G67 &lt; I67, _xlfn.CONCAT("L47-", RIGHT(F67, LEN(F67) - FIND("-", F67))), _xlfn.CONCAT("L47-", RIGHT(H67, LEN(H67) - FIND("-", H67)))))</f>
        <v>L47</v>
      </c>
      <c r="F114" s="109"/>
      <c r="G114" s="161"/>
      <c r="H114" s="109"/>
      <c r="I114" s="109"/>
      <c r="J114" s="109"/>
      <c r="K114" s="109"/>
      <c r="L114" s="109"/>
      <c r="M114" s="109"/>
      <c r="N114" s="109"/>
      <c r="O114" s="109"/>
      <c r="P114" s="109"/>
      <c r="Q114" s="109"/>
      <c r="R114" s="109"/>
      <c r="S114" s="109"/>
      <c r="T114" s="109"/>
      <c r="U114" s="109"/>
      <c r="V114" s="109"/>
      <c r="W114" s="109"/>
      <c r="X114" s="109"/>
      <c r="Y114" s="109"/>
      <c r="Z114" s="109"/>
    </row>
    <row r="115" spans="1:26" ht="13.5" customHeight="1">
      <c r="A115" s="106">
        <v>3</v>
      </c>
      <c r="B115" s="126" t="str">
        <f>IF(G44 = "", "L30", IF(G44 &lt; I44, _xlfn.CONCAT("L30-", RIGHT(F44, LEN(F44) - FIND("-", F44))), _xlfn.CONCAT("L30-", RIGHT(H44, LEN(H44) - FIND("-", H44)))))</f>
        <v>L30</v>
      </c>
      <c r="C115" s="113" t="str">
        <f>IF(G25 = "", "L29", IF(G25 &lt; I25, _xlfn.CONCAT("L29-", RIGHT(F25, LEN(F25) - FIND("-", F25))), _xlfn.CONCAT("L29-", RIGHT(H25, LEN(H25) - FIND("-", H25)))))</f>
        <v>L29</v>
      </c>
      <c r="D115" s="113" t="str">
        <f>IF(G29 = "", "L45", IF(G29 &lt; I29, _xlfn.CONCAT("L45-", RIGHT(F29, LEN(F29) - FIND("-", F29))), _xlfn.CONCAT("L45-", RIGHT(H29, LEN(H29) - FIND("-", H29)))))</f>
        <v>L45</v>
      </c>
      <c r="E115" s="126" t="str">
        <f>IF(G27 = "", "L37", IF(G27 &lt; I27, _xlfn.CONCAT("L37-", RIGHT(F27, LEN(F27) - FIND("-", F27))), _xlfn.CONCAT("L37-", RIGHT(H27, LEN(H27) - FIND("-", H27)))))</f>
        <v>L37</v>
      </c>
      <c r="F115" s="109"/>
      <c r="G115" s="161"/>
      <c r="H115" s="109"/>
      <c r="I115" s="109"/>
      <c r="J115" s="109"/>
      <c r="K115" s="109"/>
      <c r="L115" s="109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109"/>
      <c r="Y115" s="109"/>
      <c r="Z115" s="109"/>
    </row>
    <row r="116" spans="1:26" ht="13.5" customHeight="1" thickBot="1">
      <c r="A116" s="109"/>
      <c r="B116" s="106"/>
      <c r="C116" s="106"/>
      <c r="D116" s="106"/>
      <c r="E116" s="106"/>
      <c r="F116" s="106"/>
      <c r="G116" s="110"/>
      <c r="H116" s="106"/>
      <c r="I116" s="106"/>
      <c r="J116" s="106"/>
      <c r="K116" s="106"/>
      <c r="L116" s="106"/>
      <c r="M116" s="109"/>
      <c r="N116" s="109"/>
      <c r="O116" s="109"/>
      <c r="P116" s="109"/>
      <c r="Q116" s="109"/>
      <c r="R116" s="109"/>
      <c r="S116" s="109"/>
      <c r="T116" s="109"/>
      <c r="U116" s="109"/>
      <c r="V116" s="109"/>
      <c r="W116" s="109"/>
      <c r="X116" s="109"/>
      <c r="Y116" s="109"/>
      <c r="Z116" s="109"/>
    </row>
    <row r="117" spans="1:26" ht="13.5" customHeight="1" thickBot="1">
      <c r="A117" s="109"/>
      <c r="B117" s="106"/>
      <c r="C117" s="106"/>
      <c r="D117" s="153" t="str">
        <f>'CHICLETS MASTER S1'!$AC$27</f>
        <v>SADDLEBACK COLLEGE 1</v>
      </c>
      <c r="E117" s="106"/>
      <c r="F117" s="106"/>
      <c r="G117" s="110"/>
      <c r="H117" s="106"/>
      <c r="I117" s="106"/>
      <c r="J117" s="106"/>
      <c r="K117" s="106"/>
      <c r="L117" s="106"/>
      <c r="M117" s="109"/>
      <c r="N117" s="109"/>
      <c r="O117" s="109"/>
      <c r="P117" s="109"/>
      <c r="Q117" s="109"/>
      <c r="R117" s="109"/>
      <c r="S117" s="109"/>
      <c r="T117" s="109"/>
      <c r="U117" s="109"/>
      <c r="V117" s="109"/>
      <c r="W117" s="109"/>
      <c r="X117" s="109"/>
      <c r="Y117" s="109"/>
      <c r="Z117" s="109"/>
    </row>
    <row r="118" spans="1:26" ht="13.5" customHeight="1">
      <c r="A118" s="151" t="s">
        <v>110</v>
      </c>
      <c r="B118" s="154" t="s">
        <v>111</v>
      </c>
      <c r="C118" s="154" t="s">
        <v>112</v>
      </c>
      <c r="D118" s="154" t="s">
        <v>113</v>
      </c>
      <c r="E118" s="154" t="s">
        <v>114</v>
      </c>
      <c r="F118" s="154" t="s">
        <v>115</v>
      </c>
      <c r="G118" s="154"/>
      <c r="H118" s="154" t="s">
        <v>117</v>
      </c>
      <c r="I118" s="154" t="s">
        <v>116</v>
      </c>
      <c r="J118" s="154" t="s">
        <v>118</v>
      </c>
      <c r="K118" s="154" t="s">
        <v>119</v>
      </c>
      <c r="L118" s="154" t="s">
        <v>120</v>
      </c>
      <c r="M118" s="109"/>
      <c r="N118" s="109"/>
      <c r="O118" s="109"/>
      <c r="P118" s="109"/>
      <c r="Q118" s="109"/>
      <c r="R118" s="109"/>
      <c r="S118" s="109"/>
      <c r="T118" s="109"/>
      <c r="U118" s="109"/>
      <c r="V118" s="109"/>
      <c r="W118" s="109"/>
      <c r="X118" s="109"/>
      <c r="Y118" s="109"/>
      <c r="Z118" s="109"/>
    </row>
    <row r="119" spans="1:26" ht="13.5" customHeight="1">
      <c r="A119" s="155">
        <f t="shared" ref="A119:A130" si="36">$A$94</f>
        <v>46222</v>
      </c>
      <c r="B119" s="156">
        <f>'CHICLETS MASTER S1'!Z28</f>
        <v>0.29166666666666669</v>
      </c>
      <c r="C119" s="122" t="s">
        <v>163</v>
      </c>
      <c r="D119" s="122" t="str">
        <f t="shared" ref="D119:D130" si="37">$D$117</f>
        <v>SADDLEBACK COLLEGE 1</v>
      </c>
      <c r="E119" s="122">
        <v>61</v>
      </c>
      <c r="F119" s="169" t="str">
        <f>IF(G66 = "", "pt_M2", IF(G66 &gt; I66, _xlfn.CONCAT("pt_M2-", RIGHT(F66, LEN(F66) - FIND("-", F66))), _xlfn.CONCAT("pt_M2-", RIGHT(H66, LEN(H66) - FIND("-", H66)))))</f>
        <v>pt_M2</v>
      </c>
      <c r="G119" s="169"/>
      <c r="H119" s="169" t="str">
        <f>IF(G62 = "", "pt_M3", IF(G62 &gt; I62, _xlfn.CONCAT("pt_M3-", RIGHT(F62, LEN(F62) - FIND("-", F62))), _xlfn.CONCAT("pt_M3-", RIGHT(H62, LEN(H62) - FIND("-", H62)))))</f>
        <v>pt_M3</v>
      </c>
      <c r="I119" s="169"/>
      <c r="J119" s="169"/>
      <c r="K119" s="169"/>
      <c r="L119" s="169" t="str">
        <f t="shared" ref="L119:L130" si="38">IF(E119="","",$L$15&amp;"-"&amp;TEXT(E119,"000"))</f>
        <v>14G-061</v>
      </c>
      <c r="M119" s="109"/>
      <c r="N119" s="109" t="str">
        <f t="shared" ref="N119:N130" si="39">$K$256&amp;C119</f>
        <v>pt_Group</v>
      </c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</row>
    <row r="120" spans="1:26" ht="13.5" customHeight="1">
      <c r="A120" s="155">
        <f t="shared" si="36"/>
        <v>46222</v>
      </c>
      <c r="B120" s="156">
        <f>'CHICLETS MASTER S1'!Z29</f>
        <v>0.3263888888888889</v>
      </c>
      <c r="C120" s="122" t="s">
        <v>163</v>
      </c>
      <c r="D120" s="122" t="str">
        <f t="shared" si="37"/>
        <v>SADDLEBACK COLLEGE 1</v>
      </c>
      <c r="E120" s="122">
        <v>65</v>
      </c>
      <c r="F120" s="169" t="str">
        <f>IF(G64 = "", "pt_N2", IF(G64 &gt; I64, _xlfn.CONCAT("pt_N2-", RIGHT(F64, LEN(F64) - FIND("-", F64))), _xlfn.CONCAT("pt_N2-", RIGHT(H64, LEN(H64) - FIND("-", H64)))))</f>
        <v>pt_N2</v>
      </c>
      <c r="G120" s="169"/>
      <c r="H120" s="169" t="str">
        <f>IF(G81 = "", "pt_N3", IF(G81 &gt; I81, _xlfn.CONCAT("pt_N3-", RIGHT(F81, LEN(F81) - FIND("-", F81))), _xlfn.CONCAT("pt_N3-", RIGHT(H81, LEN(H81) - FIND("-", H81)))))</f>
        <v>pt_N3</v>
      </c>
      <c r="I120" s="169"/>
      <c r="J120" s="169"/>
      <c r="K120" s="169"/>
      <c r="L120" s="169" t="str">
        <f t="shared" si="38"/>
        <v>14G-065</v>
      </c>
      <c r="M120" s="109"/>
      <c r="N120" s="109" t="str">
        <f t="shared" si="39"/>
        <v>pt_Group</v>
      </c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</row>
    <row r="121" spans="1:26" ht="13.5" customHeight="1">
      <c r="A121" s="155">
        <f t="shared" si="36"/>
        <v>46222</v>
      </c>
      <c r="B121" s="156">
        <f>'CHICLETS MASTER S1'!Z30</f>
        <v>0.36111111111111099</v>
      </c>
      <c r="C121" s="122" t="s">
        <v>163</v>
      </c>
      <c r="D121" s="122" t="str">
        <f t="shared" si="37"/>
        <v>SADDLEBACK COLLEGE 1</v>
      </c>
      <c r="E121" s="122">
        <v>69</v>
      </c>
      <c r="F121" s="169" t="str">
        <f>IF(G90 = "", "pt_S1", IF(G90 &gt; I90, _xlfn.CONCAT("pt_S1-", RIGHT(F90, LEN(F90) - FIND("-", F90))), _xlfn.CONCAT("pt_S1-", RIGHT(H90, LEN(H90) - FIND("-", H90)))))</f>
        <v>pt_S1</v>
      </c>
      <c r="G121" s="169"/>
      <c r="H121" s="169" t="str">
        <f>IF(G51 = "", "pt_S2", IF(G51 &gt; I51, _xlfn.CONCAT("pt_S2-", RIGHT(F51, LEN(F51) - FIND("-", F51))), _xlfn.CONCAT("pt_S2-", RIGHT(H51, LEN(H51) - FIND("-", H51)))))</f>
        <v>pt_S2</v>
      </c>
      <c r="I121" s="169"/>
      <c r="J121" s="169"/>
      <c r="K121" s="169"/>
      <c r="L121" s="169" t="str">
        <f t="shared" si="38"/>
        <v>14G-069</v>
      </c>
      <c r="M121" s="109"/>
      <c r="N121" s="109" t="str">
        <f t="shared" si="39"/>
        <v>pt_Group</v>
      </c>
      <c r="O121" s="109"/>
      <c r="P121" s="109"/>
      <c r="Q121" s="109"/>
      <c r="R121" s="109"/>
      <c r="S121" s="109"/>
      <c r="T121" s="109"/>
      <c r="U121" s="109"/>
      <c r="V121" s="109"/>
      <c r="W121" s="109"/>
      <c r="X121" s="109"/>
      <c r="Y121" s="109"/>
      <c r="Z121" s="109"/>
    </row>
    <row r="122" spans="1:26" ht="13.5" customHeight="1">
      <c r="A122" s="155">
        <f t="shared" si="36"/>
        <v>46222</v>
      </c>
      <c r="B122" s="156">
        <f>'CHICLETS MASTER S1'!Z31</f>
        <v>0.39583333333333398</v>
      </c>
      <c r="C122" s="122" t="s">
        <v>163</v>
      </c>
      <c r="D122" s="122" t="str">
        <f t="shared" si="37"/>
        <v>SADDLEBACK COLLEGE 1</v>
      </c>
      <c r="E122" s="122">
        <v>73</v>
      </c>
      <c r="F122" s="169" t="str">
        <f>IF(G89 = "", "pt_R1", IF(G89 &gt; I89, _xlfn.CONCAT("pt_R1-", RIGHT(F89, LEN(F89) - FIND("-", F89))), _xlfn.CONCAT("pt_R1-", RIGHT(H89, LEN(H89) - FIND("-", H89)))))</f>
        <v>pt_R1</v>
      </c>
      <c r="G122" s="169"/>
      <c r="H122" s="169" t="str">
        <f>IF(G52 = "", "pt_R2", IF(G52 &gt; I52, _xlfn.CONCAT("pt_R2-", RIGHT(F52, LEN(F52) - FIND("-", F52))), _xlfn.CONCAT("pt_R2-", RIGHT(H52, LEN(H52) - FIND("-", H52)))))</f>
        <v>pt_R2</v>
      </c>
      <c r="I122" s="169"/>
      <c r="J122" s="169"/>
      <c r="K122" s="169"/>
      <c r="L122" s="169" t="str">
        <f t="shared" si="38"/>
        <v>14G-073</v>
      </c>
      <c r="M122" s="109"/>
      <c r="N122" s="109" t="str">
        <f t="shared" si="39"/>
        <v>pt_Group</v>
      </c>
      <c r="O122" s="109"/>
      <c r="P122" s="109"/>
      <c r="Q122" s="109"/>
      <c r="R122" s="109"/>
      <c r="S122" s="109"/>
      <c r="T122" s="109"/>
      <c r="U122" s="109"/>
      <c r="V122" s="109"/>
      <c r="W122" s="109"/>
      <c r="X122" s="109"/>
      <c r="Y122" s="109"/>
      <c r="Z122" s="109"/>
    </row>
    <row r="123" spans="1:26" ht="13.5" customHeight="1">
      <c r="A123" s="155">
        <f t="shared" si="36"/>
        <v>46222</v>
      </c>
      <c r="B123" s="156">
        <f>'CHICLETS MASTER S1'!Z32</f>
        <v>0.43055555555555602</v>
      </c>
      <c r="C123" s="122" t="s">
        <v>163</v>
      </c>
      <c r="D123" s="122" t="str">
        <f t="shared" si="37"/>
        <v>SADDLEBACK COLLEGE 1</v>
      </c>
      <c r="E123" s="122">
        <v>77</v>
      </c>
      <c r="F123" s="169" t="str">
        <f>IF(G26 = "", "pt_M1", IF(G26 &gt; I26, _xlfn.CONCAT("pt_M1-", RIGHT(F26, LEN(F26) - FIND("-", F26))), _xlfn.CONCAT("pt_M1-", RIGHT(H26, LEN(H26) - FIND("-", H26)))))</f>
        <v>pt_M1</v>
      </c>
      <c r="G123" s="169"/>
      <c r="H123" s="169" t="str">
        <f>IF(G62 = "", "pt_M3", IF(G62 &gt; I62, _xlfn.CONCAT("pt_M3-", RIGHT(F62, LEN(F62) - FIND("-", F62))), _xlfn.CONCAT("pt_M3-", RIGHT(H62, LEN(H62) - FIND("-", H62)))))</f>
        <v>pt_M3</v>
      </c>
      <c r="I123" s="169"/>
      <c r="J123" s="169"/>
      <c r="K123" s="169"/>
      <c r="L123" s="169" t="str">
        <f t="shared" si="38"/>
        <v>14G-077</v>
      </c>
      <c r="M123" s="109"/>
      <c r="N123" s="109" t="str">
        <f t="shared" si="39"/>
        <v>pt_Group</v>
      </c>
      <c r="O123" s="109"/>
      <c r="P123" s="109"/>
      <c r="Q123" s="109"/>
      <c r="R123" s="109"/>
      <c r="S123" s="109"/>
      <c r="T123" s="109"/>
      <c r="U123" s="109"/>
      <c r="V123" s="109"/>
      <c r="W123" s="109"/>
      <c r="X123" s="109"/>
      <c r="Y123" s="109"/>
      <c r="Z123" s="109"/>
    </row>
    <row r="124" spans="1:26" ht="13.5" customHeight="1">
      <c r="A124" s="155">
        <f t="shared" si="36"/>
        <v>46222</v>
      </c>
      <c r="B124" s="156">
        <f>'CHICLETS MASTER S1'!Z33</f>
        <v>0.46527777777777801</v>
      </c>
      <c r="C124" s="122" t="s">
        <v>163</v>
      </c>
      <c r="D124" s="122" t="str">
        <f t="shared" si="37"/>
        <v>SADDLEBACK COLLEGE 1</v>
      </c>
      <c r="E124" s="122">
        <v>81</v>
      </c>
      <c r="F124" s="169" t="str">
        <f>IF(G28 = "", "pt_N1", IF(G28 &gt; I28, _xlfn.CONCAT("pt_N1-", RIGHT(F28, LEN(F28) - FIND("-", F28))), _xlfn.CONCAT("pt_N1-", RIGHT(H28, LEN(H28) - FIND("-", H28)))))</f>
        <v>pt_N1</v>
      </c>
      <c r="G124" s="169"/>
      <c r="H124" s="169" t="str">
        <f>IF(G81 = "", "pt_N3", IF(G81 &gt; I81, _xlfn.CONCAT("pt_N3-", RIGHT(F81, LEN(F81) - FIND("-", F81))), _xlfn.CONCAT("pt_N3-", RIGHT(H81, LEN(H81) - FIND("-", H81)))))</f>
        <v>pt_N3</v>
      </c>
      <c r="I124" s="169"/>
      <c r="J124" s="169"/>
      <c r="K124" s="169"/>
      <c r="L124" s="169" t="str">
        <f t="shared" si="38"/>
        <v>14G-081</v>
      </c>
      <c r="M124" s="109"/>
      <c r="N124" s="109" t="str">
        <f t="shared" si="39"/>
        <v>pt_Group</v>
      </c>
      <c r="O124" s="109"/>
      <c r="P124" s="109"/>
      <c r="Q124" s="109"/>
      <c r="R124" s="109"/>
      <c r="S124" s="109"/>
      <c r="T124" s="109"/>
      <c r="U124" s="109"/>
      <c r="V124" s="109"/>
      <c r="W124" s="109"/>
      <c r="X124" s="109"/>
      <c r="Y124" s="109"/>
      <c r="Z124" s="109"/>
    </row>
    <row r="125" spans="1:26" ht="13.5" customHeight="1">
      <c r="A125" s="155">
        <f t="shared" si="36"/>
        <v>46222</v>
      </c>
      <c r="B125" s="156">
        <f>'CHICLETS MASTER S1'!Z34</f>
        <v>0.5</v>
      </c>
      <c r="C125" s="122" t="s">
        <v>163</v>
      </c>
      <c r="D125" s="122" t="str">
        <f t="shared" si="37"/>
        <v>SADDLEBACK COLLEGE 1</v>
      </c>
      <c r="E125" s="122">
        <v>85</v>
      </c>
      <c r="F125" s="169" t="str">
        <f>IF(G90 = "", "pt_S1", IF(G90 &gt; I90, _xlfn.CONCAT("pt_S1-", RIGHT(F90, LEN(F90) - FIND("-", F90))), _xlfn.CONCAT("pt_S1-", RIGHT(H90, LEN(H90) - FIND("-", H90)))))</f>
        <v>pt_S1</v>
      </c>
      <c r="G125" s="169"/>
      <c r="H125" s="169" t="str">
        <f>IF(G50 = "", "pt_S3", IF(G50 &gt; I50, _xlfn.CONCAT("pt_S3-", RIGHT(F50, LEN(F50) - FIND("-", F50))), _xlfn.CONCAT("pt_S3-", RIGHT(H50, LEN(H50) - FIND("-", H50)))))</f>
        <v>pt_S3</v>
      </c>
      <c r="I125" s="169"/>
      <c r="J125" s="169"/>
      <c r="K125" s="169"/>
      <c r="L125" s="169" t="str">
        <f t="shared" si="38"/>
        <v>14G-085</v>
      </c>
      <c r="M125" s="109"/>
      <c r="N125" s="109" t="str">
        <f t="shared" si="39"/>
        <v>pt_Group</v>
      </c>
      <c r="O125" s="109"/>
      <c r="P125" s="109"/>
      <c r="Q125" s="109"/>
      <c r="R125" s="109"/>
      <c r="S125" s="109"/>
      <c r="T125" s="109"/>
      <c r="U125" s="109"/>
      <c r="V125" s="109"/>
      <c r="W125" s="109"/>
      <c r="X125" s="109"/>
      <c r="Y125" s="109"/>
      <c r="Z125" s="109"/>
    </row>
    <row r="126" spans="1:26" ht="13.5" customHeight="1">
      <c r="A126" s="155">
        <f t="shared" si="36"/>
        <v>46222</v>
      </c>
      <c r="B126" s="156">
        <f>'CHICLETS MASTER S1'!Z35</f>
        <v>0.53472222222222199</v>
      </c>
      <c r="C126" s="122" t="s">
        <v>163</v>
      </c>
      <c r="D126" s="122" t="str">
        <f t="shared" si="37"/>
        <v>SADDLEBACK COLLEGE 1</v>
      </c>
      <c r="E126" s="122">
        <v>89</v>
      </c>
      <c r="F126" s="169" t="str">
        <f>IF(G89 = "", "pt_R1", IF(G89 &gt; I89, _xlfn.CONCAT("pt_R1-", RIGHT(F89, LEN(F89) - FIND("-", F89))), _xlfn.CONCAT("pt_R1-", RIGHT(H89, LEN(H89) - FIND("-", H89)))))</f>
        <v>pt_R1</v>
      </c>
      <c r="G126" s="169"/>
      <c r="H126" s="169" t="str">
        <f>IF(G31 = "", "pt_R3", IF(G31 &gt; I31, _xlfn.CONCAT("pt_R3-", RIGHT(F31, LEN(F31) - FIND("-", F31))), _xlfn.CONCAT("pt_R3-", RIGHT(H31, LEN(H31) - FIND("-", H31)))))</f>
        <v>pt_R3</v>
      </c>
      <c r="I126" s="169"/>
      <c r="J126" s="169"/>
      <c r="K126" s="169"/>
      <c r="L126" s="169" t="str">
        <f t="shared" si="38"/>
        <v>14G-089</v>
      </c>
      <c r="M126" s="109"/>
      <c r="N126" s="109" t="str">
        <f t="shared" si="39"/>
        <v>pt_Group</v>
      </c>
      <c r="O126" s="109"/>
      <c r="P126" s="109"/>
      <c r="Q126" s="109"/>
      <c r="R126" s="109"/>
      <c r="S126" s="109"/>
      <c r="T126" s="109"/>
      <c r="U126" s="109"/>
      <c r="V126" s="109"/>
      <c r="W126" s="109"/>
      <c r="X126" s="109"/>
      <c r="Y126" s="109"/>
      <c r="Z126" s="109"/>
    </row>
    <row r="127" spans="1:26" ht="13.5" customHeight="1">
      <c r="A127" s="155">
        <f t="shared" si="36"/>
        <v>46222</v>
      </c>
      <c r="B127" s="156">
        <f>'CHICLETS MASTER S1'!Z36</f>
        <v>0.56944444444444497</v>
      </c>
      <c r="C127" s="122" t="s">
        <v>163</v>
      </c>
      <c r="D127" s="122" t="str">
        <f t="shared" si="37"/>
        <v>SADDLEBACK COLLEGE 1</v>
      </c>
      <c r="E127" s="122">
        <v>93</v>
      </c>
      <c r="F127" s="169" t="str">
        <f>IF(G26 = "", "pt_M1", IF(G26 &gt; I26, _xlfn.CONCAT("pt_M1-", RIGHT(F26, LEN(F26) - FIND("-", F26))), _xlfn.CONCAT("pt_M1-", RIGHT(H26, LEN(H26) - FIND("-", H26)))))</f>
        <v>pt_M1</v>
      </c>
      <c r="G127" s="169"/>
      <c r="H127" s="169" t="str">
        <f>IF(G66 = "", "pt_M2", IF(G66 &gt; I66, _xlfn.CONCAT("pt_M2-", RIGHT(F66, LEN(F66) - FIND("-", F66))), _xlfn.CONCAT("pt_M2-", RIGHT(H66, LEN(H66) - FIND("-", H66)))))</f>
        <v>pt_M2</v>
      </c>
      <c r="I127" s="169"/>
      <c r="J127" s="169"/>
      <c r="K127" s="169"/>
      <c r="L127" s="169" t="str">
        <f t="shared" si="38"/>
        <v>14G-093</v>
      </c>
      <c r="M127" s="109"/>
      <c r="N127" s="109" t="str">
        <f t="shared" si="39"/>
        <v>pt_Group</v>
      </c>
      <c r="O127" s="109"/>
      <c r="P127" s="109"/>
      <c r="Q127" s="109"/>
      <c r="R127" s="109"/>
      <c r="S127" s="109"/>
      <c r="T127" s="109"/>
      <c r="U127" s="109"/>
      <c r="V127" s="109"/>
      <c r="W127" s="109"/>
      <c r="X127" s="109"/>
      <c r="Y127" s="109"/>
      <c r="Z127" s="109"/>
    </row>
    <row r="128" spans="1:26" ht="13.5" customHeight="1">
      <c r="A128" s="155">
        <f t="shared" si="36"/>
        <v>46222</v>
      </c>
      <c r="B128" s="156">
        <f>'CHICLETS MASTER S1'!Z37</f>
        <v>0.60416666666666696</v>
      </c>
      <c r="C128" s="122" t="s">
        <v>163</v>
      </c>
      <c r="D128" s="122" t="str">
        <f t="shared" si="37"/>
        <v>SADDLEBACK COLLEGE 1</v>
      </c>
      <c r="E128" s="122">
        <v>97</v>
      </c>
      <c r="F128" s="169" t="str">
        <f>IF(G28 = "", "pt_N1", IF(G28 &gt; I28, _xlfn.CONCAT("pt_N1-", RIGHT(F28, LEN(F28) - FIND("-", F28))), _xlfn.CONCAT("pt_N1-", RIGHT(H28, LEN(H28) - FIND("-", H28)))))</f>
        <v>pt_N1</v>
      </c>
      <c r="G128" s="169"/>
      <c r="H128" s="169" t="str">
        <f>IF(G64 = "", "pt_N2", IF(G64 &gt; I64, _xlfn.CONCAT("pt_N2-", RIGHT(F64, LEN(F64) - FIND("-", F64))), _xlfn.CONCAT("pt_N2-", RIGHT(H64, LEN(H64) - FIND("-", H64)))))</f>
        <v>pt_N2</v>
      </c>
      <c r="I128" s="169"/>
      <c r="J128" s="169"/>
      <c r="K128" s="169"/>
      <c r="L128" s="169" t="str">
        <f t="shared" si="38"/>
        <v>14G-097</v>
      </c>
      <c r="M128" s="109"/>
      <c r="N128" s="109" t="str">
        <f t="shared" si="39"/>
        <v>pt_Group</v>
      </c>
      <c r="O128" s="109"/>
      <c r="P128" s="109"/>
      <c r="Q128" s="109"/>
      <c r="R128" s="109"/>
      <c r="S128" s="109"/>
      <c r="T128" s="109"/>
      <c r="U128" s="109"/>
      <c r="V128" s="109"/>
      <c r="W128" s="109"/>
      <c r="X128" s="109"/>
      <c r="Y128" s="109"/>
      <c r="Z128" s="109"/>
    </row>
    <row r="129" spans="1:26" ht="13.5" customHeight="1">
      <c r="A129" s="155">
        <f t="shared" si="36"/>
        <v>46222</v>
      </c>
      <c r="B129" s="156">
        <f>'CHICLETS MASTER S1'!Z38</f>
        <v>0.63888888888888895</v>
      </c>
      <c r="C129" s="122" t="s">
        <v>163</v>
      </c>
      <c r="D129" s="122" t="str">
        <f t="shared" si="37"/>
        <v>SADDLEBACK COLLEGE 1</v>
      </c>
      <c r="E129" s="122">
        <v>101</v>
      </c>
      <c r="F129" s="169" t="str">
        <f>IF(G51 = "", "pt_S2", IF(G51 &gt; I51, _xlfn.CONCAT("pt_S2-", RIGHT(F51, LEN(F51) - FIND("-", F51))), _xlfn.CONCAT("pt_S2-", RIGHT(H51, LEN(H51) - FIND("-", H51)))))</f>
        <v>pt_S2</v>
      </c>
      <c r="G129" s="169"/>
      <c r="H129" s="169" t="str">
        <f>IF(G50 = "", "pt_S3", IF(G50 &gt; I50, _xlfn.CONCAT("pt_S3-", RIGHT(F50, LEN(F50) - FIND("-", F50))), _xlfn.CONCAT("pt_S3-", RIGHT(H50, LEN(H50) - FIND("-", H50)))))</f>
        <v>pt_S3</v>
      </c>
      <c r="I129" s="169"/>
      <c r="J129" s="169"/>
      <c r="K129" s="169"/>
      <c r="L129" s="169" t="str">
        <f t="shared" si="38"/>
        <v>14G-101</v>
      </c>
      <c r="M129" s="109"/>
      <c r="N129" s="109" t="str">
        <f t="shared" si="39"/>
        <v>pt_Group</v>
      </c>
      <c r="O129" s="109"/>
      <c r="P129" s="109"/>
      <c r="Q129" s="109"/>
      <c r="R129" s="109"/>
      <c r="S129" s="109"/>
      <c r="T129" s="109"/>
      <c r="U129" s="109"/>
      <c r="V129" s="109"/>
      <c r="W129" s="109"/>
      <c r="X129" s="109"/>
      <c r="Y129" s="109"/>
      <c r="Z129" s="109"/>
    </row>
    <row r="130" spans="1:26" ht="13.5" customHeight="1">
      <c r="A130" s="155">
        <f t="shared" si="36"/>
        <v>46222</v>
      </c>
      <c r="B130" s="156">
        <f>'CHICLETS MASTER S1'!Z39</f>
        <v>0.67361111111111105</v>
      </c>
      <c r="C130" s="122" t="s">
        <v>163</v>
      </c>
      <c r="D130" s="122" t="str">
        <f t="shared" si="37"/>
        <v>SADDLEBACK COLLEGE 1</v>
      </c>
      <c r="E130" s="122">
        <v>105</v>
      </c>
      <c r="F130" s="169" t="str">
        <f>IF(G52 = "", "pt_R2", IF(G52 &gt; I52, _xlfn.CONCAT("pt_R2-", RIGHT(F52, LEN(F52) - FIND("-", F52))), _xlfn.CONCAT("pt_R2-", RIGHT(H52, LEN(H52) - FIND("-", H52)))))</f>
        <v>pt_R2</v>
      </c>
      <c r="G130" s="169"/>
      <c r="H130" s="169" t="str">
        <f>IF(G31 = "", "pt_R3", IF(G31 &gt; I31, _xlfn.CONCAT("pt_R3-", RIGHT(F31, LEN(F31) - FIND("-", F31))), _xlfn.CONCAT("pt_R3-", RIGHT(H31, LEN(H31) - FIND("-", H31)))))</f>
        <v>pt_R3</v>
      </c>
      <c r="I130" s="169"/>
      <c r="J130" s="169"/>
      <c r="K130" s="169"/>
      <c r="L130" s="169" t="str">
        <f t="shared" si="38"/>
        <v>14G-105</v>
      </c>
      <c r="M130" s="109"/>
      <c r="N130" s="109" t="str">
        <f t="shared" si="39"/>
        <v>pt_Group</v>
      </c>
      <c r="O130" s="109"/>
      <c r="P130" s="109"/>
      <c r="Q130" s="109"/>
      <c r="R130" s="109"/>
      <c r="S130" s="109"/>
      <c r="T130" s="109"/>
      <c r="U130" s="109"/>
      <c r="V130" s="109"/>
      <c r="W130" s="109"/>
      <c r="X130" s="109"/>
      <c r="Y130" s="109"/>
      <c r="Z130" s="109"/>
    </row>
    <row r="131" spans="1:26" ht="13.5" customHeight="1">
      <c r="A131" s="158"/>
      <c r="B131" s="106" t="s">
        <v>204</v>
      </c>
      <c r="C131" s="106"/>
      <c r="D131" s="106"/>
      <c r="E131" s="106"/>
      <c r="F131" s="106"/>
      <c r="G131" s="110"/>
      <c r="H131" s="106"/>
      <c r="I131" s="106"/>
      <c r="J131" s="106"/>
      <c r="K131" s="106"/>
      <c r="L131" s="106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109"/>
      <c r="Y131" s="109"/>
      <c r="Z131" s="109"/>
    </row>
    <row r="132" spans="1:26" ht="13.5" customHeight="1">
      <c r="A132" s="158"/>
      <c r="B132" s="106" t="s">
        <v>204</v>
      </c>
      <c r="C132" s="106"/>
      <c r="D132" s="106"/>
      <c r="E132" s="106"/>
      <c r="F132" s="106"/>
      <c r="G132" s="110"/>
      <c r="H132" s="106"/>
      <c r="I132" s="106"/>
      <c r="J132" s="106"/>
      <c r="K132" s="106"/>
      <c r="L132" s="106"/>
      <c r="M132" s="109"/>
      <c r="N132" s="109"/>
      <c r="O132" s="109"/>
      <c r="P132" s="109"/>
      <c r="Q132" s="109"/>
      <c r="R132" s="109"/>
      <c r="S132" s="109"/>
      <c r="T132" s="109"/>
      <c r="U132" s="109"/>
      <c r="V132" s="109"/>
      <c r="W132" s="109"/>
      <c r="X132" s="109"/>
      <c r="Y132" s="109"/>
      <c r="Z132" s="109"/>
    </row>
    <row r="133" spans="1:26" ht="13.5" customHeight="1">
      <c r="A133" s="155">
        <f t="shared" ref="A133:A134" si="40">$A$94</f>
        <v>46222</v>
      </c>
      <c r="B133" s="156">
        <f>'CHICLETS MASTER S1'!Z42</f>
        <v>0.77777777777777801</v>
      </c>
      <c r="C133" s="122" t="s">
        <v>166</v>
      </c>
      <c r="D133" s="122" t="str">
        <f t="shared" ref="D133:D134" si="41">$D$117</f>
        <v>SADDLEBACK COLLEGE 1</v>
      </c>
      <c r="E133" s="122">
        <v>109</v>
      </c>
      <c r="F133" s="169" t="s">
        <v>356</v>
      </c>
      <c r="G133" s="169"/>
      <c r="H133" s="169" t="s">
        <v>357</v>
      </c>
      <c r="I133" s="169"/>
      <c r="J133" s="169">
        <v>129</v>
      </c>
      <c r="K133" s="169">
        <v>134</v>
      </c>
      <c r="L133" s="169" t="str">
        <f t="shared" ref="L133:L134" si="42">IF(E133="","",$L$15&amp;"-"&amp;TEXT(E133,"000"))</f>
        <v>14G-109</v>
      </c>
      <c r="M133" s="109"/>
      <c r="N133" s="109" t="str">
        <f t="shared" ref="N133:N134" si="43">$K$256&amp;C133</f>
        <v>pt_Play-in</v>
      </c>
      <c r="O133" s="109"/>
      <c r="P133" s="109"/>
      <c r="Q133" s="109"/>
      <c r="R133" s="109"/>
      <c r="S133" s="109"/>
      <c r="T133" s="109"/>
      <c r="U133" s="109"/>
      <c r="V133" s="109"/>
      <c r="W133" s="109"/>
      <c r="X133" s="109"/>
      <c r="Y133" s="109"/>
      <c r="Z133" s="109"/>
    </row>
    <row r="134" spans="1:26" ht="13.5" customHeight="1">
      <c r="A134" s="155">
        <f t="shared" si="40"/>
        <v>46222</v>
      </c>
      <c r="B134" s="156">
        <f>'CHICLETS MASTER S1'!Z43</f>
        <v>0.8125</v>
      </c>
      <c r="C134" s="122" t="s">
        <v>166</v>
      </c>
      <c r="D134" s="122" t="str">
        <f t="shared" si="41"/>
        <v>SADDLEBACK COLLEGE 1</v>
      </c>
      <c r="E134" s="122">
        <v>113</v>
      </c>
      <c r="F134" s="169" t="s">
        <v>366</v>
      </c>
      <c r="G134" s="169"/>
      <c r="H134" s="169" t="s">
        <v>367</v>
      </c>
      <c r="I134" s="169"/>
      <c r="J134" s="169">
        <v>121</v>
      </c>
      <c r="K134" s="169">
        <v>126</v>
      </c>
      <c r="L134" s="169" t="str">
        <f t="shared" si="42"/>
        <v>14G-113</v>
      </c>
      <c r="M134" s="109"/>
      <c r="N134" s="109" t="str">
        <f t="shared" si="43"/>
        <v>pt_Play-in</v>
      </c>
      <c r="O134" s="109"/>
      <c r="P134" s="109"/>
      <c r="Q134" s="109"/>
      <c r="R134" s="109"/>
      <c r="S134" s="109"/>
      <c r="T134" s="109"/>
      <c r="U134" s="109"/>
      <c r="V134" s="109"/>
      <c r="W134" s="109"/>
      <c r="X134" s="109"/>
      <c r="Y134" s="109"/>
      <c r="Z134" s="109"/>
    </row>
    <row r="135" spans="1:26" ht="13.5" customHeight="1" thickBot="1">
      <c r="A135" s="159"/>
      <c r="B135" s="160"/>
      <c r="C135" s="106"/>
      <c r="D135" s="106"/>
      <c r="E135" s="106"/>
      <c r="F135" s="106" t="s">
        <v>173</v>
      </c>
      <c r="G135" s="110"/>
      <c r="H135" s="106" t="s">
        <v>173</v>
      </c>
      <c r="I135" s="106"/>
      <c r="J135" s="106"/>
      <c r="K135" s="106"/>
      <c r="L135" s="106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109"/>
      <c r="Y135" s="109"/>
      <c r="Z135" s="109"/>
    </row>
    <row r="136" spans="1:26" ht="13.5" customHeight="1" thickBot="1">
      <c r="A136" s="159"/>
      <c r="B136" s="160"/>
      <c r="C136" s="106"/>
      <c r="D136" s="153" t="str">
        <f>'CHICLETS MASTER S1'!$AB$27</f>
        <v>UC IRVINE 2</v>
      </c>
      <c r="E136" s="106"/>
      <c r="F136" s="106"/>
      <c r="G136" s="110"/>
      <c r="H136" s="106"/>
      <c r="I136" s="106"/>
      <c r="J136" s="106"/>
      <c r="K136" s="106"/>
      <c r="L136" s="106"/>
      <c r="M136" s="109"/>
      <c r="N136" s="109"/>
      <c r="O136" s="109"/>
      <c r="P136" s="109"/>
      <c r="Q136" s="109"/>
      <c r="R136" s="109"/>
      <c r="S136" s="109"/>
      <c r="T136" s="109"/>
      <c r="U136" s="109"/>
      <c r="V136" s="109"/>
      <c r="W136" s="109"/>
      <c r="X136" s="109"/>
      <c r="Y136" s="109"/>
      <c r="Z136" s="109"/>
    </row>
    <row r="137" spans="1:26" ht="13.5" customHeight="1">
      <c r="A137" s="151" t="s">
        <v>110</v>
      </c>
      <c r="B137" s="154" t="s">
        <v>111</v>
      </c>
      <c r="C137" s="154" t="s">
        <v>112</v>
      </c>
      <c r="D137" s="154" t="s">
        <v>113</v>
      </c>
      <c r="E137" s="154" t="s">
        <v>114</v>
      </c>
      <c r="F137" s="154" t="s">
        <v>115</v>
      </c>
      <c r="G137" s="154" t="s">
        <v>116</v>
      </c>
      <c r="H137" s="154" t="s">
        <v>117</v>
      </c>
      <c r="I137" s="154"/>
      <c r="J137" s="154" t="s">
        <v>118</v>
      </c>
      <c r="K137" s="154" t="s">
        <v>119</v>
      </c>
      <c r="L137" s="154" t="s">
        <v>120</v>
      </c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109"/>
      <c r="Y137" s="109"/>
      <c r="Z137" s="109"/>
    </row>
    <row r="138" spans="1:26" ht="13.5" customHeight="1">
      <c r="A138" s="155">
        <f t="shared" ref="A138:A149" si="44">$A$94</f>
        <v>46222</v>
      </c>
      <c r="B138" s="156">
        <f>'CHICLETS MASTER S1'!Z28</f>
        <v>0.29166666666666669</v>
      </c>
      <c r="C138" s="122" t="s">
        <v>163</v>
      </c>
      <c r="D138" s="122" t="str">
        <f t="shared" ref="D138:D149" si="45">$D$136</f>
        <v>UC IRVINE 2</v>
      </c>
      <c r="E138" s="122">
        <v>62</v>
      </c>
      <c r="F138" s="169" t="str">
        <f>IF(G47 = "", "pt_O2", IF(G47 &gt; I47, _xlfn.CONCAT("pt_O2-", RIGHT(F47, LEN(F47) - FIND("-", F47))), _xlfn.CONCAT("pt_O2-", RIGHT(H47, LEN(H47) - FIND("-", H47)))))</f>
        <v>pt_O2</v>
      </c>
      <c r="G138" s="169"/>
      <c r="H138" s="169" t="str">
        <f>IF(G83 = "", "pt_O3", IF(G83 &gt; I83, _xlfn.CONCAT("pt_O3-", RIGHT(F83, LEN(F83) - FIND("-", F83))), _xlfn.CONCAT("pt_O3-", RIGHT(H83, LEN(H83) - FIND("-", H83)))))</f>
        <v>pt_O3</v>
      </c>
      <c r="I138" s="169"/>
      <c r="J138" s="169"/>
      <c r="K138" s="169"/>
      <c r="L138" s="169" t="str">
        <f t="shared" ref="L138:L149" si="46">IF(E138="","",$L$15&amp;"-"&amp;TEXT(E138,"000"))</f>
        <v>14G-062</v>
      </c>
      <c r="M138" s="109"/>
      <c r="N138" s="109" t="str">
        <f t="shared" ref="N138:N149" si="47">$K$256&amp;C138</f>
        <v>pt_Group</v>
      </c>
      <c r="O138" s="109"/>
      <c r="P138" s="109"/>
      <c r="Q138" s="109"/>
      <c r="R138" s="109"/>
      <c r="S138" s="109"/>
      <c r="T138" s="109"/>
      <c r="U138" s="109"/>
      <c r="V138" s="109"/>
      <c r="W138" s="109"/>
      <c r="X138" s="109"/>
      <c r="Y138" s="109"/>
      <c r="Z138" s="109"/>
    </row>
    <row r="139" spans="1:26" ht="13.5" customHeight="1">
      <c r="A139" s="155">
        <f t="shared" si="44"/>
        <v>46222</v>
      </c>
      <c r="B139" s="156">
        <f>'CHICLETS MASTER S1'!Z29</f>
        <v>0.3263888888888889</v>
      </c>
      <c r="C139" s="122" t="s">
        <v>163</v>
      </c>
      <c r="D139" s="122" t="str">
        <f t="shared" si="45"/>
        <v>UC IRVINE 2</v>
      </c>
      <c r="E139" s="122">
        <v>66</v>
      </c>
      <c r="F139" s="169" t="str">
        <f>IF(G45 = "", "pt_P2", IF(G45 &gt; I45, _xlfn.CONCAT("pt_P2-", RIGHT(F45, LEN(F45) - FIND("-", F45))), _xlfn.CONCAT("pt_P2-", RIGHT(H45, LEN(H45) - FIND("-", H45)))))</f>
        <v>pt_P2</v>
      </c>
      <c r="G139" s="169"/>
      <c r="H139" s="169" t="str">
        <f>IF(G85 = "", "pt_P3", IF(G85 &gt; I85, _xlfn.CONCAT("pt_P3-", RIGHT(F85, LEN(F85) - FIND("-", F85))), _xlfn.CONCAT("pt_P3-", RIGHT(H85, LEN(H85) - FIND("-", H85)))))</f>
        <v>pt_P3</v>
      </c>
      <c r="I139" s="169"/>
      <c r="J139" s="169"/>
      <c r="K139" s="169"/>
      <c r="L139" s="169" t="str">
        <f t="shared" si="46"/>
        <v>14G-066</v>
      </c>
      <c r="M139" s="109"/>
      <c r="N139" s="109" t="str">
        <f t="shared" si="47"/>
        <v>pt_Group</v>
      </c>
      <c r="O139" s="109"/>
      <c r="P139" s="109"/>
      <c r="Q139" s="109"/>
      <c r="R139" s="109"/>
      <c r="S139" s="109"/>
      <c r="T139" s="109"/>
      <c r="U139" s="109"/>
      <c r="V139" s="109"/>
      <c r="W139" s="109"/>
      <c r="X139" s="109"/>
      <c r="Y139" s="109"/>
      <c r="Z139" s="109"/>
    </row>
    <row r="140" spans="1:26" ht="13.5" customHeight="1">
      <c r="A140" s="155">
        <f t="shared" si="44"/>
        <v>46222</v>
      </c>
      <c r="B140" s="156">
        <f>'CHICLETS MASTER S1'!Z30</f>
        <v>0.36111111111111099</v>
      </c>
      <c r="C140" s="122" t="s">
        <v>163</v>
      </c>
      <c r="D140" s="122" t="str">
        <f t="shared" si="45"/>
        <v>UC IRVINE 2</v>
      </c>
      <c r="E140" s="122">
        <v>70</v>
      </c>
      <c r="F140" s="169" t="str">
        <f>IF(G88 = "", "pt_U1", IF(G88 &gt; I88, _xlfn.CONCAT("pt_U1-", RIGHT(F88, LEN(F88) - FIND("-", F88))), _xlfn.CONCAT("pt_U1-", RIGHT(H88, LEN(H88) - FIND("-", H88)))))</f>
        <v>pt_U1</v>
      </c>
      <c r="G140" s="169"/>
      <c r="H140" s="169" t="str">
        <f>IF(G70 = "", "pt_U2", IF(G70 &gt; I70, _xlfn.CONCAT("pt_U2-", RIGHT(F70, LEN(F70) - FIND("-", F70))), _xlfn.CONCAT("pt_U2-", RIGHT(H70, LEN(H70) - FIND("-", H70)))))</f>
        <v>pt_U2</v>
      </c>
      <c r="I140" s="169"/>
      <c r="J140" s="169"/>
      <c r="K140" s="169"/>
      <c r="L140" s="169" t="str">
        <f t="shared" si="46"/>
        <v>14G-070</v>
      </c>
      <c r="M140" s="109"/>
      <c r="N140" s="109" t="str">
        <f t="shared" si="47"/>
        <v>pt_Group</v>
      </c>
      <c r="O140" s="109"/>
      <c r="P140" s="109"/>
      <c r="Q140" s="109"/>
      <c r="R140" s="109"/>
      <c r="S140" s="109"/>
      <c r="T140" s="109"/>
      <c r="U140" s="109"/>
      <c r="V140" s="109"/>
      <c r="W140" s="109"/>
      <c r="X140" s="109"/>
      <c r="Y140" s="109"/>
      <c r="Z140" s="109"/>
    </row>
    <row r="141" spans="1:26" ht="13.5" customHeight="1">
      <c r="A141" s="155">
        <f t="shared" si="44"/>
        <v>46222</v>
      </c>
      <c r="B141" s="156">
        <f>'CHICLETS MASTER S1'!Z31</f>
        <v>0.39583333333333398</v>
      </c>
      <c r="C141" s="122" t="s">
        <v>163</v>
      </c>
      <c r="D141" s="122" t="str">
        <f t="shared" si="45"/>
        <v>UC IRVINE 2</v>
      </c>
      <c r="E141" s="122">
        <v>74</v>
      </c>
      <c r="F141" s="169" t="str">
        <f>IF(G69 = "", "pt_T1", IF(G69 &gt; I69, _xlfn.CONCAT("pt_T1-", RIGHT(F69, LEN(F69) - FIND("-", F69))), _xlfn.CONCAT("pt_T1-", RIGHT(H69, LEN(H69) - FIND("-", H69)))))</f>
        <v>pt_T1</v>
      </c>
      <c r="G141" s="169"/>
      <c r="H141" s="169" t="str">
        <f>IF(G71 = "", "pt_T2", IF(G71 &gt; I71, _xlfn.CONCAT("pt_T2-", RIGHT(F71, LEN(F71) - FIND("-", F71))), _xlfn.CONCAT("pt_T2-", RIGHT(H71, LEN(H71) - FIND("-", H71)))))</f>
        <v>pt_T2</v>
      </c>
      <c r="I141" s="169"/>
      <c r="J141" s="169"/>
      <c r="K141" s="169"/>
      <c r="L141" s="169" t="str">
        <f t="shared" si="46"/>
        <v>14G-074</v>
      </c>
      <c r="M141" s="109"/>
      <c r="N141" s="109" t="str">
        <f t="shared" si="47"/>
        <v>pt_Group</v>
      </c>
      <c r="O141" s="109"/>
      <c r="P141" s="109"/>
      <c r="Q141" s="109"/>
      <c r="R141" s="109"/>
      <c r="S141" s="109"/>
      <c r="T141" s="109"/>
      <c r="U141" s="109"/>
      <c r="V141" s="109"/>
      <c r="W141" s="109"/>
      <c r="X141" s="109"/>
      <c r="Y141" s="109"/>
      <c r="Z141" s="109"/>
    </row>
    <row r="142" spans="1:26" ht="13.5" customHeight="1">
      <c r="A142" s="155">
        <f t="shared" si="44"/>
        <v>46222</v>
      </c>
      <c r="B142" s="156">
        <f>'CHICLETS MASTER S1'!Z32</f>
        <v>0.43055555555555602</v>
      </c>
      <c r="C142" s="122" t="s">
        <v>163</v>
      </c>
      <c r="D142" s="122" t="str">
        <f t="shared" si="45"/>
        <v>UC IRVINE 2</v>
      </c>
      <c r="E142" s="122">
        <v>78</v>
      </c>
      <c r="F142" s="169" t="str">
        <f>IF(G24 = "", "pt_O1", IF(G24 &gt; I24, _xlfn.CONCAT("pt_O1-", RIGHT(F24, LEN(F24) - FIND("-", F24))), _xlfn.CONCAT("pt_O1-", RIGHT(H24, LEN(H24) - FIND("-", H24)))))</f>
        <v>pt_O1</v>
      </c>
      <c r="G142" s="169"/>
      <c r="H142" s="169" t="str">
        <f>IF(G83 = "", "pt_O3", IF(G83 &gt; I83, _xlfn.CONCAT("pt_O3-", RIGHT(F83, LEN(F83) - FIND("-", F83))), _xlfn.CONCAT("pt_O3-", RIGHT(H83, LEN(H83) - FIND("-", H83)))))</f>
        <v>pt_O3</v>
      </c>
      <c r="I142" s="169"/>
      <c r="J142" s="169"/>
      <c r="K142" s="169"/>
      <c r="L142" s="169" t="str">
        <f t="shared" si="46"/>
        <v>14G-078</v>
      </c>
      <c r="M142" s="109"/>
      <c r="N142" s="109" t="str">
        <f t="shared" si="47"/>
        <v>pt_Group</v>
      </c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</row>
    <row r="143" spans="1:26" ht="13.5" customHeight="1">
      <c r="A143" s="155">
        <f t="shared" si="44"/>
        <v>46222</v>
      </c>
      <c r="B143" s="156">
        <f>'CHICLETS MASTER S1'!Z33</f>
        <v>0.46527777777777801</v>
      </c>
      <c r="C143" s="122" t="s">
        <v>163</v>
      </c>
      <c r="D143" s="122" t="str">
        <f t="shared" si="45"/>
        <v>UC IRVINE 2</v>
      </c>
      <c r="E143" s="122">
        <v>82</v>
      </c>
      <c r="F143" s="169" t="str">
        <f>IF(G43 = "", "pt_P1", IF(G43 &gt; I43, _xlfn.CONCAT("pt_P1-", RIGHT(F43, LEN(F43) - FIND("-", F43))), _xlfn.CONCAT("pt_P1-", RIGHT(H43, LEN(H43) - FIND("-", H43)))))</f>
        <v>pt_P1</v>
      </c>
      <c r="G143" s="169"/>
      <c r="H143" s="169" t="str">
        <f>IF(G85 = "", "pt_P3", IF(G85 &gt; I85, _xlfn.CONCAT("pt_P3-", RIGHT(F85, LEN(F85) - FIND("-", F85))), _xlfn.CONCAT("pt_P3-", RIGHT(H85, LEN(H85) - FIND("-", H85)))))</f>
        <v>pt_P3</v>
      </c>
      <c r="I143" s="169"/>
      <c r="J143" s="169"/>
      <c r="K143" s="169"/>
      <c r="L143" s="169" t="str">
        <f t="shared" si="46"/>
        <v>14G-082</v>
      </c>
      <c r="M143" s="109"/>
      <c r="N143" s="109" t="str">
        <f t="shared" si="47"/>
        <v>pt_Group</v>
      </c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</row>
    <row r="144" spans="1:26" ht="13.5" customHeight="1">
      <c r="A144" s="155">
        <f t="shared" si="44"/>
        <v>46222</v>
      </c>
      <c r="B144" s="156">
        <f>'CHICLETS MASTER S1'!Z34</f>
        <v>0.5</v>
      </c>
      <c r="C144" s="122" t="s">
        <v>163</v>
      </c>
      <c r="D144" s="122" t="str">
        <f t="shared" si="45"/>
        <v>UC IRVINE 2</v>
      </c>
      <c r="E144" s="122">
        <v>86</v>
      </c>
      <c r="F144" s="169" t="str">
        <f>IF(G88 = "", "pt_U1", IF(G88 &gt; I88, _xlfn.CONCAT("pt_U1-", RIGHT(F88, LEN(F88) - FIND("-", F88))), _xlfn.CONCAT("pt_U1-", RIGHT(H88, LEN(H88) - FIND("-", H88)))))</f>
        <v>pt_U1</v>
      </c>
      <c r="G144" s="169"/>
      <c r="H144" s="169" t="str">
        <f>IF(G33 = "", "pt_U3", IF(G33 &gt; I33, _xlfn.CONCAT("pt_U3-", RIGHT(F33, LEN(F33) - FIND("-", F33))), _xlfn.CONCAT("pt_U3-", RIGHT(H33, LEN(H33) - FIND("-", H33)))))</f>
        <v>pt_U3</v>
      </c>
      <c r="I144" s="169"/>
      <c r="J144" s="169"/>
      <c r="K144" s="169"/>
      <c r="L144" s="169" t="str">
        <f t="shared" si="46"/>
        <v>14G-086</v>
      </c>
      <c r="M144" s="109"/>
      <c r="N144" s="109" t="str">
        <f t="shared" si="47"/>
        <v>pt_Group</v>
      </c>
      <c r="O144" s="109"/>
      <c r="P144" s="109"/>
      <c r="Q144" s="109"/>
      <c r="R144" s="109"/>
      <c r="S144" s="109"/>
      <c r="T144" s="109"/>
      <c r="U144" s="109"/>
      <c r="V144" s="109"/>
      <c r="W144" s="109"/>
      <c r="X144" s="109"/>
      <c r="Y144" s="109"/>
      <c r="Z144" s="109"/>
    </row>
    <row r="145" spans="1:26" ht="13.5" customHeight="1">
      <c r="A145" s="155">
        <f t="shared" si="44"/>
        <v>46222</v>
      </c>
      <c r="B145" s="156">
        <f>'CHICLETS MASTER S1'!Z35</f>
        <v>0.53472222222222199</v>
      </c>
      <c r="C145" s="122" t="s">
        <v>163</v>
      </c>
      <c r="D145" s="122" t="str">
        <f t="shared" si="45"/>
        <v>UC IRVINE 2</v>
      </c>
      <c r="E145" s="122">
        <v>90</v>
      </c>
      <c r="F145" s="169" t="str">
        <f>IF(G69 = "", "pt_T1", IF(G69 &gt; I69, _xlfn.CONCAT("pt_T1-", RIGHT(F69, LEN(F69) - FIND("-", F69))), _xlfn.CONCAT("pt_T1-", RIGHT(H69, LEN(H69) - FIND("-", H69)))))</f>
        <v>pt_T1</v>
      </c>
      <c r="G145" s="169"/>
      <c r="H145" s="169" t="str">
        <f>IF(G32 = "", "pt_T3", IF(G32 &gt; I32, _xlfn.CONCAT("pt_T3-", RIGHT(F32, LEN(F32) - FIND("-", F32))), _xlfn.CONCAT("pt_T3-", RIGHT(H32, LEN(H32) - FIND("-", H32)))))</f>
        <v>pt_T3</v>
      </c>
      <c r="I145" s="169"/>
      <c r="J145" s="169"/>
      <c r="K145" s="169"/>
      <c r="L145" s="169" t="str">
        <f t="shared" si="46"/>
        <v>14G-090</v>
      </c>
      <c r="M145" s="109"/>
      <c r="N145" s="109" t="str">
        <f t="shared" si="47"/>
        <v>pt_Group</v>
      </c>
      <c r="O145" s="109"/>
      <c r="P145" s="109"/>
      <c r="Q145" s="109"/>
      <c r="R145" s="109"/>
      <c r="S145" s="109"/>
      <c r="T145" s="109"/>
      <c r="U145" s="109"/>
      <c r="V145" s="109"/>
      <c r="W145" s="109"/>
      <c r="X145" s="109"/>
      <c r="Y145" s="109"/>
      <c r="Z145" s="109"/>
    </row>
    <row r="146" spans="1:26" ht="13.5" customHeight="1">
      <c r="A146" s="155">
        <f t="shared" si="44"/>
        <v>46222</v>
      </c>
      <c r="B146" s="156">
        <f>'CHICLETS MASTER S1'!Z36</f>
        <v>0.56944444444444497</v>
      </c>
      <c r="C146" s="122" t="s">
        <v>163</v>
      </c>
      <c r="D146" s="122" t="str">
        <f t="shared" si="45"/>
        <v>UC IRVINE 2</v>
      </c>
      <c r="E146" s="122">
        <v>94</v>
      </c>
      <c r="F146" s="169" t="str">
        <f>IF(G24 = "", "pt_O1", IF(G24 &gt; I24, _xlfn.CONCAT("pt_O1-", RIGHT(F24, LEN(F24) - FIND("-", F24))), _xlfn.CONCAT("pt_O1-", RIGHT(H24, LEN(H24) - FIND("-", H24)))))</f>
        <v>pt_O1</v>
      </c>
      <c r="G146" s="169"/>
      <c r="H146" s="169" t="str">
        <f>IF(G47 = "", "pt_O2", IF(G47 &gt; I47, _xlfn.CONCAT("pt_O2-", RIGHT(F47, LEN(F47) - FIND("-", F47))), _xlfn.CONCAT("pt_O2-", RIGHT(H47, LEN(H47) - FIND("-", H47)))))</f>
        <v>pt_O2</v>
      </c>
      <c r="I146" s="169"/>
      <c r="J146" s="169"/>
      <c r="K146" s="169"/>
      <c r="L146" s="169" t="str">
        <f t="shared" si="46"/>
        <v>14G-094</v>
      </c>
      <c r="M146" s="109"/>
      <c r="N146" s="109" t="str">
        <f t="shared" si="47"/>
        <v>pt_Group</v>
      </c>
      <c r="O146" s="109"/>
      <c r="P146" s="109"/>
      <c r="Q146" s="109"/>
      <c r="R146" s="109"/>
      <c r="S146" s="109"/>
      <c r="T146" s="109"/>
      <c r="U146" s="109"/>
      <c r="V146" s="109"/>
      <c r="W146" s="109"/>
      <c r="X146" s="109"/>
      <c r="Y146" s="109"/>
      <c r="Z146" s="109"/>
    </row>
    <row r="147" spans="1:26" ht="13.5" customHeight="1">
      <c r="A147" s="155">
        <f t="shared" si="44"/>
        <v>46222</v>
      </c>
      <c r="B147" s="156">
        <f>'CHICLETS MASTER S1'!Z37</f>
        <v>0.60416666666666696</v>
      </c>
      <c r="C147" s="122" t="s">
        <v>163</v>
      </c>
      <c r="D147" s="122" t="str">
        <f t="shared" si="45"/>
        <v>UC IRVINE 2</v>
      </c>
      <c r="E147" s="122">
        <v>98</v>
      </c>
      <c r="F147" s="169" t="str">
        <f>IF(G43 = "", "pt_P1", IF(G43 &gt; I43, _xlfn.CONCAT("pt_P1-", RIGHT(F43, LEN(F43) - FIND("-", F43))), _xlfn.CONCAT("pt_P1-", RIGHT(H43, LEN(H43) - FIND("-", H43)))))</f>
        <v>pt_P1</v>
      </c>
      <c r="G147" s="169"/>
      <c r="H147" s="169" t="str">
        <f>IF(G45 = "", "pt_P2", IF(G45 &gt; I45, _xlfn.CONCAT("pt_P2-", RIGHT(F45, LEN(F45) - FIND("-", F45))), _xlfn.CONCAT("pt_P2-", RIGHT(H45, LEN(H45) - FIND("-", H45)))))</f>
        <v>pt_P2</v>
      </c>
      <c r="I147" s="169"/>
      <c r="J147" s="169"/>
      <c r="K147" s="169"/>
      <c r="L147" s="169" t="str">
        <f t="shared" si="46"/>
        <v>14G-098</v>
      </c>
      <c r="M147" s="109"/>
      <c r="N147" s="109" t="str">
        <f t="shared" si="47"/>
        <v>pt_Group</v>
      </c>
      <c r="O147" s="109"/>
      <c r="P147" s="109"/>
      <c r="Q147" s="109"/>
      <c r="R147" s="109"/>
      <c r="S147" s="109"/>
      <c r="T147" s="109"/>
      <c r="U147" s="109"/>
      <c r="V147" s="109"/>
      <c r="W147" s="109"/>
      <c r="X147" s="109"/>
      <c r="Y147" s="109"/>
      <c r="Z147" s="109"/>
    </row>
    <row r="148" spans="1:26" ht="13.5" customHeight="1">
      <c r="A148" s="155">
        <f t="shared" si="44"/>
        <v>46222</v>
      </c>
      <c r="B148" s="156">
        <f>'CHICLETS MASTER S1'!Z38</f>
        <v>0.63888888888888895</v>
      </c>
      <c r="C148" s="122" t="s">
        <v>163</v>
      </c>
      <c r="D148" s="122" t="str">
        <f t="shared" si="45"/>
        <v>UC IRVINE 2</v>
      </c>
      <c r="E148" s="122">
        <v>102</v>
      </c>
      <c r="F148" s="169" t="str">
        <f>IF(G70 = "", "pt_U2", IF(G70 &gt; I70, _xlfn.CONCAT("pt_U2-", RIGHT(F70, LEN(F70) - FIND("-", F70))), _xlfn.CONCAT("pt_U2-", RIGHT(H70, LEN(H70) - FIND("-", H70)))))</f>
        <v>pt_U2</v>
      </c>
      <c r="G148" s="169"/>
      <c r="H148" s="169" t="str">
        <f>IF(G33 = "", "pt_U3", IF(G33 &gt; I33, _xlfn.CONCAT("pt_U3-", RIGHT(F33, LEN(F33) - FIND("-", F33))), _xlfn.CONCAT("pt_U3-", RIGHT(H33, LEN(H33) - FIND("-", H33)))))</f>
        <v>pt_U3</v>
      </c>
      <c r="I148" s="169"/>
      <c r="J148" s="169"/>
      <c r="K148" s="169"/>
      <c r="L148" s="169" t="str">
        <f t="shared" si="46"/>
        <v>14G-102</v>
      </c>
      <c r="M148" s="109"/>
      <c r="N148" s="109" t="str">
        <f t="shared" si="47"/>
        <v>pt_Group</v>
      </c>
      <c r="O148" s="109"/>
      <c r="P148" s="109"/>
      <c r="Q148" s="109"/>
      <c r="R148" s="109"/>
      <c r="S148" s="109"/>
      <c r="T148" s="109"/>
      <c r="U148" s="109"/>
      <c r="V148" s="109"/>
      <c r="W148" s="109"/>
      <c r="X148" s="109"/>
      <c r="Y148" s="109"/>
      <c r="Z148" s="109"/>
    </row>
    <row r="149" spans="1:26" ht="13.5" customHeight="1">
      <c r="A149" s="155">
        <f t="shared" si="44"/>
        <v>46222</v>
      </c>
      <c r="B149" s="156">
        <f>'CHICLETS MASTER S1'!Z39</f>
        <v>0.67361111111111105</v>
      </c>
      <c r="C149" s="122" t="s">
        <v>163</v>
      </c>
      <c r="D149" s="122" t="str">
        <f t="shared" si="45"/>
        <v>UC IRVINE 2</v>
      </c>
      <c r="E149" s="122">
        <v>106</v>
      </c>
      <c r="F149" s="169" t="str">
        <f>IF(G71 = "", "pt_T2", IF(G71 &gt; I71, _xlfn.CONCAT("pt_T2-", RIGHT(F71, LEN(F71) - FIND("-", F71))), _xlfn.CONCAT("pt_T2-", RIGHT(H71, LEN(H71) - FIND("-", H71)))))</f>
        <v>pt_T2</v>
      </c>
      <c r="G149" s="169"/>
      <c r="H149" s="169" t="str">
        <f>IF(G32 = "", "pt_T3", IF(G32 &gt; I32, _xlfn.CONCAT("pt_T3-", RIGHT(F32, LEN(F32) - FIND("-", F32))), _xlfn.CONCAT("pt_T3-", RIGHT(H32, LEN(H32) - FIND("-", H32)))))</f>
        <v>pt_T3</v>
      </c>
      <c r="I149" s="169"/>
      <c r="J149" s="169"/>
      <c r="K149" s="169"/>
      <c r="L149" s="169" t="str">
        <f t="shared" si="46"/>
        <v>14G-106</v>
      </c>
      <c r="M149" s="109"/>
      <c r="N149" s="109" t="str">
        <f t="shared" si="47"/>
        <v>pt_Group</v>
      </c>
      <c r="O149" s="109"/>
      <c r="P149" s="109"/>
      <c r="Q149" s="109"/>
      <c r="R149" s="109"/>
      <c r="S149" s="109"/>
      <c r="T149" s="109"/>
      <c r="U149" s="109"/>
      <c r="V149" s="109"/>
      <c r="W149" s="109"/>
      <c r="X149" s="109"/>
      <c r="Y149" s="109"/>
      <c r="Z149" s="109"/>
    </row>
    <row r="150" spans="1:26" ht="13.5" customHeight="1">
      <c r="A150" s="158"/>
      <c r="B150" s="106" t="s">
        <v>204</v>
      </c>
      <c r="C150" s="106"/>
      <c r="D150" s="106"/>
      <c r="E150" s="106"/>
      <c r="F150" s="106"/>
      <c r="G150" s="110"/>
      <c r="H150" s="106"/>
      <c r="I150" s="106"/>
      <c r="J150" s="106"/>
      <c r="K150" s="106"/>
      <c r="L150" s="106"/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109"/>
      <c r="Y150" s="109"/>
      <c r="Z150" s="109"/>
    </row>
    <row r="151" spans="1:26" ht="13.5" customHeight="1">
      <c r="A151" s="158"/>
      <c r="B151" s="106" t="s">
        <v>204</v>
      </c>
      <c r="C151" s="106"/>
      <c r="D151" s="106"/>
      <c r="E151" s="106"/>
      <c r="F151" s="106"/>
      <c r="G151" s="110"/>
      <c r="H151" s="106"/>
      <c r="I151" s="106"/>
      <c r="J151" s="106"/>
      <c r="K151" s="106"/>
      <c r="L151" s="106"/>
      <c r="M151" s="109"/>
      <c r="N151" s="109"/>
      <c r="O151" s="109"/>
      <c r="P151" s="109"/>
      <c r="Q151" s="109"/>
      <c r="R151" s="109"/>
      <c r="S151" s="109"/>
      <c r="T151" s="109"/>
      <c r="U151" s="109"/>
      <c r="V151" s="109"/>
      <c r="W151" s="109"/>
      <c r="X151" s="109"/>
      <c r="Y151" s="109"/>
      <c r="Z151" s="109"/>
    </row>
    <row r="152" spans="1:26" ht="13.5" customHeight="1">
      <c r="A152" s="155">
        <f t="shared" ref="A152:A153" si="48">$A$94</f>
        <v>46222</v>
      </c>
      <c r="B152" s="156">
        <f>'CHICLETS MASTER S1'!Z42</f>
        <v>0.77777777777777801</v>
      </c>
      <c r="C152" s="122" t="s">
        <v>166</v>
      </c>
      <c r="D152" s="122" t="str">
        <f t="shared" ref="D152:D153" si="49">$D$136</f>
        <v>UC IRVINE 2</v>
      </c>
      <c r="E152" s="122">
        <v>110</v>
      </c>
      <c r="F152" s="169" t="s">
        <v>354</v>
      </c>
      <c r="G152" s="169"/>
      <c r="H152" s="169" t="s">
        <v>355</v>
      </c>
      <c r="I152" s="169"/>
      <c r="J152" s="169">
        <v>117</v>
      </c>
      <c r="K152" s="169">
        <v>138</v>
      </c>
      <c r="L152" s="169" t="str">
        <f t="shared" ref="L152:L153" si="50">IF(E152="","",$L$15&amp;"-"&amp;TEXT(E152,"000"))</f>
        <v>14G-110</v>
      </c>
      <c r="M152" s="109"/>
      <c r="N152" s="109" t="str">
        <f t="shared" ref="N152:N153" si="51">$K$256&amp;C152</f>
        <v>pt_Play-in</v>
      </c>
      <c r="O152" s="109"/>
      <c r="P152" s="109"/>
      <c r="Q152" s="109"/>
      <c r="R152" s="109"/>
      <c r="S152" s="109"/>
      <c r="T152" s="109"/>
      <c r="U152" s="109"/>
      <c r="V152" s="109"/>
      <c r="W152" s="109"/>
      <c r="X152" s="109"/>
      <c r="Y152" s="109"/>
      <c r="Z152" s="109"/>
    </row>
    <row r="153" spans="1:26" ht="13.5" customHeight="1">
      <c r="A153" s="155">
        <f t="shared" si="48"/>
        <v>46222</v>
      </c>
      <c r="B153" s="156">
        <f>'CHICLETS MASTER S1'!Z43</f>
        <v>0.8125</v>
      </c>
      <c r="C153" s="122" t="s">
        <v>166</v>
      </c>
      <c r="D153" s="122" t="str">
        <f t="shared" si="49"/>
        <v>UC IRVINE 2</v>
      </c>
      <c r="E153" s="122">
        <v>114</v>
      </c>
      <c r="F153" s="169" t="s">
        <v>364</v>
      </c>
      <c r="G153" s="169"/>
      <c r="H153" s="169" t="s">
        <v>365</v>
      </c>
      <c r="I153" s="169"/>
      <c r="J153" s="169">
        <v>125</v>
      </c>
      <c r="K153" s="169">
        <v>130</v>
      </c>
      <c r="L153" s="169" t="str">
        <f t="shared" si="50"/>
        <v>14G-114</v>
      </c>
      <c r="M153" s="109"/>
      <c r="N153" s="109" t="str">
        <f t="shared" si="51"/>
        <v>pt_Play-in</v>
      </c>
      <c r="O153" s="109"/>
      <c r="P153" s="109"/>
      <c r="Q153" s="109"/>
      <c r="R153" s="109"/>
      <c r="S153" s="109"/>
      <c r="T153" s="109"/>
      <c r="U153" s="109"/>
      <c r="V153" s="109"/>
      <c r="W153" s="109"/>
      <c r="X153" s="109"/>
      <c r="Y153" s="109"/>
      <c r="Z153" s="109"/>
    </row>
    <row r="154" spans="1:26" ht="13.5" customHeight="1" thickBot="1">
      <c r="A154" s="159"/>
      <c r="B154" s="106"/>
      <c r="C154" s="106"/>
      <c r="D154" s="106"/>
      <c r="E154" s="106"/>
      <c r="F154" s="106" t="s">
        <v>173</v>
      </c>
      <c r="G154" s="110"/>
      <c r="H154" s="106" t="s">
        <v>173</v>
      </c>
      <c r="I154" s="106"/>
      <c r="J154" s="106"/>
      <c r="K154" s="106"/>
      <c r="L154" s="106"/>
      <c r="M154" s="109"/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109"/>
      <c r="Y154" s="109"/>
      <c r="Z154" s="109"/>
    </row>
    <row r="155" spans="1:26" ht="13.5" customHeight="1" thickBot="1">
      <c r="A155" s="109"/>
      <c r="B155" s="106"/>
      <c r="C155" s="106"/>
      <c r="D155" s="153" t="str">
        <f>'CHICLETS MASTER S1'!$AA$27</f>
        <v>GARDEN GROVE HS</v>
      </c>
      <c r="E155" s="109"/>
      <c r="F155" s="106"/>
      <c r="G155" s="110"/>
      <c r="H155" s="106"/>
      <c r="I155" s="106"/>
      <c r="J155" s="106"/>
      <c r="K155" s="106"/>
      <c r="L155" s="106"/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109"/>
      <c r="Y155" s="109"/>
      <c r="Z155" s="109"/>
    </row>
    <row r="156" spans="1:26" ht="13.5" customHeight="1">
      <c r="A156" s="151" t="s">
        <v>110</v>
      </c>
      <c r="B156" s="154" t="s">
        <v>111</v>
      </c>
      <c r="C156" s="154" t="s">
        <v>112</v>
      </c>
      <c r="D156" s="154" t="s">
        <v>113</v>
      </c>
      <c r="E156" s="154" t="s">
        <v>114</v>
      </c>
      <c r="F156" s="154" t="s">
        <v>115</v>
      </c>
      <c r="G156" s="154" t="s">
        <v>116</v>
      </c>
      <c r="H156" s="154" t="s">
        <v>117</v>
      </c>
      <c r="I156" s="154" t="s">
        <v>116</v>
      </c>
      <c r="J156" s="154" t="s">
        <v>118</v>
      </c>
      <c r="K156" s="154" t="s">
        <v>119</v>
      </c>
      <c r="L156" s="154" t="s">
        <v>120</v>
      </c>
      <c r="M156" s="109"/>
      <c r="N156" s="109"/>
      <c r="O156" s="109"/>
      <c r="P156" s="109"/>
      <c r="Q156" s="109"/>
      <c r="R156" s="109"/>
      <c r="S156" s="109"/>
      <c r="T156" s="109"/>
      <c r="U156" s="109"/>
      <c r="V156" s="109"/>
      <c r="W156" s="109"/>
      <c r="X156" s="109"/>
      <c r="Y156" s="109"/>
      <c r="Z156" s="109"/>
    </row>
    <row r="157" spans="1:26" ht="13.5" customHeight="1">
      <c r="A157" s="155">
        <f t="shared" ref="A157:A168" si="52">$A$94</f>
        <v>46222</v>
      </c>
      <c r="B157" s="156">
        <f>'CHICLETS MASTER S1'!Z28</f>
        <v>0.29166666666666669</v>
      </c>
      <c r="C157" s="122" t="s">
        <v>163</v>
      </c>
      <c r="D157" s="122" t="str">
        <f t="shared" ref="D157:D168" si="53">$D$155</f>
        <v>GARDEN GROVE HS</v>
      </c>
      <c r="E157" s="122">
        <v>63</v>
      </c>
      <c r="F157" s="134" t="str">
        <f>IF(G84 = "", "au_S1", IF(G84 &lt; I84, _xlfn.CONCAT("au_S1-", RIGHT(F84, LEN(F84) - FIND("-", F84))), _xlfn.CONCAT("au_S1-", RIGHT(H84, LEN(H84) - FIND("-", H84)))))</f>
        <v>au_S1</v>
      </c>
      <c r="G157" s="134"/>
      <c r="H157" s="134" t="str">
        <f>IF(G48 = "", "au_S2", IF(G48 &lt; I48, _xlfn.CONCAT("au_S2-", RIGHT(F48, LEN(F48) - FIND("-", F48))), _xlfn.CONCAT("au_S2-", RIGHT(H48, LEN(H48) - FIND("-", H48)))))</f>
        <v>au_S2</v>
      </c>
      <c r="I157" s="134"/>
      <c r="J157" s="134"/>
      <c r="K157" s="134"/>
      <c r="L157" s="134" t="str">
        <f t="shared" ref="L157:L168" si="54">IF(E157="","",$L$15&amp;"-"&amp;TEXT(E157,"000"))</f>
        <v>14G-063</v>
      </c>
      <c r="M157" s="109"/>
      <c r="N157" s="109" t="str">
        <f t="shared" ref="N157:N168" si="55">$L$256&amp;C157</f>
        <v>au_Group</v>
      </c>
      <c r="O157" s="109"/>
      <c r="P157" s="109"/>
      <c r="Q157" s="109"/>
      <c r="R157" s="109"/>
      <c r="S157" s="109"/>
      <c r="T157" s="109"/>
      <c r="U157" s="109"/>
      <c r="V157" s="109"/>
      <c r="W157" s="109"/>
      <c r="X157" s="109"/>
      <c r="Y157" s="109"/>
      <c r="Z157" s="109"/>
    </row>
    <row r="158" spans="1:26" ht="13.5" customHeight="1">
      <c r="A158" s="155">
        <f t="shared" si="52"/>
        <v>46222</v>
      </c>
      <c r="B158" s="156">
        <f>'CHICLETS MASTER S1'!Z29</f>
        <v>0.3263888888888889</v>
      </c>
      <c r="C158" s="122" t="s">
        <v>163</v>
      </c>
      <c r="D158" s="122" t="str">
        <f t="shared" si="53"/>
        <v>GARDEN GROVE HS</v>
      </c>
      <c r="E158" s="122">
        <v>67</v>
      </c>
      <c r="F158" s="134" t="str">
        <f>IF(G86 = "", "au_R1", IF(G86 &lt; I86, _xlfn.CONCAT("au_R1-", RIGHT(F86, LEN(F86) - FIND("-", F86))), _xlfn.CONCAT("au_R1-", RIGHT(H86, LEN(H86) - FIND("-", H86)))))</f>
        <v>au_R1</v>
      </c>
      <c r="G158" s="134"/>
      <c r="H158" s="134" t="str">
        <f>IF(G46 = "", "au_R2", IF(G46 &lt; I46, _xlfn.CONCAT("au_R2-", RIGHT(F46, LEN(F46) - FIND("-", F46))), _xlfn.CONCAT("au_R2-", RIGHT(H46, LEN(H46) - FIND("-", H46)))))</f>
        <v>au_R2</v>
      </c>
      <c r="I158" s="170"/>
      <c r="J158" s="134"/>
      <c r="K158" s="134"/>
      <c r="L158" s="134" t="str">
        <f t="shared" si="54"/>
        <v>14G-067</v>
      </c>
      <c r="M158" s="109"/>
      <c r="N158" s="109" t="str">
        <f t="shared" si="55"/>
        <v>au_Group</v>
      </c>
      <c r="O158" s="109"/>
      <c r="P158" s="109"/>
      <c r="Q158" s="109"/>
      <c r="R158" s="109"/>
      <c r="S158" s="109"/>
      <c r="T158" s="109"/>
      <c r="U158" s="109"/>
      <c r="V158" s="109"/>
      <c r="W158" s="109"/>
      <c r="X158" s="109"/>
      <c r="Y158" s="109"/>
      <c r="Z158" s="109"/>
    </row>
    <row r="159" spans="1:26" ht="13.5" customHeight="1">
      <c r="A159" s="155">
        <f t="shared" si="52"/>
        <v>46222</v>
      </c>
      <c r="B159" s="156">
        <f>'CHICLETS MASTER S1'!Z30</f>
        <v>0.36111111111111099</v>
      </c>
      <c r="C159" s="122" t="s">
        <v>163</v>
      </c>
      <c r="D159" s="122" t="str">
        <f t="shared" si="53"/>
        <v>GARDEN GROVE HS</v>
      </c>
      <c r="E159" s="122">
        <v>71</v>
      </c>
      <c r="F159" s="134" t="str">
        <f>IF(G71 = "", "au_M2", IF(G71 &lt; I71, _xlfn.CONCAT("au_M2-", RIGHT(F71, LEN(F71) - FIND("-", F71))), _xlfn.CONCAT("au_M2-", RIGHT(H71, LEN(H71) - FIND("-", H71)))))</f>
        <v>au_M2</v>
      </c>
      <c r="G159" s="134"/>
      <c r="H159" s="134" t="str">
        <f>IF(G69 = "", "au_M3", IF(G69 &lt; I69, _xlfn.CONCAT("au_M3-", RIGHT(F69, LEN(F69) - FIND("-", F69))), _xlfn.CONCAT("au_M3-", RIGHT(H69, LEN(H69) - FIND("-", H69)))))</f>
        <v>au_M3</v>
      </c>
      <c r="I159" s="134"/>
      <c r="J159" s="134"/>
      <c r="K159" s="134"/>
      <c r="L159" s="134" t="str">
        <f t="shared" si="54"/>
        <v>14G-071</v>
      </c>
      <c r="M159" s="109"/>
      <c r="N159" s="109" t="str">
        <f t="shared" si="55"/>
        <v>au_Group</v>
      </c>
      <c r="O159" s="109"/>
      <c r="P159" s="109"/>
      <c r="Q159" s="109"/>
      <c r="R159" s="109"/>
      <c r="S159" s="109"/>
      <c r="T159" s="109"/>
      <c r="U159" s="109"/>
      <c r="V159" s="109"/>
      <c r="W159" s="109"/>
      <c r="X159" s="109"/>
      <c r="Y159" s="109"/>
      <c r="Z159" s="109"/>
    </row>
    <row r="160" spans="1:26" ht="13.5" customHeight="1">
      <c r="A160" s="155">
        <f t="shared" si="52"/>
        <v>46222</v>
      </c>
      <c r="B160" s="156">
        <f>'CHICLETS MASTER S1'!Z31</f>
        <v>0.39583333333333398</v>
      </c>
      <c r="C160" s="122" t="s">
        <v>163</v>
      </c>
      <c r="D160" s="122" t="str">
        <f t="shared" si="53"/>
        <v>GARDEN GROVE HS</v>
      </c>
      <c r="E160" s="122">
        <v>75</v>
      </c>
      <c r="F160" s="134" t="str">
        <f>IF(G70 = "", "au_N2", IF(G70 &lt; I70, _xlfn.CONCAT("au_N2-", RIGHT(F70, LEN(F70) - FIND("-", F70))), _xlfn.CONCAT("au_N2-", RIGHT(H70, LEN(H70) - FIND("-", H70)))))</f>
        <v>au_N2</v>
      </c>
      <c r="G160" s="134"/>
      <c r="H160" s="134" t="str">
        <f>IF(G88 = "", "au_N3", IF(G88 &lt; I88, _xlfn.CONCAT("au_N3-", RIGHT(F88, LEN(F88) - FIND("-", F88))), _xlfn.CONCAT("au_N3-", RIGHT(H88, LEN(H88) - FIND("-", H88)))))</f>
        <v>au_N3</v>
      </c>
      <c r="I160" s="134"/>
      <c r="J160" s="134"/>
      <c r="K160" s="134"/>
      <c r="L160" s="134" t="str">
        <f t="shared" si="54"/>
        <v>14G-075</v>
      </c>
      <c r="M160" s="109"/>
      <c r="N160" s="109" t="str">
        <f t="shared" si="55"/>
        <v>au_Group</v>
      </c>
      <c r="O160" s="109"/>
      <c r="P160" s="109"/>
      <c r="Q160" s="109"/>
      <c r="R160" s="109"/>
      <c r="S160" s="109"/>
      <c r="T160" s="109"/>
      <c r="U160" s="109"/>
      <c r="V160" s="109"/>
      <c r="W160" s="109"/>
      <c r="X160" s="109"/>
      <c r="Y160" s="109"/>
      <c r="Z160" s="109"/>
    </row>
    <row r="161" spans="1:26" ht="13.5" customHeight="1">
      <c r="A161" s="155">
        <f t="shared" si="52"/>
        <v>46222</v>
      </c>
      <c r="B161" s="156">
        <f>'CHICLETS MASTER S1'!Z32</f>
        <v>0.43055555555555602</v>
      </c>
      <c r="C161" s="122" t="s">
        <v>163</v>
      </c>
      <c r="D161" s="122" t="str">
        <f t="shared" si="53"/>
        <v>GARDEN GROVE HS</v>
      </c>
      <c r="E161" s="122">
        <v>79</v>
      </c>
      <c r="F161" s="134" t="str">
        <f>IF(G84 = "", "au_S1", IF(G84 &lt; I84, _xlfn.CONCAT("au_S1-", RIGHT(F84, LEN(F84) - FIND("-", F84))), _xlfn.CONCAT("au_S1-", RIGHT(H84, LEN(H84) - FIND("-", H84)))))</f>
        <v>au_S1</v>
      </c>
      <c r="G161" s="134"/>
      <c r="H161" s="134" t="str">
        <f>IF(G25 = "", "au_S3", IF(G25 &lt; I25, _xlfn.CONCAT("au_S3-", RIGHT(F25, LEN(F25) - FIND("-", F25))), _xlfn.CONCAT("au_S3-", RIGHT(H25, LEN(H25) - FIND("-", H25)))))</f>
        <v>au_S3</v>
      </c>
      <c r="I161" s="134"/>
      <c r="J161" s="134"/>
      <c r="K161" s="134"/>
      <c r="L161" s="134" t="str">
        <f t="shared" si="54"/>
        <v>14G-079</v>
      </c>
      <c r="M161" s="109"/>
      <c r="N161" s="109" t="str">
        <f t="shared" si="55"/>
        <v>au_Group</v>
      </c>
      <c r="O161" s="109"/>
      <c r="P161" s="109"/>
      <c r="Q161" s="109"/>
      <c r="R161" s="109"/>
      <c r="S161" s="109"/>
      <c r="T161" s="109"/>
      <c r="U161" s="109"/>
      <c r="V161" s="109"/>
      <c r="W161" s="109"/>
      <c r="X161" s="109"/>
      <c r="Y161" s="109"/>
      <c r="Z161" s="109"/>
    </row>
    <row r="162" spans="1:26" ht="13.5" customHeight="1">
      <c r="A162" s="155">
        <f t="shared" si="52"/>
        <v>46222</v>
      </c>
      <c r="B162" s="156">
        <f>'CHICLETS MASTER S1'!Z33</f>
        <v>0.46527777777777801</v>
      </c>
      <c r="C162" s="122" t="s">
        <v>163</v>
      </c>
      <c r="D162" s="122" t="str">
        <f t="shared" si="53"/>
        <v>GARDEN GROVE HS</v>
      </c>
      <c r="E162" s="122">
        <v>83</v>
      </c>
      <c r="F162" s="134" t="str">
        <f>IF(G86 = "", "au_R1", IF(G86 &lt; I86, _xlfn.CONCAT("au_R1-", RIGHT(F86, LEN(F86) - FIND("-", F86))), _xlfn.CONCAT("au_R1-", RIGHT(H86, LEN(H86) - FIND("-", H86)))))</f>
        <v>au_R1</v>
      </c>
      <c r="G162" s="134"/>
      <c r="H162" s="134" t="str">
        <f>IF(G44 = "", "au_R3", IF(G44 &lt; I44, _xlfn.CONCAT("au_R3-", RIGHT(F44, LEN(F44) - FIND("-", F44))), _xlfn.CONCAT("au_R3-", RIGHT(H44, LEN(H44) - FIND("-", H44)))))</f>
        <v>au_R3</v>
      </c>
      <c r="I162" s="134"/>
      <c r="J162" s="134"/>
      <c r="K162" s="134"/>
      <c r="L162" s="134" t="str">
        <f t="shared" si="54"/>
        <v>14G-083</v>
      </c>
      <c r="M162" s="109"/>
      <c r="N162" s="109" t="str">
        <f t="shared" si="55"/>
        <v>au_Group</v>
      </c>
      <c r="O162" s="109"/>
      <c r="P162" s="109"/>
      <c r="Q162" s="109"/>
      <c r="R162" s="109"/>
      <c r="S162" s="109"/>
      <c r="T162" s="109"/>
      <c r="U162" s="109"/>
      <c r="V162" s="109"/>
      <c r="W162" s="109"/>
      <c r="X162" s="109"/>
      <c r="Y162" s="109"/>
      <c r="Z162" s="109"/>
    </row>
    <row r="163" spans="1:26" ht="13.5" customHeight="1">
      <c r="A163" s="155">
        <f t="shared" si="52"/>
        <v>46222</v>
      </c>
      <c r="B163" s="156">
        <f>'CHICLETS MASTER S1'!Z34</f>
        <v>0.5</v>
      </c>
      <c r="C163" s="122" t="s">
        <v>163</v>
      </c>
      <c r="D163" s="122" t="str">
        <f t="shared" si="53"/>
        <v>GARDEN GROVE HS</v>
      </c>
      <c r="E163" s="122">
        <v>87</v>
      </c>
      <c r="F163" s="134" t="str">
        <f>IF(G32 = "", "au_M1", IF(G32 &lt; I32, _xlfn.CONCAT("au_M1-", RIGHT(F32, LEN(F32) - FIND("-", F32))), _xlfn.CONCAT("au_M1-", RIGHT(H32, LEN(H32) - FIND("-", H32)))))</f>
        <v>au_M1</v>
      </c>
      <c r="G163" s="134"/>
      <c r="H163" s="134" t="str">
        <f>IF(G69 = "", "au_M3", IF(G69 &lt; I69, _xlfn.CONCAT("au_M3-", RIGHT(F69, LEN(F69) - FIND("-", F69))), _xlfn.CONCAT("au_M3-", RIGHT(H69, LEN(H69) - FIND("-", H69)))))</f>
        <v>au_M3</v>
      </c>
      <c r="I163" s="134"/>
      <c r="J163" s="134"/>
      <c r="K163" s="134"/>
      <c r="L163" s="134" t="str">
        <f t="shared" si="54"/>
        <v>14G-087</v>
      </c>
      <c r="M163" s="109"/>
      <c r="N163" s="109" t="str">
        <f t="shared" si="55"/>
        <v>au_Group</v>
      </c>
      <c r="O163" s="109"/>
      <c r="P163" s="109"/>
      <c r="Q163" s="109"/>
      <c r="R163" s="109"/>
      <c r="S163" s="109"/>
      <c r="T163" s="109"/>
      <c r="U163" s="109"/>
      <c r="V163" s="109"/>
      <c r="W163" s="109"/>
      <c r="X163" s="109"/>
      <c r="Y163" s="109"/>
      <c r="Z163" s="109"/>
    </row>
    <row r="164" spans="1:26" ht="13.5" customHeight="1">
      <c r="A164" s="155">
        <f t="shared" si="52"/>
        <v>46222</v>
      </c>
      <c r="B164" s="156">
        <f>'CHICLETS MASTER S1'!Z35</f>
        <v>0.53472222222222199</v>
      </c>
      <c r="C164" s="122" t="s">
        <v>163</v>
      </c>
      <c r="D164" s="122" t="str">
        <f t="shared" si="53"/>
        <v>GARDEN GROVE HS</v>
      </c>
      <c r="E164" s="122">
        <v>91</v>
      </c>
      <c r="F164" s="134" t="str">
        <f>IF(G33 = "", "au_N1", IF(G33 &lt; I33, _xlfn.CONCAT("au_N1-", RIGHT(F33, LEN(F33) - FIND("-", F33))), _xlfn.CONCAT("au_N1-", RIGHT(H33, LEN(H33) - FIND("-", H33)))))</f>
        <v>au_N1</v>
      </c>
      <c r="G164" s="134"/>
      <c r="H164" s="134" t="str">
        <f>IF(G88 = "", "au_N3", IF(G88 &lt; I88, _xlfn.CONCAT("au_N3-", RIGHT(F88, LEN(F88) - FIND("-", F88))), _xlfn.CONCAT("au_N3-", RIGHT(H88, LEN(H88) - FIND("-", H88)))))</f>
        <v>au_N3</v>
      </c>
      <c r="I164" s="134"/>
      <c r="J164" s="134"/>
      <c r="K164" s="134"/>
      <c r="L164" s="134" t="str">
        <f t="shared" si="54"/>
        <v>14G-091</v>
      </c>
      <c r="M164" s="109"/>
      <c r="N164" s="109" t="str">
        <f t="shared" si="55"/>
        <v>au_Group</v>
      </c>
      <c r="O164" s="109"/>
      <c r="P164" s="109"/>
      <c r="Q164" s="109"/>
      <c r="R164" s="109"/>
      <c r="S164" s="109"/>
      <c r="T164" s="109"/>
      <c r="U164" s="109"/>
      <c r="V164" s="109"/>
      <c r="W164" s="109"/>
      <c r="X164" s="109"/>
      <c r="Y164" s="109"/>
      <c r="Z164" s="109"/>
    </row>
    <row r="165" spans="1:26" ht="13.5" customHeight="1">
      <c r="A165" s="155">
        <f t="shared" si="52"/>
        <v>46222</v>
      </c>
      <c r="B165" s="156">
        <f>'CHICLETS MASTER S1'!Z36</f>
        <v>0.56944444444444497</v>
      </c>
      <c r="C165" s="122" t="s">
        <v>163</v>
      </c>
      <c r="D165" s="122" t="str">
        <f t="shared" si="53"/>
        <v>GARDEN GROVE HS</v>
      </c>
      <c r="E165" s="122">
        <v>95</v>
      </c>
      <c r="F165" s="134" t="str">
        <f>IF(G48 = "", "au_S2", IF(G48 &lt; I48, _xlfn.CONCAT("au_S2-", RIGHT(F48, LEN(F48) - FIND("-", F48))), _xlfn.CONCAT("au_S2-", RIGHT(H48, LEN(H48) - FIND("-", H48)))))</f>
        <v>au_S2</v>
      </c>
      <c r="G165" s="134"/>
      <c r="H165" s="134" t="str">
        <f>IF(G25 = "", "au_S3", IF(G25 &lt; I25, _xlfn.CONCAT("au_S3-", RIGHT(F25, LEN(F25) - FIND("-", F25))), _xlfn.CONCAT("au_S3-", RIGHT(H25, LEN(H25) - FIND("-", H25)))))</f>
        <v>au_S3</v>
      </c>
      <c r="I165" s="134"/>
      <c r="J165" s="134"/>
      <c r="K165" s="134"/>
      <c r="L165" s="134" t="str">
        <f t="shared" si="54"/>
        <v>14G-095</v>
      </c>
      <c r="M165" s="109"/>
      <c r="N165" s="109" t="str">
        <f t="shared" si="55"/>
        <v>au_Group</v>
      </c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</row>
    <row r="166" spans="1:26" ht="13.5" customHeight="1">
      <c r="A166" s="155">
        <f t="shared" si="52"/>
        <v>46222</v>
      </c>
      <c r="B166" s="156">
        <f>'CHICLETS MASTER S1'!Z37</f>
        <v>0.60416666666666696</v>
      </c>
      <c r="C166" s="122" t="s">
        <v>163</v>
      </c>
      <c r="D166" s="122" t="str">
        <f t="shared" si="53"/>
        <v>GARDEN GROVE HS</v>
      </c>
      <c r="E166" s="122">
        <v>99</v>
      </c>
      <c r="F166" s="134" t="str">
        <f>IF(G46 = "", "au_R2", IF(G46 &lt; I46, _xlfn.CONCAT("au_R2-", RIGHT(F46, LEN(F46) - FIND("-", F46))), _xlfn.CONCAT("au_R2-", RIGHT(H46, LEN(H46) - FIND("-", H46)))))</f>
        <v>au_R2</v>
      </c>
      <c r="G166" s="134"/>
      <c r="H166" s="134" t="str">
        <f>IF(G44 = "", "au_R3", IF(G44 &lt; I44, _xlfn.CONCAT("au_R3-", RIGHT(F44, LEN(F44) - FIND("-", F44))), _xlfn.CONCAT("au_R3-", RIGHT(H44, LEN(H44) - FIND("-", H44)))))</f>
        <v>au_R3</v>
      </c>
      <c r="I166" s="134"/>
      <c r="J166" s="134"/>
      <c r="K166" s="134"/>
      <c r="L166" s="134" t="str">
        <f t="shared" si="54"/>
        <v>14G-099</v>
      </c>
      <c r="M166" s="109"/>
      <c r="N166" s="109" t="str">
        <f t="shared" si="55"/>
        <v>au_Group</v>
      </c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</row>
    <row r="167" spans="1:26" ht="13.5" customHeight="1">
      <c r="A167" s="155">
        <f t="shared" si="52"/>
        <v>46222</v>
      </c>
      <c r="B167" s="156">
        <f>'CHICLETS MASTER S1'!Z38</f>
        <v>0.63888888888888895</v>
      </c>
      <c r="C167" s="122" t="s">
        <v>163</v>
      </c>
      <c r="D167" s="122" t="str">
        <f t="shared" si="53"/>
        <v>GARDEN GROVE HS</v>
      </c>
      <c r="E167" s="122">
        <v>103</v>
      </c>
      <c r="F167" s="134" t="str">
        <f>IF(G32 = "", "au_M1", IF(G32 &lt; I32, _xlfn.CONCAT("au_M1-", RIGHT(F32, LEN(F32) - FIND("-", F32))), _xlfn.CONCAT("au_M1-", RIGHT(H32, LEN(H32) - FIND("-", H32)))))</f>
        <v>au_M1</v>
      </c>
      <c r="G167" s="134"/>
      <c r="H167" s="134" t="str">
        <f>IF(G71 = "", "au_M2", IF(G71 &lt; I71, _xlfn.CONCAT("au_M2-", RIGHT(F71, LEN(F71) - FIND("-", F71))), _xlfn.CONCAT("au_M2-", RIGHT(H71, LEN(H71) - FIND("-", H71)))))</f>
        <v>au_M2</v>
      </c>
      <c r="I167" s="134"/>
      <c r="J167" s="134"/>
      <c r="K167" s="134"/>
      <c r="L167" s="134" t="str">
        <f t="shared" si="54"/>
        <v>14G-103</v>
      </c>
      <c r="M167" s="109"/>
      <c r="N167" s="109" t="str">
        <f t="shared" si="55"/>
        <v>au_Group</v>
      </c>
      <c r="O167" s="109"/>
      <c r="P167" s="109"/>
      <c r="Q167" s="109"/>
      <c r="R167" s="109"/>
      <c r="S167" s="109"/>
      <c r="T167" s="109"/>
      <c r="U167" s="109"/>
      <c r="V167" s="109"/>
      <c r="W167" s="109"/>
      <c r="X167" s="109"/>
      <c r="Y167" s="109"/>
      <c r="Z167" s="109"/>
    </row>
    <row r="168" spans="1:26" ht="13.5" customHeight="1">
      <c r="A168" s="155">
        <f t="shared" si="52"/>
        <v>46222</v>
      </c>
      <c r="B168" s="156">
        <f>'CHICLETS MASTER S1'!Z39</f>
        <v>0.67361111111111105</v>
      </c>
      <c r="C168" s="122" t="s">
        <v>163</v>
      </c>
      <c r="D168" s="122" t="str">
        <f t="shared" si="53"/>
        <v>GARDEN GROVE HS</v>
      </c>
      <c r="E168" s="122">
        <v>107</v>
      </c>
      <c r="F168" s="134" t="str">
        <f>IF(G33 = "", "au_N1", IF(G33 &lt; I33, _xlfn.CONCAT("au_N1-", RIGHT(F33, LEN(F33) - FIND("-", F33))), _xlfn.CONCAT("au_N1-", RIGHT(H33, LEN(H33) - FIND("-", H33)))))</f>
        <v>au_N1</v>
      </c>
      <c r="G168" s="134"/>
      <c r="H168" s="134" t="str">
        <f>IF(G70 = "", "au_N2", IF(G70 &lt; I70, _xlfn.CONCAT("au_N2-", RIGHT(F70, LEN(F70) - FIND("-", F70))), _xlfn.CONCAT("au_N2-", RIGHT(H70, LEN(H70) - FIND("-", H70)))))</f>
        <v>au_N2</v>
      </c>
      <c r="I168" s="134"/>
      <c r="J168" s="134"/>
      <c r="K168" s="134"/>
      <c r="L168" s="134" t="str">
        <f t="shared" si="54"/>
        <v>14G-107</v>
      </c>
      <c r="M168" s="109"/>
      <c r="N168" s="109" t="str">
        <f t="shared" si="55"/>
        <v>au_Group</v>
      </c>
      <c r="O168" s="109"/>
      <c r="P168" s="109"/>
      <c r="Q168" s="109"/>
      <c r="R168" s="109"/>
      <c r="S168" s="109"/>
      <c r="T168" s="109"/>
      <c r="U168" s="109"/>
      <c r="V168" s="109"/>
      <c r="W168" s="109"/>
      <c r="X168" s="109"/>
      <c r="Y168" s="109"/>
      <c r="Z168" s="109"/>
    </row>
    <row r="169" spans="1:26" ht="13.5" customHeight="1">
      <c r="A169" s="158"/>
      <c r="B169" s="106" t="s">
        <v>204</v>
      </c>
      <c r="C169" s="106"/>
      <c r="D169" s="106"/>
      <c r="E169" s="106"/>
      <c r="F169" s="106"/>
      <c r="G169" s="110"/>
      <c r="H169" s="106"/>
      <c r="I169" s="106"/>
      <c r="J169" s="106"/>
      <c r="K169" s="106"/>
      <c r="L169" s="106"/>
      <c r="M169" s="109"/>
      <c r="N169" s="109"/>
      <c r="O169" s="109"/>
      <c r="P169" s="109"/>
      <c r="Q169" s="109"/>
      <c r="R169" s="109"/>
      <c r="S169" s="109"/>
      <c r="T169" s="109"/>
      <c r="U169" s="109"/>
      <c r="V169" s="109"/>
      <c r="W169" s="109"/>
      <c r="X169" s="109"/>
      <c r="Y169" s="109"/>
      <c r="Z169" s="109"/>
    </row>
    <row r="170" spans="1:26" ht="13.5" customHeight="1">
      <c r="A170" s="158"/>
      <c r="B170" s="106" t="s">
        <v>204</v>
      </c>
      <c r="C170" s="106"/>
      <c r="D170" s="106"/>
      <c r="E170" s="106"/>
      <c r="F170" s="106"/>
      <c r="G170" s="110"/>
      <c r="H170" s="106"/>
      <c r="I170" s="106"/>
      <c r="J170" s="106"/>
      <c r="K170" s="106"/>
      <c r="L170" s="106"/>
      <c r="M170" s="109"/>
      <c r="N170" s="109"/>
      <c r="O170" s="109"/>
      <c r="P170" s="109"/>
      <c r="Q170" s="109"/>
      <c r="R170" s="109"/>
      <c r="S170" s="109"/>
      <c r="T170" s="109"/>
      <c r="U170" s="109"/>
      <c r="V170" s="109"/>
      <c r="W170" s="109"/>
      <c r="X170" s="109"/>
      <c r="Y170" s="109"/>
      <c r="Z170" s="109"/>
    </row>
    <row r="171" spans="1:26" ht="13.5" customHeight="1">
      <c r="A171" s="155">
        <f t="shared" ref="A171:A172" si="56">$A$94</f>
        <v>46222</v>
      </c>
      <c r="B171" s="156">
        <f>'CHICLETS MASTER S1'!Z42</f>
        <v>0.77777777777777801</v>
      </c>
      <c r="C171" s="122" t="s">
        <v>166</v>
      </c>
      <c r="D171" s="122" t="str">
        <f t="shared" ref="D171:D172" si="57">$D$155</f>
        <v>GARDEN GROVE HS</v>
      </c>
      <c r="E171" s="122">
        <v>111</v>
      </c>
      <c r="F171" s="134" t="s">
        <v>402</v>
      </c>
      <c r="G171" s="134"/>
      <c r="H171" s="134" t="s">
        <v>1293</v>
      </c>
      <c r="I171" s="134"/>
      <c r="J171" s="134">
        <v>131</v>
      </c>
      <c r="K171" s="134">
        <v>136</v>
      </c>
      <c r="L171" s="134" t="str">
        <f t="shared" ref="L171:L172" si="58">IF(E171="","",$L$15&amp;"-"&amp;TEXT(E171,"000"))</f>
        <v>14G-111</v>
      </c>
      <c r="M171" s="109"/>
      <c r="N171" s="109" t="str">
        <f t="shared" ref="N171:N172" si="59">$L$256&amp;C171</f>
        <v>au_Play-in</v>
      </c>
      <c r="O171" s="109"/>
      <c r="P171" s="109"/>
      <c r="Q171" s="109"/>
      <c r="R171" s="109"/>
      <c r="S171" s="109"/>
      <c r="T171" s="109"/>
      <c r="U171" s="109"/>
      <c r="V171" s="109"/>
      <c r="W171" s="109"/>
      <c r="X171" s="109"/>
      <c r="Y171" s="109"/>
      <c r="Z171" s="109"/>
    </row>
    <row r="172" spans="1:26" ht="13.5" customHeight="1">
      <c r="A172" s="155">
        <f t="shared" si="56"/>
        <v>46222</v>
      </c>
      <c r="B172" s="156">
        <f>'CHICLETS MASTER S1'!Z43</f>
        <v>0.8125</v>
      </c>
      <c r="C172" s="122" t="s">
        <v>166</v>
      </c>
      <c r="D172" s="122" t="str">
        <f t="shared" si="57"/>
        <v>GARDEN GROVE HS</v>
      </c>
      <c r="E172" s="122">
        <v>115</v>
      </c>
      <c r="F172" s="134" t="s">
        <v>400</v>
      </c>
      <c r="G172" s="134"/>
      <c r="H172" s="134" t="s">
        <v>1223</v>
      </c>
      <c r="I172" s="134"/>
      <c r="J172" s="134">
        <v>123</v>
      </c>
      <c r="K172" s="134">
        <v>128</v>
      </c>
      <c r="L172" s="134" t="str">
        <f t="shared" si="58"/>
        <v>14G-115</v>
      </c>
      <c r="M172" s="109"/>
      <c r="N172" s="109" t="str">
        <f t="shared" si="59"/>
        <v>au_Play-in</v>
      </c>
      <c r="O172" s="109"/>
      <c r="P172" s="109"/>
      <c r="Q172" s="109"/>
      <c r="R172" s="109"/>
      <c r="S172" s="109"/>
      <c r="T172" s="109"/>
      <c r="U172" s="109"/>
      <c r="V172" s="109"/>
      <c r="W172" s="109"/>
      <c r="X172" s="109"/>
      <c r="Y172" s="109"/>
      <c r="Z172" s="109"/>
    </row>
    <row r="173" spans="1:26" ht="13.5" customHeight="1" thickBot="1">
      <c r="A173" s="159"/>
      <c r="B173" s="160"/>
      <c r="C173" s="106"/>
      <c r="D173" s="106"/>
      <c r="E173" s="106"/>
      <c r="F173" s="106" t="s">
        <v>173</v>
      </c>
      <c r="G173" s="110"/>
      <c r="H173" s="106" t="s">
        <v>173</v>
      </c>
      <c r="I173" s="106"/>
      <c r="J173" s="106"/>
      <c r="K173" s="106"/>
      <c r="L173" s="106"/>
      <c r="M173" s="109"/>
      <c r="N173" s="109"/>
      <c r="O173" s="109"/>
      <c r="P173" s="109"/>
      <c r="Q173" s="109"/>
      <c r="R173" s="109"/>
      <c r="S173" s="109"/>
      <c r="T173" s="109"/>
      <c r="U173" s="109"/>
      <c r="V173" s="109"/>
      <c r="W173" s="109"/>
      <c r="X173" s="109"/>
      <c r="Y173" s="109"/>
      <c r="Z173" s="109"/>
    </row>
    <row r="174" spans="1:26" ht="13.5" customHeight="1" thickBot="1">
      <c r="A174" s="106"/>
      <c r="B174" s="106"/>
      <c r="C174" s="106"/>
      <c r="D174" s="153" t="str">
        <f>'CHICLETS MASTER S1'!$AE$27</f>
        <v>OCEAN VIEW HS 1</v>
      </c>
      <c r="E174" s="109"/>
      <c r="F174" s="106"/>
      <c r="G174" s="110"/>
      <c r="H174" s="106"/>
      <c r="I174" s="106"/>
      <c r="J174" s="109"/>
      <c r="K174" s="109"/>
      <c r="L174" s="109"/>
      <c r="M174" s="109"/>
      <c r="N174" s="109"/>
      <c r="O174" s="109"/>
      <c r="P174" s="109"/>
      <c r="Q174" s="109"/>
      <c r="R174" s="109"/>
      <c r="S174" s="109"/>
      <c r="T174" s="109"/>
      <c r="U174" s="109"/>
      <c r="V174" s="109"/>
      <c r="W174" s="109"/>
      <c r="X174" s="109"/>
      <c r="Y174" s="109"/>
      <c r="Z174" s="109"/>
    </row>
    <row r="175" spans="1:26" ht="13.5" customHeight="1">
      <c r="A175" s="151" t="s">
        <v>110</v>
      </c>
      <c r="B175" s="154" t="s">
        <v>111</v>
      </c>
      <c r="C175" s="154" t="s">
        <v>112</v>
      </c>
      <c r="D175" s="154" t="s">
        <v>113</v>
      </c>
      <c r="E175" s="154" t="s">
        <v>114</v>
      </c>
      <c r="F175" s="154" t="s">
        <v>115</v>
      </c>
      <c r="G175" s="154" t="s">
        <v>116</v>
      </c>
      <c r="H175" s="154" t="s">
        <v>117</v>
      </c>
      <c r="I175" s="154" t="s">
        <v>116</v>
      </c>
      <c r="J175" s="154" t="s">
        <v>118</v>
      </c>
      <c r="K175" s="154" t="s">
        <v>119</v>
      </c>
      <c r="L175" s="154" t="s">
        <v>120</v>
      </c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109"/>
      <c r="Y175" s="109"/>
      <c r="Z175" s="109"/>
    </row>
    <row r="176" spans="1:26" ht="13.5" customHeight="1">
      <c r="A176" s="155">
        <f t="shared" ref="A176:A187" si="60">$A$94</f>
        <v>46222</v>
      </c>
      <c r="B176" s="156">
        <f>'CHICLETS MASTER S1'!Z28</f>
        <v>0.29166666666666669</v>
      </c>
      <c r="C176" s="122" t="s">
        <v>163</v>
      </c>
      <c r="D176" s="122" t="str">
        <f t="shared" ref="D176:D187" si="61">$D$174</f>
        <v>OCEAN VIEW HS 1</v>
      </c>
      <c r="E176" s="122">
        <v>64</v>
      </c>
      <c r="F176" s="134" t="str">
        <f>IF(G63 = "", "au_U1", IF(G63 &lt; I63, _xlfn.CONCAT("au_U1-", RIGHT(F63, LEN(F63) - FIND("-", F63))), _xlfn.CONCAT("au_U1-", RIGHT(H63, LEN(H63) - FIND("-", H63)))))</f>
        <v>au_U1</v>
      </c>
      <c r="G176" s="134"/>
      <c r="H176" s="134" t="str">
        <f>IF(G67 = "", "au_U2", IF(G67 &lt; I67, _xlfn.CONCAT("au_U2-", RIGHT(F67, LEN(F67) - FIND("-", F67))), _xlfn.CONCAT("au_U2-", RIGHT(H67, LEN(H67) - FIND("-", H67)))))</f>
        <v>au_U2</v>
      </c>
      <c r="I176" s="134"/>
      <c r="J176" s="134"/>
      <c r="K176" s="134"/>
      <c r="L176" s="134" t="str">
        <f t="shared" ref="L176:L187" si="62">IF(E176="","",$L$15&amp;"-"&amp;TEXT(E176,"000"))</f>
        <v>14G-064</v>
      </c>
      <c r="M176" s="109"/>
      <c r="N176" s="109" t="str">
        <f t="shared" ref="N176:N187" si="63">$L$256&amp;C176</f>
        <v>au_Group</v>
      </c>
      <c r="O176" s="109"/>
      <c r="P176" s="109"/>
      <c r="Q176" s="109"/>
      <c r="R176" s="109"/>
      <c r="S176" s="109"/>
      <c r="T176" s="109"/>
      <c r="U176" s="109"/>
      <c r="V176" s="109"/>
      <c r="W176" s="109"/>
      <c r="X176" s="109"/>
      <c r="Y176" s="109"/>
      <c r="Z176" s="109"/>
    </row>
    <row r="177" spans="1:26" ht="13.5" customHeight="1">
      <c r="A177" s="155">
        <f t="shared" si="60"/>
        <v>46222</v>
      </c>
      <c r="B177" s="156">
        <f>'CHICLETS MASTER S1'!Z29</f>
        <v>0.3263888888888889</v>
      </c>
      <c r="C177" s="122" t="s">
        <v>163</v>
      </c>
      <c r="D177" s="122" t="str">
        <f t="shared" si="61"/>
        <v>OCEAN VIEW HS 1</v>
      </c>
      <c r="E177" s="122">
        <v>68</v>
      </c>
      <c r="F177" s="134" t="str">
        <f>IF(G82 = "", "au_T1", IF(G82 &lt; I82, _xlfn.CONCAT("au_T1-", RIGHT(F82, LEN(F82) - FIND("-", F82))), _xlfn.CONCAT("au_T1-", RIGHT(H82, LEN(H82) - FIND("-", H82)))))</f>
        <v>au_T1</v>
      </c>
      <c r="G177" s="134"/>
      <c r="H177" s="134" t="str">
        <f>IF(G65 = "", "au_T2", IF(G65 &lt; I65, _xlfn.CONCAT("au_T2-", RIGHT(F65, LEN(F65) - FIND("-", F65))), _xlfn.CONCAT("au_T2-", RIGHT(H65, LEN(H65) - FIND("-", H65)))))</f>
        <v>au_T2</v>
      </c>
      <c r="I177" s="134"/>
      <c r="J177" s="134"/>
      <c r="K177" s="134"/>
      <c r="L177" s="134" t="str">
        <f t="shared" si="62"/>
        <v>14G-068</v>
      </c>
      <c r="M177" s="109"/>
      <c r="N177" s="109" t="str">
        <f t="shared" si="63"/>
        <v>au_Group</v>
      </c>
      <c r="O177" s="109"/>
      <c r="P177" s="109"/>
      <c r="Q177" s="109"/>
      <c r="R177" s="109"/>
      <c r="S177" s="109"/>
      <c r="T177" s="109"/>
      <c r="U177" s="109"/>
      <c r="V177" s="109"/>
      <c r="W177" s="109"/>
      <c r="X177" s="109"/>
      <c r="Y177" s="109"/>
      <c r="Z177" s="109"/>
    </row>
    <row r="178" spans="1:26" ht="13.5" customHeight="1">
      <c r="A178" s="155">
        <f t="shared" si="60"/>
        <v>46222</v>
      </c>
      <c r="B178" s="156">
        <f>'CHICLETS MASTER S1'!Z30</f>
        <v>0.36111111111111099</v>
      </c>
      <c r="C178" s="122" t="s">
        <v>163</v>
      </c>
      <c r="D178" s="122" t="str">
        <f t="shared" si="61"/>
        <v>OCEAN VIEW HS 1</v>
      </c>
      <c r="E178" s="122">
        <v>72</v>
      </c>
      <c r="F178" s="134" t="str">
        <f>IF(G52 = "", "au_O2", IF(G52 &lt; I52, _xlfn.CONCAT("au_O2-", RIGHT(F52, LEN(F52) - FIND("-", F52))), _xlfn.CONCAT("au_O2-", RIGHT(H52, LEN(H52) - FIND("-", H52)))))</f>
        <v>au_O2</v>
      </c>
      <c r="G178" s="134"/>
      <c r="H178" s="134" t="str">
        <f>IF(G89 = "", "au_O3", IF(G89 &lt; I89, _xlfn.CONCAT("au_O3-", RIGHT(F89, LEN(F89) - FIND("-", F89))), _xlfn.CONCAT("au_O3-", RIGHT(H89, LEN(H89) - FIND("-", H89)))))</f>
        <v>au_O3</v>
      </c>
      <c r="I178" s="134"/>
      <c r="J178" s="134"/>
      <c r="K178" s="134"/>
      <c r="L178" s="134" t="str">
        <f t="shared" si="62"/>
        <v>14G-072</v>
      </c>
      <c r="M178" s="109"/>
      <c r="N178" s="109" t="str">
        <f t="shared" si="63"/>
        <v>au_Group</v>
      </c>
      <c r="O178" s="109"/>
      <c r="P178" s="109"/>
      <c r="Q178" s="109"/>
      <c r="R178" s="109"/>
      <c r="S178" s="109"/>
      <c r="T178" s="109"/>
      <c r="U178" s="109"/>
      <c r="V178" s="109"/>
      <c r="W178" s="109"/>
      <c r="X178" s="109"/>
      <c r="Y178" s="109"/>
      <c r="Z178" s="109"/>
    </row>
    <row r="179" spans="1:26" ht="13.5" customHeight="1">
      <c r="A179" s="155">
        <f t="shared" si="60"/>
        <v>46222</v>
      </c>
      <c r="B179" s="156">
        <f>'CHICLETS MASTER S1'!Z31</f>
        <v>0.39583333333333398</v>
      </c>
      <c r="C179" s="122" t="s">
        <v>163</v>
      </c>
      <c r="D179" s="122" t="str">
        <f t="shared" si="61"/>
        <v>OCEAN VIEW HS 1</v>
      </c>
      <c r="E179" s="122">
        <v>76</v>
      </c>
      <c r="F179" s="134" t="str">
        <f>IF(G51 = "", "au_P2", IF(G51 &lt; I51, _xlfn.CONCAT("au_P2-", RIGHT(F51, LEN(F51) - FIND("-", F51))), _xlfn.CONCAT("au_P2-", RIGHT(H51, LEN(H51) - FIND("-", H51)))))</f>
        <v>au_P2</v>
      </c>
      <c r="G179" s="134"/>
      <c r="H179" s="134" t="str">
        <f>IF(G90 = "", "au_P3", IF(G90 &lt; I90, _xlfn.CONCAT("au_P3-", RIGHT(F90, LEN(F90) - FIND("-", F90))), _xlfn.CONCAT("au_P3-", RIGHT(H90, LEN(H90) - FIND("-", H90)))))</f>
        <v>au_P3</v>
      </c>
      <c r="I179" s="134"/>
      <c r="J179" s="134"/>
      <c r="K179" s="134"/>
      <c r="L179" s="134" t="str">
        <f t="shared" si="62"/>
        <v>14G-076</v>
      </c>
      <c r="M179" s="109"/>
      <c r="N179" s="109" t="str">
        <f t="shared" si="63"/>
        <v>au_Group</v>
      </c>
      <c r="O179" s="109"/>
      <c r="P179" s="109"/>
      <c r="Q179" s="109"/>
      <c r="R179" s="109"/>
      <c r="S179" s="109"/>
      <c r="T179" s="109"/>
      <c r="U179" s="109"/>
      <c r="V179" s="109"/>
      <c r="W179" s="109"/>
      <c r="X179" s="109"/>
      <c r="Y179" s="109"/>
      <c r="Z179" s="109"/>
    </row>
    <row r="180" spans="1:26" ht="13.5" customHeight="1">
      <c r="A180" s="155">
        <f t="shared" si="60"/>
        <v>46222</v>
      </c>
      <c r="B180" s="156">
        <f>'CHICLETS MASTER S1'!Z32</f>
        <v>0.43055555555555602</v>
      </c>
      <c r="C180" s="122" t="s">
        <v>163</v>
      </c>
      <c r="D180" s="122" t="str">
        <f t="shared" si="61"/>
        <v>OCEAN VIEW HS 1</v>
      </c>
      <c r="E180" s="122">
        <v>80</v>
      </c>
      <c r="F180" s="134" t="str">
        <f>IF(G63 = "", "au_U1", IF(G63 &lt; I63, _xlfn.CONCAT("au_U1-", RIGHT(F63, LEN(F63) - FIND("-", F63))), _xlfn.CONCAT("au_U1-", RIGHT(H63, LEN(H63) - FIND("-", H63)))))</f>
        <v>au_U1</v>
      </c>
      <c r="G180" s="134"/>
      <c r="H180" s="134" t="str">
        <f>IF(G27 = "", "au_U3", IF(G27 &lt; I27, _xlfn.CONCAT("au_U3-", RIGHT(F27, LEN(F27) - FIND("-", F27))), _xlfn.CONCAT("au_U3-", RIGHT(H27, LEN(H27) - FIND("-", H27)))))</f>
        <v>au_U3</v>
      </c>
      <c r="I180" s="134"/>
      <c r="J180" s="134"/>
      <c r="K180" s="134"/>
      <c r="L180" s="134" t="str">
        <f t="shared" si="62"/>
        <v>14G-080</v>
      </c>
      <c r="M180" s="109"/>
      <c r="N180" s="109" t="str">
        <f t="shared" si="63"/>
        <v>au_Group</v>
      </c>
      <c r="O180" s="109"/>
      <c r="P180" s="109"/>
      <c r="Q180" s="109"/>
      <c r="R180" s="109"/>
      <c r="S180" s="109"/>
      <c r="T180" s="109"/>
      <c r="U180" s="109"/>
      <c r="V180" s="109"/>
      <c r="W180" s="109"/>
      <c r="X180" s="109"/>
      <c r="Y180" s="109"/>
      <c r="Z180" s="109"/>
    </row>
    <row r="181" spans="1:26" ht="13.5" customHeight="1">
      <c r="A181" s="155">
        <f t="shared" si="60"/>
        <v>46222</v>
      </c>
      <c r="B181" s="156">
        <f>'CHICLETS MASTER S1'!Z33</f>
        <v>0.46527777777777801</v>
      </c>
      <c r="C181" s="122" t="s">
        <v>163</v>
      </c>
      <c r="D181" s="122" t="str">
        <f t="shared" si="61"/>
        <v>OCEAN VIEW HS 1</v>
      </c>
      <c r="E181" s="122">
        <v>84</v>
      </c>
      <c r="F181" s="134" t="str">
        <f>IF(G82 = "", "au_T1", IF(G82 &lt; I82, _xlfn.CONCAT("au_T1-", RIGHT(F82, LEN(F82) - FIND("-", F82))), _xlfn.CONCAT("au_T1-", RIGHT(H82, LEN(H82) - FIND("-", H82)))))</f>
        <v>au_T1</v>
      </c>
      <c r="G181" s="134"/>
      <c r="H181" s="134" t="str">
        <f>IF(G29 = "", "au_T3", IF(G29 &lt; I29, _xlfn.CONCAT("au_T3-", RIGHT(F29, LEN(F29) - FIND("-", F29))), _xlfn.CONCAT("au_T3-", RIGHT(H29, LEN(H29) - FIND("-", H29)))))</f>
        <v>au_T3</v>
      </c>
      <c r="I181" s="134"/>
      <c r="J181" s="134"/>
      <c r="K181" s="134"/>
      <c r="L181" s="134" t="str">
        <f t="shared" si="62"/>
        <v>14G-084</v>
      </c>
      <c r="M181" s="109"/>
      <c r="N181" s="109" t="str">
        <f t="shared" si="63"/>
        <v>au_Group</v>
      </c>
      <c r="O181" s="109"/>
      <c r="P181" s="109"/>
      <c r="Q181" s="109"/>
      <c r="R181" s="109"/>
      <c r="S181" s="109"/>
      <c r="T181" s="109"/>
      <c r="U181" s="109"/>
      <c r="V181" s="109"/>
      <c r="W181" s="109"/>
      <c r="X181" s="109"/>
      <c r="Y181" s="109"/>
      <c r="Z181" s="109"/>
    </row>
    <row r="182" spans="1:26" ht="13.5" customHeight="1">
      <c r="A182" s="155">
        <f t="shared" si="60"/>
        <v>46222</v>
      </c>
      <c r="B182" s="156">
        <f>'CHICLETS MASTER S1'!Z34</f>
        <v>0.5</v>
      </c>
      <c r="C182" s="122" t="s">
        <v>163</v>
      </c>
      <c r="D182" s="122" t="str">
        <f t="shared" si="61"/>
        <v>OCEAN VIEW HS 1</v>
      </c>
      <c r="E182" s="122">
        <v>88</v>
      </c>
      <c r="F182" s="134" t="str">
        <f>IF(G31 = "", "au_O1", IF(G31 &lt; I31, _xlfn.CONCAT("au_O1-", RIGHT(F31, LEN(F31) - FIND("-", F31))), _xlfn.CONCAT("au_O1-", RIGHT(H31, LEN(H31) - FIND("-", H31)))))</f>
        <v>au_O1</v>
      </c>
      <c r="G182" s="134"/>
      <c r="H182" s="134" t="str">
        <f>IF(G89 = "", "au_O3", IF(G89 &lt; I89, _xlfn.CONCAT("au_O3-", RIGHT(F89, LEN(F89) - FIND("-", F89))), _xlfn.CONCAT("au_O3-", RIGHT(H89, LEN(H89) - FIND("-", H89)))))</f>
        <v>au_O3</v>
      </c>
      <c r="I182" s="134"/>
      <c r="J182" s="134"/>
      <c r="K182" s="134"/>
      <c r="L182" s="134" t="str">
        <f t="shared" si="62"/>
        <v>14G-088</v>
      </c>
      <c r="M182" s="109"/>
      <c r="N182" s="109" t="str">
        <f t="shared" si="63"/>
        <v>au_Group</v>
      </c>
      <c r="O182" s="109"/>
      <c r="P182" s="109"/>
      <c r="Q182" s="109"/>
      <c r="R182" s="109"/>
      <c r="S182" s="109"/>
      <c r="T182" s="109"/>
      <c r="U182" s="109"/>
      <c r="V182" s="109"/>
      <c r="W182" s="109"/>
      <c r="X182" s="109"/>
      <c r="Y182" s="109"/>
      <c r="Z182" s="109"/>
    </row>
    <row r="183" spans="1:26" ht="13.5" customHeight="1">
      <c r="A183" s="155">
        <f t="shared" si="60"/>
        <v>46222</v>
      </c>
      <c r="B183" s="156">
        <f>'CHICLETS MASTER S1'!Z35</f>
        <v>0.53472222222222199</v>
      </c>
      <c r="C183" s="122" t="s">
        <v>163</v>
      </c>
      <c r="D183" s="122" t="str">
        <f t="shared" si="61"/>
        <v>OCEAN VIEW HS 1</v>
      </c>
      <c r="E183" s="122">
        <v>92</v>
      </c>
      <c r="F183" s="134" t="str">
        <f>IF(G50 = "", "au_P1", IF(G50 &lt; I50, _xlfn.CONCAT("au_P1-", RIGHT(F50, LEN(F50) - FIND("-", F50))), _xlfn.CONCAT("au_P1-", RIGHT(H50, LEN(H50) - FIND("-", H50)))))</f>
        <v>au_P1</v>
      </c>
      <c r="G183" s="134"/>
      <c r="H183" s="134" t="str">
        <f>IF(G90 = "", "au_P3", IF(G90 &lt; I90, _xlfn.CONCAT("au_P3-", RIGHT(F90, LEN(F90) - FIND("-", F90))), _xlfn.CONCAT("au_P3-", RIGHT(H90, LEN(H90) - FIND("-", H90)))))</f>
        <v>au_P3</v>
      </c>
      <c r="I183" s="134"/>
      <c r="J183" s="134"/>
      <c r="K183" s="134"/>
      <c r="L183" s="134" t="str">
        <f t="shared" si="62"/>
        <v>14G-092</v>
      </c>
      <c r="M183" s="109"/>
      <c r="N183" s="109" t="str">
        <f t="shared" si="63"/>
        <v>au_Group</v>
      </c>
      <c r="O183" s="109"/>
      <c r="P183" s="109"/>
      <c r="Q183" s="109"/>
      <c r="R183" s="109"/>
      <c r="S183" s="109"/>
      <c r="T183" s="109"/>
      <c r="U183" s="109"/>
      <c r="V183" s="109"/>
      <c r="W183" s="109"/>
      <c r="X183" s="109"/>
      <c r="Y183" s="109"/>
      <c r="Z183" s="109"/>
    </row>
    <row r="184" spans="1:26" ht="13.5" customHeight="1">
      <c r="A184" s="155">
        <f t="shared" si="60"/>
        <v>46222</v>
      </c>
      <c r="B184" s="156">
        <f>'CHICLETS MASTER S1'!Z36</f>
        <v>0.56944444444444497</v>
      </c>
      <c r="C184" s="122" t="s">
        <v>163</v>
      </c>
      <c r="D184" s="122" t="str">
        <f t="shared" si="61"/>
        <v>OCEAN VIEW HS 1</v>
      </c>
      <c r="E184" s="122">
        <v>96</v>
      </c>
      <c r="F184" s="134" t="str">
        <f>IF(G67 = "", "au_U2", IF(G67 &lt; I67, _xlfn.CONCAT("au_U2-", RIGHT(F67, LEN(F67) - FIND("-", F67))), _xlfn.CONCAT("au_U2-", RIGHT(H67, LEN(H67) - FIND("-", H67)))))</f>
        <v>au_U2</v>
      </c>
      <c r="G184" s="134"/>
      <c r="H184" s="134" t="str">
        <f>IF(G27 = "", "au_U3", IF(G27 &lt; I27, _xlfn.CONCAT("au_U3-", RIGHT(F27, LEN(F27) - FIND("-", F27))), _xlfn.CONCAT("au_U3-", RIGHT(H27, LEN(H27) - FIND("-", H27)))))</f>
        <v>au_U3</v>
      </c>
      <c r="I184" s="134"/>
      <c r="J184" s="134"/>
      <c r="K184" s="134"/>
      <c r="L184" s="134" t="str">
        <f t="shared" si="62"/>
        <v>14G-096</v>
      </c>
      <c r="M184" s="109"/>
      <c r="N184" s="109" t="str">
        <f t="shared" si="63"/>
        <v>au_Group</v>
      </c>
      <c r="O184" s="109"/>
      <c r="P184" s="109"/>
      <c r="Q184" s="109"/>
      <c r="R184" s="109"/>
      <c r="S184" s="109"/>
      <c r="T184" s="109"/>
      <c r="U184" s="109"/>
      <c r="V184" s="109"/>
      <c r="W184" s="109"/>
      <c r="X184" s="109"/>
      <c r="Y184" s="109"/>
      <c r="Z184" s="109"/>
    </row>
    <row r="185" spans="1:26" ht="13.5" customHeight="1">
      <c r="A185" s="155">
        <f t="shared" si="60"/>
        <v>46222</v>
      </c>
      <c r="B185" s="156">
        <f>'CHICLETS MASTER S1'!Z37</f>
        <v>0.60416666666666696</v>
      </c>
      <c r="C185" s="122" t="s">
        <v>163</v>
      </c>
      <c r="D185" s="122" t="str">
        <f t="shared" si="61"/>
        <v>OCEAN VIEW HS 1</v>
      </c>
      <c r="E185" s="122">
        <v>100</v>
      </c>
      <c r="F185" s="134" t="str">
        <f>IF(G65 = "", "au_T2", IF(G65 &lt; I65, _xlfn.CONCAT("au_T2-", RIGHT(F65, LEN(F65) - FIND("-", F65))), _xlfn.CONCAT("au_T2-", RIGHT(H65, LEN(H65) - FIND("-", H65)))))</f>
        <v>au_T2</v>
      </c>
      <c r="G185" s="134"/>
      <c r="H185" s="134" t="str">
        <f>IF(G29 = "", "au_T3", IF(G29 &lt; I29, _xlfn.CONCAT("au_T3-", RIGHT(F29, LEN(F29) - FIND("-", F29))), _xlfn.CONCAT("au_T3-", RIGHT(H29, LEN(H29) - FIND("-", H29)))))</f>
        <v>au_T3</v>
      </c>
      <c r="I185" s="134"/>
      <c r="J185" s="134"/>
      <c r="K185" s="134"/>
      <c r="L185" s="134" t="str">
        <f t="shared" si="62"/>
        <v>14G-100</v>
      </c>
      <c r="M185" s="109"/>
      <c r="N185" s="109" t="str">
        <f t="shared" si="63"/>
        <v>au_Group</v>
      </c>
      <c r="O185" s="109"/>
      <c r="P185" s="109"/>
      <c r="Q185" s="109"/>
      <c r="R185" s="109"/>
      <c r="S185" s="109"/>
      <c r="T185" s="109"/>
      <c r="U185" s="109"/>
      <c r="V185" s="109"/>
      <c r="W185" s="109"/>
      <c r="X185" s="109"/>
      <c r="Y185" s="109"/>
      <c r="Z185" s="109"/>
    </row>
    <row r="186" spans="1:26" ht="13.5" customHeight="1">
      <c r="A186" s="155">
        <f t="shared" si="60"/>
        <v>46222</v>
      </c>
      <c r="B186" s="156">
        <f>'CHICLETS MASTER S1'!Z38</f>
        <v>0.63888888888888895</v>
      </c>
      <c r="C186" s="122" t="s">
        <v>163</v>
      </c>
      <c r="D186" s="122" t="str">
        <f t="shared" si="61"/>
        <v>OCEAN VIEW HS 1</v>
      </c>
      <c r="E186" s="122">
        <v>104</v>
      </c>
      <c r="F186" s="134" t="str">
        <f>IF(G31 = "", "au_O1", IF(G31 &lt; I31, _xlfn.CONCAT("au_O1-", RIGHT(F31, LEN(F31) - FIND("-", F31))), _xlfn.CONCAT("au_O1-", RIGHT(H31, LEN(H31) - FIND("-", H31)))))</f>
        <v>au_O1</v>
      </c>
      <c r="G186" s="134"/>
      <c r="H186" s="134" t="str">
        <f>IF(G52 = "", "au_O2", IF(G52 &lt; I52, _xlfn.CONCAT("au_O2-", RIGHT(F52, LEN(F52) - FIND("-", F52))), _xlfn.CONCAT("au_O2-", RIGHT(H52, LEN(H52) - FIND("-", H52)))))</f>
        <v>au_O2</v>
      </c>
      <c r="I186" s="134"/>
      <c r="J186" s="134"/>
      <c r="K186" s="134"/>
      <c r="L186" s="134" t="str">
        <f t="shared" si="62"/>
        <v>14G-104</v>
      </c>
      <c r="M186" s="109"/>
      <c r="N186" s="109" t="str">
        <f t="shared" si="63"/>
        <v>au_Group</v>
      </c>
      <c r="O186" s="109"/>
      <c r="P186" s="109"/>
      <c r="Q186" s="109"/>
      <c r="R186" s="109"/>
      <c r="S186" s="109"/>
      <c r="T186" s="109"/>
      <c r="U186" s="109"/>
      <c r="V186" s="109"/>
      <c r="W186" s="109"/>
      <c r="X186" s="109"/>
      <c r="Y186" s="109"/>
      <c r="Z186" s="109"/>
    </row>
    <row r="187" spans="1:26" ht="13.5" customHeight="1">
      <c r="A187" s="155">
        <f t="shared" si="60"/>
        <v>46222</v>
      </c>
      <c r="B187" s="156">
        <f>'CHICLETS MASTER S1'!Z39</f>
        <v>0.67361111111111105</v>
      </c>
      <c r="C187" s="122" t="s">
        <v>163</v>
      </c>
      <c r="D187" s="122" t="str">
        <f t="shared" si="61"/>
        <v>OCEAN VIEW HS 1</v>
      </c>
      <c r="E187" s="122">
        <v>108</v>
      </c>
      <c r="F187" s="134" t="str">
        <f>IF(G50 = "", "au_P1", IF(G50 &lt; I50, _xlfn.CONCAT("au_P1-", RIGHT(F50, LEN(F50) - FIND("-", F50))), _xlfn.CONCAT("au_P1-", RIGHT(H50, LEN(H50) - FIND("-", H50)))))</f>
        <v>au_P1</v>
      </c>
      <c r="G187" s="134"/>
      <c r="H187" s="134" t="str">
        <f>IF(G51 = "", "au_P2", IF(G51 &lt; I51, _xlfn.CONCAT("au_P2-", RIGHT(F51, LEN(F51) - FIND("-", F51))), _xlfn.CONCAT("au_P2-", RIGHT(H51, LEN(H51) - FIND("-", H51)))))</f>
        <v>au_P2</v>
      </c>
      <c r="I187" s="134"/>
      <c r="J187" s="134"/>
      <c r="K187" s="134"/>
      <c r="L187" s="134" t="str">
        <f t="shared" si="62"/>
        <v>14G-108</v>
      </c>
      <c r="M187" s="109"/>
      <c r="N187" s="109" t="str">
        <f t="shared" si="63"/>
        <v>au_Group</v>
      </c>
      <c r="O187" s="109"/>
      <c r="P187" s="109"/>
      <c r="Q187" s="109"/>
      <c r="R187" s="109"/>
      <c r="S187" s="109"/>
      <c r="T187" s="109"/>
      <c r="U187" s="109"/>
      <c r="V187" s="109"/>
      <c r="W187" s="109"/>
      <c r="X187" s="109"/>
      <c r="Y187" s="109"/>
      <c r="Z187" s="109"/>
    </row>
    <row r="188" spans="1:26" ht="13.5" customHeight="1">
      <c r="A188" s="158"/>
      <c r="B188" s="106" t="s">
        <v>204</v>
      </c>
      <c r="C188" s="106"/>
      <c r="D188" s="106"/>
      <c r="E188" s="106"/>
      <c r="F188" s="106"/>
      <c r="G188" s="110"/>
      <c r="H188" s="106"/>
      <c r="I188" s="106"/>
      <c r="J188" s="106"/>
      <c r="K188" s="106"/>
      <c r="L188" s="106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</row>
    <row r="189" spans="1:26" ht="13.5" customHeight="1">
      <c r="A189" s="158"/>
      <c r="B189" s="106" t="s">
        <v>204</v>
      </c>
      <c r="C189" s="106"/>
      <c r="D189" s="106"/>
      <c r="E189" s="106"/>
      <c r="F189" s="106"/>
      <c r="G189" s="110"/>
      <c r="H189" s="106"/>
      <c r="I189" s="106"/>
      <c r="J189" s="106"/>
      <c r="K189" s="106"/>
      <c r="L189" s="106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  <c r="Y189" s="109"/>
      <c r="Z189" s="109"/>
    </row>
    <row r="190" spans="1:26" ht="13.5" customHeight="1">
      <c r="A190" s="155">
        <f t="shared" ref="A190:A191" si="64">$A$94</f>
        <v>46222</v>
      </c>
      <c r="B190" s="156">
        <f>'CHICLETS MASTER S1'!Z42</f>
        <v>0.77777777777777801</v>
      </c>
      <c r="C190" s="122" t="s">
        <v>166</v>
      </c>
      <c r="D190" s="122" t="str">
        <f t="shared" ref="D190:D191" si="65">$D$174</f>
        <v>OCEAN VIEW HS 1</v>
      </c>
      <c r="E190" s="122">
        <v>112</v>
      </c>
      <c r="F190" s="134" t="s">
        <v>396</v>
      </c>
      <c r="G190" s="134"/>
      <c r="H190" s="134" t="s">
        <v>1222</v>
      </c>
      <c r="I190" s="134"/>
      <c r="J190" s="134">
        <v>119</v>
      </c>
      <c r="K190" s="134">
        <v>140</v>
      </c>
      <c r="L190" s="134" t="str">
        <f t="shared" ref="L190:L191" si="66">IF(E190="","",$L$15&amp;"-"&amp;TEXT(E190,"000"))</f>
        <v>14G-112</v>
      </c>
      <c r="M190" s="109"/>
      <c r="N190" s="109" t="str">
        <f t="shared" ref="N190:N191" si="67">$L$256&amp;C190</f>
        <v>au_Play-in</v>
      </c>
      <c r="O190" s="109"/>
      <c r="P190" s="109"/>
      <c r="Q190" s="109"/>
      <c r="R190" s="109"/>
      <c r="S190" s="109"/>
      <c r="T190" s="109"/>
      <c r="U190" s="109"/>
      <c r="V190" s="109"/>
      <c r="W190" s="109"/>
      <c r="X190" s="109"/>
      <c r="Y190" s="109"/>
      <c r="Z190" s="109"/>
    </row>
    <row r="191" spans="1:26" ht="13.5" customHeight="1">
      <c r="A191" s="155">
        <f t="shared" si="64"/>
        <v>46222</v>
      </c>
      <c r="B191" s="156">
        <f>'CHICLETS MASTER S1'!Z43</f>
        <v>0.8125</v>
      </c>
      <c r="C191" s="122" t="s">
        <v>166</v>
      </c>
      <c r="D191" s="122" t="str">
        <f t="shared" si="65"/>
        <v>OCEAN VIEW HS 1</v>
      </c>
      <c r="E191" s="122">
        <v>116</v>
      </c>
      <c r="F191" s="134" t="s">
        <v>398</v>
      </c>
      <c r="G191" s="134"/>
      <c r="H191" s="134" t="s">
        <v>1294</v>
      </c>
      <c r="I191" s="134"/>
      <c r="J191" s="134">
        <v>127</v>
      </c>
      <c r="K191" s="134">
        <v>132</v>
      </c>
      <c r="L191" s="134" t="str">
        <f t="shared" si="66"/>
        <v>14G-116</v>
      </c>
      <c r="M191" s="109"/>
      <c r="N191" s="109" t="str">
        <f t="shared" si="67"/>
        <v>au_Play-in</v>
      </c>
      <c r="O191" s="109"/>
      <c r="P191" s="109"/>
      <c r="Q191" s="109"/>
      <c r="R191" s="109"/>
      <c r="S191" s="109"/>
      <c r="T191" s="109"/>
      <c r="U191" s="109"/>
      <c r="V191" s="109"/>
      <c r="W191" s="109"/>
      <c r="X191" s="109"/>
      <c r="Y191" s="109"/>
      <c r="Z191" s="109"/>
    </row>
    <row r="192" spans="1:26" ht="13.5" customHeight="1" thickBot="1">
      <c r="A192" s="109"/>
      <c r="B192" s="109"/>
      <c r="C192" s="109"/>
      <c r="D192" s="109"/>
      <c r="E192" s="109"/>
      <c r="F192" s="109" t="s">
        <v>173</v>
      </c>
      <c r="G192" s="161" t="s">
        <v>173</v>
      </c>
      <c r="H192" s="109" t="s">
        <v>173</v>
      </c>
      <c r="I192" s="109"/>
      <c r="J192" s="109"/>
      <c r="K192" s="109"/>
      <c r="L192" s="109"/>
      <c r="M192" s="109"/>
      <c r="N192" s="109"/>
      <c r="O192" s="109"/>
      <c r="P192" s="109"/>
      <c r="Q192" s="109"/>
      <c r="R192" s="109"/>
      <c r="S192" s="109"/>
      <c r="T192" s="109"/>
      <c r="U192" s="109"/>
      <c r="V192" s="109"/>
      <c r="W192" s="109"/>
      <c r="X192" s="109"/>
      <c r="Y192" s="109"/>
      <c r="Z192" s="109"/>
    </row>
    <row r="193" spans="1:26" ht="13.5" customHeight="1" thickTop="1" thickBot="1">
      <c r="A193" s="153" t="s">
        <v>188</v>
      </c>
      <c r="B193" s="165"/>
      <c r="C193" s="165"/>
      <c r="D193" s="165"/>
      <c r="E193" s="165"/>
      <c r="F193" s="165"/>
      <c r="G193" s="166"/>
      <c r="H193" s="165"/>
      <c r="I193" s="165"/>
      <c r="J193" s="165"/>
      <c r="K193" s="165"/>
      <c r="L193" s="165"/>
      <c r="M193" s="109"/>
      <c r="N193" s="109"/>
      <c r="O193" s="109"/>
      <c r="P193" s="109"/>
      <c r="Q193" s="109"/>
      <c r="R193" s="109"/>
      <c r="S193" s="109"/>
      <c r="T193" s="109"/>
      <c r="U193" s="109"/>
      <c r="V193" s="109"/>
      <c r="W193" s="109"/>
      <c r="X193" s="109"/>
      <c r="Y193" s="109"/>
      <c r="Z193" s="109"/>
    </row>
    <row r="194" spans="1:26" ht="13.5" customHeight="1" thickBot="1">
      <c r="A194" s="108">
        <v>46223</v>
      </c>
      <c r="B194" s="109"/>
      <c r="C194" s="109"/>
      <c r="D194" s="109"/>
      <c r="E194" s="109"/>
      <c r="F194" s="109"/>
      <c r="G194" s="109"/>
      <c r="H194" s="109"/>
      <c r="I194" s="109"/>
      <c r="J194" s="109"/>
      <c r="K194" s="109"/>
      <c r="L194" s="109"/>
      <c r="M194" s="109"/>
      <c r="N194" s="109"/>
      <c r="O194" s="109"/>
      <c r="P194" s="109"/>
      <c r="Q194" s="109"/>
      <c r="R194" s="109"/>
      <c r="S194" s="109"/>
      <c r="T194" s="109"/>
      <c r="U194" s="109"/>
      <c r="V194" s="109"/>
      <c r="W194" s="109"/>
      <c r="X194" s="109"/>
      <c r="Y194" s="109"/>
      <c r="Z194" s="109"/>
    </row>
    <row r="195" spans="1:26" ht="13.5" customHeight="1" thickBot="1">
      <c r="A195" s="109"/>
      <c r="B195" s="109"/>
      <c r="C195" s="109"/>
      <c r="D195" s="153" t="str">
        <f>'CHICLETS MASTER S1'!$V$51</f>
        <v>UC IRVINE 1</v>
      </c>
      <c r="E195" s="109"/>
      <c r="F195" s="109"/>
      <c r="G195" s="109"/>
      <c r="H195" s="109"/>
      <c r="I195" s="109"/>
      <c r="J195" s="109"/>
      <c r="K195" s="109"/>
      <c r="L195" s="109"/>
      <c r="M195" s="109"/>
      <c r="N195" s="109"/>
      <c r="O195" s="109"/>
      <c r="P195" s="109"/>
      <c r="Q195" s="109"/>
      <c r="R195" s="109"/>
      <c r="S195" s="109"/>
      <c r="T195" s="109"/>
      <c r="U195" s="109"/>
      <c r="V195" s="109"/>
      <c r="W195" s="109"/>
      <c r="X195" s="109"/>
      <c r="Y195" s="109"/>
      <c r="Z195" s="109"/>
    </row>
    <row r="196" spans="1:26" ht="13.5" customHeight="1">
      <c r="A196" s="151" t="s">
        <v>110</v>
      </c>
      <c r="B196" s="154" t="s">
        <v>111</v>
      </c>
      <c r="C196" s="154" t="s">
        <v>112</v>
      </c>
      <c r="D196" s="154" t="s">
        <v>113</v>
      </c>
      <c r="E196" s="154" t="s">
        <v>114</v>
      </c>
      <c r="F196" s="154" t="s">
        <v>115</v>
      </c>
      <c r="G196" s="154" t="s">
        <v>116</v>
      </c>
      <c r="H196" s="154" t="s">
        <v>117</v>
      </c>
      <c r="I196" s="154" t="s">
        <v>116</v>
      </c>
      <c r="J196" s="154" t="s">
        <v>118</v>
      </c>
      <c r="K196" s="154" t="s">
        <v>119</v>
      </c>
      <c r="L196" s="154" t="s">
        <v>120</v>
      </c>
      <c r="M196" s="109"/>
      <c r="N196" s="109"/>
      <c r="O196" s="109"/>
      <c r="P196" s="109"/>
      <c r="Q196" s="109"/>
      <c r="R196" s="109"/>
      <c r="S196" s="109"/>
      <c r="T196" s="109"/>
      <c r="U196" s="109"/>
      <c r="V196" s="109"/>
      <c r="W196" s="109"/>
      <c r="X196" s="109"/>
      <c r="Y196" s="109"/>
      <c r="Z196" s="109"/>
    </row>
    <row r="197" spans="1:26" ht="13.5" customHeight="1">
      <c r="A197" s="155">
        <f t="shared" ref="A197:A208" si="68">$A$194</f>
        <v>46223</v>
      </c>
      <c r="B197" s="156">
        <f>'CHICLETS MASTER S1'!U53</f>
        <v>0.33333333333333331</v>
      </c>
      <c r="C197" s="122" t="s">
        <v>189</v>
      </c>
      <c r="D197" s="122" t="str">
        <f t="shared" ref="D197:D208" si="69">$D$195</f>
        <v>UC IRVINE 1</v>
      </c>
      <c r="E197" s="122">
        <v>117</v>
      </c>
      <c r="F197" s="169" t="s">
        <v>375</v>
      </c>
      <c r="G197" s="169"/>
      <c r="H197" s="169" t="str">
        <f>IF(G152 = "", "W110", IF(G152 &gt; I152, _xlfn.CONCAT("W110-", RIGHT(F152, LEN(F152) - FIND("-", F152))), _xlfn.CONCAT("W110-", RIGHT(H152, LEN(H152) - FIND("-", H152)))))</f>
        <v>W110</v>
      </c>
      <c r="I197" s="169"/>
      <c r="J197" s="169">
        <v>141</v>
      </c>
      <c r="K197" s="169">
        <v>149</v>
      </c>
      <c r="L197" s="169" t="str">
        <f t="shared" ref="L197:L208" si="70">IF(E197="","",$L$15&amp;"-"&amp;TEXT(E197,"000"))</f>
        <v>14G-117</v>
      </c>
      <c r="M197" s="109"/>
      <c r="N197" s="109" t="str">
        <f t="shared" ref="N197:N208" si="71">$K$256&amp;C197</f>
        <v>pt_5-8 v 9-12</v>
      </c>
      <c r="O197" s="109"/>
      <c r="P197" s="109"/>
      <c r="Q197" s="109"/>
      <c r="R197" s="109"/>
      <c r="S197" s="109"/>
      <c r="T197" s="109"/>
      <c r="U197" s="109"/>
      <c r="V197" s="109"/>
      <c r="W197" s="109"/>
      <c r="X197" s="109"/>
      <c r="Y197" s="109"/>
      <c r="Z197" s="109"/>
    </row>
    <row r="198" spans="1:26" ht="13.5" customHeight="1">
      <c r="A198" s="155">
        <f t="shared" si="68"/>
        <v>46223</v>
      </c>
      <c r="B198" s="156">
        <f>'CHICLETS MASTER S1'!U54</f>
        <v>0.375</v>
      </c>
      <c r="C198" s="122" t="s">
        <v>189</v>
      </c>
      <c r="D198" s="122" t="str">
        <f t="shared" si="69"/>
        <v>UC IRVINE 1</v>
      </c>
      <c r="E198" s="122">
        <v>121</v>
      </c>
      <c r="F198" s="169" t="s">
        <v>376</v>
      </c>
      <c r="G198" s="171"/>
      <c r="H198" s="169" t="str">
        <f>IF(G134 = "", "W113", IF(G134 &gt; I134, _xlfn.CONCAT("W113-", RIGHT(F134, LEN(F134) - FIND("-", F134))), _xlfn.CONCAT("W113-", RIGHT(H134, LEN(H134) - FIND("-", H134)))))</f>
        <v>W113</v>
      </c>
      <c r="I198" s="171"/>
      <c r="J198" s="169">
        <v>141</v>
      </c>
      <c r="K198" s="169">
        <v>149</v>
      </c>
      <c r="L198" s="169" t="str">
        <f t="shared" si="70"/>
        <v>14G-121</v>
      </c>
      <c r="M198" s="109"/>
      <c r="N198" s="109" t="str">
        <f t="shared" si="71"/>
        <v>pt_5-8 v 9-12</v>
      </c>
      <c r="O198" s="109"/>
      <c r="P198" s="109"/>
      <c r="Q198" s="109"/>
      <c r="R198" s="109"/>
      <c r="S198" s="109"/>
      <c r="T198" s="109"/>
      <c r="U198" s="109"/>
      <c r="V198" s="109"/>
      <c r="W198" s="109"/>
      <c r="X198" s="109"/>
      <c r="Y198" s="109"/>
      <c r="Z198" s="109"/>
    </row>
    <row r="199" spans="1:26" ht="13.5" customHeight="1">
      <c r="A199" s="155">
        <f t="shared" si="68"/>
        <v>46223</v>
      </c>
      <c r="B199" s="156">
        <f>'CHICLETS MASTER S1'!U55</f>
        <v>0.41666666666666702</v>
      </c>
      <c r="C199" s="122" t="s">
        <v>189</v>
      </c>
      <c r="D199" s="122" t="str">
        <f t="shared" si="69"/>
        <v>UC IRVINE 1</v>
      </c>
      <c r="E199" s="122">
        <v>125</v>
      </c>
      <c r="F199" s="169" t="s">
        <v>377</v>
      </c>
      <c r="G199" s="169"/>
      <c r="H199" s="169" t="str">
        <f>IF(G153 = "", "W114", IF(G153 &gt; I153, _xlfn.CONCAT("W114-", RIGHT(F153, LEN(F153) - FIND("-", F153))), _xlfn.CONCAT("W114-", RIGHT(H153, LEN(H153) - FIND("-", H153)))))</f>
        <v>W114</v>
      </c>
      <c r="I199" s="169"/>
      <c r="J199" s="169">
        <v>145</v>
      </c>
      <c r="K199" s="169">
        <v>153</v>
      </c>
      <c r="L199" s="169" t="str">
        <f t="shared" si="70"/>
        <v>14G-125</v>
      </c>
      <c r="M199" s="109"/>
      <c r="N199" s="109" t="str">
        <f t="shared" si="71"/>
        <v>pt_5-8 v 9-12</v>
      </c>
      <c r="O199" s="109"/>
      <c r="P199" s="109"/>
      <c r="Q199" s="109"/>
      <c r="R199" s="109"/>
      <c r="S199" s="109"/>
      <c r="T199" s="109"/>
      <c r="U199" s="109"/>
      <c r="V199" s="109"/>
      <c r="W199" s="109"/>
      <c r="X199" s="109"/>
      <c r="Y199" s="109"/>
      <c r="Z199" s="109"/>
    </row>
    <row r="200" spans="1:26" ht="13.5" customHeight="1">
      <c r="A200" s="155">
        <f t="shared" si="68"/>
        <v>46223</v>
      </c>
      <c r="B200" s="156">
        <f>'CHICLETS MASTER S1'!U56</f>
        <v>0.45833333333333298</v>
      </c>
      <c r="C200" s="122" t="s">
        <v>189</v>
      </c>
      <c r="D200" s="122" t="str">
        <f t="shared" si="69"/>
        <v>UC IRVINE 1</v>
      </c>
      <c r="E200" s="122">
        <v>129</v>
      </c>
      <c r="F200" s="169" t="s">
        <v>378</v>
      </c>
      <c r="G200" s="169"/>
      <c r="H200" s="169" t="str">
        <f>IF(G133 = "", "W109", IF(G133 &gt; I133, _xlfn.CONCAT("W109-", RIGHT(F133, LEN(F133) - FIND("-", F133))), _xlfn.CONCAT("W109-", RIGHT(H133, LEN(H133) - FIND("-", H133)))))</f>
        <v>W109</v>
      </c>
      <c r="I200" s="169"/>
      <c r="J200" s="169">
        <v>145</v>
      </c>
      <c r="K200" s="169">
        <v>153</v>
      </c>
      <c r="L200" s="169" t="str">
        <f t="shared" si="70"/>
        <v>14G-129</v>
      </c>
      <c r="M200" s="109"/>
      <c r="N200" s="109" t="str">
        <f t="shared" si="71"/>
        <v>pt_5-8 v 9-12</v>
      </c>
      <c r="O200" s="109"/>
      <c r="P200" s="109"/>
      <c r="Q200" s="109"/>
      <c r="R200" s="109"/>
      <c r="S200" s="109"/>
      <c r="T200" s="109"/>
      <c r="U200" s="109"/>
      <c r="V200" s="109"/>
      <c r="W200" s="109"/>
      <c r="X200" s="109"/>
      <c r="Y200" s="109"/>
      <c r="Z200" s="109"/>
    </row>
    <row r="201" spans="1:26" ht="13.5" customHeight="1">
      <c r="A201" s="155">
        <f t="shared" si="68"/>
        <v>46223</v>
      </c>
      <c r="B201" s="156">
        <f>'CHICLETS MASTER S1'!U57</f>
        <v>0.5</v>
      </c>
      <c r="C201" s="122" t="s">
        <v>194</v>
      </c>
      <c r="D201" s="122" t="str">
        <f t="shared" si="69"/>
        <v>UC IRVINE 1</v>
      </c>
      <c r="E201" s="122">
        <v>133</v>
      </c>
      <c r="F201" s="169" t="s">
        <v>379</v>
      </c>
      <c r="G201" s="169"/>
      <c r="H201" s="169" t="s">
        <v>380</v>
      </c>
      <c r="I201" s="169"/>
      <c r="J201" s="169">
        <v>174</v>
      </c>
      <c r="K201" s="169">
        <v>157</v>
      </c>
      <c r="L201" s="169" t="str">
        <f t="shared" si="70"/>
        <v>14G-133</v>
      </c>
      <c r="M201" s="109"/>
      <c r="N201" s="109" t="str">
        <f t="shared" si="71"/>
        <v>pt_1-2 v 3-4</v>
      </c>
      <c r="O201" s="109"/>
      <c r="P201" s="109"/>
      <c r="Q201" s="109"/>
      <c r="R201" s="109"/>
      <c r="S201" s="109"/>
      <c r="T201" s="109"/>
      <c r="U201" s="109"/>
      <c r="V201" s="109"/>
      <c r="W201" s="109"/>
      <c r="X201" s="109"/>
      <c r="Y201" s="109"/>
      <c r="Z201" s="109"/>
    </row>
    <row r="202" spans="1:26" ht="13.5" customHeight="1">
      <c r="A202" s="155">
        <f t="shared" si="68"/>
        <v>46223</v>
      </c>
      <c r="B202" s="156">
        <f>'CHICLETS MASTER S1'!U58</f>
        <v>0.54166666666666696</v>
      </c>
      <c r="C202" s="122" t="s">
        <v>194</v>
      </c>
      <c r="D202" s="122" t="str">
        <f t="shared" si="69"/>
        <v>UC IRVINE 1</v>
      </c>
      <c r="E202" s="122">
        <v>137</v>
      </c>
      <c r="F202" s="169" t="s">
        <v>381</v>
      </c>
      <c r="G202" s="169"/>
      <c r="H202" s="169" t="s">
        <v>382</v>
      </c>
      <c r="I202" s="169"/>
      <c r="J202" s="169">
        <v>173</v>
      </c>
      <c r="K202" s="169">
        <v>161</v>
      </c>
      <c r="L202" s="169" t="str">
        <f t="shared" si="70"/>
        <v>14G-137</v>
      </c>
      <c r="M202" s="109"/>
      <c r="N202" s="109" t="str">
        <f t="shared" si="71"/>
        <v>pt_1-2 v 3-4</v>
      </c>
      <c r="O202" s="109"/>
      <c r="P202" s="109"/>
      <c r="Q202" s="109"/>
      <c r="R202" s="109"/>
      <c r="S202" s="109"/>
      <c r="T202" s="109"/>
      <c r="U202" s="109"/>
      <c r="V202" s="109"/>
      <c r="W202" s="109"/>
      <c r="X202" s="109"/>
      <c r="Y202" s="109"/>
      <c r="Z202" s="109"/>
    </row>
    <row r="203" spans="1:26" ht="13.5" customHeight="1">
      <c r="A203" s="155">
        <f t="shared" si="68"/>
        <v>46223</v>
      </c>
      <c r="B203" s="156">
        <f>'CHICLETS MASTER S1'!U59</f>
        <v>0.58333333333333304</v>
      </c>
      <c r="C203" s="122" t="s">
        <v>199</v>
      </c>
      <c r="D203" s="122" t="str">
        <f t="shared" si="69"/>
        <v>UC IRVINE 1</v>
      </c>
      <c r="E203" s="122">
        <v>141</v>
      </c>
      <c r="F203" s="169" t="str">
        <f>IF(G197 = "", "W117", IF(G197 &gt; I197, _xlfn.CONCAT("W117-", RIGHT(F197, LEN(F197) - FIND("-", F197))), _xlfn.CONCAT("W117-", RIGHT(H197, LEN(H197) - FIND("-", H197)))))</f>
        <v>W117</v>
      </c>
      <c r="G203" s="169"/>
      <c r="H203" s="169" t="str">
        <f>IF(G198 = "", "W121", IF(G198 &gt; I198, _xlfn.CONCAT("W121-", RIGHT(F198, LEN(F198) - FIND("-", F198))), _xlfn.CONCAT("W121-", RIGHT(H198, LEN(H198) - FIND("-", H198)))))</f>
        <v>W121</v>
      </c>
      <c r="I203" s="169"/>
      <c r="J203" s="169">
        <v>157</v>
      </c>
      <c r="K203" s="169">
        <v>185</v>
      </c>
      <c r="L203" s="169" t="str">
        <f t="shared" si="70"/>
        <v>14G-141</v>
      </c>
      <c r="M203" s="109"/>
      <c r="N203" s="109" t="str">
        <f t="shared" si="71"/>
        <v>pt_5-6 v 7-8</v>
      </c>
      <c r="O203" s="109"/>
      <c r="P203" s="109"/>
      <c r="Q203" s="109"/>
      <c r="R203" s="109"/>
      <c r="S203" s="109"/>
      <c r="T203" s="109"/>
      <c r="U203" s="109"/>
      <c r="V203" s="109"/>
      <c r="W203" s="109"/>
      <c r="X203" s="109"/>
      <c r="Y203" s="109"/>
      <c r="Z203" s="109"/>
    </row>
    <row r="204" spans="1:26" ht="13.5" customHeight="1">
      <c r="A204" s="155">
        <f t="shared" si="68"/>
        <v>46223</v>
      </c>
      <c r="B204" s="156">
        <f>'CHICLETS MASTER S1'!U60</f>
        <v>0.625</v>
      </c>
      <c r="C204" s="122" t="s">
        <v>199</v>
      </c>
      <c r="D204" s="122" t="str">
        <f t="shared" si="69"/>
        <v>UC IRVINE 1</v>
      </c>
      <c r="E204" s="122">
        <v>145</v>
      </c>
      <c r="F204" s="169" t="str">
        <f>IF(G199 = "", "W125", IF(G199 &gt; I199, _xlfn.CONCAT("W125-", RIGHT(F199, LEN(F199) - FIND("-", F199))), _xlfn.CONCAT("W125-", RIGHT(H199, LEN(H199) - FIND("-", H199)))))</f>
        <v>W125</v>
      </c>
      <c r="G204" s="169"/>
      <c r="H204" s="169" t="str">
        <f>IF(G200 = "", "W129", IF(G200 &gt; I200, _xlfn.CONCAT("W129-", RIGHT(F200, LEN(F200) - FIND("-", F200))), _xlfn.CONCAT("W129-", RIGHT(H200, LEN(H200) - FIND("-", H200)))))</f>
        <v>W129</v>
      </c>
      <c r="I204" s="171"/>
      <c r="J204" s="169">
        <v>161</v>
      </c>
      <c r="K204" s="169">
        <v>185</v>
      </c>
      <c r="L204" s="169" t="str">
        <f t="shared" si="70"/>
        <v>14G-145</v>
      </c>
      <c r="M204" s="109"/>
      <c r="N204" s="109" t="str">
        <f t="shared" si="71"/>
        <v>pt_5-6 v 7-8</v>
      </c>
      <c r="O204" s="109"/>
      <c r="P204" s="109"/>
      <c r="Q204" s="109"/>
      <c r="R204" s="109"/>
      <c r="S204" s="109"/>
      <c r="T204" s="109"/>
      <c r="U204" s="109"/>
      <c r="V204" s="109"/>
      <c r="W204" s="109"/>
      <c r="X204" s="109"/>
      <c r="Y204" s="109"/>
      <c r="Z204" s="109"/>
    </row>
    <row r="205" spans="1:26" ht="13.5" customHeight="1">
      <c r="A205" s="155">
        <f t="shared" si="68"/>
        <v>46223</v>
      </c>
      <c r="B205" s="156">
        <f>'CHICLETS MASTER S1'!U61</f>
        <v>0.66666666666666696</v>
      </c>
      <c r="C205" s="122" t="s">
        <v>200</v>
      </c>
      <c r="D205" s="122" t="str">
        <f t="shared" si="69"/>
        <v>UC IRVINE 1</v>
      </c>
      <c r="E205" s="122">
        <v>149</v>
      </c>
      <c r="F205" s="169" t="str">
        <f>IF(G198 = "", "L121", IF(G198 &lt; I198, _xlfn.CONCAT("L121-", RIGHT(F198, LEN(F198) - FIND("-", F198))), _xlfn.CONCAT("L121-", RIGHT(H198, LEN(H198) - FIND("-", H198)))))</f>
        <v>L121</v>
      </c>
      <c r="G205" s="169"/>
      <c r="H205" s="169" t="str">
        <f>IF(G197 = "", "L117", IF(G197 &lt; I197, _xlfn.CONCAT("L117-", RIGHT(F197, LEN(F197) - FIND("-", F197))), _xlfn.CONCAT("L117-", RIGHT(H197, LEN(H197) - FIND("-", H197)))))</f>
        <v>L117</v>
      </c>
      <c r="I205" s="169"/>
      <c r="J205" s="169">
        <v>182</v>
      </c>
      <c r="K205" s="169">
        <v>181</v>
      </c>
      <c r="L205" s="169" t="str">
        <f t="shared" si="70"/>
        <v>14G-149</v>
      </c>
      <c r="M205" s="109"/>
      <c r="N205" s="109" t="str">
        <f t="shared" si="71"/>
        <v>pt_9-12 semi</v>
      </c>
      <c r="O205" s="109"/>
      <c r="P205" s="109"/>
      <c r="Q205" s="109"/>
      <c r="R205" s="109"/>
      <c r="S205" s="109"/>
      <c r="T205" s="109"/>
      <c r="U205" s="109"/>
      <c r="V205" s="109"/>
      <c r="W205" s="109"/>
      <c r="X205" s="109"/>
      <c r="Y205" s="109"/>
      <c r="Z205" s="109"/>
    </row>
    <row r="206" spans="1:26" ht="13.5" customHeight="1">
      <c r="A206" s="155">
        <f t="shared" si="68"/>
        <v>46223</v>
      </c>
      <c r="B206" s="156">
        <f>'CHICLETS MASTER S1'!U62</f>
        <v>0.70833333333333304</v>
      </c>
      <c r="C206" s="122" t="s">
        <v>200</v>
      </c>
      <c r="D206" s="122" t="str">
        <f t="shared" si="69"/>
        <v>UC IRVINE 1</v>
      </c>
      <c r="E206" s="122">
        <v>153</v>
      </c>
      <c r="F206" s="169" t="str">
        <f>IF(G200 = "", "L129", IF(G200 &lt; I200, _xlfn.CONCAT("L129-", RIGHT(F200, LEN(F200) - FIND("-", F200))), _xlfn.CONCAT("L129-", RIGHT(H200, LEN(H200) - FIND("-", H200)))))</f>
        <v>L129</v>
      </c>
      <c r="G206" s="169"/>
      <c r="H206" s="169" t="str">
        <f>IF(G199 = "", "L125", IF(G199 &lt; I199, _xlfn.CONCAT("L125-", RIGHT(F199, LEN(F199) - FIND("-", F199))), _xlfn.CONCAT("L125-", RIGHT(H199, LEN(H199) - FIND("-", H199)))))</f>
        <v>L125</v>
      </c>
      <c r="I206" s="169"/>
      <c r="J206" s="169">
        <v>182</v>
      </c>
      <c r="K206" s="169">
        <v>181</v>
      </c>
      <c r="L206" s="169" t="str">
        <f t="shared" si="70"/>
        <v>14G-153</v>
      </c>
      <c r="M206" s="109"/>
      <c r="N206" s="109" t="str">
        <f t="shared" si="71"/>
        <v>pt_9-12 semi</v>
      </c>
      <c r="O206" s="109"/>
      <c r="P206" s="109"/>
      <c r="Q206" s="109"/>
      <c r="R206" s="109"/>
      <c r="S206" s="109"/>
      <c r="T206" s="109"/>
      <c r="U206" s="109"/>
      <c r="V206" s="109"/>
      <c r="W206" s="109"/>
      <c r="X206" s="109"/>
      <c r="Y206" s="109"/>
      <c r="Z206" s="109"/>
    </row>
    <row r="207" spans="1:26" ht="13.5" customHeight="1">
      <c r="A207" s="155">
        <f t="shared" si="68"/>
        <v>46223</v>
      </c>
      <c r="B207" s="156">
        <f>'CHICLETS MASTER S1'!U63</f>
        <v>0.75</v>
      </c>
      <c r="C207" s="122" t="s">
        <v>201</v>
      </c>
      <c r="D207" s="122" t="str">
        <f t="shared" si="69"/>
        <v>UC IRVINE 1</v>
      </c>
      <c r="E207" s="122">
        <v>157</v>
      </c>
      <c r="F207" s="169" t="str">
        <f>IF(G201 = "", "L133", IF(G201 &lt; I201, _xlfn.CONCAT("L133-", RIGHT(F201, LEN(F201) - FIND("-", F201))), _xlfn.CONCAT("L133-", RIGHT(H201, LEN(H201) - FIND("-", H201)))))</f>
        <v>L133</v>
      </c>
      <c r="G207" s="169"/>
      <c r="H207" s="169" t="str">
        <f>IF(G203 = "", "W141", IF(G203 &gt; I203, _xlfn.CONCAT("W141-", RIGHT(F203, LEN(F203) - FIND("-", F203))), _xlfn.CONCAT("W141-", RIGHT(H203, LEN(H203) - FIND("-", H203)))))</f>
        <v>W141</v>
      </c>
      <c r="I207" s="169"/>
      <c r="J207" s="169">
        <v>173</v>
      </c>
      <c r="K207" s="169">
        <v>186</v>
      </c>
      <c r="L207" s="169" t="str">
        <f t="shared" si="70"/>
        <v>14G-157</v>
      </c>
      <c r="M207" s="109"/>
      <c r="N207" s="109" t="str">
        <f t="shared" si="71"/>
        <v>pt_play to semi</v>
      </c>
      <c r="O207" s="109"/>
      <c r="P207" s="109"/>
      <c r="Q207" s="109"/>
      <c r="R207" s="109"/>
      <c r="S207" s="109"/>
      <c r="T207" s="109"/>
      <c r="U207" s="109"/>
      <c r="V207" s="109"/>
      <c r="W207" s="109"/>
      <c r="X207" s="109"/>
      <c r="Y207" s="109"/>
      <c r="Z207" s="109"/>
    </row>
    <row r="208" spans="1:26" ht="13.5" customHeight="1">
      <c r="A208" s="155">
        <f t="shared" si="68"/>
        <v>46223</v>
      </c>
      <c r="B208" s="156">
        <f>'CHICLETS MASTER S1'!U64</f>
        <v>0.79166666666666696</v>
      </c>
      <c r="C208" s="122" t="s">
        <v>201</v>
      </c>
      <c r="D208" s="122" t="str">
        <f t="shared" si="69"/>
        <v>UC IRVINE 1</v>
      </c>
      <c r="E208" s="122">
        <v>161</v>
      </c>
      <c r="F208" s="169" t="str">
        <f>IF(G202 = "", "L137", IF(G202 &lt; I202, _xlfn.CONCAT("L137-", RIGHT(F202, LEN(F202) - FIND("-", F202))), _xlfn.CONCAT("L137-", RIGHT(H202, LEN(H202) - FIND("-", H202)))))</f>
        <v>L137</v>
      </c>
      <c r="G208" s="169"/>
      <c r="H208" s="169" t="str">
        <f>IF(G204 = "", "W145", IF(G204 &gt; I204, _xlfn.CONCAT("W145-", RIGHT(F204, LEN(F204) - FIND("-", F204))), _xlfn.CONCAT("W145-", RIGHT(H204, LEN(H204) - FIND("-", H204)))))</f>
        <v>W145</v>
      </c>
      <c r="I208" s="169"/>
      <c r="J208" s="169">
        <v>174</v>
      </c>
      <c r="K208" s="169">
        <v>186</v>
      </c>
      <c r="L208" s="169" t="str">
        <f t="shared" si="70"/>
        <v>14G-161</v>
      </c>
      <c r="M208" s="109"/>
      <c r="N208" s="109" t="str">
        <f t="shared" si="71"/>
        <v>pt_play to semi</v>
      </c>
      <c r="O208" s="109"/>
      <c r="P208" s="109"/>
      <c r="Q208" s="109"/>
      <c r="R208" s="109"/>
      <c r="S208" s="109"/>
      <c r="T208" s="109"/>
      <c r="U208" s="109"/>
      <c r="V208" s="109"/>
      <c r="W208" s="109"/>
      <c r="X208" s="109"/>
      <c r="Y208" s="109"/>
      <c r="Z208" s="109"/>
    </row>
    <row r="209" spans="1:26" ht="13.5" customHeight="1" thickBot="1">
      <c r="A209" s="109"/>
      <c r="B209" s="109"/>
      <c r="C209" s="109"/>
      <c r="D209" s="109"/>
      <c r="E209" s="109"/>
      <c r="F209" s="109"/>
      <c r="G209" s="109"/>
      <c r="H209" s="109"/>
      <c r="I209" s="109"/>
      <c r="J209" s="109"/>
      <c r="K209" s="109"/>
      <c r="L209" s="109"/>
      <c r="M209" s="109"/>
      <c r="N209" s="109"/>
      <c r="O209" s="109"/>
      <c r="P209" s="109"/>
      <c r="Q209" s="109"/>
      <c r="R209" s="109"/>
      <c r="S209" s="109"/>
      <c r="T209" s="109"/>
      <c r="U209" s="109"/>
      <c r="V209" s="109"/>
      <c r="W209" s="109"/>
      <c r="X209" s="109"/>
      <c r="Y209" s="109"/>
      <c r="Z209" s="109"/>
    </row>
    <row r="210" spans="1:26" ht="13.5" customHeight="1" thickBot="1">
      <c r="A210" s="159"/>
      <c r="B210" s="160"/>
      <c r="C210" s="109"/>
      <c r="D210" s="153" t="str">
        <f>'CHICLETS MASTER S1'!$AB$51</f>
        <v>UC IRVINE 2</v>
      </c>
      <c r="E210" s="109"/>
      <c r="F210" s="109" t="s">
        <v>173</v>
      </c>
      <c r="G210" s="161" t="s">
        <v>173</v>
      </c>
      <c r="H210" s="109" t="s">
        <v>173</v>
      </c>
      <c r="I210" s="106"/>
      <c r="J210" s="106"/>
      <c r="K210" s="106"/>
      <c r="L210" s="106"/>
      <c r="M210" s="109"/>
      <c r="N210" s="109"/>
      <c r="O210" s="109"/>
      <c r="P210" s="109"/>
      <c r="Q210" s="109"/>
      <c r="R210" s="109"/>
      <c r="S210" s="109"/>
      <c r="T210" s="109"/>
      <c r="U210" s="109"/>
      <c r="V210" s="109"/>
      <c r="W210" s="109"/>
      <c r="X210" s="109"/>
      <c r="Y210" s="109"/>
      <c r="Z210" s="109"/>
    </row>
    <row r="211" spans="1:26" ht="13.5" customHeight="1">
      <c r="A211" s="151" t="s">
        <v>110</v>
      </c>
      <c r="B211" s="154" t="s">
        <v>111</v>
      </c>
      <c r="C211" s="154" t="s">
        <v>112</v>
      </c>
      <c r="D211" s="154" t="s">
        <v>113</v>
      </c>
      <c r="E211" s="154" t="s">
        <v>114</v>
      </c>
      <c r="F211" s="154" t="s">
        <v>115</v>
      </c>
      <c r="G211" s="154" t="s">
        <v>116</v>
      </c>
      <c r="H211" s="154" t="s">
        <v>117</v>
      </c>
      <c r="I211" s="154" t="s">
        <v>116</v>
      </c>
      <c r="J211" s="154" t="s">
        <v>118</v>
      </c>
      <c r="K211" s="154" t="s">
        <v>119</v>
      </c>
      <c r="L211" s="154" t="s">
        <v>120</v>
      </c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</row>
    <row r="212" spans="1:26" ht="13.5" customHeight="1">
      <c r="A212" s="155">
        <f t="shared" ref="A212:A223" si="72">$A$194</f>
        <v>46223</v>
      </c>
      <c r="B212" s="156">
        <f>'CHICLETS MASTER S1'!Z53</f>
        <v>0.33333333333333331</v>
      </c>
      <c r="C212" s="122" t="s">
        <v>383</v>
      </c>
      <c r="D212" s="122" t="str">
        <f t="shared" ref="D212:D223" si="73">$D$210</f>
        <v>UC IRVINE 2</v>
      </c>
      <c r="E212" s="122">
        <v>118</v>
      </c>
      <c r="F212" s="169" t="s">
        <v>386</v>
      </c>
      <c r="G212" s="171"/>
      <c r="H212" s="169" t="s">
        <v>387</v>
      </c>
      <c r="I212" s="171"/>
      <c r="J212" s="169"/>
      <c r="K212" s="169"/>
      <c r="L212" s="169" t="str">
        <f t="shared" ref="L212:L223" si="74">IF(E212="","",$L$15&amp;"-"&amp;TEXT(E212,"000"))</f>
        <v>14G-118</v>
      </c>
      <c r="M212" s="109"/>
      <c r="N212" s="109" t="str">
        <f t="shared" ref="N212:N223" si="75">$K$256&amp;C212</f>
        <v>pt_21-24 RR</v>
      </c>
      <c r="O212" s="109"/>
      <c r="P212" s="109"/>
      <c r="Q212" s="109"/>
      <c r="R212" s="109"/>
      <c r="S212" s="109"/>
      <c r="T212" s="109"/>
      <c r="U212" s="109"/>
      <c r="V212" s="109"/>
      <c r="W212" s="109"/>
      <c r="X212" s="109"/>
      <c r="Y212" s="109"/>
      <c r="Z212" s="109"/>
    </row>
    <row r="213" spans="1:26" ht="13.5" customHeight="1">
      <c r="A213" s="155">
        <f t="shared" si="72"/>
        <v>46223</v>
      </c>
      <c r="B213" s="156">
        <f>'CHICLETS MASTER S1'!Z54</f>
        <v>0.375</v>
      </c>
      <c r="C213" s="122" t="s">
        <v>383</v>
      </c>
      <c r="D213" s="122" t="str">
        <f t="shared" si="73"/>
        <v>UC IRVINE 2</v>
      </c>
      <c r="E213" s="122">
        <v>122</v>
      </c>
      <c r="F213" s="169" t="s">
        <v>384</v>
      </c>
      <c r="G213" s="169"/>
      <c r="H213" s="169" t="s">
        <v>385</v>
      </c>
      <c r="I213" s="169"/>
      <c r="J213" s="169"/>
      <c r="K213" s="169"/>
      <c r="L213" s="169" t="str">
        <f t="shared" si="74"/>
        <v>14G-122</v>
      </c>
      <c r="M213" s="109"/>
      <c r="N213" s="109" t="str">
        <f t="shared" si="75"/>
        <v>pt_21-24 RR</v>
      </c>
      <c r="O213" s="109"/>
      <c r="P213" s="109"/>
      <c r="Q213" s="109"/>
      <c r="R213" s="109"/>
      <c r="S213" s="109"/>
      <c r="T213" s="109"/>
      <c r="U213" s="109"/>
      <c r="V213" s="109"/>
      <c r="W213" s="109"/>
      <c r="X213" s="109"/>
      <c r="Y213" s="109"/>
      <c r="Z213" s="109"/>
    </row>
    <row r="214" spans="1:26" ht="13.5" customHeight="1">
      <c r="A214" s="155">
        <f t="shared" si="72"/>
        <v>46223</v>
      </c>
      <c r="B214" s="156">
        <f>'CHICLETS MASTER S1'!Z55</f>
        <v>0.41666666666666702</v>
      </c>
      <c r="C214" s="122" t="s">
        <v>388</v>
      </c>
      <c r="D214" s="122" t="str">
        <f t="shared" si="73"/>
        <v>UC IRVINE 2</v>
      </c>
      <c r="E214" s="122">
        <v>126</v>
      </c>
      <c r="F214" s="169" t="str">
        <f>IF(G134 = "", "L113", IF(G134 &lt; I134, _xlfn.CONCAT("L113-", RIGHT(F134, LEN(F134) - FIND("-", F134))), _xlfn.CONCAT("L113-", RIGHT(H134, LEN(H134) - FIND("-", H134)))))</f>
        <v>L113</v>
      </c>
      <c r="G214" s="169"/>
      <c r="H214" s="169" t="s">
        <v>389</v>
      </c>
      <c r="I214" s="169"/>
      <c r="J214" s="169">
        <v>150</v>
      </c>
      <c r="K214" s="169">
        <v>154</v>
      </c>
      <c r="L214" s="169" t="str">
        <f t="shared" si="74"/>
        <v>14G-126</v>
      </c>
      <c r="M214" s="109"/>
      <c r="N214" s="109" t="str">
        <f t="shared" si="75"/>
        <v>pt_13-20 qtr</v>
      </c>
      <c r="O214" s="109"/>
      <c r="P214" s="109"/>
      <c r="Q214" s="109"/>
      <c r="R214" s="109"/>
      <c r="S214" s="109"/>
      <c r="T214" s="109"/>
      <c r="U214" s="109"/>
      <c r="V214" s="109"/>
      <c r="W214" s="109"/>
      <c r="X214" s="109"/>
      <c r="Y214" s="109"/>
      <c r="Z214" s="109"/>
    </row>
    <row r="215" spans="1:26" ht="13.5" customHeight="1">
      <c r="A215" s="155">
        <f t="shared" si="72"/>
        <v>46223</v>
      </c>
      <c r="B215" s="156">
        <f>'CHICLETS MASTER S1'!Z56</f>
        <v>0.45833333333333298</v>
      </c>
      <c r="C215" s="122" t="s">
        <v>388</v>
      </c>
      <c r="D215" s="122" t="str">
        <f t="shared" si="73"/>
        <v>UC IRVINE 2</v>
      </c>
      <c r="E215" s="122">
        <v>130</v>
      </c>
      <c r="F215" s="169" t="str">
        <f>IF(G153 = "", "L114", IF(G153 &lt; I153, _xlfn.CONCAT("L114-", RIGHT(F153, LEN(F153) - FIND("-", F153))), _xlfn.CONCAT("L114-", RIGHT(H153, LEN(H153) - FIND("-", H153)))))</f>
        <v>L114</v>
      </c>
      <c r="G215" s="169"/>
      <c r="H215" s="169" t="s">
        <v>390</v>
      </c>
      <c r="I215" s="169"/>
      <c r="J215" s="169">
        <v>150</v>
      </c>
      <c r="K215" s="169">
        <v>154</v>
      </c>
      <c r="L215" s="169" t="str">
        <f t="shared" si="74"/>
        <v>14G-130</v>
      </c>
      <c r="M215" s="109"/>
      <c r="N215" s="109" t="str">
        <f t="shared" si="75"/>
        <v>pt_13-20 qtr</v>
      </c>
      <c r="O215" s="109"/>
      <c r="P215" s="109"/>
      <c r="Q215" s="109"/>
      <c r="R215" s="109"/>
      <c r="S215" s="109"/>
      <c r="T215" s="109"/>
      <c r="U215" s="109"/>
      <c r="V215" s="109"/>
      <c r="W215" s="109"/>
      <c r="X215" s="109"/>
      <c r="Y215" s="109"/>
      <c r="Z215" s="109"/>
    </row>
    <row r="216" spans="1:26" ht="13.5" customHeight="1">
      <c r="A216" s="155">
        <f t="shared" si="72"/>
        <v>46223</v>
      </c>
      <c r="B216" s="156">
        <f>'CHICLETS MASTER S1'!Z57</f>
        <v>0.5</v>
      </c>
      <c r="C216" s="122" t="s">
        <v>388</v>
      </c>
      <c r="D216" s="122" t="str">
        <f t="shared" si="73"/>
        <v>UC IRVINE 2</v>
      </c>
      <c r="E216" s="122">
        <v>134</v>
      </c>
      <c r="F216" s="169" t="str">
        <f>IF(G133 = "", "L109", IF(G133 &lt; I133, _xlfn.CONCAT("L109-", RIGHT(F133, LEN(F133) - FIND("-", F133))), _xlfn.CONCAT("L109-", RIGHT(H133, LEN(H133) - FIND("-", H133)))))</f>
        <v>L109</v>
      </c>
      <c r="G216" s="169"/>
      <c r="H216" s="169" t="s">
        <v>391</v>
      </c>
      <c r="I216" s="169"/>
      <c r="J216" s="169">
        <v>158</v>
      </c>
      <c r="K216" s="169">
        <v>162</v>
      </c>
      <c r="L216" s="169" t="str">
        <f t="shared" si="74"/>
        <v>14G-134</v>
      </c>
      <c r="M216" s="109"/>
      <c r="N216" s="109" t="str">
        <f t="shared" si="75"/>
        <v>pt_13-20 qtr</v>
      </c>
      <c r="O216" s="109"/>
      <c r="P216" s="109"/>
      <c r="Q216" s="109"/>
      <c r="R216" s="109"/>
      <c r="S216" s="109"/>
      <c r="T216" s="109"/>
      <c r="U216" s="109"/>
      <c r="V216" s="109"/>
      <c r="W216" s="109"/>
      <c r="X216" s="109"/>
      <c r="Y216" s="109"/>
      <c r="Z216" s="109"/>
    </row>
    <row r="217" spans="1:26" ht="13.5" customHeight="1">
      <c r="A217" s="155">
        <f t="shared" si="72"/>
        <v>46223</v>
      </c>
      <c r="B217" s="156">
        <f>'CHICLETS MASTER S1'!Z58</f>
        <v>0.54166666666666696</v>
      </c>
      <c r="C217" s="122" t="s">
        <v>388</v>
      </c>
      <c r="D217" s="122" t="str">
        <f t="shared" si="73"/>
        <v>UC IRVINE 2</v>
      </c>
      <c r="E217" s="122">
        <v>138</v>
      </c>
      <c r="F217" s="169" t="str">
        <f>IF(G152 = "", "L110", IF(G152 &lt; I152, _xlfn.CONCAT("L110-", RIGHT(F152, LEN(F152) - FIND("-", F152))), _xlfn.CONCAT("L110-", RIGHT(H152, LEN(H152) - FIND("-", H152)))))</f>
        <v>L110</v>
      </c>
      <c r="G217" s="169"/>
      <c r="H217" s="169" t="s">
        <v>392</v>
      </c>
      <c r="I217" s="169"/>
      <c r="J217" s="169">
        <v>158</v>
      </c>
      <c r="K217" s="169">
        <v>162</v>
      </c>
      <c r="L217" s="169" t="str">
        <f t="shared" si="74"/>
        <v>14G-138</v>
      </c>
      <c r="M217" s="109"/>
      <c r="N217" s="109" t="str">
        <f t="shared" si="75"/>
        <v>pt_13-20 qtr</v>
      </c>
      <c r="O217" s="109"/>
      <c r="P217" s="109"/>
      <c r="Q217" s="109"/>
      <c r="R217" s="109"/>
      <c r="S217" s="109"/>
      <c r="T217" s="109"/>
      <c r="U217" s="109"/>
      <c r="V217" s="109"/>
      <c r="W217" s="109"/>
      <c r="X217" s="109"/>
      <c r="Y217" s="109"/>
      <c r="Z217" s="109"/>
    </row>
    <row r="218" spans="1:26" ht="13.5" customHeight="1">
      <c r="A218" s="155">
        <f t="shared" si="72"/>
        <v>46223</v>
      </c>
      <c r="B218" s="156">
        <f>'CHICLETS MASTER S1'!Z59</f>
        <v>0.58333333333333304</v>
      </c>
      <c r="C218" s="122" t="s">
        <v>383</v>
      </c>
      <c r="D218" s="122" t="str">
        <f t="shared" si="73"/>
        <v>UC IRVINE 2</v>
      </c>
      <c r="E218" s="122">
        <v>142</v>
      </c>
      <c r="F218" s="169" t="s">
        <v>386</v>
      </c>
      <c r="G218" s="169"/>
      <c r="H218" s="169" t="s">
        <v>385</v>
      </c>
      <c r="I218" s="169"/>
      <c r="J218" s="169"/>
      <c r="K218" s="169"/>
      <c r="L218" s="169" t="str">
        <f t="shared" si="74"/>
        <v>14G-142</v>
      </c>
      <c r="M218" s="109"/>
      <c r="N218" s="109" t="str">
        <f t="shared" si="75"/>
        <v>pt_21-24 RR</v>
      </c>
      <c r="O218" s="109"/>
      <c r="P218" s="109"/>
      <c r="Q218" s="109"/>
      <c r="R218" s="109"/>
      <c r="S218" s="109"/>
      <c r="T218" s="109"/>
      <c r="U218" s="109"/>
      <c r="V218" s="109"/>
      <c r="W218" s="109"/>
      <c r="X218" s="109"/>
      <c r="Y218" s="109"/>
      <c r="Z218" s="109"/>
    </row>
    <row r="219" spans="1:26" ht="13.5" customHeight="1">
      <c r="A219" s="155">
        <f t="shared" si="72"/>
        <v>46223</v>
      </c>
      <c r="B219" s="156">
        <f>'CHICLETS MASTER S1'!Z60</f>
        <v>0.625</v>
      </c>
      <c r="C219" s="122" t="s">
        <v>383</v>
      </c>
      <c r="D219" s="122" t="str">
        <f t="shared" si="73"/>
        <v>UC IRVINE 2</v>
      </c>
      <c r="E219" s="122">
        <v>146</v>
      </c>
      <c r="F219" s="169" t="s">
        <v>384</v>
      </c>
      <c r="G219" s="169"/>
      <c r="H219" s="169" t="s">
        <v>387</v>
      </c>
      <c r="I219" s="169"/>
      <c r="J219" s="169"/>
      <c r="K219" s="169"/>
      <c r="L219" s="169" t="str">
        <f t="shared" si="74"/>
        <v>14G-146</v>
      </c>
      <c r="M219" s="109"/>
      <c r="N219" s="109" t="str">
        <f t="shared" si="75"/>
        <v>pt_21-24 RR</v>
      </c>
      <c r="O219" s="109"/>
      <c r="P219" s="109"/>
      <c r="Q219" s="109"/>
      <c r="R219" s="109"/>
      <c r="S219" s="109"/>
      <c r="T219" s="109"/>
      <c r="U219" s="109"/>
      <c r="V219" s="109"/>
      <c r="W219" s="109"/>
      <c r="X219" s="109"/>
      <c r="Y219" s="109"/>
      <c r="Z219" s="109"/>
    </row>
    <row r="220" spans="1:26" ht="13.5" customHeight="1">
      <c r="A220" s="155">
        <f t="shared" si="72"/>
        <v>46223</v>
      </c>
      <c r="B220" s="156">
        <f>'CHICLETS MASTER S1'!Z61</f>
        <v>0.66666666666666696</v>
      </c>
      <c r="C220" s="122" t="s">
        <v>393</v>
      </c>
      <c r="D220" s="122" t="str">
        <f t="shared" si="73"/>
        <v>UC IRVINE 2</v>
      </c>
      <c r="E220" s="122">
        <v>150</v>
      </c>
      <c r="F220" s="169" t="str">
        <f>IF(G214 = "", "W126", IF(G214 &gt; I214, _xlfn.CONCAT("W126-", RIGHT(F214, LEN(F214) - FIND("-", F214))), _xlfn.CONCAT("W126-", RIGHT(H214, LEN(H214) - FIND("-", H214)))))</f>
        <v>W126</v>
      </c>
      <c r="G220" s="169"/>
      <c r="H220" s="169" t="str">
        <f>IF(G215 = "", "W130", IF(G215 &gt; I215, _xlfn.CONCAT("W130-", RIGHT(F215, LEN(F215) - FIND("-", F215))), _xlfn.CONCAT("W130-", RIGHT(H215, LEN(H215) - FIND("-", H215)))))</f>
        <v>W130</v>
      </c>
      <c r="I220" s="169"/>
      <c r="J220" s="169">
        <v>178</v>
      </c>
      <c r="K220" s="169">
        <v>177</v>
      </c>
      <c r="L220" s="169" t="str">
        <f t="shared" si="74"/>
        <v>14G-150</v>
      </c>
      <c r="M220" s="109"/>
      <c r="N220" s="109" t="str">
        <f t="shared" si="75"/>
        <v>pt_13-16 semi</v>
      </c>
      <c r="O220" s="109"/>
      <c r="P220" s="109"/>
      <c r="Q220" s="109"/>
      <c r="R220" s="109"/>
      <c r="S220" s="109"/>
      <c r="T220" s="109"/>
      <c r="U220" s="109"/>
      <c r="V220" s="109"/>
      <c r="W220" s="109"/>
      <c r="X220" s="109"/>
      <c r="Y220" s="109"/>
      <c r="Z220" s="109"/>
    </row>
    <row r="221" spans="1:26" ht="13.5" customHeight="1">
      <c r="A221" s="155">
        <f t="shared" si="72"/>
        <v>46223</v>
      </c>
      <c r="B221" s="156">
        <f>'CHICLETS MASTER S1'!Z62</f>
        <v>0.70833333333333304</v>
      </c>
      <c r="C221" s="122" t="s">
        <v>394</v>
      </c>
      <c r="D221" s="122" t="str">
        <f t="shared" si="73"/>
        <v>UC IRVINE 2</v>
      </c>
      <c r="E221" s="122">
        <v>154</v>
      </c>
      <c r="F221" s="169" t="str">
        <f>IF(G215 = "", "L130", IF(G215 &lt; I215, _xlfn.CONCAT("L130-", RIGHT(F215, LEN(F215) - FIND("-", F215))), _xlfn.CONCAT("L130-", RIGHT(H215, LEN(H215) - FIND("-", H215)))))</f>
        <v>L130</v>
      </c>
      <c r="G221" s="169"/>
      <c r="H221" s="169" t="str">
        <f>IF(G214 = "", "L126", IF(G214 &lt; I214, _xlfn.CONCAT("L126-", RIGHT(F214, LEN(F214) - FIND("-", F214))), _xlfn.CONCAT("L126-", RIGHT(H214, LEN(H214) - FIND("-", H214)))))</f>
        <v>L126</v>
      </c>
      <c r="I221" s="169"/>
      <c r="J221" s="169">
        <v>170</v>
      </c>
      <c r="K221" s="169">
        <v>169</v>
      </c>
      <c r="L221" s="169" t="str">
        <f t="shared" si="74"/>
        <v>14G-154</v>
      </c>
      <c r="M221" s="109"/>
      <c r="N221" s="109" t="str">
        <f t="shared" si="75"/>
        <v>pt_17-20 semi</v>
      </c>
      <c r="O221" s="109"/>
      <c r="P221" s="109"/>
      <c r="Q221" s="109"/>
      <c r="R221" s="109"/>
      <c r="S221" s="109"/>
      <c r="T221" s="109"/>
      <c r="U221" s="109"/>
      <c r="V221" s="109"/>
      <c r="W221" s="109"/>
      <c r="X221" s="109"/>
      <c r="Y221" s="109"/>
      <c r="Z221" s="109"/>
    </row>
    <row r="222" spans="1:26" ht="13.5" customHeight="1">
      <c r="A222" s="155">
        <f t="shared" si="72"/>
        <v>46223</v>
      </c>
      <c r="B222" s="156">
        <f>'CHICLETS MASTER S1'!Z63</f>
        <v>0.75</v>
      </c>
      <c r="C222" s="122" t="s">
        <v>393</v>
      </c>
      <c r="D222" s="122" t="str">
        <f t="shared" si="73"/>
        <v>UC IRVINE 2</v>
      </c>
      <c r="E222" s="122">
        <v>158</v>
      </c>
      <c r="F222" s="169" t="str">
        <f>IF(G216 = "", "W134", IF(G216 &gt; I216, _xlfn.CONCAT("W134-", RIGHT(F216, LEN(F216) - FIND("-", F216))), _xlfn.CONCAT("W134-", RIGHT(H216, LEN(H216) - FIND("-", H216)))))</f>
        <v>W134</v>
      </c>
      <c r="G222" s="169"/>
      <c r="H222" s="169" t="str">
        <f>IF(G217 = "", "W138", IF(G217 &gt; I217, _xlfn.CONCAT("W138-", RIGHT(F217, LEN(F217) - FIND("-", F217))), _xlfn.CONCAT("W138-", RIGHT(H217, LEN(H217) - FIND("-", H217)))))</f>
        <v>W138</v>
      </c>
      <c r="I222" s="169"/>
      <c r="J222" s="169">
        <v>178</v>
      </c>
      <c r="K222" s="169">
        <v>177</v>
      </c>
      <c r="L222" s="169" t="str">
        <f t="shared" si="74"/>
        <v>14G-158</v>
      </c>
      <c r="M222" s="109"/>
      <c r="N222" s="109" t="str">
        <f t="shared" si="75"/>
        <v>pt_13-16 semi</v>
      </c>
      <c r="O222" s="109"/>
      <c r="P222" s="109"/>
      <c r="Q222" s="109"/>
      <c r="R222" s="109"/>
      <c r="S222" s="109"/>
      <c r="T222" s="109"/>
      <c r="U222" s="109"/>
      <c r="V222" s="109"/>
      <c r="W222" s="109"/>
      <c r="X222" s="109"/>
      <c r="Y222" s="109"/>
      <c r="Z222" s="109"/>
    </row>
    <row r="223" spans="1:26" ht="13.5" customHeight="1">
      <c r="A223" s="155">
        <f t="shared" si="72"/>
        <v>46223</v>
      </c>
      <c r="B223" s="156">
        <f>'CHICLETS MASTER S1'!Z64</f>
        <v>0.79166666666666696</v>
      </c>
      <c r="C223" s="122" t="s">
        <v>394</v>
      </c>
      <c r="D223" s="122" t="str">
        <f t="shared" si="73"/>
        <v>UC IRVINE 2</v>
      </c>
      <c r="E223" s="122">
        <v>162</v>
      </c>
      <c r="F223" s="169" t="str">
        <f>IF(G217 = "", "L138", IF(G217 &lt; I217, _xlfn.CONCAT("L138-", RIGHT(F217, LEN(F217) - FIND("-", F217))), _xlfn.CONCAT("L138-", RIGHT(H217, LEN(H217) - FIND("-", H217)))))</f>
        <v>L138</v>
      </c>
      <c r="G223" s="169"/>
      <c r="H223" s="169" t="str">
        <f>IF(G216 = "", "L134", IF(G216 &lt; I216, _xlfn.CONCAT("L134-", RIGHT(F216, LEN(F216) - FIND("-", F216))), _xlfn.CONCAT("L134-", RIGHT(H216, LEN(H216) - FIND("-", H216)))))</f>
        <v>L134</v>
      </c>
      <c r="I223" s="169"/>
      <c r="J223" s="169">
        <v>170</v>
      </c>
      <c r="K223" s="169">
        <v>169</v>
      </c>
      <c r="L223" s="169" t="str">
        <f t="shared" si="74"/>
        <v>14G-162</v>
      </c>
      <c r="M223" s="109"/>
      <c r="N223" s="109" t="str">
        <f t="shared" si="75"/>
        <v>pt_17-20 semi</v>
      </c>
      <c r="O223" s="109"/>
      <c r="P223" s="109"/>
      <c r="Q223" s="109"/>
      <c r="R223" s="109"/>
      <c r="S223" s="109"/>
      <c r="T223" s="109"/>
      <c r="U223" s="109"/>
      <c r="V223" s="109"/>
      <c r="W223" s="109"/>
      <c r="X223" s="109"/>
      <c r="Y223" s="109"/>
      <c r="Z223" s="109"/>
    </row>
    <row r="224" spans="1:26" ht="13.5" customHeight="1" thickBot="1">
      <c r="A224" s="159"/>
      <c r="B224" s="159"/>
      <c r="C224" s="106"/>
      <c r="D224" s="106"/>
      <c r="E224" s="106"/>
      <c r="F224" s="106"/>
      <c r="G224" s="110"/>
      <c r="H224" s="106"/>
      <c r="I224" s="106"/>
      <c r="J224" s="106"/>
      <c r="K224" s="106"/>
      <c r="L224" s="106"/>
      <c r="M224" s="109"/>
      <c r="N224" s="109"/>
      <c r="O224" s="109"/>
      <c r="P224" s="109"/>
      <c r="Q224" s="109"/>
      <c r="R224" s="109"/>
      <c r="S224" s="109"/>
      <c r="T224" s="109"/>
      <c r="U224" s="109"/>
      <c r="V224" s="109"/>
      <c r="W224" s="109"/>
      <c r="X224" s="109"/>
      <c r="Y224" s="109"/>
      <c r="Z224" s="109"/>
    </row>
    <row r="225" spans="1:26" ht="13.5" customHeight="1" thickBot="1">
      <c r="A225" s="109"/>
      <c r="B225" s="106"/>
      <c r="C225" s="106"/>
      <c r="D225" s="153" t="str">
        <f>'CHICLETS MASTER S1'!$AJ$51</f>
        <v>LA SERNA HS</v>
      </c>
      <c r="E225" s="106"/>
      <c r="F225" s="106"/>
      <c r="G225" s="110"/>
      <c r="H225" s="106"/>
      <c r="I225" s="106"/>
      <c r="J225" s="106"/>
      <c r="K225" s="106"/>
      <c r="L225" s="106"/>
      <c r="M225" s="109"/>
      <c r="N225" s="109"/>
      <c r="O225" s="109"/>
      <c r="P225" s="109"/>
      <c r="Q225" s="109"/>
      <c r="R225" s="109"/>
      <c r="S225" s="109"/>
      <c r="T225" s="109"/>
      <c r="U225" s="109"/>
      <c r="V225" s="109"/>
      <c r="W225" s="109"/>
      <c r="X225" s="109"/>
      <c r="Y225" s="109"/>
      <c r="Z225" s="109"/>
    </row>
    <row r="226" spans="1:26" ht="13.5" customHeight="1">
      <c r="A226" s="151" t="s">
        <v>110</v>
      </c>
      <c r="B226" s="154" t="s">
        <v>111</v>
      </c>
      <c r="C226" s="154" t="s">
        <v>112</v>
      </c>
      <c r="D226" s="154" t="s">
        <v>113</v>
      </c>
      <c r="E226" s="154" t="s">
        <v>114</v>
      </c>
      <c r="F226" s="154" t="s">
        <v>115</v>
      </c>
      <c r="G226" s="154" t="s">
        <v>116</v>
      </c>
      <c r="H226" s="154" t="s">
        <v>117</v>
      </c>
      <c r="I226" s="154" t="s">
        <v>116</v>
      </c>
      <c r="J226" s="154" t="s">
        <v>118</v>
      </c>
      <c r="K226" s="154" t="s">
        <v>119</v>
      </c>
      <c r="L226" s="154" t="s">
        <v>120</v>
      </c>
      <c r="M226" s="109"/>
      <c r="N226" s="109"/>
      <c r="O226" s="109"/>
      <c r="P226" s="109"/>
      <c r="Q226" s="109"/>
      <c r="R226" s="109"/>
      <c r="S226" s="109"/>
      <c r="T226" s="109"/>
      <c r="U226" s="109"/>
      <c r="V226" s="109"/>
      <c r="W226" s="109"/>
      <c r="X226" s="109"/>
      <c r="Y226" s="109"/>
      <c r="Z226" s="109"/>
    </row>
    <row r="227" spans="1:26" ht="13.5" customHeight="1">
      <c r="A227" s="155">
        <f t="shared" ref="A227:A238" si="76">$A$194</f>
        <v>46223</v>
      </c>
      <c r="B227" s="156">
        <f>'CHICLETS MASTER S1'!Z53</f>
        <v>0.33333333333333331</v>
      </c>
      <c r="C227" s="122" t="s">
        <v>189</v>
      </c>
      <c r="D227" s="122" t="str">
        <f t="shared" ref="D227:D238" si="77">$D$225</f>
        <v>LA SERNA HS</v>
      </c>
      <c r="E227" s="122">
        <v>119</v>
      </c>
      <c r="F227" s="134" t="s">
        <v>395</v>
      </c>
      <c r="G227" s="134"/>
      <c r="H227" s="134" t="str">
        <f>IF(G190 = "", "W112", IF(G190 &gt; I190, _xlfn.CONCAT("W112-", RIGHT(F190, LEN(F190) - FIND("-", F190))), _xlfn.CONCAT("W112-", RIGHT(H190, LEN(H190) - FIND("-", H190)))))</f>
        <v>W112</v>
      </c>
      <c r="I227" s="134"/>
      <c r="J227" s="134">
        <v>143</v>
      </c>
      <c r="K227" s="134">
        <v>151</v>
      </c>
      <c r="L227" s="134" t="str">
        <f t="shared" ref="L227:L238" si="78">IF(E227="","",$L$15&amp;"-"&amp;TEXT(E227,"000"))</f>
        <v>14G-119</v>
      </c>
      <c r="M227" s="109"/>
      <c r="N227" s="109" t="str">
        <f t="shared" ref="N227:N238" si="79">$L$256&amp;C227</f>
        <v>au_5-8 v 9-12</v>
      </c>
      <c r="O227" s="109"/>
      <c r="P227" s="109"/>
      <c r="Q227" s="109"/>
      <c r="R227" s="109"/>
      <c r="S227" s="109"/>
      <c r="T227" s="109"/>
      <c r="U227" s="109"/>
      <c r="V227" s="109"/>
      <c r="W227" s="109"/>
      <c r="X227" s="109"/>
      <c r="Y227" s="109"/>
      <c r="Z227" s="109"/>
    </row>
    <row r="228" spans="1:26" ht="13.5" customHeight="1">
      <c r="A228" s="155">
        <f t="shared" si="76"/>
        <v>46223</v>
      </c>
      <c r="B228" s="156">
        <f>'CHICLETS MASTER S1'!Z54</f>
        <v>0.375</v>
      </c>
      <c r="C228" s="122" t="s">
        <v>189</v>
      </c>
      <c r="D228" s="122" t="str">
        <f t="shared" si="77"/>
        <v>LA SERNA HS</v>
      </c>
      <c r="E228" s="122">
        <v>123</v>
      </c>
      <c r="F228" s="134" t="s">
        <v>399</v>
      </c>
      <c r="G228" s="134"/>
      <c r="H228" s="134" t="str">
        <f>IF(G172 = "", "W115", IF(G172 &gt; I172, _xlfn.CONCAT("W115-", RIGHT(F172, LEN(F172) - FIND("-", F172))), _xlfn.CONCAT("W115-", RIGHT(H172, LEN(H172) - FIND("-", H172)))))</f>
        <v>W115</v>
      </c>
      <c r="I228" s="134"/>
      <c r="J228" s="134">
        <v>143</v>
      </c>
      <c r="K228" s="134">
        <v>151</v>
      </c>
      <c r="L228" s="134" t="str">
        <f t="shared" si="78"/>
        <v>14G-123</v>
      </c>
      <c r="M228" s="109"/>
      <c r="N228" s="109" t="str">
        <f t="shared" si="79"/>
        <v>au_5-8 v 9-12</v>
      </c>
      <c r="O228" s="109"/>
      <c r="P228" s="109"/>
      <c r="Q228" s="109"/>
      <c r="R228" s="109"/>
      <c r="S228" s="109"/>
      <c r="T228" s="109"/>
      <c r="U228" s="109"/>
      <c r="V228" s="109"/>
      <c r="W228" s="109"/>
      <c r="X228" s="109"/>
      <c r="Y228" s="109"/>
      <c r="Z228" s="109"/>
    </row>
    <row r="229" spans="1:26" ht="13.5" customHeight="1">
      <c r="A229" s="155">
        <f t="shared" si="76"/>
        <v>46223</v>
      </c>
      <c r="B229" s="156">
        <f>'CHICLETS MASTER S1'!Z55</f>
        <v>0.41666666666666702</v>
      </c>
      <c r="C229" s="122" t="s">
        <v>189</v>
      </c>
      <c r="D229" s="122" t="str">
        <f t="shared" si="77"/>
        <v>LA SERNA HS</v>
      </c>
      <c r="E229" s="122">
        <v>127</v>
      </c>
      <c r="F229" s="134" t="s">
        <v>397</v>
      </c>
      <c r="G229" s="134"/>
      <c r="H229" s="134" t="str">
        <f>IF(G191 = "", "W116", IF(G191 &gt; I191, _xlfn.CONCAT("W116-", RIGHT(F191, LEN(F191) - FIND("-", F191))), _xlfn.CONCAT("W116-", RIGHT(H191, LEN(H191) - FIND("-", H191)))))</f>
        <v>W116</v>
      </c>
      <c r="I229" s="134"/>
      <c r="J229" s="134">
        <v>147</v>
      </c>
      <c r="K229" s="134">
        <v>155</v>
      </c>
      <c r="L229" s="134" t="str">
        <f t="shared" si="78"/>
        <v>14G-127</v>
      </c>
      <c r="M229" s="109"/>
      <c r="N229" s="109" t="str">
        <f t="shared" si="79"/>
        <v>au_5-8 v 9-12</v>
      </c>
      <c r="O229" s="109"/>
      <c r="P229" s="109"/>
      <c r="Q229" s="109"/>
      <c r="R229" s="109"/>
      <c r="S229" s="109"/>
      <c r="T229" s="109"/>
      <c r="U229" s="109"/>
      <c r="V229" s="109"/>
      <c r="W229" s="109"/>
      <c r="X229" s="109"/>
      <c r="Y229" s="109"/>
      <c r="Z229" s="109"/>
    </row>
    <row r="230" spans="1:26" ht="13.5" customHeight="1">
      <c r="A230" s="155">
        <f t="shared" si="76"/>
        <v>46223</v>
      </c>
      <c r="B230" s="156">
        <f>'CHICLETS MASTER S1'!Z56</f>
        <v>0.45833333333333298</v>
      </c>
      <c r="C230" s="122" t="s">
        <v>189</v>
      </c>
      <c r="D230" s="122" t="str">
        <f t="shared" si="77"/>
        <v>LA SERNA HS</v>
      </c>
      <c r="E230" s="122">
        <v>131</v>
      </c>
      <c r="F230" s="134" t="s">
        <v>401</v>
      </c>
      <c r="G230" s="134"/>
      <c r="H230" s="134" t="str">
        <f>IF(G171 = "", "W111", IF(G171 &gt; I171, _xlfn.CONCAT("W111-", RIGHT(F171, LEN(F171) - FIND("-", F171))), _xlfn.CONCAT("W111-", RIGHT(H171, LEN(H171) - FIND("-", H171)))))</f>
        <v>W111</v>
      </c>
      <c r="I230" s="134"/>
      <c r="J230" s="134">
        <v>147</v>
      </c>
      <c r="K230" s="134">
        <v>155</v>
      </c>
      <c r="L230" s="134" t="str">
        <f t="shared" si="78"/>
        <v>14G-131</v>
      </c>
      <c r="M230" s="109"/>
      <c r="N230" s="109" t="str">
        <f t="shared" si="79"/>
        <v>au_5-8 v 9-12</v>
      </c>
      <c r="O230" s="109"/>
      <c r="P230" s="109"/>
      <c r="Q230" s="109"/>
      <c r="R230" s="109"/>
      <c r="S230" s="109"/>
      <c r="T230" s="109"/>
      <c r="U230" s="109"/>
      <c r="V230" s="109"/>
      <c r="W230" s="109"/>
      <c r="X230" s="109"/>
      <c r="Y230" s="109"/>
      <c r="Z230" s="109"/>
    </row>
    <row r="231" spans="1:26" ht="13.5" customHeight="1">
      <c r="A231" s="155">
        <f t="shared" si="76"/>
        <v>46223</v>
      </c>
      <c r="B231" s="156">
        <f>'CHICLETS MASTER S1'!Z57</f>
        <v>0.5</v>
      </c>
      <c r="C231" s="122" t="s">
        <v>194</v>
      </c>
      <c r="D231" s="122" t="str">
        <f t="shared" si="77"/>
        <v>LA SERNA HS</v>
      </c>
      <c r="E231" s="122">
        <v>135</v>
      </c>
      <c r="F231" s="134" t="s">
        <v>403</v>
      </c>
      <c r="G231" s="134"/>
      <c r="H231" s="134" t="s">
        <v>404</v>
      </c>
      <c r="I231" s="134"/>
      <c r="J231" s="134">
        <v>172</v>
      </c>
      <c r="K231" s="134">
        <v>159</v>
      </c>
      <c r="L231" s="134" t="str">
        <f t="shared" si="78"/>
        <v>14G-135</v>
      </c>
      <c r="M231" s="109"/>
      <c r="N231" s="109" t="str">
        <f t="shared" si="79"/>
        <v>au_1-2 v 3-4</v>
      </c>
      <c r="O231" s="109"/>
      <c r="P231" s="109"/>
      <c r="Q231" s="109"/>
      <c r="R231" s="109"/>
      <c r="S231" s="109"/>
      <c r="T231" s="109"/>
      <c r="U231" s="109"/>
      <c r="V231" s="109"/>
      <c r="W231" s="109"/>
      <c r="X231" s="109"/>
      <c r="Y231" s="109"/>
      <c r="Z231" s="109"/>
    </row>
    <row r="232" spans="1:26" ht="13.5" customHeight="1">
      <c r="A232" s="155">
        <f t="shared" si="76"/>
        <v>46223</v>
      </c>
      <c r="B232" s="156">
        <f>'CHICLETS MASTER S1'!Z58</f>
        <v>0.54166666666666696</v>
      </c>
      <c r="C232" s="122" t="s">
        <v>194</v>
      </c>
      <c r="D232" s="122" t="str">
        <f t="shared" si="77"/>
        <v>LA SERNA HS</v>
      </c>
      <c r="E232" s="122">
        <v>139</v>
      </c>
      <c r="F232" s="134" t="s">
        <v>405</v>
      </c>
      <c r="G232" s="134"/>
      <c r="H232" s="134" t="s">
        <v>406</v>
      </c>
      <c r="I232" s="134"/>
      <c r="J232" s="134">
        <v>171</v>
      </c>
      <c r="K232" s="134">
        <v>163</v>
      </c>
      <c r="L232" s="134" t="str">
        <f t="shared" si="78"/>
        <v>14G-139</v>
      </c>
      <c r="M232" s="109"/>
      <c r="N232" s="109" t="str">
        <f t="shared" si="79"/>
        <v>au_1-2 v 3-4</v>
      </c>
      <c r="O232" s="109"/>
      <c r="P232" s="109"/>
      <c r="Q232" s="109"/>
      <c r="R232" s="109"/>
      <c r="S232" s="109"/>
      <c r="T232" s="109"/>
      <c r="U232" s="109"/>
      <c r="V232" s="109"/>
      <c r="W232" s="109"/>
      <c r="X232" s="109"/>
      <c r="Y232" s="109"/>
      <c r="Z232" s="109"/>
    </row>
    <row r="233" spans="1:26" ht="13.5" customHeight="1">
      <c r="A233" s="155">
        <f t="shared" si="76"/>
        <v>46223</v>
      </c>
      <c r="B233" s="156">
        <f>'CHICLETS MASTER S1'!Z59</f>
        <v>0.58333333333333304</v>
      </c>
      <c r="C233" s="122" t="s">
        <v>199</v>
      </c>
      <c r="D233" s="122" t="str">
        <f t="shared" si="77"/>
        <v>LA SERNA HS</v>
      </c>
      <c r="E233" s="122">
        <v>143</v>
      </c>
      <c r="F233" s="134" t="str">
        <f>IF(G227 = "", "W119", IF(G227 &gt; I227, _xlfn.CONCAT("W119-", RIGHT(F227, LEN(F227) - FIND("-", F227))), _xlfn.CONCAT("W119-", RIGHT(H227, LEN(H227) - FIND("-", H227)))))</f>
        <v>W119</v>
      </c>
      <c r="G233" s="134"/>
      <c r="H233" s="134" t="str">
        <f>IF(G228 = "", "W123", IF(G228 &gt; I228, _xlfn.CONCAT("W123-", RIGHT(F228, LEN(F228) - FIND("-", F228))), _xlfn.CONCAT("W123-", RIGHT(H228, LEN(H228) - FIND("-", H228)))))</f>
        <v>W123</v>
      </c>
      <c r="I233" s="134"/>
      <c r="J233" s="134">
        <v>159</v>
      </c>
      <c r="K233" s="134">
        <v>188</v>
      </c>
      <c r="L233" s="134" t="str">
        <f t="shared" si="78"/>
        <v>14G-143</v>
      </c>
      <c r="M233" s="109"/>
      <c r="N233" s="109" t="str">
        <f t="shared" si="79"/>
        <v>au_5-6 v 7-8</v>
      </c>
      <c r="O233" s="109"/>
      <c r="P233" s="109"/>
      <c r="Q233" s="109"/>
      <c r="R233" s="109"/>
      <c r="S233" s="109"/>
      <c r="T233" s="109"/>
      <c r="U233" s="109"/>
      <c r="V233" s="109"/>
      <c r="W233" s="109"/>
      <c r="X233" s="109"/>
      <c r="Y233" s="109"/>
      <c r="Z233" s="109"/>
    </row>
    <row r="234" spans="1:26" ht="13.5" customHeight="1">
      <c r="A234" s="155">
        <f t="shared" si="76"/>
        <v>46223</v>
      </c>
      <c r="B234" s="156">
        <f>'CHICLETS MASTER S1'!Z60</f>
        <v>0.625</v>
      </c>
      <c r="C234" s="122" t="s">
        <v>199</v>
      </c>
      <c r="D234" s="122" t="str">
        <f t="shared" si="77"/>
        <v>LA SERNA HS</v>
      </c>
      <c r="E234" s="122">
        <v>147</v>
      </c>
      <c r="F234" s="134" t="str">
        <f>IF(G229 = "", "W127", IF(G229 &gt; I229, _xlfn.CONCAT("W127-", RIGHT(F229, LEN(F229) - FIND("-", F229))), _xlfn.CONCAT("W127-", RIGHT(H229, LEN(H229) - FIND("-", H229)))))</f>
        <v>W127</v>
      </c>
      <c r="G234" s="134"/>
      <c r="H234" s="134" t="str">
        <f>IF(G230 = "", "W131", IF(G230 &gt; I230, _xlfn.CONCAT("W131-", RIGHT(F230, LEN(F230) - FIND("-", F230))), _xlfn.CONCAT("W131-", RIGHT(H230, LEN(H230) - FIND("-", H230)))))</f>
        <v>W131</v>
      </c>
      <c r="I234" s="134"/>
      <c r="J234" s="134">
        <v>163</v>
      </c>
      <c r="K234" s="134">
        <v>188</v>
      </c>
      <c r="L234" s="134" t="str">
        <f t="shared" si="78"/>
        <v>14G-147</v>
      </c>
      <c r="M234" s="109"/>
      <c r="N234" s="109" t="str">
        <f t="shared" si="79"/>
        <v>au_5-6 v 7-8</v>
      </c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</row>
    <row r="235" spans="1:26" ht="13.5" customHeight="1">
      <c r="A235" s="155">
        <f t="shared" si="76"/>
        <v>46223</v>
      </c>
      <c r="B235" s="156">
        <f>'CHICLETS MASTER S1'!Z61</f>
        <v>0.66666666666666696</v>
      </c>
      <c r="C235" s="122" t="s">
        <v>200</v>
      </c>
      <c r="D235" s="122" t="str">
        <f t="shared" si="77"/>
        <v>LA SERNA HS</v>
      </c>
      <c r="E235" s="122">
        <v>151</v>
      </c>
      <c r="F235" s="134" t="str">
        <f>IF(G228 = "", "L123", IF(G228 &lt; I228, _xlfn.CONCAT("L123-", RIGHT(F228, LEN(F228) - FIND("-", F228))), _xlfn.CONCAT("L123-", RIGHT(H228, LEN(H228) - FIND("-", H228)))))</f>
        <v>L123</v>
      </c>
      <c r="G235" s="134"/>
      <c r="H235" s="134" t="str">
        <f>IF(G227 = "", "L119", IF(G227 &lt; I227, _xlfn.CONCAT("L119-", RIGHT(F227, LEN(F227) - FIND("-", F227))), _xlfn.CONCAT("L119-", RIGHT(H227, LEN(H227) - FIND("-", H227)))))</f>
        <v>L119</v>
      </c>
      <c r="I235" s="134"/>
      <c r="J235" s="134">
        <v>183</v>
      </c>
      <c r="K235" s="134">
        <v>184</v>
      </c>
      <c r="L235" s="134" t="str">
        <f t="shared" si="78"/>
        <v>14G-151</v>
      </c>
      <c r="M235" s="109"/>
      <c r="N235" s="109" t="str">
        <f t="shared" si="79"/>
        <v>au_9-12 semi</v>
      </c>
      <c r="O235" s="109"/>
      <c r="P235" s="109"/>
      <c r="Q235" s="109"/>
      <c r="R235" s="109"/>
      <c r="S235" s="109"/>
      <c r="T235" s="109"/>
      <c r="U235" s="109"/>
      <c r="V235" s="109"/>
      <c r="W235" s="109"/>
      <c r="X235" s="109"/>
      <c r="Y235" s="109"/>
      <c r="Z235" s="109"/>
    </row>
    <row r="236" spans="1:26" ht="13.5" customHeight="1">
      <c r="A236" s="155">
        <f t="shared" si="76"/>
        <v>46223</v>
      </c>
      <c r="B236" s="156">
        <f>'CHICLETS MASTER S1'!Z62</f>
        <v>0.70833333333333304</v>
      </c>
      <c r="C236" s="122" t="s">
        <v>200</v>
      </c>
      <c r="D236" s="122" t="str">
        <f t="shared" si="77"/>
        <v>LA SERNA HS</v>
      </c>
      <c r="E236" s="122">
        <v>155</v>
      </c>
      <c r="F236" s="134" t="str">
        <f>IF(G230 = "", "L131", IF(G230 &lt; I230, _xlfn.CONCAT("L131-", RIGHT(F230, LEN(F230) - FIND("-", F230))), _xlfn.CONCAT("L131-", RIGHT(H230, LEN(H230) - FIND("-", H230)))))</f>
        <v>L131</v>
      </c>
      <c r="G236" s="134"/>
      <c r="H236" s="134" t="str">
        <f>IF(G229 = "", "L127", IF(G229 &lt; I229, _xlfn.CONCAT("L127-", RIGHT(F229, LEN(F229) - FIND("-", F229))), _xlfn.CONCAT("L127-", RIGHT(H229, LEN(H229) - FIND("-", H229)))))</f>
        <v>L127</v>
      </c>
      <c r="I236" s="134"/>
      <c r="J236" s="134">
        <v>183</v>
      </c>
      <c r="K236" s="134">
        <v>184</v>
      </c>
      <c r="L236" s="134" t="str">
        <f t="shared" si="78"/>
        <v>14G-155</v>
      </c>
      <c r="M236" s="109"/>
      <c r="N236" s="109" t="str">
        <f t="shared" si="79"/>
        <v>au_9-12 semi</v>
      </c>
      <c r="O236" s="109"/>
      <c r="P236" s="109"/>
      <c r="Q236" s="109"/>
      <c r="R236" s="109"/>
      <c r="S236" s="109"/>
      <c r="T236" s="109"/>
      <c r="U236" s="109"/>
      <c r="V236" s="109"/>
      <c r="W236" s="109"/>
      <c r="X236" s="109"/>
      <c r="Y236" s="109"/>
      <c r="Z236" s="109"/>
    </row>
    <row r="237" spans="1:26" ht="13.5" customHeight="1">
      <c r="A237" s="155">
        <f t="shared" si="76"/>
        <v>46223</v>
      </c>
      <c r="B237" s="156">
        <f>'CHICLETS MASTER S1'!Z63</f>
        <v>0.75</v>
      </c>
      <c r="C237" s="122" t="s">
        <v>201</v>
      </c>
      <c r="D237" s="122" t="str">
        <f t="shared" si="77"/>
        <v>LA SERNA HS</v>
      </c>
      <c r="E237" s="122">
        <v>159</v>
      </c>
      <c r="F237" s="134" t="str">
        <f>IF(G231 = "", "L135", IF(G231 &lt; I231, _xlfn.CONCAT("L135-", RIGHT(F231, LEN(F231) - FIND("-", F231))), _xlfn.CONCAT("L135-", RIGHT(H231, LEN(H231) - FIND("-", H231)))))</f>
        <v>L135</v>
      </c>
      <c r="G237" s="134"/>
      <c r="H237" s="134" t="str">
        <f>IF(G233 = "", "W143", IF(G233 &gt; I233, _xlfn.CONCAT("W143-", RIGHT(F233, LEN(F233) - FIND("-", F233))), _xlfn.CONCAT("W143-", RIGHT(H233, LEN(H233) - FIND("-", H233)))))</f>
        <v>W143</v>
      </c>
      <c r="I237" s="170"/>
      <c r="J237" s="134">
        <v>171</v>
      </c>
      <c r="K237" s="134">
        <v>187</v>
      </c>
      <c r="L237" s="134" t="str">
        <f t="shared" si="78"/>
        <v>14G-159</v>
      </c>
      <c r="M237" s="109"/>
      <c r="N237" s="109" t="str">
        <f t="shared" si="79"/>
        <v>au_play to semi</v>
      </c>
      <c r="O237" s="109"/>
      <c r="P237" s="109"/>
      <c r="Q237" s="109"/>
      <c r="R237" s="109"/>
      <c r="S237" s="109"/>
      <c r="T237" s="109"/>
      <c r="U237" s="109"/>
      <c r="V237" s="109"/>
      <c r="W237" s="109"/>
      <c r="X237" s="109"/>
      <c r="Y237" s="109"/>
      <c r="Z237" s="109"/>
    </row>
    <row r="238" spans="1:26" ht="13.5" customHeight="1">
      <c r="A238" s="155">
        <f t="shared" si="76"/>
        <v>46223</v>
      </c>
      <c r="B238" s="156">
        <f>'CHICLETS MASTER S1'!Z64</f>
        <v>0.79166666666666696</v>
      </c>
      <c r="C238" s="122" t="s">
        <v>201</v>
      </c>
      <c r="D238" s="122" t="str">
        <f t="shared" si="77"/>
        <v>LA SERNA HS</v>
      </c>
      <c r="E238" s="122">
        <v>163</v>
      </c>
      <c r="F238" s="134" t="str">
        <f>IF(G232 = "", "L139", IF(G232 &lt; I232, _xlfn.CONCAT("L139-", RIGHT(F232, LEN(F232) - FIND("-", F232))), _xlfn.CONCAT("L139-", RIGHT(H232, LEN(H232) - FIND("-", H232)))))</f>
        <v>L139</v>
      </c>
      <c r="G238" s="134"/>
      <c r="H238" s="134" t="str">
        <f>IF(G234 = "", "W147", IF(G234 &gt; I234, _xlfn.CONCAT("W147-", RIGHT(F234, LEN(F234) - FIND("-", F234))), _xlfn.CONCAT("W147-", RIGHT(H234, LEN(H234) - FIND("-", H234)))))</f>
        <v>W147</v>
      </c>
      <c r="I238" s="134"/>
      <c r="J238" s="134">
        <v>172</v>
      </c>
      <c r="K238" s="134">
        <v>187</v>
      </c>
      <c r="L238" s="134" t="str">
        <f t="shared" si="78"/>
        <v>14G-163</v>
      </c>
      <c r="M238" s="109"/>
      <c r="N238" s="109" t="str">
        <f t="shared" si="79"/>
        <v>au_play to semi</v>
      </c>
      <c r="O238" s="109"/>
      <c r="P238" s="109"/>
      <c r="Q238" s="109"/>
      <c r="R238" s="109"/>
      <c r="S238" s="109"/>
      <c r="T238" s="109"/>
      <c r="U238" s="109"/>
      <c r="V238" s="109"/>
      <c r="W238" s="109"/>
      <c r="X238" s="109"/>
      <c r="Y238" s="109"/>
      <c r="Z238" s="109"/>
    </row>
    <row r="239" spans="1:26" ht="13.5" customHeight="1" thickBot="1">
      <c r="A239" s="109"/>
      <c r="B239" s="109"/>
      <c r="C239" s="109"/>
      <c r="D239" s="109"/>
      <c r="E239" s="109"/>
      <c r="F239" s="109"/>
      <c r="G239" s="109"/>
      <c r="H239" s="109"/>
      <c r="I239" s="109"/>
      <c r="J239" s="109"/>
      <c r="K239" s="109"/>
      <c r="L239" s="109"/>
      <c r="M239" s="109"/>
      <c r="N239" s="109"/>
      <c r="O239" s="109"/>
      <c r="P239" s="109"/>
      <c r="Q239" s="109"/>
      <c r="R239" s="109"/>
      <c r="S239" s="109"/>
      <c r="T239" s="109"/>
      <c r="U239" s="109"/>
      <c r="V239" s="109"/>
      <c r="W239" s="109"/>
      <c r="X239" s="109"/>
      <c r="Y239" s="109"/>
      <c r="Z239" s="109"/>
    </row>
    <row r="240" spans="1:26" ht="13.5" customHeight="1" thickBot="1">
      <c r="A240" s="159"/>
      <c r="B240" s="160"/>
      <c r="C240" s="106"/>
      <c r="D240" s="153" t="str">
        <f>'CHICLETS MASTER S1'!$AK$51</f>
        <v>LONG BEACH CC 2</v>
      </c>
      <c r="E240" s="106"/>
      <c r="F240" s="106"/>
      <c r="G240" s="110"/>
      <c r="H240" s="106"/>
      <c r="I240" s="106"/>
      <c r="J240" s="106"/>
      <c r="K240" s="106"/>
      <c r="L240" s="106"/>
      <c r="M240" s="109"/>
      <c r="N240" s="109"/>
      <c r="O240" s="109"/>
      <c r="P240" s="109"/>
      <c r="Q240" s="109"/>
      <c r="R240" s="109"/>
      <c r="S240" s="109"/>
      <c r="T240" s="109"/>
      <c r="U240" s="109"/>
      <c r="V240" s="109"/>
      <c r="W240" s="109"/>
      <c r="X240" s="109"/>
      <c r="Y240" s="109"/>
      <c r="Z240" s="109"/>
    </row>
    <row r="241" spans="1:26" ht="13.5" customHeight="1">
      <c r="A241" s="151" t="s">
        <v>110</v>
      </c>
      <c r="B241" s="154" t="s">
        <v>111</v>
      </c>
      <c r="C241" s="154" t="s">
        <v>112</v>
      </c>
      <c r="D241" s="154" t="s">
        <v>113</v>
      </c>
      <c r="E241" s="154" t="s">
        <v>114</v>
      </c>
      <c r="F241" s="154" t="s">
        <v>115</v>
      </c>
      <c r="G241" s="154" t="s">
        <v>116</v>
      </c>
      <c r="H241" s="154" t="s">
        <v>117</v>
      </c>
      <c r="I241" s="154" t="s">
        <v>116</v>
      </c>
      <c r="J241" s="154" t="s">
        <v>118</v>
      </c>
      <c r="K241" s="154" t="s">
        <v>119</v>
      </c>
      <c r="L241" s="154" t="s">
        <v>120</v>
      </c>
      <c r="M241" s="109"/>
      <c r="N241" s="109"/>
      <c r="O241" s="109"/>
      <c r="P241" s="109"/>
      <c r="Q241" s="109"/>
      <c r="R241" s="109"/>
      <c r="S241" s="109"/>
      <c r="T241" s="109"/>
      <c r="U241" s="109"/>
      <c r="V241" s="109"/>
      <c r="W241" s="109"/>
      <c r="X241" s="109"/>
      <c r="Y241" s="109"/>
      <c r="Z241" s="109"/>
    </row>
    <row r="242" spans="1:26" ht="13.5" customHeight="1">
      <c r="A242" s="155">
        <f t="shared" ref="A242:A253" si="80">$A$194</f>
        <v>46223</v>
      </c>
      <c r="B242" s="156">
        <f>'CHICLETS MASTER S1'!Z53</f>
        <v>0.33333333333333331</v>
      </c>
      <c r="C242" s="122" t="s">
        <v>383</v>
      </c>
      <c r="D242" s="122" t="str">
        <f t="shared" ref="D242:D253" si="81">$D$240</f>
        <v>LONG BEACH CC 2</v>
      </c>
      <c r="E242" s="122">
        <v>120</v>
      </c>
      <c r="F242" s="134" t="s">
        <v>1206</v>
      </c>
      <c r="G242" s="134"/>
      <c r="H242" s="134" t="s">
        <v>1205</v>
      </c>
      <c r="I242" s="134"/>
      <c r="J242" s="134"/>
      <c r="K242" s="134"/>
      <c r="L242" s="134" t="str">
        <f t="shared" ref="L242:L253" si="82">IF(E242="","",$L$15&amp;"-"&amp;TEXT(E242,"000"))</f>
        <v>14G-120</v>
      </c>
      <c r="M242" s="109"/>
      <c r="N242" s="109" t="str">
        <f t="shared" ref="N242:N253" si="83">$L$256&amp;C242</f>
        <v>au_21-24 RR</v>
      </c>
      <c r="O242" s="109"/>
      <c r="P242" s="109"/>
      <c r="Q242" s="109"/>
      <c r="R242" s="109"/>
      <c r="S242" s="109"/>
      <c r="T242" s="109"/>
      <c r="U242" s="109"/>
      <c r="V242" s="109"/>
      <c r="W242" s="109"/>
      <c r="X242" s="109"/>
      <c r="Y242" s="109"/>
      <c r="Z242" s="109"/>
    </row>
    <row r="243" spans="1:26" ht="13.5" customHeight="1">
      <c r="A243" s="155">
        <f t="shared" si="80"/>
        <v>46223</v>
      </c>
      <c r="B243" s="156">
        <f>'CHICLETS MASTER S1'!Z54</f>
        <v>0.375</v>
      </c>
      <c r="C243" s="122" t="s">
        <v>383</v>
      </c>
      <c r="D243" s="122" t="str">
        <f t="shared" si="81"/>
        <v>LONG BEACH CC 2</v>
      </c>
      <c r="E243" s="122">
        <v>124</v>
      </c>
      <c r="F243" s="134" t="s">
        <v>1295</v>
      </c>
      <c r="G243" s="134"/>
      <c r="H243" s="134" t="s">
        <v>1296</v>
      </c>
      <c r="I243" s="134"/>
      <c r="J243" s="134"/>
      <c r="K243" s="134"/>
      <c r="L243" s="134" t="str">
        <f t="shared" si="82"/>
        <v>14G-124</v>
      </c>
      <c r="M243" s="109"/>
      <c r="N243" s="109" t="str">
        <f t="shared" si="83"/>
        <v>au_21-24 RR</v>
      </c>
      <c r="O243" s="109"/>
      <c r="P243" s="109"/>
      <c r="Q243" s="109"/>
      <c r="R243" s="109"/>
      <c r="S243" s="109"/>
      <c r="T243" s="109"/>
      <c r="U243" s="109"/>
      <c r="V243" s="109"/>
      <c r="W243" s="109"/>
      <c r="X243" s="109"/>
      <c r="Y243" s="109"/>
      <c r="Z243" s="109"/>
    </row>
    <row r="244" spans="1:26" ht="13.5" customHeight="1">
      <c r="A244" s="155">
        <f t="shared" si="80"/>
        <v>46223</v>
      </c>
      <c r="B244" s="156">
        <f>'CHICLETS MASTER S1'!Z55</f>
        <v>0.41666666666666702</v>
      </c>
      <c r="C244" s="122" t="s">
        <v>388</v>
      </c>
      <c r="D244" s="122" t="str">
        <f t="shared" si="81"/>
        <v>LONG BEACH CC 2</v>
      </c>
      <c r="E244" s="122">
        <v>128</v>
      </c>
      <c r="F244" s="134" t="str">
        <f>IF(G172 = "", "L115", IF(G172 &lt; I172, _xlfn.CONCAT("L115-", RIGHT(F172, LEN(F172) - FIND("-", F172))), _xlfn.CONCAT("L115-", RIGHT(H172, LEN(H172) - FIND("-", H172)))))</f>
        <v>L115</v>
      </c>
      <c r="G244" s="134"/>
      <c r="H244" s="134" t="s">
        <v>1212</v>
      </c>
      <c r="I244" s="134"/>
      <c r="J244" s="134">
        <v>152</v>
      </c>
      <c r="K244" s="134">
        <v>156</v>
      </c>
      <c r="L244" s="134" t="str">
        <f t="shared" si="82"/>
        <v>14G-128</v>
      </c>
      <c r="M244" s="109"/>
      <c r="N244" s="109" t="str">
        <f t="shared" si="83"/>
        <v>au_13-20 qtr</v>
      </c>
      <c r="O244" s="109"/>
      <c r="P244" s="109"/>
      <c r="Q244" s="109"/>
      <c r="R244" s="109"/>
      <c r="S244" s="109"/>
      <c r="T244" s="109"/>
      <c r="U244" s="109"/>
      <c r="V244" s="109"/>
      <c r="W244" s="109"/>
      <c r="X244" s="109"/>
      <c r="Y244" s="109"/>
      <c r="Z244" s="109"/>
    </row>
    <row r="245" spans="1:26" ht="13.5" customHeight="1">
      <c r="A245" s="155">
        <f t="shared" si="80"/>
        <v>46223</v>
      </c>
      <c r="B245" s="156">
        <f>'CHICLETS MASTER S1'!Z56</f>
        <v>0.45833333333333298</v>
      </c>
      <c r="C245" s="122" t="s">
        <v>388</v>
      </c>
      <c r="D245" s="122" t="str">
        <f t="shared" si="81"/>
        <v>LONG BEACH CC 2</v>
      </c>
      <c r="E245" s="122">
        <v>132</v>
      </c>
      <c r="F245" s="134" t="str">
        <f>IF(G191 = "", "L116", IF(G191 &lt; I191, _xlfn.CONCAT("L116-", RIGHT(F191, LEN(F191) - FIND("-", F191))), _xlfn.CONCAT("L116-", RIGHT(H191, LEN(H191) - FIND("-", H191)))))</f>
        <v>L116</v>
      </c>
      <c r="G245" s="134"/>
      <c r="H245" s="134" t="s">
        <v>1297</v>
      </c>
      <c r="I245" s="170"/>
      <c r="J245" s="134">
        <v>152</v>
      </c>
      <c r="K245" s="134">
        <v>156</v>
      </c>
      <c r="L245" s="134" t="str">
        <f t="shared" si="82"/>
        <v>14G-132</v>
      </c>
      <c r="M245" s="109"/>
      <c r="N245" s="109" t="str">
        <f t="shared" si="83"/>
        <v>au_13-20 qtr</v>
      </c>
      <c r="O245" s="109"/>
      <c r="P245" s="109"/>
      <c r="Q245" s="109"/>
      <c r="R245" s="109"/>
      <c r="S245" s="109"/>
      <c r="T245" s="109"/>
      <c r="U245" s="109"/>
      <c r="V245" s="109"/>
      <c r="W245" s="109"/>
      <c r="X245" s="109"/>
      <c r="Y245" s="109"/>
      <c r="Z245" s="109"/>
    </row>
    <row r="246" spans="1:26" ht="13.5" customHeight="1">
      <c r="A246" s="155">
        <f t="shared" si="80"/>
        <v>46223</v>
      </c>
      <c r="B246" s="156">
        <f>'CHICLETS MASTER S1'!Z57</f>
        <v>0.5</v>
      </c>
      <c r="C246" s="122" t="s">
        <v>388</v>
      </c>
      <c r="D246" s="122" t="str">
        <f t="shared" si="81"/>
        <v>LONG BEACH CC 2</v>
      </c>
      <c r="E246" s="122">
        <v>136</v>
      </c>
      <c r="F246" s="134" t="str">
        <f>IF(G171 = "", "L111", IF(G171 &lt; I171, _xlfn.CONCAT("L111-", RIGHT(F171, LEN(F171) - FIND("-", F171))), _xlfn.CONCAT("L111-", RIGHT(H171, LEN(H171) - FIND("-", H171)))))</f>
        <v>L111</v>
      </c>
      <c r="G246" s="134"/>
      <c r="H246" s="134" t="s">
        <v>1298</v>
      </c>
      <c r="I246" s="134"/>
      <c r="J246" s="134">
        <v>160</v>
      </c>
      <c r="K246" s="134">
        <v>164</v>
      </c>
      <c r="L246" s="134" t="str">
        <f t="shared" si="82"/>
        <v>14G-136</v>
      </c>
      <c r="M246" s="109"/>
      <c r="N246" s="109" t="str">
        <f t="shared" si="83"/>
        <v>au_13-20 qtr</v>
      </c>
      <c r="O246" s="109"/>
      <c r="P246" s="109"/>
      <c r="Q246" s="109"/>
      <c r="R246" s="109"/>
      <c r="S246" s="109"/>
      <c r="T246" s="109"/>
      <c r="U246" s="109"/>
      <c r="V246" s="109"/>
      <c r="W246" s="109"/>
      <c r="X246" s="109"/>
      <c r="Y246" s="109"/>
      <c r="Z246" s="109"/>
    </row>
    <row r="247" spans="1:26" ht="13.5" customHeight="1">
      <c r="A247" s="155">
        <f t="shared" si="80"/>
        <v>46223</v>
      </c>
      <c r="B247" s="156">
        <f>'CHICLETS MASTER S1'!Z58</f>
        <v>0.54166666666666696</v>
      </c>
      <c r="C247" s="122" t="s">
        <v>388</v>
      </c>
      <c r="D247" s="122" t="str">
        <f t="shared" si="81"/>
        <v>LONG BEACH CC 2</v>
      </c>
      <c r="E247" s="122">
        <v>140</v>
      </c>
      <c r="F247" s="134" t="str">
        <f>IF(G190 = "", "L112", IF(G190 &lt; I190, _xlfn.CONCAT("L112-", RIGHT(F190, LEN(F190) - FIND("-", F190))), _xlfn.CONCAT("L112-", RIGHT(H190, LEN(H190) - FIND("-", H190)))))</f>
        <v>L112</v>
      </c>
      <c r="G247" s="134"/>
      <c r="H247" s="134" t="s">
        <v>1211</v>
      </c>
      <c r="I247" s="134"/>
      <c r="J247" s="134">
        <v>160</v>
      </c>
      <c r="K247" s="134">
        <v>164</v>
      </c>
      <c r="L247" s="134" t="str">
        <f t="shared" si="82"/>
        <v>14G-140</v>
      </c>
      <c r="M247" s="109"/>
      <c r="N247" s="109" t="str">
        <f t="shared" si="83"/>
        <v>au_13-20 qtr</v>
      </c>
      <c r="O247" s="109"/>
      <c r="P247" s="109"/>
      <c r="Q247" s="109"/>
      <c r="R247" s="109"/>
      <c r="S247" s="109"/>
      <c r="T247" s="109"/>
      <c r="U247" s="109"/>
      <c r="V247" s="109"/>
      <c r="W247" s="109"/>
      <c r="X247" s="109"/>
      <c r="Y247" s="109"/>
      <c r="Z247" s="109"/>
    </row>
    <row r="248" spans="1:26" ht="13.5" customHeight="1">
      <c r="A248" s="155">
        <f t="shared" si="80"/>
        <v>46223</v>
      </c>
      <c r="B248" s="156">
        <f>'CHICLETS MASTER S1'!Z59</f>
        <v>0.58333333333333304</v>
      </c>
      <c r="C248" s="122" t="s">
        <v>383</v>
      </c>
      <c r="D248" s="122" t="str">
        <f t="shared" si="81"/>
        <v>LONG BEACH CC 2</v>
      </c>
      <c r="E248" s="122">
        <v>144</v>
      </c>
      <c r="F248" s="134" t="s">
        <v>1206</v>
      </c>
      <c r="G248" s="134"/>
      <c r="H248" s="134" t="s">
        <v>1296</v>
      </c>
      <c r="I248" s="170"/>
      <c r="J248" s="134"/>
      <c r="K248" s="134"/>
      <c r="L248" s="134" t="str">
        <f t="shared" si="82"/>
        <v>14G-144</v>
      </c>
      <c r="M248" s="109"/>
      <c r="N248" s="109" t="str">
        <f t="shared" si="83"/>
        <v>au_21-24 RR</v>
      </c>
      <c r="O248" s="109"/>
      <c r="P248" s="109"/>
      <c r="Q248" s="109"/>
      <c r="R248" s="109"/>
      <c r="S248" s="109"/>
      <c r="T248" s="109"/>
      <c r="U248" s="109"/>
      <c r="V248" s="109"/>
      <c r="W248" s="109"/>
      <c r="X248" s="109"/>
      <c r="Y248" s="109"/>
      <c r="Z248" s="109"/>
    </row>
    <row r="249" spans="1:26" ht="13.5" customHeight="1">
      <c r="A249" s="155">
        <f t="shared" si="80"/>
        <v>46223</v>
      </c>
      <c r="B249" s="156">
        <f>'CHICLETS MASTER S1'!Z60</f>
        <v>0.625</v>
      </c>
      <c r="C249" s="122" t="s">
        <v>383</v>
      </c>
      <c r="D249" s="122" t="str">
        <f t="shared" si="81"/>
        <v>LONG BEACH CC 2</v>
      </c>
      <c r="E249" s="122">
        <v>148</v>
      </c>
      <c r="F249" s="172" t="s">
        <v>1295</v>
      </c>
      <c r="G249" s="134"/>
      <c r="H249" s="134" t="s">
        <v>1205</v>
      </c>
      <c r="I249" s="134"/>
      <c r="J249" s="134"/>
      <c r="K249" s="134"/>
      <c r="L249" s="134" t="str">
        <f t="shared" si="82"/>
        <v>14G-148</v>
      </c>
      <c r="M249" s="109"/>
      <c r="N249" s="109" t="str">
        <f t="shared" si="83"/>
        <v>au_21-24 RR</v>
      </c>
      <c r="O249" s="109"/>
      <c r="P249" s="109"/>
      <c r="Q249" s="109"/>
      <c r="R249" s="109"/>
      <c r="S249" s="109"/>
      <c r="T249" s="109"/>
      <c r="U249" s="109"/>
      <c r="V249" s="109"/>
      <c r="W249" s="109"/>
      <c r="X249" s="109"/>
      <c r="Y249" s="109"/>
      <c r="Z249" s="109"/>
    </row>
    <row r="250" spans="1:26" ht="13.5" customHeight="1">
      <c r="A250" s="155">
        <f t="shared" si="80"/>
        <v>46223</v>
      </c>
      <c r="B250" s="156">
        <f>'CHICLETS MASTER S1'!Z61</f>
        <v>0.66666666666666696</v>
      </c>
      <c r="C250" s="122" t="s">
        <v>393</v>
      </c>
      <c r="D250" s="122" t="str">
        <f t="shared" si="81"/>
        <v>LONG BEACH CC 2</v>
      </c>
      <c r="E250" s="173">
        <v>152</v>
      </c>
      <c r="F250" s="134" t="str">
        <f>IF(G244 = "", "W128", IF(G244 &gt; I244, _xlfn.CONCAT("W128-", RIGHT(F244, LEN(F244) - FIND("-", F244))), _xlfn.CONCAT("W128-", RIGHT(H244, LEN(H244) - FIND("-", H244)))))</f>
        <v>W128</v>
      </c>
      <c r="G250" s="174"/>
      <c r="H250" s="134" t="str">
        <f>IF(G245 = "", "W132", IF(G245 &gt; I245, _xlfn.CONCAT("W132-", RIGHT(F245, LEN(F245) - FIND("-", F245))), _xlfn.CONCAT("W132-", RIGHT(H245, LEN(H245) - FIND("-", H245)))))</f>
        <v>W132</v>
      </c>
      <c r="I250" s="134"/>
      <c r="J250" s="134">
        <v>179</v>
      </c>
      <c r="K250" s="134">
        <v>180</v>
      </c>
      <c r="L250" s="134" t="str">
        <f t="shared" si="82"/>
        <v>14G-152</v>
      </c>
      <c r="M250" s="109"/>
      <c r="N250" s="109" t="str">
        <f t="shared" si="83"/>
        <v>au_13-16 semi</v>
      </c>
      <c r="O250" s="109"/>
      <c r="P250" s="109"/>
      <c r="Q250" s="109"/>
      <c r="R250" s="109"/>
      <c r="S250" s="109"/>
      <c r="T250" s="109"/>
      <c r="U250" s="109"/>
      <c r="V250" s="109"/>
      <c r="W250" s="109"/>
      <c r="X250" s="109"/>
      <c r="Y250" s="109"/>
      <c r="Z250" s="109"/>
    </row>
    <row r="251" spans="1:26" ht="13.5" customHeight="1">
      <c r="A251" s="155">
        <f t="shared" si="80"/>
        <v>46223</v>
      </c>
      <c r="B251" s="156">
        <f>'CHICLETS MASTER S1'!Z62</f>
        <v>0.70833333333333304</v>
      </c>
      <c r="C251" s="122" t="s">
        <v>394</v>
      </c>
      <c r="D251" s="122" t="str">
        <f t="shared" si="81"/>
        <v>LONG BEACH CC 2</v>
      </c>
      <c r="E251" s="122">
        <v>156</v>
      </c>
      <c r="F251" s="175" t="str">
        <f>IF(G245 = "", "L132", IF(G245 &lt; I245, _xlfn.CONCAT("L132-", RIGHT(F245, LEN(F245) - FIND("-", F245))), _xlfn.CONCAT("L132-", RIGHT(H245, LEN(H245) - FIND("-", H245)))))</f>
        <v>L132</v>
      </c>
      <c r="G251" s="134"/>
      <c r="H251" s="134" t="str">
        <f>IF(G244 = "", "L128", IF(G244 &lt; I244, _xlfn.CONCAT("L128-", RIGHT(F244, LEN(F244) - FIND("-", F244))), _xlfn.CONCAT("L128-", RIGHT(H244, LEN(H244) - FIND("-", H244)))))</f>
        <v>L128</v>
      </c>
      <c r="I251" s="134"/>
      <c r="J251" s="134">
        <v>175</v>
      </c>
      <c r="K251" s="134">
        <v>176</v>
      </c>
      <c r="L251" s="134" t="str">
        <f t="shared" si="82"/>
        <v>14G-156</v>
      </c>
      <c r="M251" s="109"/>
      <c r="N251" s="109" t="str">
        <f t="shared" si="83"/>
        <v>au_17-20 semi</v>
      </c>
      <c r="O251" s="109"/>
      <c r="P251" s="109"/>
      <c r="Q251" s="109"/>
      <c r="R251" s="109"/>
      <c r="S251" s="109"/>
      <c r="T251" s="109"/>
      <c r="U251" s="109"/>
      <c r="V251" s="109"/>
      <c r="W251" s="109"/>
      <c r="X251" s="109"/>
      <c r="Y251" s="109"/>
      <c r="Z251" s="109"/>
    </row>
    <row r="252" spans="1:26" ht="13.5" customHeight="1">
      <c r="A252" s="155">
        <f t="shared" si="80"/>
        <v>46223</v>
      </c>
      <c r="B252" s="156">
        <f>'CHICLETS MASTER S1'!Z63</f>
        <v>0.75</v>
      </c>
      <c r="C252" s="122" t="s">
        <v>393</v>
      </c>
      <c r="D252" s="122" t="str">
        <f t="shared" si="81"/>
        <v>LONG BEACH CC 2</v>
      </c>
      <c r="E252" s="122">
        <v>160</v>
      </c>
      <c r="F252" s="134" t="str">
        <f>IF(G246 = "", "W136", IF(G246 &gt; I246, _xlfn.CONCAT("W136-", RIGHT(F246, LEN(F246) - FIND("-", F246))), _xlfn.CONCAT("W136-", RIGHT(H246, LEN(H246) - FIND("-", H246)))))</f>
        <v>W136</v>
      </c>
      <c r="G252" s="170"/>
      <c r="H252" s="134" t="str">
        <f>IF(G247 = "", "W140", IF(G247 &gt; I247, _xlfn.CONCAT("W140-", RIGHT(F247, LEN(F247) - FIND("-", F247))), _xlfn.CONCAT("W140-", RIGHT(H247, LEN(H247) - FIND("-", H247)))))</f>
        <v>W140</v>
      </c>
      <c r="I252" s="134"/>
      <c r="J252" s="134">
        <v>179</v>
      </c>
      <c r="K252" s="134">
        <v>180</v>
      </c>
      <c r="L252" s="134" t="str">
        <f t="shared" si="82"/>
        <v>14G-160</v>
      </c>
      <c r="M252" s="109"/>
      <c r="N252" s="109" t="str">
        <f t="shared" si="83"/>
        <v>au_13-16 semi</v>
      </c>
      <c r="O252" s="109"/>
      <c r="P252" s="109"/>
      <c r="Q252" s="109"/>
      <c r="R252" s="109"/>
      <c r="S252" s="109"/>
      <c r="T252" s="109"/>
      <c r="U252" s="109"/>
      <c r="V252" s="109"/>
      <c r="W252" s="109"/>
      <c r="X252" s="109"/>
      <c r="Y252" s="109"/>
      <c r="Z252" s="109"/>
    </row>
    <row r="253" spans="1:26" ht="13.5" customHeight="1">
      <c r="A253" s="155">
        <f t="shared" si="80"/>
        <v>46223</v>
      </c>
      <c r="B253" s="156">
        <f>'CHICLETS MASTER S1'!Z64</f>
        <v>0.79166666666666696</v>
      </c>
      <c r="C253" s="122" t="s">
        <v>394</v>
      </c>
      <c r="D253" s="122" t="str">
        <f t="shared" si="81"/>
        <v>LONG BEACH CC 2</v>
      </c>
      <c r="E253" s="122">
        <v>164</v>
      </c>
      <c r="F253" s="134" t="str">
        <f>IF(G247 = "", "L140", IF(G247 &lt; I247, _xlfn.CONCAT("L140-", RIGHT(F247, LEN(F247) - FIND("-", F247))), _xlfn.CONCAT("L140-", RIGHT(H247, LEN(H247) - FIND("-", H247)))))</f>
        <v>L140</v>
      </c>
      <c r="G253" s="134"/>
      <c r="H253" s="134" t="str">
        <f>IF(G246 = "", "L136", IF(G246 &lt; I246, _xlfn.CONCAT("L136-", RIGHT(F246, LEN(F246) - FIND("-", F246))), _xlfn.CONCAT("L136-", RIGHT(H246, LEN(H246) - FIND("-", H246)))))</f>
        <v>L136</v>
      </c>
      <c r="I253" s="134"/>
      <c r="J253" s="134">
        <v>175</v>
      </c>
      <c r="K253" s="134">
        <v>176</v>
      </c>
      <c r="L253" s="134" t="str">
        <f t="shared" si="82"/>
        <v>14G-164</v>
      </c>
      <c r="M253" s="109"/>
      <c r="N253" s="109" t="str">
        <f t="shared" si="83"/>
        <v>au_17-20 semi</v>
      </c>
      <c r="O253" s="109"/>
      <c r="P253" s="109"/>
      <c r="Q253" s="109"/>
      <c r="R253" s="109"/>
      <c r="S253" s="109"/>
      <c r="T253" s="109"/>
      <c r="U253" s="109"/>
      <c r="V253" s="109"/>
      <c r="W253" s="109"/>
      <c r="X253" s="109"/>
      <c r="Y253" s="109"/>
      <c r="Z253" s="109"/>
    </row>
    <row r="254" spans="1:26" ht="13.5" customHeight="1" thickBot="1">
      <c r="A254" s="159"/>
      <c r="B254" s="160"/>
      <c r="C254" s="106"/>
      <c r="D254" s="106"/>
      <c r="E254" s="106"/>
      <c r="F254" s="106"/>
      <c r="G254" s="110"/>
      <c r="H254" s="106"/>
      <c r="I254" s="106"/>
      <c r="J254" s="106"/>
      <c r="K254" s="106"/>
      <c r="L254" s="106"/>
      <c r="M254" s="109"/>
      <c r="N254" s="109"/>
      <c r="O254" s="109"/>
      <c r="P254" s="109"/>
      <c r="Q254" s="109"/>
      <c r="R254" s="109"/>
      <c r="S254" s="109"/>
      <c r="T254" s="109"/>
      <c r="U254" s="109"/>
      <c r="V254" s="109"/>
      <c r="W254" s="109"/>
      <c r="X254" s="109"/>
      <c r="Y254" s="109"/>
      <c r="Z254" s="109"/>
    </row>
    <row r="255" spans="1:26" ht="13.5" customHeight="1" thickTop="1" thickBot="1">
      <c r="A255" s="153" t="s">
        <v>205</v>
      </c>
      <c r="B255" s="165"/>
      <c r="C255" s="165"/>
      <c r="D255" s="165"/>
      <c r="E255" s="165"/>
      <c r="F255" s="165"/>
      <c r="G255" s="166"/>
      <c r="H255" s="165"/>
      <c r="I255" s="165"/>
      <c r="J255" s="165"/>
      <c r="K255" s="165"/>
      <c r="L255" s="165"/>
      <c r="M255" s="109"/>
      <c r="N255" s="109"/>
      <c r="O255" s="109"/>
      <c r="P255" s="109"/>
      <c r="Q255" s="109"/>
      <c r="R255" s="109"/>
      <c r="S255" s="109"/>
      <c r="T255" s="109"/>
      <c r="U255" s="109"/>
      <c r="V255" s="109"/>
      <c r="W255" s="109"/>
      <c r="X255" s="109"/>
      <c r="Y255" s="109"/>
      <c r="Z255" s="109"/>
    </row>
    <row r="256" spans="1:26" ht="13.5" customHeight="1" thickBot="1">
      <c r="A256" s="108">
        <v>46224</v>
      </c>
      <c r="B256" s="109"/>
      <c r="C256" s="109"/>
      <c r="D256" s="109"/>
      <c r="E256" s="109"/>
      <c r="F256" s="109"/>
      <c r="G256" s="109"/>
      <c r="H256" s="109"/>
      <c r="I256" s="109"/>
      <c r="J256" s="109"/>
      <c r="K256" s="109" t="s">
        <v>373</v>
      </c>
      <c r="L256" s="109" t="s">
        <v>374</v>
      </c>
      <c r="M256" s="109"/>
      <c r="N256" s="109"/>
      <c r="O256" s="109"/>
      <c r="P256" s="109"/>
      <c r="Q256" s="109"/>
      <c r="R256" s="109"/>
      <c r="S256" s="109"/>
      <c r="T256" s="109"/>
      <c r="U256" s="109"/>
      <c r="V256" s="109"/>
      <c r="W256" s="109"/>
      <c r="X256" s="109"/>
      <c r="Y256" s="109"/>
      <c r="Z256" s="109"/>
    </row>
    <row r="257" spans="1:26" ht="13.5" customHeight="1" thickBot="1">
      <c r="A257" s="106"/>
      <c r="B257" s="106"/>
      <c r="C257" s="106"/>
      <c r="D257" s="150" t="str">
        <f>'CHICLETS MASTER S1'!$AB$72</f>
        <v>UC IRVINE 2</v>
      </c>
      <c r="E257" s="106"/>
      <c r="F257" s="106"/>
      <c r="G257" s="110"/>
      <c r="H257" s="106"/>
      <c r="I257" s="110"/>
      <c r="J257" s="106"/>
      <c r="K257" s="106"/>
      <c r="L257" s="106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</row>
    <row r="258" spans="1:26" ht="13.5" customHeight="1">
      <c r="A258" s="151" t="s">
        <v>110</v>
      </c>
      <c r="B258" s="154" t="s">
        <v>111</v>
      </c>
      <c r="C258" s="154" t="s">
        <v>112</v>
      </c>
      <c r="D258" s="154" t="s">
        <v>113</v>
      </c>
      <c r="E258" s="154" t="s">
        <v>114</v>
      </c>
      <c r="F258" s="154" t="s">
        <v>115</v>
      </c>
      <c r="G258" s="154" t="s">
        <v>116</v>
      </c>
      <c r="H258" s="154" t="s">
        <v>117</v>
      </c>
      <c r="I258" s="154" t="s">
        <v>116</v>
      </c>
      <c r="J258" s="154" t="s">
        <v>118</v>
      </c>
      <c r="K258" s="154" t="s">
        <v>119</v>
      </c>
      <c r="L258" s="154" t="s">
        <v>120</v>
      </c>
      <c r="M258" s="109"/>
      <c r="N258" s="109"/>
      <c r="O258" s="109"/>
      <c r="P258" s="109"/>
      <c r="Q258" s="109"/>
      <c r="R258" s="109"/>
      <c r="S258" s="109"/>
      <c r="T258" s="109"/>
      <c r="U258" s="109"/>
      <c r="V258" s="109"/>
      <c r="W258" s="109"/>
      <c r="X258" s="109"/>
      <c r="Y258" s="109"/>
      <c r="Z258" s="109"/>
    </row>
    <row r="259" spans="1:26" ht="13.5" customHeight="1">
      <c r="A259" s="155">
        <f t="shared" ref="A259:A265" si="84">$A$256</f>
        <v>46224</v>
      </c>
      <c r="B259" s="156">
        <f>'CHICLETS MASTER S1'!Z73</f>
        <v>0.29166666666666669</v>
      </c>
      <c r="C259" s="122" t="s">
        <v>383</v>
      </c>
      <c r="D259" s="122" t="str">
        <f t="shared" ref="D259:D265" si="85">$D$257</f>
        <v>UC IRVINE 2</v>
      </c>
      <c r="E259" s="122">
        <v>165</v>
      </c>
      <c r="F259" s="169" t="s">
        <v>384</v>
      </c>
      <c r="G259" s="171"/>
      <c r="H259" s="169" t="s">
        <v>386</v>
      </c>
      <c r="I259" s="171"/>
      <c r="J259" s="169"/>
      <c r="K259" s="169"/>
      <c r="L259" s="169" t="str">
        <f t="shared" ref="L259:L265" si="86">$L$15&amp;"-"&amp;TEXT(E259,"000")</f>
        <v>14G-165</v>
      </c>
      <c r="M259" s="109"/>
      <c r="N259" s="109" t="str">
        <f t="shared" ref="N259:N265" si="87">$K$256&amp;C259</f>
        <v>pt_21-24 RR</v>
      </c>
      <c r="O259" s="109"/>
      <c r="P259" s="109"/>
      <c r="Q259" s="109"/>
      <c r="R259" s="109"/>
      <c r="S259" s="109"/>
      <c r="T259" s="109"/>
      <c r="U259" s="109"/>
      <c r="V259" s="109"/>
      <c r="W259" s="109"/>
      <c r="X259" s="109"/>
      <c r="Y259" s="109"/>
      <c r="Z259" s="109"/>
    </row>
    <row r="260" spans="1:26" ht="13.5" customHeight="1">
      <c r="A260" s="155">
        <f t="shared" si="84"/>
        <v>46224</v>
      </c>
      <c r="B260" s="156">
        <f>'CHICLETS MASTER S1'!Z74</f>
        <v>0.33333333333333298</v>
      </c>
      <c r="C260" s="122" t="s">
        <v>383</v>
      </c>
      <c r="D260" s="122" t="str">
        <f t="shared" si="85"/>
        <v>UC IRVINE 2</v>
      </c>
      <c r="E260" s="122">
        <v>166</v>
      </c>
      <c r="F260" s="169" t="s">
        <v>387</v>
      </c>
      <c r="G260" s="171"/>
      <c r="H260" s="169" t="s">
        <v>385</v>
      </c>
      <c r="I260" s="171"/>
      <c r="J260" s="169"/>
      <c r="K260" s="169"/>
      <c r="L260" s="169" t="str">
        <f t="shared" si="86"/>
        <v>14G-166</v>
      </c>
      <c r="M260" s="109"/>
      <c r="N260" s="109" t="str">
        <f t="shared" si="87"/>
        <v>pt_21-24 RR</v>
      </c>
      <c r="O260" s="109"/>
      <c r="P260" s="109"/>
      <c r="Q260" s="109"/>
      <c r="R260" s="109"/>
      <c r="S260" s="109"/>
      <c r="T260" s="109"/>
      <c r="U260" s="109"/>
      <c r="V260" s="109"/>
      <c r="W260" s="109"/>
      <c r="X260" s="109"/>
      <c r="Y260" s="109"/>
      <c r="Z260" s="109"/>
    </row>
    <row r="261" spans="1:26" ht="13.5" customHeight="1">
      <c r="A261" s="155">
        <f t="shared" si="84"/>
        <v>46224</v>
      </c>
      <c r="B261" s="156">
        <f>'CHICLETS MASTER S1'!Z75</f>
        <v>0.375</v>
      </c>
      <c r="C261" s="122" t="s">
        <v>224</v>
      </c>
      <c r="D261" s="122" t="str">
        <f t="shared" si="85"/>
        <v>UC IRVINE 2</v>
      </c>
      <c r="E261" s="122">
        <v>174</v>
      </c>
      <c r="F261" s="169" t="str">
        <f>IF(G201 = "", "W133", IF(G201 &gt; I201, _xlfn.CONCAT("W133-", RIGHT(F201, LEN(F201) - FIND("-", F201))), _xlfn.CONCAT("W133-", RIGHT(H201, LEN(H201) - FIND("-", H201)))))</f>
        <v>W133</v>
      </c>
      <c r="G261" s="171"/>
      <c r="H261" s="169" t="str">
        <f>IF(G208 = "", "W161", IF(G208 &gt; I208, _xlfn.CONCAT("W161-", RIGHT(F208, LEN(F208) - FIND("-", F208))), _xlfn.CONCAT("W161-", RIGHT(H208, LEN(H208) - FIND("-", H208)))))</f>
        <v>W161</v>
      </c>
      <c r="I261" s="171"/>
      <c r="J261" s="169">
        <v>192</v>
      </c>
      <c r="K261" s="169">
        <v>191</v>
      </c>
      <c r="L261" s="169" t="str">
        <f t="shared" si="86"/>
        <v>14G-174</v>
      </c>
      <c r="M261" s="109"/>
      <c r="N261" s="109" t="str">
        <f t="shared" si="87"/>
        <v>pt_semi</v>
      </c>
      <c r="O261" s="109"/>
      <c r="P261" s="109"/>
      <c r="Q261" s="109"/>
      <c r="R261" s="109"/>
      <c r="S261" s="109"/>
      <c r="T261" s="109"/>
      <c r="U261" s="109"/>
      <c r="V261" s="109"/>
      <c r="W261" s="109"/>
      <c r="X261" s="109"/>
      <c r="Y261" s="109"/>
      <c r="Z261" s="109"/>
    </row>
    <row r="262" spans="1:26" ht="13.5" customHeight="1">
      <c r="A262" s="155">
        <f t="shared" si="84"/>
        <v>46224</v>
      </c>
      <c r="B262" s="156">
        <f>'CHICLETS MASTER S1'!Z76</f>
        <v>0.41666666666666702</v>
      </c>
      <c r="C262" s="122" t="s">
        <v>413</v>
      </c>
      <c r="D262" s="122" t="str">
        <f t="shared" si="85"/>
        <v>UC IRVINE 2</v>
      </c>
      <c r="E262" s="122">
        <v>178</v>
      </c>
      <c r="F262" s="169" t="str">
        <f>IF(G220 = "", "W150", IF(G220 &gt; I220, _xlfn.CONCAT("W150-", RIGHT(F220, LEN(F220) - FIND("-", F220))), _xlfn.CONCAT("W150-", RIGHT(H220, LEN(H220) - FIND("-", H220)))))</f>
        <v>W150</v>
      </c>
      <c r="G262" s="171"/>
      <c r="H262" s="169" t="str">
        <f>IF(G222 = "", "W158", IF(G222 &gt; I222, _xlfn.CONCAT("W158-", RIGHT(F222, LEN(F222) - FIND("-", F222))), _xlfn.CONCAT("W158-", RIGHT(H222, LEN(H222) - FIND("-", H222)))))</f>
        <v>W158</v>
      </c>
      <c r="I262" s="171"/>
      <c r="J262" s="169" t="s">
        <v>413</v>
      </c>
      <c r="K262" s="169" t="s">
        <v>414</v>
      </c>
      <c r="L262" s="169" t="str">
        <f t="shared" si="86"/>
        <v>14G-178</v>
      </c>
      <c r="M262" s="109"/>
      <c r="N262" s="109" t="str">
        <f t="shared" si="87"/>
        <v>pt_13th</v>
      </c>
      <c r="O262" s="109"/>
      <c r="P262" s="109"/>
      <c r="Q262" s="109"/>
      <c r="R262" s="109"/>
      <c r="S262" s="109"/>
      <c r="T262" s="109"/>
      <c r="U262" s="109"/>
      <c r="V262" s="109"/>
      <c r="W262" s="109"/>
      <c r="X262" s="109"/>
      <c r="Y262" s="109"/>
      <c r="Z262" s="109"/>
    </row>
    <row r="263" spans="1:26" ht="13.5" customHeight="1">
      <c r="A263" s="155">
        <f t="shared" si="84"/>
        <v>46224</v>
      </c>
      <c r="B263" s="156">
        <f>'CHICLETS MASTER S1'!Z77</f>
        <v>0.45833333333333298</v>
      </c>
      <c r="C263" s="122" t="s">
        <v>407</v>
      </c>
      <c r="D263" s="122" t="str">
        <f t="shared" si="85"/>
        <v>UC IRVINE 2</v>
      </c>
      <c r="E263" s="122">
        <v>177</v>
      </c>
      <c r="F263" s="169" t="str">
        <f>IF(G220 = "", "L150", IF(G220 &lt; I220, _xlfn.CONCAT("L150-", RIGHT(F220, LEN(F220) - FIND("-", F220))), _xlfn.CONCAT("L150-", RIGHT(H220, LEN(H220) - FIND("-", H220)))))</f>
        <v>L150</v>
      </c>
      <c r="G263" s="171"/>
      <c r="H263" s="169" t="str">
        <f>IF(G222 = "", "L158", IF(G222 &lt; I222, _xlfn.CONCAT("L158-", RIGHT(F222, LEN(F222) - FIND("-", F222))), _xlfn.CONCAT("L158-", RIGHT(H222, LEN(H222) - FIND("-", H222)))))</f>
        <v>L158</v>
      </c>
      <c r="I263" s="171"/>
      <c r="J263" s="169" t="s">
        <v>407</v>
      </c>
      <c r="K263" s="169" t="s">
        <v>408</v>
      </c>
      <c r="L263" s="169" t="str">
        <f t="shared" si="86"/>
        <v>14G-177</v>
      </c>
      <c r="M263" s="109"/>
      <c r="N263" s="109" t="str">
        <f t="shared" si="87"/>
        <v>pt_15th</v>
      </c>
      <c r="O263" s="109"/>
      <c r="P263" s="109"/>
      <c r="Q263" s="109"/>
      <c r="R263" s="109"/>
      <c r="S263" s="109"/>
      <c r="T263" s="109"/>
      <c r="U263" s="109"/>
      <c r="V263" s="109"/>
      <c r="W263" s="109"/>
      <c r="X263" s="109"/>
      <c r="Y263" s="109"/>
      <c r="Z263" s="109"/>
    </row>
    <row r="264" spans="1:26" ht="13.5" customHeight="1">
      <c r="A264" s="155">
        <f t="shared" si="84"/>
        <v>46224</v>
      </c>
      <c r="B264" s="156">
        <f>'CHICLETS MASTER S1'!Z78</f>
        <v>0.5</v>
      </c>
      <c r="C264" s="122" t="s">
        <v>411</v>
      </c>
      <c r="D264" s="122" t="str">
        <f t="shared" si="85"/>
        <v>UC IRVINE 2</v>
      </c>
      <c r="E264" s="122">
        <v>170</v>
      </c>
      <c r="F264" s="169" t="str">
        <f>IF(G221 = "", "W154", IF(G221 &gt; I221, _xlfn.CONCAT("W154-", RIGHT(F221, LEN(F221) - FIND("-", F221))), _xlfn.CONCAT("W154-", RIGHT(H221, LEN(H221) - FIND("-", H221)))))</f>
        <v>W154</v>
      </c>
      <c r="G264" s="171"/>
      <c r="H264" s="169" t="str">
        <f>IF(G223 = "", "W162", IF(G223 &gt; I223, _xlfn.CONCAT("W162-", RIGHT(F223, LEN(F223) - FIND("-", F223))), _xlfn.CONCAT("W162-", RIGHT(H223, LEN(H223) - FIND("-", H223)))))</f>
        <v>W162</v>
      </c>
      <c r="I264" s="171"/>
      <c r="J264" s="169" t="s">
        <v>411</v>
      </c>
      <c r="K264" s="169" t="s">
        <v>412</v>
      </c>
      <c r="L264" s="169" t="str">
        <f t="shared" si="86"/>
        <v>14G-170</v>
      </c>
      <c r="M264" s="109"/>
      <c r="N264" s="109" t="str">
        <f t="shared" si="87"/>
        <v>pt_17th</v>
      </c>
      <c r="O264" s="109"/>
      <c r="P264" s="109"/>
      <c r="Q264" s="109"/>
      <c r="R264" s="109"/>
      <c r="S264" s="109"/>
      <c r="T264" s="109"/>
      <c r="U264" s="109"/>
      <c r="V264" s="109"/>
      <c r="W264" s="109"/>
      <c r="X264" s="109"/>
      <c r="Y264" s="109"/>
      <c r="Z264" s="109"/>
    </row>
    <row r="265" spans="1:26" ht="13.5" customHeight="1">
      <c r="A265" s="155">
        <f t="shared" si="84"/>
        <v>46224</v>
      </c>
      <c r="B265" s="156">
        <f>'CHICLETS MASTER S1'!Z79</f>
        <v>0.54166666666666696</v>
      </c>
      <c r="C265" s="122" t="s">
        <v>409</v>
      </c>
      <c r="D265" s="122" t="str">
        <f t="shared" si="85"/>
        <v>UC IRVINE 2</v>
      </c>
      <c r="E265" s="122">
        <v>169</v>
      </c>
      <c r="F265" s="169" t="str">
        <f>IF(G221 = "", "L154", IF(G221 &lt; I221, _xlfn.CONCAT("L154-", RIGHT(F221, LEN(F221) - FIND("-", F221))), _xlfn.CONCAT("L154-", RIGHT(H221, LEN(H221) - FIND("-", H221)))))</f>
        <v>L154</v>
      </c>
      <c r="G265" s="171"/>
      <c r="H265" s="169" t="str">
        <f>IF(G223 = "", "L162", IF(G223 &lt; I223, _xlfn.CONCAT("L162-", RIGHT(F223, LEN(F223) - FIND("-", F223))), _xlfn.CONCAT("L162-", RIGHT(H223, LEN(H223) - FIND("-", H223)))))</f>
        <v>L162</v>
      </c>
      <c r="I265" s="171"/>
      <c r="J265" s="169" t="s">
        <v>409</v>
      </c>
      <c r="K265" s="169" t="s">
        <v>410</v>
      </c>
      <c r="L265" s="169" t="str">
        <f t="shared" si="86"/>
        <v>14G-169</v>
      </c>
      <c r="M265" s="109"/>
      <c r="N265" s="109" t="str">
        <f t="shared" si="87"/>
        <v>pt_19th</v>
      </c>
      <c r="O265" s="109"/>
      <c r="P265" s="109"/>
      <c r="Q265" s="109"/>
      <c r="R265" s="109"/>
      <c r="S265" s="109"/>
      <c r="T265" s="109"/>
      <c r="U265" s="109"/>
      <c r="V265" s="109"/>
      <c r="W265" s="109"/>
      <c r="X265" s="109"/>
      <c r="Y265" s="109"/>
      <c r="Z265" s="109"/>
    </row>
    <row r="266" spans="1:26" ht="13.5" customHeight="1" thickBot="1">
      <c r="A266" s="158"/>
      <c r="B266" s="160"/>
      <c r="C266" s="106"/>
      <c r="D266" s="106"/>
      <c r="E266" s="109"/>
      <c r="F266" s="109"/>
      <c r="G266" s="109"/>
      <c r="H266" s="109"/>
      <c r="I266" s="109"/>
      <c r="J266" s="109"/>
      <c r="K266" s="109"/>
      <c r="L266" s="109"/>
      <c r="M266" s="109"/>
      <c r="N266" s="109"/>
      <c r="O266" s="109"/>
      <c r="P266" s="109"/>
      <c r="Q266" s="109"/>
      <c r="R266" s="109"/>
      <c r="S266" s="109"/>
      <c r="T266" s="109"/>
      <c r="U266" s="109"/>
      <c r="V266" s="109"/>
      <c r="W266" s="109"/>
      <c r="X266" s="109"/>
      <c r="Y266" s="109"/>
      <c r="Z266" s="109"/>
    </row>
    <row r="267" spans="1:26" ht="13.5" customHeight="1" thickBot="1">
      <c r="A267" s="106"/>
      <c r="B267" s="106"/>
      <c r="C267" s="106"/>
      <c r="D267" s="150" t="str">
        <f>'CHICLETS MASTER S1'!$AA$72</f>
        <v>GARDEN GROVE HS</v>
      </c>
      <c r="E267" s="106"/>
      <c r="F267" s="106"/>
      <c r="G267" s="110"/>
      <c r="H267" s="106"/>
      <c r="I267" s="110"/>
      <c r="J267" s="106"/>
      <c r="K267" s="106"/>
      <c r="L267" s="106"/>
      <c r="M267" s="109"/>
      <c r="N267" s="109"/>
      <c r="O267" s="109"/>
      <c r="P267" s="109"/>
      <c r="Q267" s="109"/>
      <c r="R267" s="109"/>
      <c r="S267" s="109"/>
      <c r="T267" s="109"/>
      <c r="U267" s="109"/>
      <c r="V267" s="109"/>
      <c r="W267" s="109"/>
      <c r="X267" s="109"/>
      <c r="Y267" s="109"/>
      <c r="Z267" s="109"/>
    </row>
    <row r="268" spans="1:26" ht="13.5" customHeight="1">
      <c r="A268" s="151" t="s">
        <v>110</v>
      </c>
      <c r="B268" s="154" t="s">
        <v>111</v>
      </c>
      <c r="C268" s="154" t="s">
        <v>112</v>
      </c>
      <c r="D268" s="154" t="s">
        <v>113</v>
      </c>
      <c r="E268" s="154" t="s">
        <v>114</v>
      </c>
      <c r="F268" s="154" t="s">
        <v>115</v>
      </c>
      <c r="G268" s="154" t="s">
        <v>116</v>
      </c>
      <c r="H268" s="154" t="s">
        <v>117</v>
      </c>
      <c r="I268" s="154" t="s">
        <v>116</v>
      </c>
      <c r="J268" s="154" t="s">
        <v>118</v>
      </c>
      <c r="K268" s="154" t="s">
        <v>119</v>
      </c>
      <c r="L268" s="154" t="s">
        <v>120</v>
      </c>
      <c r="M268" s="109"/>
      <c r="N268" s="109"/>
      <c r="O268" s="109"/>
      <c r="P268" s="109"/>
      <c r="Q268" s="109"/>
      <c r="R268" s="109"/>
      <c r="S268" s="109"/>
      <c r="T268" s="109"/>
      <c r="U268" s="109"/>
      <c r="V268" s="109"/>
      <c r="W268" s="109"/>
      <c r="X268" s="109"/>
      <c r="Y268" s="109"/>
      <c r="Z268" s="109"/>
    </row>
    <row r="269" spans="1:26" ht="13.5" customHeight="1">
      <c r="A269" s="155">
        <f t="shared" ref="A269:A293" si="88">$A$256</f>
        <v>46224</v>
      </c>
      <c r="B269" s="156">
        <f>'CHICLETS MASTER S1'!U73</f>
        <v>0.29166666666666669</v>
      </c>
      <c r="C269" s="122" t="s">
        <v>383</v>
      </c>
      <c r="D269" s="122" t="str">
        <f t="shared" ref="D269:D275" si="89">$D$267</f>
        <v>GARDEN GROVE HS</v>
      </c>
      <c r="E269" s="122">
        <v>167</v>
      </c>
      <c r="F269" s="134" t="s">
        <v>1295</v>
      </c>
      <c r="G269" s="170"/>
      <c r="H269" s="134" t="s">
        <v>1206</v>
      </c>
      <c r="I269" s="170"/>
      <c r="J269" s="134"/>
      <c r="K269" s="134"/>
      <c r="L269" s="134" t="str">
        <f t="shared" ref="L269:L275" si="90">$L$15&amp;"-"&amp;TEXT(E269,"000")</f>
        <v>14G-167</v>
      </c>
      <c r="M269" s="109"/>
      <c r="N269" s="109" t="str">
        <f t="shared" ref="N269:N275" si="91">$L$256&amp;C269</f>
        <v>au_21-24 RR</v>
      </c>
      <c r="O269" s="109"/>
      <c r="P269" s="109"/>
      <c r="Q269" s="109"/>
      <c r="R269" s="109"/>
      <c r="S269" s="109"/>
      <c r="T269" s="109"/>
      <c r="U269" s="109"/>
      <c r="V269" s="109"/>
      <c r="W269" s="109"/>
      <c r="X269" s="109"/>
      <c r="Y269" s="109"/>
      <c r="Z269" s="109"/>
    </row>
    <row r="270" spans="1:26" ht="13.5" customHeight="1">
      <c r="A270" s="155">
        <f t="shared" si="88"/>
        <v>46224</v>
      </c>
      <c r="B270" s="156">
        <f>'CHICLETS MASTER S1'!U74</f>
        <v>0.33333333333333298</v>
      </c>
      <c r="C270" s="122" t="s">
        <v>383</v>
      </c>
      <c r="D270" s="122" t="str">
        <f t="shared" si="89"/>
        <v>GARDEN GROVE HS</v>
      </c>
      <c r="E270" s="122">
        <v>168</v>
      </c>
      <c r="F270" s="134" t="s">
        <v>1205</v>
      </c>
      <c r="G270" s="170"/>
      <c r="H270" s="134" t="s">
        <v>1296</v>
      </c>
      <c r="I270" s="170"/>
      <c r="J270" s="134"/>
      <c r="K270" s="134"/>
      <c r="L270" s="134" t="str">
        <f t="shared" si="90"/>
        <v>14G-168</v>
      </c>
      <c r="M270" s="109"/>
      <c r="N270" s="109" t="str">
        <f t="shared" si="91"/>
        <v>au_21-24 RR</v>
      </c>
      <c r="O270" s="109"/>
      <c r="P270" s="109"/>
      <c r="Q270" s="109"/>
      <c r="R270" s="109"/>
      <c r="S270" s="109"/>
      <c r="T270" s="109"/>
      <c r="U270" s="109"/>
      <c r="V270" s="109"/>
      <c r="W270" s="109"/>
      <c r="X270" s="109"/>
      <c r="Y270" s="109"/>
      <c r="Z270" s="109"/>
    </row>
    <row r="271" spans="1:26" ht="13.5" customHeight="1">
      <c r="A271" s="155">
        <f t="shared" si="88"/>
        <v>46224</v>
      </c>
      <c r="B271" s="156">
        <f>'CHICLETS MASTER S1'!U75</f>
        <v>0.375</v>
      </c>
      <c r="C271" s="122" t="s">
        <v>222</v>
      </c>
      <c r="D271" s="122" t="str">
        <f t="shared" si="89"/>
        <v>GARDEN GROVE HS</v>
      </c>
      <c r="E271" s="122">
        <v>183</v>
      </c>
      <c r="F271" s="134" t="str">
        <f>IF(G235 = "", "W151", IF(G235 &gt; I235, _xlfn.CONCAT("W151-", RIGHT(F235, LEN(F235) - FIND("-", F235))), _xlfn.CONCAT("W151-", RIGHT(H235, LEN(H235) - FIND("-", H235)))))</f>
        <v>W151</v>
      </c>
      <c r="G271" s="170"/>
      <c r="H271" s="134" t="str">
        <f>IF(G236 = "", "W155", IF(G236 &gt; I236, _xlfn.CONCAT("W155-", RIGHT(F236, LEN(F236) - FIND("-", F236))), _xlfn.CONCAT("W155-", RIGHT(H236, LEN(H236) - FIND("-", H236)))))</f>
        <v>W155</v>
      </c>
      <c r="I271" s="170"/>
      <c r="J271" s="134" t="s">
        <v>222</v>
      </c>
      <c r="K271" s="134" t="s">
        <v>223</v>
      </c>
      <c r="L271" s="134" t="str">
        <f t="shared" si="90"/>
        <v>14G-183</v>
      </c>
      <c r="M271" s="109"/>
      <c r="N271" s="109" t="str">
        <f t="shared" si="91"/>
        <v>au_9th</v>
      </c>
      <c r="O271" s="109"/>
      <c r="P271" s="109"/>
      <c r="Q271" s="109"/>
      <c r="R271" s="109"/>
      <c r="S271" s="109"/>
      <c r="T271" s="109"/>
      <c r="U271" s="109"/>
      <c r="V271" s="109"/>
      <c r="W271" s="109"/>
      <c r="X271" s="109"/>
      <c r="Y271" s="109"/>
      <c r="Z271" s="109"/>
    </row>
    <row r="272" spans="1:26" ht="13.5" customHeight="1">
      <c r="A272" s="155">
        <f t="shared" si="88"/>
        <v>46224</v>
      </c>
      <c r="B272" s="156">
        <f>'CHICLETS MASTER S1'!U76</f>
        <v>0.41666666666666702</v>
      </c>
      <c r="C272" s="122" t="s">
        <v>218</v>
      </c>
      <c r="D272" s="122" t="str">
        <f t="shared" si="89"/>
        <v>GARDEN GROVE HS</v>
      </c>
      <c r="E272" s="122">
        <v>184</v>
      </c>
      <c r="F272" s="134" t="str">
        <f>IF(G235 = "", "L151", IF(G235 &lt; I235, _xlfn.CONCAT("L151-", RIGHT(F235, LEN(F235) - FIND("-", F235))), _xlfn.CONCAT("L151-", RIGHT(H235, LEN(H235) - FIND("-", H235)))))</f>
        <v>L151</v>
      </c>
      <c r="G272" s="170"/>
      <c r="H272" s="134" t="str">
        <f>IF(G236 = "", "L155", IF(G236 &lt; I236, _xlfn.CONCAT("L155-", RIGHT(F236, LEN(F236) - FIND("-", F236))), _xlfn.CONCAT("L155-", RIGHT(H236, LEN(H236) - FIND("-", H236)))))</f>
        <v>L155</v>
      </c>
      <c r="I272" s="170"/>
      <c r="J272" s="134" t="s">
        <v>218</v>
      </c>
      <c r="K272" s="134" t="s">
        <v>219</v>
      </c>
      <c r="L272" s="134" t="str">
        <f t="shared" si="90"/>
        <v>14G-184</v>
      </c>
      <c r="M272" s="109"/>
      <c r="N272" s="109" t="str">
        <f t="shared" si="91"/>
        <v>au_11th</v>
      </c>
      <c r="O272" s="109"/>
      <c r="P272" s="109"/>
      <c r="Q272" s="109"/>
      <c r="R272" s="109"/>
      <c r="S272" s="109"/>
      <c r="T272" s="109"/>
      <c r="U272" s="109"/>
      <c r="V272" s="109"/>
      <c r="W272" s="109"/>
      <c r="X272" s="109"/>
      <c r="Y272" s="109"/>
      <c r="Z272" s="109"/>
    </row>
    <row r="273" spans="1:26" ht="13.5" customHeight="1">
      <c r="A273" s="155">
        <f t="shared" si="88"/>
        <v>46224</v>
      </c>
      <c r="B273" s="156">
        <f>'CHICLETS MASTER S1'!U77</f>
        <v>0.45833333333333298</v>
      </c>
      <c r="C273" s="122" t="s">
        <v>413</v>
      </c>
      <c r="D273" s="122" t="str">
        <f t="shared" si="89"/>
        <v>GARDEN GROVE HS</v>
      </c>
      <c r="E273" s="122">
        <v>179</v>
      </c>
      <c r="F273" s="134" t="str">
        <f>IF(G250 = "", "W152", IF(G250 &gt; I250, _xlfn.CONCAT("W152-", RIGHT(F250, LEN(F250) - FIND("-", F250))), _xlfn.CONCAT("W152-", RIGHT(H250, LEN(H250) - FIND("-", H250)))))</f>
        <v>W152</v>
      </c>
      <c r="G273" s="170"/>
      <c r="H273" s="134" t="str">
        <f>IF(G252 = "", "W160", IF(G252 &gt; I252, _xlfn.CONCAT("W160-", RIGHT(F252, LEN(F252) - FIND("-", F252))), _xlfn.CONCAT("W160-", RIGHT(H252, LEN(H252) - FIND("-", H252)))))</f>
        <v>W160</v>
      </c>
      <c r="I273" s="170"/>
      <c r="J273" s="134" t="s">
        <v>413</v>
      </c>
      <c r="K273" s="134" t="s">
        <v>414</v>
      </c>
      <c r="L273" s="134" t="str">
        <f t="shared" si="90"/>
        <v>14G-179</v>
      </c>
      <c r="M273" s="109"/>
      <c r="N273" s="109" t="str">
        <f t="shared" si="91"/>
        <v>au_13th</v>
      </c>
      <c r="O273" s="109"/>
      <c r="P273" s="109"/>
      <c r="Q273" s="109"/>
      <c r="R273" s="109"/>
      <c r="S273" s="109"/>
      <c r="T273" s="109"/>
      <c r="U273" s="109"/>
      <c r="V273" s="109"/>
      <c r="W273" s="109"/>
      <c r="X273" s="109"/>
      <c r="Y273" s="109"/>
      <c r="Z273" s="109"/>
    </row>
    <row r="274" spans="1:26" ht="13.5" customHeight="1">
      <c r="A274" s="155">
        <f t="shared" si="88"/>
        <v>46224</v>
      </c>
      <c r="B274" s="156">
        <f>'CHICLETS MASTER S1'!U78</f>
        <v>0.5</v>
      </c>
      <c r="C274" s="122" t="s">
        <v>407</v>
      </c>
      <c r="D274" s="122" t="str">
        <f t="shared" si="89"/>
        <v>GARDEN GROVE HS</v>
      </c>
      <c r="E274" s="122">
        <v>180</v>
      </c>
      <c r="F274" s="134" t="str">
        <f>IF(G250 = "", "L152", IF(G250 &lt; I250, _xlfn.CONCAT("L152-", RIGHT(F250, LEN(F250) - FIND("-", F250))), _xlfn.CONCAT("L152-", RIGHT(H250, LEN(H250) - FIND("-", H250)))))</f>
        <v>L152</v>
      </c>
      <c r="G274" s="170"/>
      <c r="H274" s="134" t="str">
        <f>IF(G252 = "", "L160", IF(G252 &lt; I252, _xlfn.CONCAT("L160-", RIGHT(F252, LEN(F252) - FIND("-", F252))), _xlfn.CONCAT("L160-", RIGHT(H252, LEN(H252) - FIND("-", H252)))))</f>
        <v>L160</v>
      </c>
      <c r="I274" s="170"/>
      <c r="J274" s="134" t="s">
        <v>407</v>
      </c>
      <c r="K274" s="134" t="s">
        <v>408</v>
      </c>
      <c r="L274" s="134" t="str">
        <f t="shared" si="90"/>
        <v>14G-180</v>
      </c>
      <c r="M274" s="109"/>
      <c r="N274" s="109" t="str">
        <f t="shared" si="91"/>
        <v>au_15th</v>
      </c>
      <c r="O274" s="109"/>
      <c r="P274" s="109"/>
      <c r="Q274" s="109"/>
      <c r="R274" s="109"/>
      <c r="S274" s="109"/>
      <c r="T274" s="109"/>
      <c r="U274" s="109"/>
      <c r="V274" s="109"/>
      <c r="W274" s="109"/>
      <c r="X274" s="109"/>
      <c r="Y274" s="109"/>
      <c r="Z274" s="109"/>
    </row>
    <row r="275" spans="1:26" ht="13.5" customHeight="1">
      <c r="A275" s="155">
        <f t="shared" si="88"/>
        <v>46224</v>
      </c>
      <c r="B275" s="156">
        <f>'CHICLETS MASTER S1'!U79</f>
        <v>0.54166666666666696</v>
      </c>
      <c r="C275" s="122" t="s">
        <v>411</v>
      </c>
      <c r="D275" s="122" t="str">
        <f t="shared" si="89"/>
        <v>GARDEN GROVE HS</v>
      </c>
      <c r="E275" s="122">
        <v>175</v>
      </c>
      <c r="F275" s="134" t="str">
        <f>IF(G251 = "", "W156", IF(G251 &gt; I251, _xlfn.CONCAT("W156-", RIGHT(F251, LEN(F251) - FIND("-", F251))), _xlfn.CONCAT("W156-", RIGHT(H251, LEN(H251) - FIND("-", H251)))))</f>
        <v>W156</v>
      </c>
      <c r="G275" s="170"/>
      <c r="H275" s="134" t="str">
        <f>IF(G253 = "", "W164", IF(G253 &gt; I253, _xlfn.CONCAT("W164-", RIGHT(F253, LEN(F253) - FIND("-", F253))), _xlfn.CONCAT("W164-", RIGHT(H253, LEN(H253) - FIND("-", H253)))))</f>
        <v>W164</v>
      </c>
      <c r="I275" s="170"/>
      <c r="J275" s="134" t="s">
        <v>411</v>
      </c>
      <c r="K275" s="134" t="s">
        <v>412</v>
      </c>
      <c r="L275" s="134" t="str">
        <f t="shared" si="90"/>
        <v>14G-175</v>
      </c>
      <c r="M275" s="109"/>
      <c r="N275" s="109" t="str">
        <f t="shared" si="91"/>
        <v>au_17th</v>
      </c>
      <c r="O275" s="109"/>
      <c r="P275" s="109"/>
      <c r="Q275" s="109"/>
      <c r="R275" s="109"/>
      <c r="S275" s="109"/>
      <c r="T275" s="109"/>
      <c r="U275" s="109"/>
      <c r="V275" s="109"/>
      <c r="W275" s="109"/>
      <c r="X275" s="109"/>
      <c r="Y275" s="109"/>
      <c r="Z275" s="109"/>
    </row>
    <row r="276" spans="1:26" ht="13.5" customHeight="1" thickBot="1">
      <c r="A276" s="158"/>
      <c r="B276" s="160"/>
      <c r="C276" s="106"/>
      <c r="D276" s="176"/>
      <c r="E276" s="109"/>
      <c r="F276" s="109"/>
      <c r="G276" s="161"/>
      <c r="H276" s="109"/>
      <c r="I276" s="109"/>
      <c r="J276" s="109"/>
      <c r="K276" s="109"/>
      <c r="L276" s="109"/>
      <c r="M276" s="109"/>
      <c r="N276" s="109"/>
      <c r="O276" s="109"/>
      <c r="P276" s="109"/>
      <c r="Q276" s="109"/>
      <c r="R276" s="109"/>
      <c r="S276" s="109"/>
      <c r="T276" s="109"/>
      <c r="U276" s="109"/>
      <c r="V276" s="109"/>
      <c r="W276" s="109"/>
      <c r="X276" s="109"/>
      <c r="Y276" s="109"/>
      <c r="Z276" s="109"/>
    </row>
    <row r="277" spans="1:26" ht="13.5" customHeight="1" thickBot="1">
      <c r="A277" s="106"/>
      <c r="B277" s="106"/>
      <c r="C277" s="106"/>
      <c r="D277" s="150" t="str">
        <f>'CHICLETS MASTER S1'!$V$72</f>
        <v>UC IRVINE 1</v>
      </c>
      <c r="E277" s="109"/>
      <c r="F277" s="109"/>
      <c r="G277" s="109"/>
      <c r="H277" s="109"/>
      <c r="I277" s="109"/>
      <c r="J277" s="109"/>
      <c r="K277" s="109"/>
      <c r="L277" s="109"/>
      <c r="M277" s="109"/>
      <c r="N277" s="109"/>
      <c r="O277" s="109"/>
      <c r="P277" s="109"/>
      <c r="Q277" s="109"/>
      <c r="R277" s="109"/>
      <c r="S277" s="109"/>
      <c r="T277" s="109"/>
      <c r="U277" s="109"/>
      <c r="V277" s="109"/>
      <c r="W277" s="109"/>
      <c r="X277" s="109"/>
      <c r="Y277" s="109"/>
      <c r="Z277" s="109"/>
    </row>
    <row r="278" spans="1:26" ht="13.5" customHeight="1">
      <c r="A278" s="151" t="s">
        <v>110</v>
      </c>
      <c r="B278" s="154" t="s">
        <v>111</v>
      </c>
      <c r="C278" s="154" t="s">
        <v>112</v>
      </c>
      <c r="D278" s="154" t="s">
        <v>113</v>
      </c>
      <c r="E278" s="154" t="s">
        <v>114</v>
      </c>
      <c r="F278" s="154" t="s">
        <v>115</v>
      </c>
      <c r="G278" s="154" t="s">
        <v>116</v>
      </c>
      <c r="H278" s="154" t="s">
        <v>117</v>
      </c>
      <c r="I278" s="154" t="s">
        <v>116</v>
      </c>
      <c r="J278" s="154" t="s">
        <v>118</v>
      </c>
      <c r="K278" s="154" t="s">
        <v>119</v>
      </c>
      <c r="L278" s="154" t="s">
        <v>120</v>
      </c>
      <c r="M278" s="109"/>
      <c r="N278" s="109"/>
      <c r="O278" s="109"/>
      <c r="P278" s="109"/>
      <c r="Q278" s="109"/>
      <c r="R278" s="109"/>
      <c r="S278" s="109"/>
      <c r="T278" s="109"/>
      <c r="U278" s="109"/>
      <c r="V278" s="109"/>
      <c r="W278" s="109"/>
      <c r="X278" s="109"/>
      <c r="Y278" s="109"/>
      <c r="Z278" s="109"/>
    </row>
    <row r="279" spans="1:26" ht="13.5" customHeight="1">
      <c r="A279" s="155">
        <f t="shared" ref="A279:A283" si="92">$A$256</f>
        <v>46224</v>
      </c>
      <c r="B279" s="156">
        <f>'CHICLETS MASTER S1'!Z73</f>
        <v>0.29166666666666669</v>
      </c>
      <c r="C279" s="122" t="s">
        <v>220</v>
      </c>
      <c r="D279" s="122" t="str">
        <f t="shared" ref="D279:D283" si="93">$D$277</f>
        <v>UC IRVINE 1</v>
      </c>
      <c r="E279" s="122">
        <v>185</v>
      </c>
      <c r="F279" s="169" t="str">
        <f>IF(G203 = "", "L141", IF(G203 &lt; I203, _xlfn.CONCAT("L141-", RIGHT(F203, LEN(F203) - FIND("-", F203))), _xlfn.CONCAT("L141-", RIGHT(H203, LEN(H203) - FIND("-", H203)))))</f>
        <v>L141</v>
      </c>
      <c r="G279" s="171"/>
      <c r="H279" s="169" t="str">
        <f>IF(G204 = "", "L145", IF(G204 &lt; I204, _xlfn.CONCAT("L145-", RIGHT(F204, LEN(F204) - FIND("-", F204))), _xlfn.CONCAT("L145-", RIGHT(H204, LEN(H204) - FIND("-", H204)))))</f>
        <v>L145</v>
      </c>
      <c r="I279" s="171"/>
      <c r="J279" s="169" t="s">
        <v>220</v>
      </c>
      <c r="K279" s="169" t="s">
        <v>221</v>
      </c>
      <c r="L279" s="169" t="str">
        <f t="shared" ref="L279:L283" si="94">$L$15&amp;"-"&amp;TEXT(E279,"000")</f>
        <v>14G-185</v>
      </c>
      <c r="M279" s="109"/>
      <c r="N279" s="109" t="str">
        <f t="shared" ref="N279:N283" si="95">$K$256&amp;C279</f>
        <v>pt_7th</v>
      </c>
      <c r="O279" s="109"/>
      <c r="P279" s="109"/>
      <c r="Q279" s="109"/>
      <c r="R279" s="109"/>
      <c r="S279" s="109"/>
      <c r="T279" s="109"/>
      <c r="U279" s="109"/>
      <c r="V279" s="109"/>
      <c r="W279" s="109"/>
      <c r="X279" s="109"/>
      <c r="Y279" s="109"/>
      <c r="Z279" s="109"/>
    </row>
    <row r="280" spans="1:26" ht="13.5" customHeight="1">
      <c r="A280" s="155">
        <f t="shared" si="92"/>
        <v>46224</v>
      </c>
      <c r="B280" s="156">
        <f>'CHICLETS MASTER S1'!Z74</f>
        <v>0.33333333333333298</v>
      </c>
      <c r="C280" s="122" t="s">
        <v>206</v>
      </c>
      <c r="D280" s="122" t="str">
        <f t="shared" si="93"/>
        <v>UC IRVINE 1</v>
      </c>
      <c r="E280" s="122">
        <v>186</v>
      </c>
      <c r="F280" s="169" t="str">
        <f>IF(G207 = "", "L157", IF(G207 &lt; I207, _xlfn.CONCAT("L157-", RIGHT(F207, LEN(F207) - FIND("-", F207))), _xlfn.CONCAT("L157-", RIGHT(H207, LEN(H207) - FIND("-", H207)))))</f>
        <v>L157</v>
      </c>
      <c r="G280" s="171"/>
      <c r="H280" s="169" t="str">
        <f>IF(G208 = "", "L161", IF(G208 &lt; I208, _xlfn.CONCAT("L161-", RIGHT(F208, LEN(F208) - FIND("-", F208))), _xlfn.CONCAT("L161-", RIGHT(H208, LEN(H208) - FIND("-", H208)))))</f>
        <v>L161</v>
      </c>
      <c r="I280" s="171"/>
      <c r="J280" s="169" t="s">
        <v>206</v>
      </c>
      <c r="K280" s="169" t="s">
        <v>209</v>
      </c>
      <c r="L280" s="169" t="str">
        <f t="shared" si="94"/>
        <v>14G-186</v>
      </c>
      <c r="M280" s="109"/>
      <c r="N280" s="109" t="str">
        <f t="shared" si="95"/>
        <v>pt_5th</v>
      </c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</row>
    <row r="281" spans="1:26" ht="13.5" customHeight="1">
      <c r="A281" s="155">
        <f t="shared" si="92"/>
        <v>46224</v>
      </c>
      <c r="B281" s="156">
        <f>'CHICLETS MASTER S1'!Z75</f>
        <v>0.375</v>
      </c>
      <c r="C281" s="122" t="s">
        <v>224</v>
      </c>
      <c r="D281" s="122" t="str">
        <f t="shared" si="93"/>
        <v>UC IRVINE 1</v>
      </c>
      <c r="E281" s="122">
        <v>173</v>
      </c>
      <c r="F281" s="169" t="str">
        <f>IF(G202 = "", "W137", IF(G202 &gt; I202, _xlfn.CONCAT("W137-", RIGHT(F202, LEN(F202) - FIND("-", F202))), _xlfn.CONCAT("W137-", RIGHT(H202, LEN(H202) - FIND("-", H202)))))</f>
        <v>W137</v>
      </c>
      <c r="G281" s="171"/>
      <c r="H281" s="169" t="str">
        <f>IF(G207 = "", "W157", IF(G207 &gt; I207, _xlfn.CONCAT("W157-", RIGHT(F207, LEN(F207) - FIND("-", F207))), _xlfn.CONCAT("W157-", RIGHT(H207, LEN(H207) - FIND("-", H207)))))</f>
        <v>W157</v>
      </c>
      <c r="I281" s="171"/>
      <c r="J281" s="169">
        <v>192</v>
      </c>
      <c r="K281" s="169">
        <v>191</v>
      </c>
      <c r="L281" s="169" t="str">
        <f t="shared" si="94"/>
        <v>14G-173</v>
      </c>
      <c r="M281" s="109"/>
      <c r="N281" s="109" t="str">
        <f t="shared" si="95"/>
        <v>pt_semi</v>
      </c>
      <c r="O281" s="109"/>
      <c r="P281" s="109"/>
      <c r="Q281" s="109"/>
      <c r="R281" s="109"/>
      <c r="S281" s="109"/>
      <c r="T281" s="109"/>
      <c r="U281" s="109"/>
      <c r="V281" s="109"/>
      <c r="W281" s="109"/>
      <c r="X281" s="109"/>
      <c r="Y281" s="109"/>
      <c r="Z281" s="109"/>
    </row>
    <row r="282" spans="1:26" ht="13.5" customHeight="1">
      <c r="A282" s="155">
        <f t="shared" si="92"/>
        <v>46224</v>
      </c>
      <c r="B282" s="156">
        <f>'CHICLETS MASTER S1'!Z76</f>
        <v>0.41666666666666702</v>
      </c>
      <c r="C282" s="122" t="s">
        <v>222</v>
      </c>
      <c r="D282" s="122" t="str">
        <f t="shared" si="93"/>
        <v>UC IRVINE 1</v>
      </c>
      <c r="E282" s="122">
        <v>182</v>
      </c>
      <c r="F282" s="169" t="str">
        <f>IF(G205 = "", "W149", IF(G205 &gt; I205, _xlfn.CONCAT("W149-", RIGHT(F205, LEN(F205) - FIND("-", F205))), _xlfn.CONCAT("W149-", RIGHT(H205, LEN(H205) - FIND("-", H205)))))</f>
        <v>W149</v>
      </c>
      <c r="G282" s="171"/>
      <c r="H282" s="169" t="str">
        <f>IF(G206 = "", "W153", IF(G206 &gt; I206, _xlfn.CONCAT("W153-", RIGHT(F206, LEN(F206) - FIND("-", F206))), _xlfn.CONCAT("W153-", RIGHT(H206, LEN(H206) - FIND("-", H206)))))</f>
        <v>W153</v>
      </c>
      <c r="I282" s="171"/>
      <c r="J282" s="169" t="s">
        <v>222</v>
      </c>
      <c r="K282" s="169" t="s">
        <v>223</v>
      </c>
      <c r="L282" s="169" t="str">
        <f t="shared" si="94"/>
        <v>14G-182</v>
      </c>
      <c r="M282" s="109"/>
      <c r="N282" s="109" t="str">
        <f t="shared" si="95"/>
        <v>pt_9th</v>
      </c>
      <c r="O282" s="109"/>
      <c r="P282" s="109"/>
      <c r="Q282" s="109"/>
      <c r="R282" s="109"/>
      <c r="S282" s="109"/>
      <c r="T282" s="109"/>
      <c r="U282" s="109"/>
      <c r="V282" s="109"/>
      <c r="W282" s="109"/>
      <c r="X282" s="109"/>
      <c r="Y282" s="109"/>
      <c r="Z282" s="109"/>
    </row>
    <row r="283" spans="1:26" ht="13.5" customHeight="1">
      <c r="A283" s="155">
        <f t="shared" si="92"/>
        <v>46224</v>
      </c>
      <c r="B283" s="156">
        <f>'CHICLETS MASTER S1'!Z77</f>
        <v>0.45833333333333298</v>
      </c>
      <c r="C283" s="122" t="s">
        <v>218</v>
      </c>
      <c r="D283" s="122" t="str">
        <f t="shared" si="93"/>
        <v>UC IRVINE 1</v>
      </c>
      <c r="E283" s="122">
        <v>181</v>
      </c>
      <c r="F283" s="169" t="str">
        <f>IF(G205 = "", "L149", IF(G205 &lt; I205, _xlfn.CONCAT("L149-", RIGHT(F205, LEN(F205) - FIND("-", F205))), _xlfn.CONCAT("L149-", RIGHT(H205, LEN(H205) - FIND("-", H205)))))</f>
        <v>L149</v>
      </c>
      <c r="G283" s="171"/>
      <c r="H283" s="169" t="str">
        <f>IF(G206 = "", "L153", IF(G206 &lt; I206, _xlfn.CONCAT("L153-", RIGHT(F206, LEN(F206) - FIND("-", F206))), _xlfn.CONCAT("L153-", RIGHT(H206, LEN(H206) - FIND("-", H206)))))</f>
        <v>L153</v>
      </c>
      <c r="I283" s="171"/>
      <c r="J283" s="169" t="s">
        <v>218</v>
      </c>
      <c r="K283" s="169" t="s">
        <v>219</v>
      </c>
      <c r="L283" s="169" t="str">
        <f t="shared" si="94"/>
        <v>14G-181</v>
      </c>
      <c r="M283" s="109"/>
      <c r="N283" s="109" t="str">
        <f t="shared" si="95"/>
        <v>pt_11th</v>
      </c>
      <c r="O283" s="109"/>
      <c r="P283" s="109"/>
      <c r="Q283" s="109"/>
      <c r="R283" s="109"/>
      <c r="S283" s="109"/>
      <c r="T283" s="109"/>
      <c r="U283" s="109"/>
      <c r="V283" s="109"/>
      <c r="W283" s="109"/>
      <c r="X283" s="109"/>
      <c r="Y283" s="109"/>
      <c r="Z283" s="109"/>
    </row>
    <row r="284" spans="1:26" ht="13.5" customHeight="1" thickBot="1">
      <c r="A284" s="158"/>
      <c r="B284" s="160"/>
      <c r="C284" s="106"/>
      <c r="D284" s="106"/>
      <c r="E284" s="109"/>
      <c r="F284" s="109"/>
      <c r="G284" s="161"/>
      <c r="H284" s="109"/>
      <c r="I284" s="109"/>
      <c r="J284" s="109"/>
      <c r="K284" s="109"/>
      <c r="L284" s="109"/>
      <c r="M284" s="109"/>
      <c r="N284" s="109"/>
      <c r="O284" s="109"/>
      <c r="P284" s="109"/>
      <c r="Q284" s="109"/>
      <c r="R284" s="109"/>
      <c r="S284" s="109"/>
      <c r="T284" s="109"/>
      <c r="U284" s="109"/>
      <c r="V284" s="109"/>
      <c r="W284" s="109"/>
      <c r="X284" s="109"/>
      <c r="Y284" s="109"/>
      <c r="Z284" s="109"/>
    </row>
    <row r="285" spans="1:26" ht="13.5" customHeight="1" thickBot="1">
      <c r="A285" s="106"/>
      <c r="B285" s="106"/>
      <c r="C285" s="106"/>
      <c r="D285" s="150" t="str">
        <f>'CHICLETS MASTER S1'!$AK$72</f>
        <v>LONG BEACH CC 2</v>
      </c>
      <c r="E285" s="106"/>
      <c r="F285" s="106"/>
      <c r="G285" s="110"/>
      <c r="H285" s="106"/>
      <c r="I285" s="110"/>
      <c r="J285" s="106"/>
      <c r="K285" s="106"/>
      <c r="L285" s="106"/>
      <c r="M285" s="109"/>
      <c r="N285" s="109"/>
      <c r="O285" s="109"/>
      <c r="P285" s="109"/>
      <c r="Q285" s="109"/>
      <c r="R285" s="109"/>
      <c r="S285" s="109"/>
      <c r="T285" s="109"/>
      <c r="U285" s="109"/>
      <c r="V285" s="109"/>
      <c r="W285" s="109"/>
      <c r="X285" s="109"/>
      <c r="Y285" s="109"/>
      <c r="Z285" s="109"/>
    </row>
    <row r="286" spans="1:26" ht="13.5" customHeight="1">
      <c r="A286" s="151" t="s">
        <v>110</v>
      </c>
      <c r="B286" s="154" t="s">
        <v>111</v>
      </c>
      <c r="C286" s="154" t="s">
        <v>112</v>
      </c>
      <c r="D286" s="154" t="s">
        <v>113</v>
      </c>
      <c r="E286" s="154" t="s">
        <v>114</v>
      </c>
      <c r="F286" s="154" t="s">
        <v>115</v>
      </c>
      <c r="G286" s="154" t="s">
        <v>116</v>
      </c>
      <c r="H286" s="154" t="s">
        <v>117</v>
      </c>
      <c r="I286" s="154" t="s">
        <v>116</v>
      </c>
      <c r="J286" s="154" t="s">
        <v>118</v>
      </c>
      <c r="K286" s="154" t="s">
        <v>119</v>
      </c>
      <c r="L286" s="154" t="s">
        <v>120</v>
      </c>
      <c r="M286" s="109"/>
      <c r="N286" s="109"/>
      <c r="O286" s="109"/>
      <c r="P286" s="109"/>
      <c r="Q286" s="109"/>
      <c r="R286" s="109"/>
      <c r="S286" s="109"/>
      <c r="T286" s="109"/>
      <c r="U286" s="109"/>
      <c r="V286" s="109"/>
      <c r="W286" s="109"/>
      <c r="X286" s="109"/>
      <c r="Y286" s="109"/>
      <c r="Z286" s="109"/>
    </row>
    <row r="287" spans="1:26" ht="13.5" customHeight="1">
      <c r="A287" s="155">
        <f t="shared" ref="A287:A292" si="96">$A$256</f>
        <v>46224</v>
      </c>
      <c r="B287" s="156">
        <f>'CHICLETS MASTER S1'!Z73</f>
        <v>0.29166666666666669</v>
      </c>
      <c r="C287" s="122" t="s">
        <v>224</v>
      </c>
      <c r="D287" s="122" t="str">
        <f t="shared" ref="D287:D293" si="97">$D$285</f>
        <v>LONG BEACH CC 2</v>
      </c>
      <c r="E287" s="122">
        <v>171</v>
      </c>
      <c r="F287" s="134" t="str">
        <f>IF(G232 = "", "W139", IF(G232 &gt; I232, _xlfn.CONCAT("W139-", RIGHT(F232, LEN(F232) - FIND("-", F232))), _xlfn.CONCAT("W139-", RIGHT(H232, LEN(H232) - FIND("-", H232)))))</f>
        <v>W139</v>
      </c>
      <c r="G287" s="170"/>
      <c r="H287" s="134" t="str">
        <f>IF(G237 = "", "W159", IF(G237 &gt; I237, _xlfn.CONCAT("W159-", RIGHT(F237, LEN(F237) - FIND("-", F237))), _xlfn.CONCAT("W159-", RIGHT(H237, LEN(H237) - FIND("-", H237)))))</f>
        <v>W159</v>
      </c>
      <c r="I287" s="170"/>
      <c r="J287" s="134">
        <v>190</v>
      </c>
      <c r="K287" s="134">
        <v>189</v>
      </c>
      <c r="L287" s="134" t="str">
        <f t="shared" ref="L287:L292" si="98">$L$15&amp;"-"&amp;TEXT(E287,"000")</f>
        <v>14G-171</v>
      </c>
      <c r="M287" s="109"/>
      <c r="N287" s="109" t="str">
        <f t="shared" ref="N287:N292" si="99">$L$256&amp;C287</f>
        <v>au_semi</v>
      </c>
      <c r="O287" s="109"/>
      <c r="P287" s="109"/>
      <c r="Q287" s="109"/>
      <c r="R287" s="109"/>
      <c r="S287" s="109"/>
      <c r="T287" s="109"/>
      <c r="U287" s="109"/>
      <c r="V287" s="109"/>
      <c r="W287" s="109"/>
      <c r="X287" s="109"/>
      <c r="Y287" s="109"/>
      <c r="Z287" s="109"/>
    </row>
    <row r="288" spans="1:26" ht="13.5" customHeight="1">
      <c r="A288" s="155">
        <f t="shared" si="96"/>
        <v>46224</v>
      </c>
      <c r="B288" s="156">
        <f>'CHICLETS MASTER S1'!Z74</f>
        <v>0.33333333333333298</v>
      </c>
      <c r="C288" s="122" t="s">
        <v>224</v>
      </c>
      <c r="D288" s="122" t="str">
        <f t="shared" si="97"/>
        <v>LONG BEACH CC 2</v>
      </c>
      <c r="E288" s="122">
        <v>172</v>
      </c>
      <c r="F288" s="134" t="str">
        <f>IF(G231 = "", "W135", IF(G231 &gt; I231, _xlfn.CONCAT("W135-", RIGHT(F231, LEN(F231) - FIND("-", F231))), _xlfn.CONCAT("W135-", RIGHT(H231, LEN(H231) - FIND("-", H231)))))</f>
        <v>W135</v>
      </c>
      <c r="G288" s="170"/>
      <c r="H288" s="134" t="str">
        <f>IF(G238 = "", "W163", IF(G238 &gt; I238, _xlfn.CONCAT("W163-", RIGHT(F238, LEN(F238) - FIND("-", F238))), _xlfn.CONCAT("W163-", RIGHT(H238, LEN(H238) - FIND("-", H238)))))</f>
        <v>W163</v>
      </c>
      <c r="I288" s="170"/>
      <c r="J288" s="134">
        <v>190</v>
      </c>
      <c r="K288" s="134">
        <v>189</v>
      </c>
      <c r="L288" s="134" t="str">
        <f t="shared" si="98"/>
        <v>14G-172</v>
      </c>
      <c r="M288" s="109"/>
      <c r="N288" s="109" t="str">
        <f t="shared" si="99"/>
        <v>au_semi</v>
      </c>
      <c r="O288" s="109"/>
      <c r="P288" s="109"/>
      <c r="Q288" s="109"/>
      <c r="R288" s="109"/>
      <c r="S288" s="109"/>
      <c r="T288" s="109"/>
      <c r="U288" s="109"/>
      <c r="V288" s="109"/>
      <c r="W288" s="109"/>
      <c r="X288" s="109"/>
      <c r="Y288" s="109"/>
      <c r="Z288" s="109"/>
    </row>
    <row r="289" spans="1:26" ht="13.5" customHeight="1">
      <c r="A289" s="155">
        <f t="shared" si="96"/>
        <v>46224</v>
      </c>
      <c r="B289" s="156">
        <f>'CHICLETS MASTER S1'!Z75</f>
        <v>0.375</v>
      </c>
      <c r="C289" s="122" t="s">
        <v>206</v>
      </c>
      <c r="D289" s="122" t="str">
        <f t="shared" si="97"/>
        <v>LONG BEACH CC 2</v>
      </c>
      <c r="E289" s="122">
        <v>187</v>
      </c>
      <c r="F289" s="134" t="str">
        <f>IF(G237 = "", "L159", IF(G237 &lt; I237, _xlfn.CONCAT("L159-", RIGHT(F237, LEN(F237) - FIND("-", F237))), _xlfn.CONCAT("L159-", RIGHT(H237, LEN(H237) - FIND("-", H237)))))</f>
        <v>L159</v>
      </c>
      <c r="G289" s="170"/>
      <c r="H289" s="134" t="str">
        <f>IF(G238 = "", "L163", IF(G238 &lt; I238, _xlfn.CONCAT("L163-", RIGHT(F238, LEN(F238) - FIND("-", F238))), _xlfn.CONCAT("L163-", RIGHT(H238, LEN(H238) - FIND("-", H238)))))</f>
        <v>L163</v>
      </c>
      <c r="I289" s="170"/>
      <c r="J289" s="134" t="s">
        <v>206</v>
      </c>
      <c r="K289" s="134" t="s">
        <v>209</v>
      </c>
      <c r="L289" s="134" t="str">
        <f t="shared" si="98"/>
        <v>14G-187</v>
      </c>
      <c r="M289" s="109"/>
      <c r="N289" s="109" t="str">
        <f t="shared" si="99"/>
        <v>au_5th</v>
      </c>
      <c r="O289" s="109"/>
      <c r="P289" s="109"/>
      <c r="Q289" s="109"/>
      <c r="R289" s="109"/>
      <c r="S289" s="109"/>
      <c r="T289" s="109"/>
      <c r="U289" s="109"/>
      <c r="V289" s="109"/>
      <c r="W289" s="109"/>
      <c r="X289" s="109"/>
      <c r="Y289" s="109"/>
      <c r="Z289" s="109"/>
    </row>
    <row r="290" spans="1:26" ht="13.5" customHeight="1">
      <c r="A290" s="155">
        <f t="shared" si="96"/>
        <v>46224</v>
      </c>
      <c r="B290" s="156">
        <f>'CHICLETS MASTER S1'!Z76</f>
        <v>0.41666666666666702</v>
      </c>
      <c r="C290" s="122" t="s">
        <v>220</v>
      </c>
      <c r="D290" s="122" t="str">
        <f t="shared" si="97"/>
        <v>LONG BEACH CC 2</v>
      </c>
      <c r="E290" s="122">
        <v>188</v>
      </c>
      <c r="F290" s="134" t="str">
        <f>IF(G233 = "", "L143", IF(G233 &lt; I233, _xlfn.CONCAT("L143-", RIGHT(F233, LEN(F233) - FIND("-", F233))), _xlfn.CONCAT("L143-", RIGHT(H233, LEN(H233) - FIND("-", H233)))))</f>
        <v>L143</v>
      </c>
      <c r="G290" s="170"/>
      <c r="H290" s="134" t="str">
        <f>IF(G234 = "", "L147", IF(G234 &lt; I234, _xlfn.CONCAT("L147-", RIGHT(F234, LEN(F234) - FIND("-", F234))), _xlfn.CONCAT("L147-", RIGHT(H234, LEN(H234) - FIND("-", H234)))))</f>
        <v>L147</v>
      </c>
      <c r="I290" s="170"/>
      <c r="J290" s="134" t="s">
        <v>220</v>
      </c>
      <c r="K290" s="134" t="s">
        <v>221</v>
      </c>
      <c r="L290" s="134" t="str">
        <f t="shared" si="98"/>
        <v>14G-188</v>
      </c>
      <c r="M290" s="109"/>
      <c r="N290" s="109" t="str">
        <f t="shared" si="99"/>
        <v>au_7th</v>
      </c>
      <c r="O290" s="109"/>
      <c r="P290" s="109"/>
      <c r="Q290" s="109"/>
      <c r="R290" s="109"/>
      <c r="S290" s="109"/>
      <c r="T290" s="109"/>
      <c r="U290" s="109"/>
      <c r="V290" s="109"/>
      <c r="W290" s="109"/>
      <c r="X290" s="109"/>
      <c r="Y290" s="109"/>
      <c r="Z290" s="109"/>
    </row>
    <row r="291" spans="1:26" ht="13.5" customHeight="1">
      <c r="A291" s="155">
        <f t="shared" si="96"/>
        <v>46224</v>
      </c>
      <c r="B291" s="156">
        <f>'CHICLETS MASTER S1'!Z77</f>
        <v>0.45833333333333298</v>
      </c>
      <c r="C291" s="122" t="s">
        <v>210</v>
      </c>
      <c r="D291" s="122" t="str">
        <f t="shared" si="97"/>
        <v>LONG BEACH CC 2</v>
      </c>
      <c r="E291" s="122">
        <v>189</v>
      </c>
      <c r="F291" s="134" t="str">
        <f>IF(G287 = "", "L171", IF(G287 &lt; I287, _xlfn.CONCAT("L171-", RIGHT(F287, LEN(F287) - FIND("-", F287))), _xlfn.CONCAT("L171-", RIGHT(H287, LEN(H287) - FIND("-", H287)))))</f>
        <v>L171</v>
      </c>
      <c r="G291" s="170"/>
      <c r="H291" s="134" t="str">
        <f>IF(G288 = "", "L172", IF(G288 &lt; I288, _xlfn.CONCAT("L172-", RIGHT(F288, LEN(F288) - FIND("-", F288))), _xlfn.CONCAT("L172-", RIGHT(H288, LEN(H288) - FIND("-", H288)))))</f>
        <v>L172</v>
      </c>
      <c r="I291" s="170"/>
      <c r="J291" s="134" t="s">
        <v>210</v>
      </c>
      <c r="K291" s="134" t="s">
        <v>213</v>
      </c>
      <c r="L291" s="134" t="str">
        <f t="shared" si="98"/>
        <v>14G-189</v>
      </c>
      <c r="M291" s="109"/>
      <c r="N291" s="109" t="str">
        <f t="shared" si="99"/>
        <v>au_3rd</v>
      </c>
      <c r="O291" s="109"/>
      <c r="P291" s="109"/>
      <c r="Q291" s="109"/>
      <c r="R291" s="109"/>
      <c r="S291" s="109"/>
      <c r="T291" s="109"/>
      <c r="U291" s="109"/>
      <c r="V291" s="109"/>
      <c r="W291" s="109"/>
      <c r="X291" s="109"/>
      <c r="Y291" s="109"/>
      <c r="Z291" s="109"/>
    </row>
    <row r="292" spans="1:26" ht="13.5" customHeight="1">
      <c r="A292" s="155">
        <f t="shared" si="96"/>
        <v>46224</v>
      </c>
      <c r="B292" s="156">
        <f>'CHICLETS MASTER S1'!Z78</f>
        <v>0.5</v>
      </c>
      <c r="C292" s="122" t="s">
        <v>214</v>
      </c>
      <c r="D292" s="122" t="str">
        <f t="shared" si="97"/>
        <v>LONG BEACH CC 2</v>
      </c>
      <c r="E292" s="122">
        <v>190</v>
      </c>
      <c r="F292" s="134" t="str">
        <f>IF(G287 = "", "W171", IF(G287 &gt; I287, _xlfn.CONCAT("W171-", RIGHT(F287, LEN(F287) - FIND("-", F287))), _xlfn.CONCAT("W171-", RIGHT(H287, LEN(H287) - FIND("-", H287)))))</f>
        <v>W171</v>
      </c>
      <c r="G292" s="170"/>
      <c r="H292" s="134" t="str">
        <f>IF(G288 = "", "W172", IF(G288 &gt; I288, _xlfn.CONCAT("W172-", RIGHT(F288, LEN(F288) - FIND("-", F288))), _xlfn.CONCAT("W172-", RIGHT(H288, LEN(H288) - FIND("-", H288)))))</f>
        <v>W172</v>
      </c>
      <c r="I292" s="170"/>
      <c r="J292" s="134" t="s">
        <v>214</v>
      </c>
      <c r="K292" s="134" t="s">
        <v>217</v>
      </c>
      <c r="L292" s="134" t="str">
        <f t="shared" si="98"/>
        <v>14G-190</v>
      </c>
      <c r="M292" s="109"/>
      <c r="N292" s="109" t="str">
        <f t="shared" si="99"/>
        <v>au_1st</v>
      </c>
      <c r="O292" s="109"/>
      <c r="P292" s="109"/>
      <c r="Q292" s="109"/>
      <c r="R292" s="109"/>
      <c r="S292" s="109"/>
      <c r="T292" s="109"/>
      <c r="U292" s="109"/>
      <c r="V292" s="109"/>
      <c r="W292" s="109"/>
      <c r="X292" s="109"/>
      <c r="Y292" s="109"/>
      <c r="Z292" s="109"/>
    </row>
    <row r="293" spans="1:26" ht="13.5" customHeight="1">
      <c r="A293" s="155">
        <f t="shared" si="88"/>
        <v>46224</v>
      </c>
      <c r="B293" s="156">
        <f>'CHICLETS MASTER S1'!Z79</f>
        <v>0.54166666666666696</v>
      </c>
      <c r="C293" s="122" t="s">
        <v>409</v>
      </c>
      <c r="D293" s="122" t="str">
        <f t="shared" si="97"/>
        <v>LONG BEACH CC 2</v>
      </c>
      <c r="E293" s="122">
        <v>176</v>
      </c>
      <c r="F293" s="134" t="str">
        <f>IF(G251 = "", "L156", IF(G251 &lt; I251, _xlfn.CONCAT("L156-", RIGHT(F251, LEN(F251) - FIND("-", F251))), _xlfn.CONCAT("L156-", RIGHT(H251, LEN(H251) - FIND("-", H251)))))</f>
        <v>L156</v>
      </c>
      <c r="G293" s="170"/>
      <c r="H293" s="134" t="str">
        <f>IF(G253 = "", "L164", IF(G253 &lt; I253, _xlfn.CONCAT("L164-", RIGHT(F253, LEN(F253) - FIND("-", F253))), _xlfn.CONCAT("L164-", RIGHT(H253, LEN(H253) - FIND("-", H253)))))</f>
        <v>L164</v>
      </c>
      <c r="I293" s="170"/>
      <c r="J293" s="134" t="s">
        <v>409</v>
      </c>
      <c r="K293" s="134" t="s">
        <v>410</v>
      </c>
      <c r="L293" s="134" t="str">
        <f>$L$15&amp;"-"&amp;TEXT(E293,"000")</f>
        <v>14G-176</v>
      </c>
      <c r="M293" s="109"/>
      <c r="N293" s="109" t="str">
        <f>$L$256&amp;C293</f>
        <v>au_19th</v>
      </c>
      <c r="O293" s="109"/>
      <c r="P293" s="109"/>
      <c r="Q293" s="109"/>
      <c r="R293" s="109"/>
      <c r="S293" s="109"/>
      <c r="T293" s="109"/>
      <c r="U293" s="109"/>
      <c r="V293" s="109"/>
      <c r="W293" s="109"/>
      <c r="X293" s="109"/>
      <c r="Y293" s="109"/>
      <c r="Z293" s="109"/>
    </row>
    <row r="294" spans="1:26" ht="13.5" customHeight="1">
      <c r="A294" s="109"/>
      <c r="B294" s="109"/>
      <c r="C294" s="109"/>
      <c r="D294" s="109"/>
      <c r="E294" s="109"/>
      <c r="F294" s="109"/>
      <c r="G294" s="161"/>
      <c r="H294" s="109"/>
      <c r="I294" s="109"/>
      <c r="J294" s="109"/>
      <c r="K294" s="109"/>
      <c r="L294" s="109"/>
      <c r="M294" s="109"/>
      <c r="N294" s="109"/>
      <c r="O294" s="109"/>
      <c r="P294" s="109"/>
      <c r="Q294" s="109"/>
      <c r="R294" s="109"/>
      <c r="S294" s="109"/>
      <c r="T294" s="109"/>
      <c r="U294" s="109"/>
      <c r="V294" s="109"/>
      <c r="W294" s="109"/>
      <c r="X294" s="109"/>
      <c r="Y294" s="109"/>
      <c r="Z294" s="109"/>
    </row>
    <row r="295" spans="1:26" ht="13.5" customHeight="1" thickBot="1">
      <c r="A295" s="158"/>
      <c r="B295" s="160"/>
      <c r="C295" s="106"/>
      <c r="D295" s="106"/>
      <c r="E295" s="109"/>
      <c r="F295" s="109"/>
      <c r="G295" s="161"/>
      <c r="H295" s="109"/>
      <c r="I295" s="109"/>
      <c r="J295" s="109"/>
      <c r="K295" s="109"/>
      <c r="L295" s="109"/>
      <c r="M295" s="109"/>
      <c r="N295" s="109"/>
      <c r="O295" s="109"/>
      <c r="P295" s="109"/>
      <c r="Q295" s="109"/>
      <c r="R295" s="109"/>
      <c r="S295" s="109"/>
      <c r="T295" s="109"/>
      <c r="U295" s="109"/>
      <c r="V295" s="109"/>
      <c r="W295" s="109"/>
      <c r="X295" s="109"/>
      <c r="Y295" s="109"/>
      <c r="Z295" s="109"/>
    </row>
    <row r="296" spans="1:26" ht="13.5" customHeight="1" thickBot="1">
      <c r="A296" s="106"/>
      <c r="B296" s="106"/>
      <c r="C296" s="106"/>
      <c r="D296" s="150" t="str">
        <f>'CHICLETS MASTER S1'!$B$84</f>
        <v>WOOLLETT LEFT</v>
      </c>
      <c r="E296" s="109"/>
      <c r="F296" s="109"/>
      <c r="G296" s="109"/>
      <c r="H296" s="109"/>
      <c r="I296" s="109"/>
      <c r="J296" s="109"/>
      <c r="K296" s="109"/>
      <c r="L296" s="109"/>
      <c r="M296" s="109"/>
      <c r="N296" s="109"/>
      <c r="O296" s="109"/>
      <c r="P296" s="109"/>
      <c r="Q296" s="109"/>
      <c r="R296" s="109"/>
      <c r="S296" s="109"/>
      <c r="T296" s="109"/>
      <c r="U296" s="109"/>
      <c r="V296" s="109"/>
      <c r="W296" s="109"/>
      <c r="X296" s="109"/>
      <c r="Y296" s="109"/>
      <c r="Z296" s="109"/>
    </row>
    <row r="297" spans="1:26" ht="13.5" customHeight="1">
      <c r="A297" s="151" t="s">
        <v>110</v>
      </c>
      <c r="B297" s="154" t="s">
        <v>111</v>
      </c>
      <c r="C297" s="154" t="s">
        <v>112</v>
      </c>
      <c r="D297" s="154" t="s">
        <v>113</v>
      </c>
      <c r="E297" s="154" t="s">
        <v>114</v>
      </c>
      <c r="F297" s="154" t="s">
        <v>115</v>
      </c>
      <c r="G297" s="154" t="s">
        <v>116</v>
      </c>
      <c r="H297" s="154" t="s">
        <v>117</v>
      </c>
      <c r="I297" s="154" t="s">
        <v>116</v>
      </c>
      <c r="J297" s="154" t="s">
        <v>118</v>
      </c>
      <c r="K297" s="154" t="s">
        <v>119</v>
      </c>
      <c r="L297" s="154" t="s">
        <v>120</v>
      </c>
      <c r="M297" s="109"/>
      <c r="N297" s="109"/>
      <c r="O297" s="109"/>
      <c r="P297" s="109"/>
      <c r="Q297" s="109"/>
      <c r="R297" s="109"/>
      <c r="S297" s="109"/>
      <c r="T297" s="109"/>
      <c r="U297" s="109"/>
      <c r="V297" s="109"/>
      <c r="W297" s="109"/>
      <c r="X297" s="109"/>
      <c r="Y297" s="109"/>
      <c r="Z297" s="109"/>
    </row>
    <row r="298" spans="1:26" ht="13.5" customHeight="1">
      <c r="A298" s="155">
        <f>$A$256</f>
        <v>46224</v>
      </c>
      <c r="B298" s="177">
        <f>'CHICLETS MASTER S1'!A92</f>
        <v>0.60416666666666663</v>
      </c>
      <c r="C298" s="122" t="s">
        <v>210</v>
      </c>
      <c r="D298" s="122" t="str">
        <f>$D$296</f>
        <v>WOOLLETT LEFT</v>
      </c>
      <c r="E298" s="122">
        <v>191</v>
      </c>
      <c r="F298" s="169" t="str">
        <f>IF(G281 = "", "L173", IF(G281 &lt; I281, _xlfn.CONCAT("L173-", RIGHT(F281, LEN(F281) - FIND("-", F281))), _xlfn.CONCAT("L173-", RIGHT(H281, LEN(H281) - FIND("-", H281)))))</f>
        <v>L173</v>
      </c>
      <c r="G298" s="171"/>
      <c r="H298" s="169" t="str">
        <f>IF(G261 = "", "L174", IF(G261 &lt; I261, _xlfn.CONCAT("L174-", RIGHT(F261, LEN(F261) - FIND("-", F261))), _xlfn.CONCAT("L174-", RIGHT(H261, LEN(H261) - FIND("-", H261)))))</f>
        <v>L174</v>
      </c>
      <c r="I298" s="171"/>
      <c r="J298" s="169" t="s">
        <v>210</v>
      </c>
      <c r="K298" s="169" t="s">
        <v>213</v>
      </c>
      <c r="L298" s="169" t="str">
        <f>$L$15&amp;"-"&amp;TEXT(E298,"000")</f>
        <v>14G-191</v>
      </c>
      <c r="M298" s="109"/>
      <c r="N298" s="109" t="str">
        <f>$K$256&amp;C298</f>
        <v>pt_3rd</v>
      </c>
      <c r="O298" s="109"/>
      <c r="P298" s="109"/>
      <c r="Q298" s="109"/>
      <c r="R298" s="109"/>
      <c r="S298" s="109"/>
      <c r="T298" s="109"/>
      <c r="U298" s="109"/>
      <c r="V298" s="109"/>
      <c r="W298" s="109"/>
      <c r="X298" s="109"/>
      <c r="Y298" s="109"/>
      <c r="Z298" s="109"/>
    </row>
    <row r="299" spans="1:26" ht="13.5" customHeight="1" thickBot="1">
      <c r="A299" s="158"/>
      <c r="B299" s="160"/>
      <c r="C299" s="106"/>
      <c r="D299" s="176"/>
      <c r="E299" s="109"/>
      <c r="F299" s="109"/>
      <c r="G299" s="161"/>
      <c r="H299" s="109"/>
      <c r="I299" s="109"/>
      <c r="J299" s="109"/>
      <c r="K299" s="109"/>
      <c r="L299" s="109"/>
      <c r="M299" s="109"/>
      <c r="N299" s="109"/>
      <c r="O299" s="109"/>
      <c r="P299" s="109"/>
      <c r="Q299" s="109"/>
      <c r="R299" s="109"/>
      <c r="S299" s="109"/>
      <c r="T299" s="109"/>
      <c r="U299" s="109"/>
      <c r="V299" s="109"/>
      <c r="W299" s="109"/>
      <c r="X299" s="109"/>
      <c r="Y299" s="109"/>
      <c r="Z299" s="109"/>
    </row>
    <row r="300" spans="1:26" ht="13.5" customHeight="1" thickBot="1">
      <c r="A300" s="106"/>
      <c r="B300" s="106"/>
      <c r="C300" s="106"/>
      <c r="D300" s="150" t="str">
        <f>'CHICLETS MASTER S1'!$C$84</f>
        <v>WOOLLETT RIGHT</v>
      </c>
      <c r="E300" s="109"/>
      <c r="F300" s="109"/>
      <c r="G300" s="109"/>
      <c r="H300" s="109"/>
      <c r="I300" s="109"/>
      <c r="J300" s="109"/>
      <c r="K300" s="109"/>
      <c r="L300" s="109"/>
      <c r="M300" s="109"/>
      <c r="N300" s="109"/>
      <c r="O300" s="109"/>
      <c r="P300" s="109"/>
      <c r="Q300" s="109"/>
      <c r="R300" s="109"/>
      <c r="S300" s="109"/>
      <c r="T300" s="109"/>
      <c r="U300" s="109"/>
      <c r="V300" s="109"/>
      <c r="W300" s="109"/>
      <c r="X300" s="109"/>
      <c r="Y300" s="109"/>
      <c r="Z300" s="109"/>
    </row>
    <row r="301" spans="1:26" ht="13.5" customHeight="1">
      <c r="A301" s="151" t="s">
        <v>110</v>
      </c>
      <c r="B301" s="154" t="s">
        <v>111</v>
      </c>
      <c r="C301" s="154" t="s">
        <v>112</v>
      </c>
      <c r="D301" s="154" t="s">
        <v>113</v>
      </c>
      <c r="E301" s="154" t="s">
        <v>114</v>
      </c>
      <c r="F301" s="154" t="s">
        <v>115</v>
      </c>
      <c r="G301" s="154" t="s">
        <v>116</v>
      </c>
      <c r="H301" s="154" t="s">
        <v>117</v>
      </c>
      <c r="I301" s="154" t="s">
        <v>116</v>
      </c>
      <c r="J301" s="154" t="s">
        <v>118</v>
      </c>
      <c r="K301" s="154" t="s">
        <v>119</v>
      </c>
      <c r="L301" s="154" t="s">
        <v>120</v>
      </c>
      <c r="M301" s="109"/>
      <c r="N301" s="109"/>
      <c r="O301" s="109"/>
      <c r="P301" s="109"/>
      <c r="Q301" s="109"/>
      <c r="R301" s="109"/>
      <c r="S301" s="109"/>
      <c r="T301" s="109"/>
      <c r="U301" s="109"/>
      <c r="V301" s="109"/>
      <c r="W301" s="109"/>
      <c r="X301" s="109"/>
      <c r="Y301" s="109"/>
      <c r="Z301" s="109"/>
    </row>
    <row r="302" spans="1:26" ht="13.5" customHeight="1">
      <c r="A302" s="155">
        <f>$A$256</f>
        <v>46224</v>
      </c>
      <c r="B302" s="177">
        <f>'CHICLETS MASTER S1'!A92</f>
        <v>0.60416666666666663</v>
      </c>
      <c r="C302" s="122" t="s">
        <v>214</v>
      </c>
      <c r="D302" s="122" t="str">
        <f>D300</f>
        <v>WOOLLETT RIGHT</v>
      </c>
      <c r="E302" s="122">
        <v>192</v>
      </c>
      <c r="F302" s="169" t="str">
        <f>IF(G281 = "", "W173", IF(G281 &gt; I281, _xlfn.CONCAT("W173-", RIGHT(F281, LEN(F281) - FIND("-", F281))), _xlfn.CONCAT("W173-", RIGHT(H281, LEN(H281) - FIND("-", H281)))))</f>
        <v>W173</v>
      </c>
      <c r="G302" s="171"/>
      <c r="H302" s="169" t="str">
        <f>IF(G261 = "", "W174", IF(G261 &gt; I261, _xlfn.CONCAT("W174-", RIGHT(F261, LEN(F261) - FIND("-", F261))), _xlfn.CONCAT("W174-", RIGHT(H261, LEN(H261) - FIND("-", H261)))))</f>
        <v>W174</v>
      </c>
      <c r="I302" s="171"/>
      <c r="J302" s="169" t="s">
        <v>214</v>
      </c>
      <c r="K302" s="169" t="s">
        <v>217</v>
      </c>
      <c r="L302" s="169" t="str">
        <f>$L$15&amp;"-"&amp;TEXT(E302,"000")</f>
        <v>14G-192</v>
      </c>
      <c r="M302" s="109"/>
      <c r="N302" s="109" t="str">
        <f>$K$256&amp;C302</f>
        <v>pt_1st</v>
      </c>
      <c r="O302" s="109"/>
      <c r="P302" s="109"/>
      <c r="Q302" s="109"/>
      <c r="R302" s="109"/>
      <c r="S302" s="109"/>
      <c r="T302" s="109"/>
      <c r="U302" s="109"/>
      <c r="V302" s="109"/>
      <c r="W302" s="109"/>
      <c r="X302" s="109"/>
      <c r="Y302" s="109"/>
      <c r="Z302" s="109"/>
    </row>
    <row r="303" spans="1:26" ht="13.5" customHeight="1">
      <c r="A303" s="106"/>
      <c r="B303" s="106"/>
      <c r="C303" s="106"/>
      <c r="D303" s="106"/>
      <c r="E303" s="106"/>
      <c r="F303" s="106"/>
      <c r="G303" s="110"/>
      <c r="H303" s="106"/>
      <c r="I303" s="110"/>
      <c r="J303" s="106"/>
      <c r="K303" s="106"/>
      <c r="L303" s="106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</row>
    <row r="304" spans="1:26" ht="13.5" customHeight="1">
      <c r="A304" s="169" t="s">
        <v>225</v>
      </c>
      <c r="B304" s="109"/>
      <c r="C304" s="134" t="s">
        <v>226</v>
      </c>
      <c r="D304" s="109"/>
      <c r="E304" s="109"/>
      <c r="F304" s="109"/>
      <c r="G304" s="161"/>
      <c r="H304" s="109"/>
      <c r="I304" s="109"/>
      <c r="J304" s="109"/>
      <c r="K304" s="109"/>
      <c r="L304" s="109"/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109"/>
      <c r="Y304" s="109"/>
      <c r="Z304" s="109"/>
    </row>
    <row r="305" spans="1:26" ht="13.5" customHeight="1">
      <c r="A305" s="169" t="s">
        <v>214</v>
      </c>
      <c r="B305" s="178" t="str">
        <f>IF(G302 = "", "W192", IF(G302 &gt; I302, _xlfn.CONCAT("W192-", RIGHT(F302, LEN(F302) - FIND("-", F302))), _xlfn.CONCAT("W192-", RIGHT(H302, LEN(H302) - FIND("-", H302)))))</f>
        <v>W192</v>
      </c>
      <c r="C305" s="134" t="s">
        <v>214</v>
      </c>
      <c r="D305" s="179" t="str">
        <f>IF(G292 = "", "W190", IF(G292 &gt; I292, _xlfn.CONCAT("W190-", RIGHT(F292, LEN(F292) - FIND("-", F292))), _xlfn.CONCAT("W190-", RIGHT(H292, LEN(H292) - FIND("-", H292)))))</f>
        <v>W190</v>
      </c>
      <c r="E305" s="109"/>
      <c r="F305" s="109"/>
      <c r="G305" s="161"/>
      <c r="H305" s="109"/>
      <c r="I305" s="109"/>
      <c r="J305" s="109"/>
      <c r="K305" s="109"/>
      <c r="L305" s="109"/>
      <c r="M305" s="109"/>
      <c r="N305" s="109"/>
      <c r="O305" s="109"/>
      <c r="P305" s="109"/>
      <c r="Q305" s="109"/>
      <c r="R305" s="109"/>
      <c r="S305" s="109"/>
      <c r="T305" s="109"/>
      <c r="U305" s="109"/>
      <c r="V305" s="109"/>
      <c r="W305" s="109"/>
      <c r="X305" s="109"/>
      <c r="Y305" s="109"/>
      <c r="Z305" s="109"/>
    </row>
    <row r="306" spans="1:26" ht="13.5" customHeight="1">
      <c r="A306" s="169" t="s">
        <v>217</v>
      </c>
      <c r="B306" s="180" t="str">
        <f>IF(G302 = "", "L192", IF(G302 &lt; I302, _xlfn.CONCAT("L192-", RIGHT(F302, LEN(F302) - FIND("-", F302))), _xlfn.CONCAT("L192-", RIGHT(H302, LEN(H302) - FIND("-", H302)))))</f>
        <v>L192</v>
      </c>
      <c r="C306" s="134" t="s">
        <v>217</v>
      </c>
      <c r="D306" s="178" t="str">
        <f>IF(G292 = "", "L190", IF(G292 &lt; I292, _xlfn.CONCAT("L190-", RIGHT(F292, LEN(F292) - FIND("-", F292))), _xlfn.CONCAT("L190-", RIGHT(H292, LEN(H292) - FIND("-", H292)))))</f>
        <v>L190</v>
      </c>
      <c r="E306" s="109"/>
      <c r="F306" s="109"/>
      <c r="G306" s="161"/>
      <c r="H306" s="109"/>
      <c r="I306" s="109"/>
      <c r="J306" s="109"/>
      <c r="K306" s="109"/>
      <c r="L306" s="109"/>
      <c r="M306" s="109"/>
      <c r="N306" s="109"/>
      <c r="O306" s="109"/>
      <c r="P306" s="109"/>
      <c r="Q306" s="109"/>
      <c r="R306" s="109"/>
      <c r="S306" s="109"/>
      <c r="T306" s="109"/>
      <c r="U306" s="109"/>
      <c r="V306" s="109"/>
      <c r="W306" s="109"/>
      <c r="X306" s="109"/>
      <c r="Y306" s="109"/>
      <c r="Z306" s="109"/>
    </row>
    <row r="307" spans="1:26" ht="13.5" customHeight="1">
      <c r="A307" s="169" t="s">
        <v>210</v>
      </c>
      <c r="B307" s="178" t="str">
        <f>IF(G298 = "", "W191", IF(G298 &gt; I298, _xlfn.CONCAT("W191-", RIGHT(F298, LEN(F298) - FIND("-", F298))), _xlfn.CONCAT("W191-", RIGHT(H298, LEN(H298) - FIND("-", H298)))))</f>
        <v>W191</v>
      </c>
      <c r="C307" s="134" t="s">
        <v>210</v>
      </c>
      <c r="D307" s="179" t="str">
        <f>IF(G291 = "", "W189", IF(G291 &gt; I291, _xlfn.CONCAT("W189-", RIGHT(F291, LEN(F291) - FIND("-", F291))), _xlfn.CONCAT("W189-", RIGHT(H291, LEN(H291) - FIND("-", H291)))))</f>
        <v>W189</v>
      </c>
      <c r="E307" s="109"/>
      <c r="F307" s="109"/>
      <c r="G307" s="161"/>
      <c r="H307" s="109"/>
      <c r="I307" s="109"/>
      <c r="J307" s="109"/>
      <c r="K307" s="109"/>
      <c r="L307" s="109"/>
      <c r="M307" s="109"/>
      <c r="N307" s="109"/>
      <c r="O307" s="109"/>
      <c r="P307" s="109"/>
      <c r="Q307" s="109"/>
      <c r="R307" s="109"/>
      <c r="S307" s="109"/>
      <c r="T307" s="109"/>
      <c r="U307" s="109"/>
      <c r="V307" s="109"/>
      <c r="W307" s="109"/>
      <c r="X307" s="109"/>
      <c r="Y307" s="109"/>
      <c r="Z307" s="109"/>
    </row>
    <row r="308" spans="1:26" ht="13.5" customHeight="1">
      <c r="A308" s="169" t="s">
        <v>213</v>
      </c>
      <c r="B308" s="178" t="str">
        <f>IF(G298 = "", "L191", IF(G298 &lt; I298, _xlfn.CONCAT("L191-", RIGHT(F298, LEN(F298) - FIND("-", F298))), _xlfn.CONCAT("L191-", RIGHT(H298, LEN(H298) - FIND("-", H298)))))</f>
        <v>L191</v>
      </c>
      <c r="C308" s="181" t="s">
        <v>213</v>
      </c>
      <c r="D308" s="178" t="str">
        <f>IF(G291 = "", "L189", IF(G291 &lt; I291, _xlfn.CONCAT("L189-", RIGHT(F291, LEN(F291) - FIND("-", F291))), _xlfn.CONCAT("L189-", RIGHT(H291, LEN(H291) - FIND("-", H291)))))</f>
        <v>L189</v>
      </c>
      <c r="E308" s="109"/>
      <c r="F308" s="109"/>
      <c r="G308" s="161"/>
      <c r="H308" s="109"/>
      <c r="I308" s="109"/>
      <c r="J308" s="109"/>
      <c r="K308" s="109"/>
      <c r="L308" s="109"/>
      <c r="M308" s="109"/>
      <c r="N308" s="109"/>
      <c r="O308" s="109"/>
      <c r="P308" s="109"/>
      <c r="Q308" s="109"/>
      <c r="R308" s="109"/>
      <c r="S308" s="109"/>
      <c r="T308" s="109"/>
      <c r="U308" s="109"/>
      <c r="V308" s="109"/>
      <c r="W308" s="109"/>
      <c r="X308" s="109"/>
      <c r="Y308" s="109"/>
      <c r="Z308" s="109"/>
    </row>
    <row r="309" spans="1:26" ht="13.5" customHeight="1">
      <c r="A309" s="169" t="s">
        <v>206</v>
      </c>
      <c r="B309" s="178" t="str">
        <f>IF(G280 = "", "W186", IF(G280 &gt; I280, _xlfn.CONCAT("W186-", RIGHT(F280, LEN(F280) - FIND("-", F280))), _xlfn.CONCAT("W186-", RIGHT(H280, LEN(H280) - FIND("-", H280)))))</f>
        <v>W186</v>
      </c>
      <c r="C309" s="134" t="s">
        <v>206</v>
      </c>
      <c r="D309" s="182" t="str">
        <f>IF(G289 = "", "W187", IF(G289 &gt; I289, _xlfn.CONCAT("W187-", RIGHT(F289, LEN(F289) - FIND("-", F289))), _xlfn.CONCAT("W187-", RIGHT(H289, LEN(H289) - FIND("-", H289)))))</f>
        <v>W187</v>
      </c>
      <c r="E309" s="109"/>
      <c r="F309" s="109"/>
      <c r="G309" s="161"/>
      <c r="H309" s="109"/>
      <c r="I309" s="109"/>
      <c r="J309" s="109"/>
      <c r="K309" s="109"/>
      <c r="L309" s="109"/>
      <c r="M309" s="109"/>
      <c r="N309" s="109"/>
      <c r="O309" s="109"/>
      <c r="P309" s="109"/>
      <c r="Q309" s="109"/>
      <c r="R309" s="109"/>
      <c r="S309" s="109"/>
      <c r="T309" s="109"/>
      <c r="U309" s="109"/>
      <c r="V309" s="109"/>
      <c r="W309" s="109"/>
      <c r="X309" s="109"/>
      <c r="Y309" s="109"/>
      <c r="Z309" s="109"/>
    </row>
    <row r="310" spans="1:26" ht="13.5" customHeight="1">
      <c r="A310" s="169" t="s">
        <v>209</v>
      </c>
      <c r="B310" s="180" t="str">
        <f>IF(G280 = "", "L186", IF(G280 &lt; I280, _xlfn.CONCAT("L186-", RIGHT(F280, LEN(F280) - FIND("-", F280))), _xlfn.CONCAT("L186-", RIGHT(H280, LEN(H280) - FIND("-", H280)))))</f>
        <v>L186</v>
      </c>
      <c r="C310" s="134" t="s">
        <v>209</v>
      </c>
      <c r="D310" s="179" t="str">
        <f>IF(G289 = "", "L187", IF(G289 &lt; I289, _xlfn.CONCAT("L187-", RIGHT(F289, LEN(F289) - FIND("-", F289))), _xlfn.CONCAT("L187-", RIGHT(H289, LEN(H289) - FIND("-", H289)))))</f>
        <v>L187</v>
      </c>
      <c r="E310" s="109"/>
      <c r="F310" s="109"/>
      <c r="G310" s="161"/>
      <c r="H310" s="109"/>
      <c r="I310" s="109"/>
      <c r="J310" s="109"/>
      <c r="K310" s="109"/>
      <c r="L310" s="109"/>
      <c r="M310" s="109"/>
      <c r="N310" s="109"/>
      <c r="O310" s="109"/>
      <c r="P310" s="109"/>
      <c r="Q310" s="109"/>
      <c r="R310" s="109"/>
      <c r="S310" s="109"/>
      <c r="T310" s="109"/>
      <c r="U310" s="109"/>
      <c r="V310" s="109"/>
      <c r="W310" s="109"/>
      <c r="X310" s="109"/>
      <c r="Y310" s="109"/>
      <c r="Z310" s="109"/>
    </row>
    <row r="311" spans="1:26" ht="13.5" customHeight="1">
      <c r="A311" s="169" t="s">
        <v>220</v>
      </c>
      <c r="B311" s="178" t="str">
        <f>IF(G279 = "", "W185", IF(G279 &gt; I279, _xlfn.CONCAT("W185-", RIGHT(F279, LEN(F279) - FIND("-", F279))), _xlfn.CONCAT("W185-", RIGHT(H279, LEN(H279) - FIND("-", H279)))))</f>
        <v>W185</v>
      </c>
      <c r="C311" s="134" t="s">
        <v>220</v>
      </c>
      <c r="D311" s="178" t="str">
        <f>IF(G290 = "", "W188", IF(G290 &gt; I290, _xlfn.CONCAT("W188-", RIGHT(F290, LEN(F290) - FIND("-", F290))), _xlfn.CONCAT("W188-", RIGHT(H290, LEN(H290) - FIND("-", H290)))))</f>
        <v>W188</v>
      </c>
      <c r="E311" s="109"/>
      <c r="F311" s="109"/>
      <c r="G311" s="161"/>
      <c r="H311" s="109"/>
      <c r="I311" s="109"/>
      <c r="J311" s="109"/>
      <c r="K311" s="109"/>
      <c r="L311" s="109"/>
      <c r="M311" s="109"/>
      <c r="N311" s="109"/>
      <c r="O311" s="109"/>
      <c r="P311" s="109"/>
      <c r="Q311" s="109"/>
      <c r="R311" s="109"/>
      <c r="S311" s="109"/>
      <c r="T311" s="109"/>
      <c r="U311" s="109"/>
      <c r="V311" s="109"/>
      <c r="W311" s="109"/>
      <c r="X311" s="109"/>
      <c r="Y311" s="109"/>
      <c r="Z311" s="109"/>
    </row>
    <row r="312" spans="1:26" ht="13.5" customHeight="1">
      <c r="A312" s="169" t="s">
        <v>221</v>
      </c>
      <c r="B312" s="180" t="str">
        <f>IF(G279 = "", "L185", IF(G279 &lt; I279, _xlfn.CONCAT("L185-", RIGHT(F279, LEN(F279) - FIND("-", F279))), _xlfn.CONCAT("L185-", RIGHT(H279, LEN(H279) - FIND("-", H279)))))</f>
        <v>L185</v>
      </c>
      <c r="C312" s="134" t="s">
        <v>221</v>
      </c>
      <c r="D312" s="183" t="str">
        <f>IF(G290 = "", "L188", IF(G290 &lt; I290, _xlfn.CONCAT("L188-", RIGHT(F290, LEN(F290) - FIND("-", F290))), _xlfn.CONCAT("L188-", RIGHT(H290, LEN(H290) - FIND("-", H290)))))</f>
        <v>L188</v>
      </c>
      <c r="E312" s="109"/>
      <c r="F312" s="109"/>
      <c r="G312" s="161"/>
      <c r="H312" s="109"/>
      <c r="I312" s="109"/>
      <c r="J312" s="109"/>
      <c r="K312" s="109"/>
      <c r="L312" s="109"/>
      <c r="M312" s="109"/>
      <c r="N312" s="109"/>
      <c r="O312" s="109"/>
      <c r="P312" s="109"/>
      <c r="Q312" s="109"/>
      <c r="R312" s="109"/>
      <c r="S312" s="109"/>
      <c r="T312" s="109"/>
      <c r="U312" s="109"/>
      <c r="V312" s="109"/>
      <c r="W312" s="109"/>
      <c r="X312" s="109"/>
      <c r="Y312" s="109"/>
      <c r="Z312" s="109"/>
    </row>
    <row r="313" spans="1:26" ht="13.5" customHeight="1">
      <c r="A313" s="169" t="s">
        <v>222</v>
      </c>
      <c r="B313" s="178" t="str">
        <f>IF(G282 = "", "W182", IF(G282 &gt; I282, _xlfn.CONCAT("W182-", RIGHT(F282, LEN(F282) - FIND("-", F282))), _xlfn.CONCAT("W182-", RIGHT(H282, LEN(H282) - FIND("-", H282)))))</f>
        <v>W182</v>
      </c>
      <c r="C313" s="134" t="s">
        <v>222</v>
      </c>
      <c r="D313" s="178" t="str">
        <f>IF(G271 = "", "W183", IF(G271 &gt; I271, _xlfn.CONCAT("W183-", RIGHT(F271, LEN(F271) - FIND("-", F271))), _xlfn.CONCAT("W183-", RIGHT(H271, LEN(H271) - FIND("-", H271)))))</f>
        <v>W183</v>
      </c>
      <c r="E313" s="109"/>
      <c r="F313" s="109"/>
      <c r="G313" s="161"/>
      <c r="H313" s="109"/>
      <c r="I313" s="109"/>
      <c r="J313" s="109"/>
      <c r="K313" s="109"/>
      <c r="L313" s="109"/>
      <c r="M313" s="109"/>
      <c r="N313" s="109"/>
      <c r="O313" s="109"/>
      <c r="P313" s="109"/>
      <c r="Q313" s="109"/>
      <c r="R313" s="109"/>
      <c r="S313" s="109"/>
      <c r="T313" s="109"/>
      <c r="U313" s="109"/>
      <c r="V313" s="109"/>
      <c r="W313" s="109"/>
      <c r="X313" s="109"/>
      <c r="Y313" s="109"/>
      <c r="Z313" s="109"/>
    </row>
    <row r="314" spans="1:26" ht="13.5" customHeight="1">
      <c r="A314" s="169" t="s">
        <v>223</v>
      </c>
      <c r="B314" s="180" t="str">
        <f>IF(G282 = "", "L182", IF(G282 &lt; I282, _xlfn.CONCAT("L182-", RIGHT(F282, LEN(F282) - FIND("-", F282))), _xlfn.CONCAT("L182-", RIGHT(H282, LEN(H282) - FIND("-", H282)))))</f>
        <v>L182</v>
      </c>
      <c r="C314" s="134" t="s">
        <v>223</v>
      </c>
      <c r="D314" s="183" t="str">
        <f>IF(G271 = "", "L183", IF(G271 &lt; I271, _xlfn.CONCAT("L183-", RIGHT(F271, LEN(F271) - FIND("-", F271))), _xlfn.CONCAT("L183-", RIGHT(H271, LEN(H271) - FIND("-", H271)))))</f>
        <v>L183</v>
      </c>
      <c r="E314" s="109"/>
      <c r="F314" s="109"/>
      <c r="G314" s="161"/>
      <c r="H314" s="109"/>
      <c r="I314" s="109"/>
      <c r="J314" s="109"/>
      <c r="K314" s="109"/>
      <c r="L314" s="109"/>
      <c r="M314" s="109"/>
      <c r="N314" s="109"/>
      <c r="O314" s="109"/>
      <c r="P314" s="109"/>
      <c r="Q314" s="109"/>
      <c r="R314" s="109"/>
      <c r="S314" s="109"/>
      <c r="T314" s="109"/>
      <c r="U314" s="109"/>
      <c r="V314" s="109"/>
      <c r="W314" s="109"/>
      <c r="X314" s="109"/>
      <c r="Y314" s="109"/>
      <c r="Z314" s="109"/>
    </row>
    <row r="315" spans="1:26" ht="13.5" customHeight="1">
      <c r="A315" s="169" t="s">
        <v>218</v>
      </c>
      <c r="B315" s="178" t="str">
        <f>IF(G283 = "", "W181", IF(G283 &gt; I283, _xlfn.CONCAT("W181-", RIGHT(F283, LEN(F283) - FIND("-", F283))), _xlfn.CONCAT("W181-", RIGHT(H283, LEN(H283) - FIND("-", H283)))))</f>
        <v>W181</v>
      </c>
      <c r="C315" s="134" t="s">
        <v>218</v>
      </c>
      <c r="D315" s="178" t="str">
        <f>IF(G272 = "", "W184", IF(G272 &gt; I272, _xlfn.CONCAT("W184-", RIGHT(F272, LEN(F272) - FIND("-", F272))), _xlfn.CONCAT("W184-", RIGHT(H272, LEN(H272) - FIND("-", H272)))))</f>
        <v>W184</v>
      </c>
      <c r="E315" s="109"/>
      <c r="F315" s="109"/>
      <c r="G315" s="161"/>
      <c r="H315" s="109"/>
      <c r="I315" s="109"/>
      <c r="J315" s="109"/>
      <c r="K315" s="109"/>
      <c r="L315" s="109"/>
      <c r="M315" s="109"/>
      <c r="N315" s="109"/>
      <c r="O315" s="109"/>
      <c r="P315" s="109"/>
      <c r="Q315" s="109"/>
      <c r="R315" s="109"/>
      <c r="S315" s="109"/>
      <c r="T315" s="109"/>
      <c r="U315" s="109"/>
      <c r="V315" s="109"/>
      <c r="W315" s="109"/>
      <c r="X315" s="109"/>
      <c r="Y315" s="109"/>
      <c r="Z315" s="109"/>
    </row>
    <row r="316" spans="1:26" ht="13.5" customHeight="1">
      <c r="A316" s="169" t="s">
        <v>219</v>
      </c>
      <c r="B316" s="180" t="str">
        <f>IF(G283 = "", "L181", IF(G283 &lt; I283, _xlfn.CONCAT("L181-", RIGHT(F283, LEN(F283) - FIND("-", F283))), _xlfn.CONCAT("L181-", RIGHT(H283, LEN(H283) - FIND("-", H283)))))</f>
        <v>L181</v>
      </c>
      <c r="C316" s="134" t="s">
        <v>219</v>
      </c>
      <c r="D316" s="182" t="str">
        <f>IF(G272 = "", "L184", IF(G272 &lt; I272, _xlfn.CONCAT("L184-", RIGHT(F272, LEN(F272) - FIND("-", F272))), _xlfn.CONCAT("L184-", RIGHT(H272, LEN(H272) - FIND("-", H272)))))</f>
        <v>L184</v>
      </c>
      <c r="E316" s="109"/>
      <c r="F316" s="109"/>
      <c r="G316" s="161"/>
      <c r="H316" s="109"/>
      <c r="I316" s="109"/>
      <c r="J316" s="109"/>
      <c r="K316" s="109"/>
      <c r="L316" s="109"/>
      <c r="M316" s="109"/>
      <c r="N316" s="109"/>
      <c r="O316" s="109"/>
      <c r="P316" s="109"/>
      <c r="Q316" s="109"/>
      <c r="R316" s="109"/>
      <c r="S316" s="109"/>
      <c r="T316" s="109"/>
      <c r="U316" s="109"/>
      <c r="V316" s="109"/>
      <c r="W316" s="109"/>
      <c r="X316" s="109"/>
      <c r="Y316" s="109"/>
      <c r="Z316" s="109"/>
    </row>
    <row r="317" spans="1:26" ht="13.5" customHeight="1">
      <c r="A317" s="169" t="s">
        <v>413</v>
      </c>
      <c r="B317" s="178" t="str">
        <f>IF(G262 = "", "W178", IF(G262 &gt; I262, _xlfn.CONCAT("W178-", RIGHT(F262, LEN(F262) - FIND("-", F262))), _xlfn.CONCAT("W178-", RIGHT(H262, LEN(H262) - FIND("-", H262)))))</f>
        <v>W178</v>
      </c>
      <c r="C317" s="134" t="s">
        <v>413</v>
      </c>
      <c r="D317" s="178" t="str">
        <f>IF(G273 = "", "W179", IF(G273 &gt; I273, _xlfn.CONCAT("W179-", RIGHT(F273, LEN(F273) - FIND("-", F273))), _xlfn.CONCAT("W179-", RIGHT(H273, LEN(H273) - FIND("-", H273)))))</f>
        <v>W179</v>
      </c>
      <c r="E317" s="109"/>
      <c r="F317" s="109"/>
      <c r="G317" s="161"/>
      <c r="H317" s="109"/>
      <c r="I317" s="109"/>
      <c r="J317" s="109"/>
      <c r="K317" s="109"/>
      <c r="L317" s="109"/>
      <c r="M317" s="109"/>
      <c r="N317" s="109"/>
      <c r="O317" s="109"/>
      <c r="P317" s="109"/>
      <c r="Q317" s="109"/>
      <c r="R317" s="109"/>
      <c r="S317" s="109"/>
      <c r="T317" s="109"/>
      <c r="U317" s="109"/>
      <c r="V317" s="109"/>
      <c r="W317" s="109"/>
      <c r="X317" s="109"/>
      <c r="Y317" s="109"/>
      <c r="Z317" s="109"/>
    </row>
    <row r="318" spans="1:26" ht="13.5" customHeight="1">
      <c r="A318" s="169" t="s">
        <v>414</v>
      </c>
      <c r="B318" s="180" t="str">
        <f>IF(G262 = "", "L178", IF(G262 &lt; I262, _xlfn.CONCAT("L178-", RIGHT(F262, LEN(F262) - FIND("-", F262))), _xlfn.CONCAT("L178-", RIGHT(H262, LEN(H262) - FIND("-", H262)))))</f>
        <v>L178</v>
      </c>
      <c r="C318" s="134" t="s">
        <v>414</v>
      </c>
      <c r="D318" s="183" t="str">
        <f>IF(G273 = "", "L179", IF(G273 &lt; I273, _xlfn.CONCAT("L179-", RIGHT(F273, LEN(F273) - FIND("-", F273))), _xlfn.CONCAT("L179-", RIGHT(H273, LEN(H273) - FIND("-", H273)))))</f>
        <v>L179</v>
      </c>
      <c r="E318" s="109"/>
      <c r="F318" s="109"/>
      <c r="G318" s="161"/>
      <c r="H318" s="109"/>
      <c r="I318" s="109"/>
      <c r="J318" s="109"/>
      <c r="K318" s="109"/>
      <c r="L318" s="109"/>
      <c r="M318" s="109"/>
      <c r="N318" s="109"/>
      <c r="O318" s="109"/>
      <c r="P318" s="109"/>
      <c r="Q318" s="109"/>
      <c r="R318" s="109"/>
      <c r="S318" s="109"/>
      <c r="T318" s="109"/>
      <c r="U318" s="109"/>
      <c r="V318" s="109"/>
      <c r="W318" s="109"/>
      <c r="X318" s="109"/>
      <c r="Y318" s="109"/>
      <c r="Z318" s="109"/>
    </row>
    <row r="319" spans="1:26" ht="13.5" customHeight="1">
      <c r="A319" s="169" t="s">
        <v>407</v>
      </c>
      <c r="B319" s="178" t="str">
        <f>IF(G263 = "", "W177", IF(G263 &gt; I263, _xlfn.CONCAT("W177-", RIGHT(F263, LEN(F263) - FIND("-", F263))), _xlfn.CONCAT("W177-", RIGHT(H263, LEN(H263) - FIND("-", H263)))))</f>
        <v>W177</v>
      </c>
      <c r="C319" s="134" t="s">
        <v>407</v>
      </c>
      <c r="D319" s="178" t="str">
        <f>IF(G274 = "", "W180", IF(G274 &gt; I274, _xlfn.CONCAT("W180-", RIGHT(F274, LEN(F274) - FIND("-", F274))), _xlfn.CONCAT("W180-", RIGHT(H274, LEN(H274) - FIND("-", H274)))))</f>
        <v>W180</v>
      </c>
      <c r="E319" s="109"/>
      <c r="F319" s="109"/>
      <c r="G319" s="161"/>
      <c r="H319" s="109"/>
      <c r="I319" s="109"/>
      <c r="J319" s="109"/>
      <c r="K319" s="109"/>
      <c r="L319" s="109"/>
      <c r="M319" s="109"/>
      <c r="N319" s="109"/>
      <c r="O319" s="109"/>
      <c r="P319" s="109"/>
      <c r="Q319" s="109"/>
      <c r="R319" s="109"/>
      <c r="S319" s="109"/>
      <c r="T319" s="109"/>
      <c r="U319" s="109"/>
      <c r="V319" s="109"/>
      <c r="W319" s="109"/>
      <c r="X319" s="109"/>
      <c r="Y319" s="109"/>
      <c r="Z319" s="109"/>
    </row>
    <row r="320" spans="1:26" ht="13.5" customHeight="1">
      <c r="A320" s="169" t="s">
        <v>408</v>
      </c>
      <c r="B320" s="180" t="str">
        <f>IF(G263 = "", "L177", IF(G263 &lt; I263, _xlfn.CONCAT("L177-", RIGHT(F263, LEN(F263) - FIND("-", F263))), _xlfn.CONCAT("L177-", RIGHT(H263, LEN(H263) - FIND("-", H263)))))</f>
        <v>L177</v>
      </c>
      <c r="C320" s="134" t="s">
        <v>408</v>
      </c>
      <c r="D320" s="183" t="str">
        <f>IF(G274 = "", "L180", IF(G274 &lt; I274, _xlfn.CONCAT("L180-", RIGHT(F274, LEN(F274) - FIND("-", F274))), _xlfn.CONCAT("L180-", RIGHT(H274, LEN(H274) - FIND("-", H274)))))</f>
        <v>L180</v>
      </c>
      <c r="E320" s="109"/>
      <c r="F320" s="109"/>
      <c r="G320" s="161"/>
      <c r="H320" s="109"/>
      <c r="I320" s="109"/>
      <c r="J320" s="109"/>
      <c r="K320" s="109"/>
      <c r="L320" s="109"/>
      <c r="M320" s="109"/>
      <c r="N320" s="109"/>
      <c r="O320" s="109"/>
      <c r="P320" s="109"/>
      <c r="Q320" s="109"/>
      <c r="R320" s="109"/>
      <c r="S320" s="109"/>
      <c r="T320" s="109"/>
      <c r="U320" s="109"/>
      <c r="V320" s="109"/>
      <c r="W320" s="109"/>
      <c r="X320" s="109"/>
      <c r="Y320" s="109"/>
      <c r="Z320" s="109"/>
    </row>
    <row r="321" spans="1:26" ht="13.5" customHeight="1">
      <c r="A321" s="169" t="s">
        <v>411</v>
      </c>
      <c r="B321" s="178" t="str">
        <f>IF(G264 = "", "W170", IF(G264 &gt; I264, _xlfn.CONCAT("W170-", RIGHT(F264, LEN(F264) - FIND("-", F264))), _xlfn.CONCAT("W170-", RIGHT(H264, LEN(H264) - FIND("-", H264)))))</f>
        <v>W170</v>
      </c>
      <c r="C321" s="134" t="s">
        <v>411</v>
      </c>
      <c r="D321" s="178" t="str">
        <f>IF(G275 = "", "W175", IF(G275 &gt; I275, _xlfn.CONCAT("W175-", RIGHT(F275, LEN(F275) - FIND("-", F275))), _xlfn.CONCAT("W175-", RIGHT(H275, LEN(H275) - FIND("-", H275)))))</f>
        <v>W175</v>
      </c>
      <c r="E321" s="109"/>
      <c r="F321" s="109"/>
      <c r="G321" s="161"/>
      <c r="H321" s="109"/>
      <c r="I321" s="109"/>
      <c r="J321" s="109"/>
      <c r="K321" s="109"/>
      <c r="L321" s="109"/>
      <c r="M321" s="109"/>
      <c r="N321" s="109"/>
      <c r="O321" s="109"/>
      <c r="P321" s="109"/>
      <c r="Q321" s="109"/>
      <c r="R321" s="109"/>
      <c r="S321" s="109"/>
      <c r="T321" s="109"/>
      <c r="U321" s="109"/>
      <c r="V321" s="109"/>
      <c r="W321" s="109"/>
      <c r="X321" s="109"/>
      <c r="Y321" s="109"/>
      <c r="Z321" s="109"/>
    </row>
    <row r="322" spans="1:26" ht="13.5" customHeight="1">
      <c r="A322" s="169" t="s">
        <v>412</v>
      </c>
      <c r="B322" s="180" t="str">
        <f>IF(G264 = "", "L170", IF(G264 &lt; I264, _xlfn.CONCAT("L170-", RIGHT(F264, LEN(F264) - FIND("-", F264))), _xlfn.CONCAT("L170-", RIGHT(H264, LEN(H264) - FIND("-", H264)))))</f>
        <v>L170</v>
      </c>
      <c r="C322" s="134" t="s">
        <v>412</v>
      </c>
      <c r="D322" s="183" t="str">
        <f>IF(G275 = "", "L175", IF(G275 &lt; I275, _xlfn.CONCAT("L175-", RIGHT(F275, LEN(F275) - FIND("-", F275))), _xlfn.CONCAT("L175-", RIGHT(H275, LEN(H275) - FIND("-", H275)))))</f>
        <v>L175</v>
      </c>
      <c r="E322" s="109"/>
      <c r="F322" s="109"/>
      <c r="G322" s="161"/>
      <c r="H322" s="109"/>
      <c r="I322" s="109"/>
      <c r="J322" s="109"/>
      <c r="K322" s="109"/>
      <c r="L322" s="109"/>
      <c r="M322" s="109"/>
      <c r="N322" s="109"/>
      <c r="O322" s="109"/>
      <c r="P322" s="109"/>
      <c r="Q322" s="109"/>
      <c r="R322" s="109"/>
      <c r="S322" s="109"/>
      <c r="T322" s="109"/>
      <c r="U322" s="109"/>
      <c r="V322" s="109"/>
      <c r="W322" s="109"/>
      <c r="X322" s="109"/>
      <c r="Y322" s="109"/>
      <c r="Z322" s="109"/>
    </row>
    <row r="323" spans="1:26" ht="13.5" customHeight="1">
      <c r="A323" s="184" t="s">
        <v>409</v>
      </c>
      <c r="B323" s="179" t="str">
        <f>IF(G265 = "", "W169", IF(G265 &gt; I265, _xlfn.CONCAT("W169-", RIGHT(F265, LEN(F265) - FIND("-", F265))), _xlfn.CONCAT("W169-", RIGHT(H265, LEN(H265) - FIND("-", H265)))))</f>
        <v>W169</v>
      </c>
      <c r="C323" s="134" t="s">
        <v>409</v>
      </c>
      <c r="D323" s="178" t="str">
        <f>IF(G293 = "", "W176", IF(G293 &gt; I293, _xlfn.CONCAT("W176-", RIGHT(F293, LEN(F293) - FIND("-", F293))), _xlfn.CONCAT("W176-", RIGHT(H293, LEN(H293) - FIND("-", H293)))))</f>
        <v>W176</v>
      </c>
      <c r="E323" s="109"/>
      <c r="F323" s="109"/>
      <c r="G323" s="161"/>
      <c r="H323" s="109"/>
      <c r="I323" s="109"/>
      <c r="J323" s="109"/>
      <c r="K323" s="109"/>
      <c r="L323" s="109"/>
      <c r="M323" s="109"/>
      <c r="N323" s="109"/>
      <c r="O323" s="109"/>
      <c r="P323" s="109"/>
      <c r="Q323" s="109"/>
      <c r="R323" s="109"/>
      <c r="S323" s="109"/>
      <c r="T323" s="109"/>
      <c r="U323" s="109"/>
      <c r="V323" s="109"/>
      <c r="W323" s="109"/>
      <c r="X323" s="109"/>
      <c r="Y323" s="109"/>
      <c r="Z323" s="109"/>
    </row>
    <row r="324" spans="1:26" ht="13.5" customHeight="1">
      <c r="A324" s="185" t="s">
        <v>410</v>
      </c>
      <c r="B324" s="178" t="str">
        <f>IF(G265 = "", "L169", IF(G265 &lt; I265, _xlfn.CONCAT("L169-", RIGHT(F265, LEN(F265) - FIND("-", F265))), _xlfn.CONCAT("L169-", RIGHT(H265, LEN(H265) - FIND("-", H265)))))</f>
        <v>L169</v>
      </c>
      <c r="C324" s="174" t="s">
        <v>410</v>
      </c>
      <c r="D324" s="182" t="str">
        <f>IF(G293 = "", "L176", IF(G293 &lt; I293, _xlfn.CONCAT("L176-", RIGHT(F293, LEN(F293) - FIND("-", F293))), _xlfn.CONCAT("L176-", RIGHT(H293, LEN(H293) - FIND("-", H293)))))</f>
        <v>L176</v>
      </c>
      <c r="E324" s="109"/>
      <c r="F324" s="109"/>
      <c r="G324" s="161"/>
      <c r="H324" s="109"/>
      <c r="I324" s="109"/>
      <c r="J324" s="109"/>
      <c r="K324" s="109"/>
      <c r="L324" s="109"/>
      <c r="M324" s="109"/>
      <c r="N324" s="109"/>
      <c r="O324" s="109"/>
      <c r="P324" s="109"/>
      <c r="Q324" s="109"/>
      <c r="R324" s="109"/>
      <c r="S324" s="109"/>
      <c r="T324" s="109"/>
      <c r="U324" s="109"/>
      <c r="V324" s="109"/>
      <c r="W324" s="109"/>
      <c r="X324" s="109"/>
      <c r="Y324" s="109"/>
      <c r="Z324" s="109"/>
    </row>
    <row r="325" spans="1:26" ht="13.5" customHeight="1">
      <c r="A325" s="186" t="s">
        <v>415</v>
      </c>
      <c r="B325" s="113"/>
      <c r="C325" s="187" t="s">
        <v>415</v>
      </c>
      <c r="D325" s="113"/>
      <c r="E325" s="109"/>
      <c r="F325" s="109"/>
      <c r="G325" s="161"/>
      <c r="H325" s="109"/>
      <c r="I325" s="109"/>
      <c r="J325" s="109"/>
      <c r="K325" s="109"/>
      <c r="L325" s="109"/>
      <c r="M325" s="109"/>
      <c r="N325" s="109"/>
      <c r="O325" s="109"/>
      <c r="P325" s="109"/>
      <c r="Q325" s="109"/>
      <c r="R325" s="109"/>
      <c r="S325" s="109"/>
      <c r="T325" s="109"/>
      <c r="U325" s="109"/>
      <c r="V325" s="109"/>
      <c r="W325" s="109"/>
      <c r="X325" s="109"/>
      <c r="Y325" s="109"/>
      <c r="Z325" s="109"/>
    </row>
    <row r="326" spans="1:26" ht="13.5" customHeight="1">
      <c r="A326" s="185" t="s">
        <v>416</v>
      </c>
      <c r="B326" s="188"/>
      <c r="C326" s="187" t="s">
        <v>416</v>
      </c>
      <c r="D326" s="188"/>
      <c r="E326" s="109"/>
      <c r="F326" s="109"/>
      <c r="G326" s="161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</row>
    <row r="327" spans="1:26" ht="13.5" customHeight="1">
      <c r="A327" s="185" t="s">
        <v>417</v>
      </c>
      <c r="B327" s="188"/>
      <c r="C327" s="187" t="s">
        <v>417</v>
      </c>
      <c r="D327" s="188"/>
      <c r="E327" s="109"/>
      <c r="F327" s="109"/>
      <c r="G327" s="161"/>
      <c r="H327" s="109"/>
      <c r="I327" s="109"/>
      <c r="J327" s="109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109"/>
      <c r="Y327" s="109"/>
      <c r="Z327" s="109"/>
    </row>
    <row r="328" spans="1:26" ht="13.5" customHeight="1">
      <c r="A328" s="185" t="s">
        <v>418</v>
      </c>
      <c r="B328" s="188"/>
      <c r="C328" s="187" t="s">
        <v>418</v>
      </c>
      <c r="D328" s="188"/>
      <c r="E328" s="109"/>
      <c r="F328" s="109"/>
      <c r="G328" s="161"/>
      <c r="H328" s="109"/>
      <c r="I328" s="109"/>
      <c r="J328" s="109"/>
      <c r="K328" s="109"/>
      <c r="L328" s="109"/>
      <c r="M328" s="109"/>
      <c r="N328" s="109"/>
      <c r="O328" s="109"/>
      <c r="P328" s="109"/>
      <c r="Q328" s="109"/>
      <c r="R328" s="109"/>
      <c r="S328" s="109"/>
      <c r="T328" s="109"/>
      <c r="U328" s="109"/>
      <c r="V328" s="109"/>
      <c r="W328" s="109"/>
      <c r="X328" s="109"/>
      <c r="Y328" s="109"/>
      <c r="Z328" s="109"/>
    </row>
    <row r="329" spans="1:26" ht="13.5" customHeight="1">
      <c r="A329" s="109"/>
      <c r="B329" s="109"/>
      <c r="C329" s="109"/>
      <c r="D329" s="109"/>
      <c r="E329" s="109"/>
      <c r="F329" s="109"/>
      <c r="G329" s="161"/>
      <c r="H329" s="109"/>
      <c r="I329" s="109"/>
      <c r="J329" s="109"/>
      <c r="K329" s="109"/>
      <c r="L329" s="109"/>
      <c r="M329" s="109"/>
      <c r="N329" s="109"/>
      <c r="O329" s="109"/>
      <c r="P329" s="109"/>
      <c r="Q329" s="109"/>
      <c r="R329" s="109"/>
      <c r="S329" s="109"/>
      <c r="T329" s="109"/>
      <c r="U329" s="109"/>
      <c r="V329" s="109"/>
      <c r="W329" s="109"/>
      <c r="X329" s="109"/>
      <c r="Y329" s="109"/>
      <c r="Z329" s="109"/>
    </row>
    <row r="330" spans="1:26" ht="13.5" customHeight="1">
      <c r="A330" s="109"/>
      <c r="B330" s="109"/>
      <c r="C330" s="109"/>
      <c r="D330" s="109"/>
      <c r="E330" s="109"/>
      <c r="F330" s="109"/>
      <c r="G330" s="161"/>
      <c r="H330" s="109"/>
      <c r="I330" s="109"/>
      <c r="J330" s="109"/>
      <c r="K330" s="109"/>
      <c r="L330" s="109"/>
      <c r="M330" s="109"/>
      <c r="N330" s="109"/>
      <c r="O330" s="109"/>
      <c r="P330" s="109"/>
      <c r="Q330" s="109"/>
      <c r="R330" s="109"/>
      <c r="S330" s="109"/>
      <c r="T330" s="109"/>
      <c r="U330" s="109"/>
      <c r="V330" s="109"/>
      <c r="W330" s="109"/>
      <c r="X330" s="109"/>
      <c r="Y330" s="109"/>
      <c r="Z330" s="109"/>
    </row>
    <row r="331" spans="1:26" ht="13.5" customHeight="1">
      <c r="A331" s="109"/>
      <c r="B331" s="109"/>
      <c r="C331" s="109"/>
      <c r="D331" s="109"/>
      <c r="E331" s="109"/>
      <c r="F331" s="109"/>
      <c r="G331" s="161"/>
      <c r="H331" s="109"/>
      <c r="I331" s="109"/>
      <c r="J331" s="109"/>
      <c r="K331" s="109"/>
      <c r="L331" s="109"/>
      <c r="M331" s="109"/>
      <c r="N331" s="109"/>
      <c r="O331" s="109"/>
      <c r="P331" s="109"/>
      <c r="Q331" s="109"/>
      <c r="R331" s="109"/>
      <c r="S331" s="109"/>
      <c r="T331" s="109"/>
      <c r="U331" s="109"/>
      <c r="V331" s="109"/>
      <c r="W331" s="109"/>
      <c r="X331" s="109"/>
      <c r="Y331" s="109"/>
      <c r="Z331" s="109"/>
    </row>
    <row r="332" spans="1:26" ht="13.5" customHeight="1">
      <c r="A332" s="109"/>
      <c r="B332" s="109"/>
      <c r="C332" s="109"/>
      <c r="D332" s="109"/>
      <c r="E332" s="109"/>
      <c r="F332" s="109"/>
      <c r="G332" s="161"/>
      <c r="H332" s="109"/>
      <c r="I332" s="109"/>
      <c r="J332" s="109"/>
      <c r="K332" s="109"/>
      <c r="L332" s="109"/>
      <c r="M332" s="109"/>
      <c r="N332" s="109"/>
      <c r="O332" s="109"/>
      <c r="P332" s="109"/>
      <c r="Q332" s="109"/>
      <c r="R332" s="109"/>
      <c r="S332" s="109"/>
      <c r="T332" s="109"/>
      <c r="U332" s="109"/>
      <c r="V332" s="109"/>
      <c r="W332" s="109"/>
      <c r="X332" s="109"/>
      <c r="Y332" s="109"/>
      <c r="Z332" s="109"/>
    </row>
    <row r="333" spans="1:26" ht="13.5" customHeight="1">
      <c r="A333" s="109"/>
      <c r="B333" s="109"/>
      <c r="C333" s="109"/>
      <c r="D333" s="109"/>
      <c r="E333" s="109"/>
      <c r="F333" s="109"/>
      <c r="G333" s="161"/>
      <c r="H333" s="109"/>
      <c r="I333" s="109"/>
      <c r="J333" s="109"/>
      <c r="K333" s="109"/>
      <c r="L333" s="109"/>
      <c r="M333" s="109"/>
      <c r="N333" s="109"/>
      <c r="O333" s="109"/>
      <c r="P333" s="109"/>
      <c r="Q333" s="109"/>
      <c r="R333" s="109"/>
      <c r="S333" s="109"/>
      <c r="T333" s="109"/>
      <c r="U333" s="109"/>
      <c r="V333" s="109"/>
      <c r="W333" s="109"/>
      <c r="X333" s="109"/>
      <c r="Y333" s="109"/>
      <c r="Z333" s="109"/>
    </row>
    <row r="334" spans="1:26" ht="13.5" customHeight="1">
      <c r="A334" s="109"/>
      <c r="B334" s="109"/>
      <c r="C334" s="109"/>
      <c r="D334" s="109"/>
      <c r="E334" s="109"/>
      <c r="F334" s="109"/>
      <c r="G334" s="161"/>
      <c r="H334" s="109"/>
      <c r="I334" s="109"/>
      <c r="J334" s="109"/>
      <c r="K334" s="109"/>
      <c r="L334" s="109"/>
      <c r="M334" s="109"/>
      <c r="N334" s="109"/>
      <c r="O334" s="109"/>
      <c r="P334" s="109"/>
      <c r="Q334" s="109"/>
      <c r="R334" s="109"/>
      <c r="S334" s="109"/>
      <c r="T334" s="109"/>
      <c r="U334" s="109"/>
      <c r="V334" s="109"/>
      <c r="W334" s="109"/>
      <c r="X334" s="109"/>
      <c r="Y334" s="109"/>
      <c r="Z334" s="109"/>
    </row>
    <row r="335" spans="1:26" ht="13.5" customHeight="1">
      <c r="A335" s="109"/>
      <c r="B335" s="109"/>
      <c r="C335" s="109"/>
      <c r="D335" s="109"/>
      <c r="E335" s="109"/>
      <c r="F335" s="109"/>
      <c r="G335" s="161"/>
      <c r="H335" s="109"/>
      <c r="I335" s="109"/>
      <c r="J335" s="109"/>
      <c r="K335" s="109"/>
      <c r="L335" s="109"/>
      <c r="M335" s="109"/>
      <c r="N335" s="109"/>
      <c r="O335" s="109"/>
      <c r="P335" s="109"/>
      <c r="Q335" s="109"/>
      <c r="R335" s="109"/>
      <c r="S335" s="109"/>
      <c r="T335" s="109"/>
      <c r="U335" s="109"/>
      <c r="V335" s="109"/>
      <c r="W335" s="109"/>
      <c r="X335" s="109"/>
      <c r="Y335" s="109"/>
      <c r="Z335" s="109"/>
    </row>
    <row r="336" spans="1:26" ht="13.5" customHeight="1">
      <c r="A336" s="109"/>
      <c r="B336" s="109"/>
      <c r="C336" s="109"/>
      <c r="D336" s="109"/>
      <c r="E336" s="109"/>
      <c r="F336" s="109"/>
      <c r="G336" s="161"/>
      <c r="H336" s="109"/>
      <c r="I336" s="109"/>
      <c r="J336" s="109"/>
      <c r="K336" s="109"/>
      <c r="L336" s="109"/>
      <c r="M336" s="109"/>
      <c r="N336" s="109"/>
      <c r="O336" s="109"/>
      <c r="P336" s="109"/>
      <c r="Q336" s="109"/>
      <c r="R336" s="109"/>
      <c r="S336" s="109"/>
      <c r="T336" s="109"/>
      <c r="U336" s="109"/>
      <c r="V336" s="109"/>
      <c r="W336" s="109"/>
      <c r="X336" s="109"/>
      <c r="Y336" s="109"/>
      <c r="Z336" s="109"/>
    </row>
    <row r="337" spans="1:26" ht="13.5" customHeight="1">
      <c r="A337" s="109"/>
      <c r="B337" s="109"/>
      <c r="C337" s="109"/>
      <c r="D337" s="109"/>
      <c r="E337" s="109"/>
      <c r="F337" s="109"/>
      <c r="G337" s="161"/>
      <c r="H337" s="109"/>
      <c r="I337" s="109"/>
      <c r="J337" s="109"/>
      <c r="K337" s="109"/>
      <c r="L337" s="109"/>
      <c r="M337" s="109"/>
      <c r="N337" s="109"/>
      <c r="O337" s="109"/>
      <c r="P337" s="109"/>
      <c r="Q337" s="109"/>
      <c r="R337" s="109"/>
      <c r="S337" s="109"/>
      <c r="T337" s="109"/>
      <c r="U337" s="109"/>
      <c r="V337" s="109"/>
      <c r="W337" s="109"/>
      <c r="X337" s="109"/>
      <c r="Y337" s="109"/>
      <c r="Z337" s="109"/>
    </row>
    <row r="338" spans="1:26" ht="13.5" customHeight="1">
      <c r="A338" s="109"/>
      <c r="B338" s="109"/>
      <c r="C338" s="109"/>
      <c r="D338" s="109"/>
      <c r="E338" s="109"/>
      <c r="F338" s="109"/>
      <c r="G338" s="161"/>
      <c r="H338" s="109"/>
      <c r="I338" s="109"/>
      <c r="J338" s="109"/>
      <c r="K338" s="109"/>
      <c r="L338" s="109"/>
      <c r="M338" s="109"/>
      <c r="N338" s="109"/>
      <c r="O338" s="109"/>
      <c r="P338" s="109"/>
      <c r="Q338" s="109"/>
      <c r="R338" s="109"/>
      <c r="S338" s="109"/>
      <c r="T338" s="109"/>
      <c r="U338" s="109"/>
      <c r="V338" s="109"/>
      <c r="W338" s="109"/>
      <c r="X338" s="109"/>
      <c r="Y338" s="109"/>
      <c r="Z338" s="109"/>
    </row>
    <row r="339" spans="1:26" ht="13.5" customHeight="1">
      <c r="A339" s="109"/>
      <c r="B339" s="109"/>
      <c r="C339" s="109"/>
      <c r="D339" s="109"/>
      <c r="E339" s="109"/>
      <c r="F339" s="109"/>
      <c r="G339" s="161"/>
      <c r="H339" s="109"/>
      <c r="I339" s="109"/>
      <c r="J339" s="109"/>
      <c r="K339" s="109"/>
      <c r="L339" s="109"/>
      <c r="M339" s="109"/>
      <c r="N339" s="109"/>
      <c r="O339" s="109"/>
      <c r="P339" s="109"/>
      <c r="Q339" s="109"/>
      <c r="R339" s="109"/>
      <c r="S339" s="109"/>
      <c r="T339" s="109"/>
      <c r="U339" s="109"/>
      <c r="V339" s="109"/>
      <c r="W339" s="109"/>
      <c r="X339" s="109"/>
      <c r="Y339" s="109"/>
      <c r="Z339" s="109"/>
    </row>
    <row r="340" spans="1:26" ht="13.5" customHeight="1">
      <c r="A340" s="109"/>
      <c r="B340" s="109"/>
      <c r="C340" s="109"/>
      <c r="D340" s="109"/>
      <c r="E340" s="109"/>
      <c r="F340" s="109"/>
      <c r="G340" s="161"/>
      <c r="H340" s="109"/>
      <c r="I340" s="109"/>
      <c r="J340" s="109"/>
      <c r="K340" s="109"/>
      <c r="L340" s="109"/>
      <c r="M340" s="109"/>
      <c r="N340" s="109"/>
      <c r="O340" s="109"/>
      <c r="P340" s="109"/>
      <c r="Q340" s="109"/>
      <c r="R340" s="109"/>
      <c r="S340" s="109"/>
      <c r="T340" s="109"/>
      <c r="U340" s="109"/>
      <c r="V340" s="109"/>
      <c r="W340" s="109"/>
      <c r="X340" s="109"/>
      <c r="Y340" s="109"/>
      <c r="Z340" s="109"/>
    </row>
    <row r="341" spans="1:26" ht="13.5" customHeight="1">
      <c r="A341" s="109"/>
      <c r="B341" s="109"/>
      <c r="C341" s="109"/>
      <c r="D341" s="109"/>
      <c r="E341" s="109"/>
      <c r="F341" s="109"/>
      <c r="G341" s="161"/>
      <c r="H341" s="109"/>
      <c r="I341" s="109"/>
      <c r="J341" s="109"/>
      <c r="K341" s="109"/>
      <c r="L341" s="109"/>
      <c r="M341" s="109"/>
      <c r="N341" s="109"/>
      <c r="O341" s="109"/>
      <c r="P341" s="109"/>
      <c r="Q341" s="109"/>
      <c r="R341" s="109"/>
      <c r="S341" s="109"/>
      <c r="T341" s="109"/>
      <c r="U341" s="109"/>
      <c r="V341" s="109"/>
      <c r="W341" s="109"/>
      <c r="X341" s="109"/>
      <c r="Y341" s="109"/>
      <c r="Z341" s="109"/>
    </row>
    <row r="342" spans="1:26" ht="13.5" customHeight="1">
      <c r="A342" s="109"/>
      <c r="B342" s="109"/>
      <c r="C342" s="109"/>
      <c r="D342" s="109"/>
      <c r="E342" s="109"/>
      <c r="F342" s="109"/>
      <c r="G342" s="161"/>
      <c r="H342" s="109"/>
      <c r="I342" s="109"/>
      <c r="J342" s="109"/>
      <c r="K342" s="109"/>
      <c r="L342" s="109"/>
      <c r="M342" s="109"/>
      <c r="N342" s="109"/>
      <c r="O342" s="109"/>
      <c r="P342" s="109"/>
      <c r="Q342" s="109"/>
      <c r="R342" s="109"/>
      <c r="S342" s="109"/>
      <c r="T342" s="109"/>
      <c r="U342" s="109"/>
      <c r="V342" s="109"/>
      <c r="W342" s="109"/>
      <c r="X342" s="109"/>
      <c r="Y342" s="109"/>
      <c r="Z342" s="109"/>
    </row>
    <row r="343" spans="1:26" ht="13.5" customHeight="1">
      <c r="A343" s="109"/>
      <c r="B343" s="109"/>
      <c r="C343" s="109"/>
      <c r="D343" s="109"/>
      <c r="E343" s="109"/>
      <c r="F343" s="109"/>
      <c r="G343" s="161"/>
      <c r="H343" s="109"/>
      <c r="I343" s="109"/>
      <c r="J343" s="109"/>
      <c r="K343" s="109"/>
      <c r="L343" s="109"/>
      <c r="M343" s="109"/>
      <c r="N343" s="109"/>
      <c r="O343" s="109"/>
      <c r="P343" s="109"/>
      <c r="Q343" s="109"/>
      <c r="R343" s="109"/>
      <c r="S343" s="109"/>
      <c r="T343" s="109"/>
      <c r="U343" s="109"/>
      <c r="V343" s="109"/>
      <c r="W343" s="109"/>
      <c r="X343" s="109"/>
      <c r="Y343" s="109"/>
      <c r="Z343" s="109"/>
    </row>
    <row r="344" spans="1:26" ht="13.5" customHeight="1">
      <c r="A344" s="109"/>
      <c r="B344" s="109"/>
      <c r="C344" s="109"/>
      <c r="D344" s="109"/>
      <c r="E344" s="109"/>
      <c r="F344" s="109"/>
      <c r="G344" s="161"/>
      <c r="H344" s="109"/>
      <c r="I344" s="109"/>
      <c r="J344" s="109"/>
      <c r="K344" s="109"/>
      <c r="L344" s="109"/>
      <c r="M344" s="109"/>
      <c r="N344" s="109"/>
      <c r="O344" s="109"/>
      <c r="P344" s="109"/>
      <c r="Q344" s="109"/>
      <c r="R344" s="109"/>
      <c r="S344" s="109"/>
      <c r="T344" s="109"/>
      <c r="U344" s="109"/>
      <c r="V344" s="109"/>
      <c r="W344" s="109"/>
      <c r="X344" s="109"/>
      <c r="Y344" s="109"/>
      <c r="Z344" s="109"/>
    </row>
    <row r="345" spans="1:26" ht="13.5" customHeight="1">
      <c r="A345" s="109"/>
      <c r="B345" s="109"/>
      <c r="C345" s="109"/>
      <c r="D345" s="109"/>
      <c r="E345" s="109"/>
      <c r="F345" s="109"/>
      <c r="G345" s="161"/>
      <c r="H345" s="109"/>
      <c r="I345" s="109"/>
      <c r="J345" s="109"/>
      <c r="K345" s="109"/>
      <c r="L345" s="109"/>
      <c r="M345" s="109"/>
      <c r="N345" s="109"/>
      <c r="O345" s="109"/>
      <c r="P345" s="109"/>
      <c r="Q345" s="109"/>
      <c r="R345" s="109"/>
      <c r="S345" s="109"/>
      <c r="T345" s="109"/>
      <c r="U345" s="109"/>
      <c r="V345" s="109"/>
      <c r="W345" s="109"/>
      <c r="X345" s="109"/>
      <c r="Y345" s="109"/>
      <c r="Z345" s="109"/>
    </row>
    <row r="346" spans="1:26" ht="13.5" customHeight="1">
      <c r="A346" s="109"/>
      <c r="B346" s="109"/>
      <c r="C346" s="109"/>
      <c r="D346" s="109"/>
      <c r="E346" s="109"/>
      <c r="F346" s="109"/>
      <c r="G346" s="161"/>
      <c r="H346" s="109"/>
      <c r="I346" s="109"/>
      <c r="J346" s="109"/>
      <c r="K346" s="109"/>
      <c r="L346" s="109"/>
      <c r="M346" s="109"/>
      <c r="N346" s="109"/>
      <c r="O346" s="109"/>
      <c r="P346" s="109"/>
      <c r="Q346" s="109"/>
      <c r="R346" s="109"/>
      <c r="S346" s="109"/>
      <c r="T346" s="109"/>
      <c r="U346" s="109"/>
      <c r="V346" s="109"/>
      <c r="W346" s="109"/>
      <c r="X346" s="109"/>
      <c r="Y346" s="109"/>
      <c r="Z346" s="109"/>
    </row>
    <row r="347" spans="1:26" ht="13.5" customHeight="1">
      <c r="A347" s="109"/>
      <c r="B347" s="109"/>
      <c r="C347" s="109"/>
      <c r="D347" s="109"/>
      <c r="E347" s="109"/>
      <c r="F347" s="109"/>
      <c r="G347" s="161"/>
      <c r="H347" s="109"/>
      <c r="I347" s="109"/>
      <c r="J347" s="109"/>
      <c r="K347" s="109"/>
      <c r="L347" s="109"/>
      <c r="M347" s="109"/>
      <c r="N347" s="109"/>
      <c r="O347" s="109"/>
      <c r="P347" s="109"/>
      <c r="Q347" s="109"/>
      <c r="R347" s="109"/>
      <c r="S347" s="109"/>
      <c r="T347" s="109"/>
      <c r="U347" s="109"/>
      <c r="V347" s="109"/>
      <c r="W347" s="109"/>
      <c r="X347" s="109"/>
      <c r="Y347" s="109"/>
      <c r="Z347" s="109"/>
    </row>
    <row r="348" spans="1:26" ht="13.5" customHeight="1">
      <c r="A348" s="109"/>
      <c r="B348" s="109"/>
      <c r="C348" s="109"/>
      <c r="D348" s="109"/>
      <c r="E348" s="109"/>
      <c r="F348" s="109"/>
      <c r="G348" s="161"/>
      <c r="H348" s="109"/>
      <c r="I348" s="109"/>
      <c r="J348" s="109"/>
      <c r="K348" s="109"/>
      <c r="L348" s="109"/>
      <c r="M348" s="109"/>
      <c r="N348" s="109"/>
      <c r="O348" s="109"/>
      <c r="P348" s="109"/>
      <c r="Q348" s="109"/>
      <c r="R348" s="109"/>
      <c r="S348" s="109"/>
      <c r="T348" s="109"/>
      <c r="U348" s="109"/>
      <c r="V348" s="109"/>
      <c r="W348" s="109"/>
      <c r="X348" s="109"/>
      <c r="Y348" s="109"/>
      <c r="Z348" s="109"/>
    </row>
    <row r="349" spans="1:26" ht="13.5" customHeight="1">
      <c r="A349" s="109"/>
      <c r="B349" s="109"/>
      <c r="C349" s="109"/>
      <c r="D349" s="109"/>
      <c r="E349" s="109"/>
      <c r="F349" s="109"/>
      <c r="G349" s="161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</row>
    <row r="350" spans="1:26" ht="13.5" customHeight="1">
      <c r="A350" s="109"/>
      <c r="B350" s="109"/>
      <c r="C350" s="109"/>
      <c r="D350" s="109"/>
      <c r="E350" s="109"/>
      <c r="F350" s="109"/>
      <c r="G350" s="161"/>
      <c r="H350" s="109"/>
      <c r="I350" s="109"/>
      <c r="J350" s="109"/>
      <c r="K350" s="109"/>
      <c r="L350" s="109"/>
      <c r="M350" s="109"/>
      <c r="N350" s="109"/>
      <c r="O350" s="109"/>
      <c r="P350" s="109"/>
      <c r="Q350" s="109"/>
      <c r="R350" s="109"/>
      <c r="S350" s="109"/>
      <c r="T350" s="109"/>
      <c r="U350" s="109"/>
      <c r="V350" s="109"/>
      <c r="W350" s="109"/>
      <c r="X350" s="109"/>
      <c r="Y350" s="109"/>
      <c r="Z350" s="109"/>
    </row>
    <row r="351" spans="1:26" ht="13.5" customHeight="1">
      <c r="A351" s="109"/>
      <c r="B351" s="109"/>
      <c r="C351" s="109"/>
      <c r="D351" s="109"/>
      <c r="E351" s="109"/>
      <c r="F351" s="109"/>
      <c r="G351" s="161"/>
      <c r="H351" s="109"/>
      <c r="I351" s="109"/>
      <c r="J351" s="109"/>
      <c r="K351" s="109"/>
      <c r="L351" s="109"/>
      <c r="M351" s="109"/>
      <c r="N351" s="109"/>
      <c r="O351" s="109"/>
      <c r="P351" s="109"/>
      <c r="Q351" s="109"/>
      <c r="R351" s="109"/>
      <c r="S351" s="109"/>
      <c r="T351" s="109"/>
      <c r="U351" s="109"/>
      <c r="V351" s="109"/>
      <c r="W351" s="109"/>
      <c r="X351" s="109"/>
      <c r="Y351" s="109"/>
      <c r="Z351" s="109"/>
    </row>
    <row r="352" spans="1:26" ht="13.5" customHeight="1">
      <c r="A352" s="109"/>
      <c r="B352" s="109"/>
      <c r="C352" s="109"/>
      <c r="D352" s="109"/>
      <c r="E352" s="109"/>
      <c r="F352" s="109"/>
      <c r="G352" s="161"/>
      <c r="H352" s="109"/>
      <c r="I352" s="109"/>
      <c r="J352" s="109"/>
      <c r="K352" s="109"/>
      <c r="L352" s="109"/>
      <c r="M352" s="109"/>
      <c r="N352" s="109"/>
      <c r="O352" s="109"/>
      <c r="P352" s="109"/>
      <c r="Q352" s="109"/>
      <c r="R352" s="109"/>
      <c r="S352" s="109"/>
      <c r="T352" s="109"/>
      <c r="U352" s="109"/>
      <c r="V352" s="109"/>
      <c r="W352" s="109"/>
      <c r="X352" s="109"/>
      <c r="Y352" s="109"/>
      <c r="Z352" s="109"/>
    </row>
    <row r="353" spans="1:26" ht="13.5" customHeight="1">
      <c r="A353" s="109"/>
      <c r="B353" s="109"/>
      <c r="C353" s="109"/>
      <c r="D353" s="109"/>
      <c r="E353" s="109"/>
      <c r="F353" s="109"/>
      <c r="G353" s="161"/>
      <c r="H353" s="109"/>
      <c r="I353" s="109"/>
      <c r="J353" s="109"/>
      <c r="K353" s="109"/>
      <c r="L353" s="109"/>
      <c r="M353" s="109"/>
      <c r="N353" s="109"/>
      <c r="O353" s="109"/>
      <c r="P353" s="109"/>
      <c r="Q353" s="109"/>
      <c r="R353" s="109"/>
      <c r="S353" s="109"/>
      <c r="T353" s="109"/>
      <c r="U353" s="109"/>
      <c r="V353" s="109"/>
      <c r="W353" s="109"/>
      <c r="X353" s="109"/>
      <c r="Y353" s="109"/>
      <c r="Z353" s="109"/>
    </row>
    <row r="354" spans="1:26" ht="13.5" customHeight="1">
      <c r="A354" s="109"/>
      <c r="B354" s="109"/>
      <c r="C354" s="109"/>
      <c r="D354" s="109"/>
      <c r="E354" s="109"/>
      <c r="F354" s="109"/>
      <c r="G354" s="161"/>
      <c r="H354" s="109"/>
      <c r="I354" s="109"/>
      <c r="J354" s="109"/>
      <c r="K354" s="109"/>
      <c r="L354" s="109"/>
      <c r="M354" s="109"/>
      <c r="N354" s="109"/>
      <c r="O354" s="109"/>
      <c r="P354" s="109"/>
      <c r="Q354" s="109"/>
      <c r="R354" s="109"/>
      <c r="S354" s="109"/>
      <c r="T354" s="109"/>
      <c r="U354" s="109"/>
      <c r="V354" s="109"/>
      <c r="W354" s="109"/>
      <c r="X354" s="109"/>
      <c r="Y354" s="109"/>
      <c r="Z354" s="109"/>
    </row>
    <row r="355" spans="1:26" ht="13.5" customHeight="1">
      <c r="A355" s="109"/>
      <c r="B355" s="109"/>
      <c r="C355" s="109"/>
      <c r="D355" s="109"/>
      <c r="E355" s="109"/>
      <c r="F355" s="109"/>
      <c r="G355" s="161"/>
      <c r="H355" s="109"/>
      <c r="I355" s="109"/>
      <c r="J355" s="109"/>
      <c r="K355" s="109"/>
      <c r="L355" s="109"/>
      <c r="M355" s="109"/>
      <c r="N355" s="109"/>
      <c r="O355" s="109"/>
      <c r="P355" s="109"/>
      <c r="Q355" s="109"/>
      <c r="R355" s="109"/>
      <c r="S355" s="109"/>
      <c r="T355" s="109"/>
      <c r="U355" s="109"/>
      <c r="V355" s="109"/>
      <c r="W355" s="109"/>
      <c r="X355" s="109"/>
      <c r="Y355" s="109"/>
      <c r="Z355" s="109"/>
    </row>
    <row r="356" spans="1:26" ht="13.5" customHeight="1">
      <c r="A356" s="109"/>
      <c r="B356" s="109"/>
      <c r="C356" s="109"/>
      <c r="D356" s="109"/>
      <c r="E356" s="109"/>
      <c r="F356" s="109"/>
      <c r="G356" s="161"/>
      <c r="H356" s="109"/>
      <c r="I356" s="109"/>
      <c r="J356" s="109"/>
      <c r="K356" s="109"/>
      <c r="L356" s="109"/>
      <c r="M356" s="109"/>
      <c r="N356" s="109"/>
      <c r="O356" s="109"/>
      <c r="P356" s="109"/>
      <c r="Q356" s="109"/>
      <c r="R356" s="109"/>
      <c r="S356" s="109"/>
      <c r="T356" s="109"/>
      <c r="U356" s="109"/>
      <c r="V356" s="109"/>
      <c r="W356" s="109"/>
      <c r="X356" s="109"/>
      <c r="Y356" s="109"/>
      <c r="Z356" s="109"/>
    </row>
    <row r="357" spans="1:26" ht="13.5" customHeight="1">
      <c r="A357" s="109"/>
      <c r="B357" s="109"/>
      <c r="C357" s="109"/>
      <c r="D357" s="109"/>
      <c r="E357" s="109"/>
      <c r="F357" s="109"/>
      <c r="G357" s="161"/>
      <c r="H357" s="109"/>
      <c r="I357" s="109"/>
      <c r="J357" s="109"/>
      <c r="K357" s="109"/>
      <c r="L357" s="109"/>
      <c r="M357" s="109"/>
      <c r="N357" s="109"/>
      <c r="O357" s="109"/>
      <c r="P357" s="109"/>
      <c r="Q357" s="109"/>
      <c r="R357" s="109"/>
      <c r="S357" s="109"/>
      <c r="T357" s="109"/>
      <c r="U357" s="109"/>
      <c r="V357" s="109"/>
      <c r="W357" s="109"/>
      <c r="X357" s="109"/>
      <c r="Y357" s="109"/>
      <c r="Z357" s="109"/>
    </row>
    <row r="358" spans="1:26" ht="13.5" customHeight="1">
      <c r="A358" s="109"/>
      <c r="B358" s="109"/>
      <c r="C358" s="109"/>
      <c r="D358" s="109"/>
      <c r="E358" s="109"/>
      <c r="F358" s="109"/>
      <c r="G358" s="161"/>
      <c r="H358" s="109"/>
      <c r="I358" s="109"/>
      <c r="J358" s="109"/>
      <c r="K358" s="109"/>
      <c r="L358" s="109"/>
      <c r="M358" s="109"/>
      <c r="N358" s="109"/>
      <c r="O358" s="109"/>
      <c r="P358" s="109"/>
      <c r="Q358" s="109"/>
      <c r="R358" s="109"/>
      <c r="S358" s="109"/>
      <c r="T358" s="109"/>
      <c r="U358" s="109"/>
      <c r="V358" s="109"/>
      <c r="W358" s="109"/>
      <c r="X358" s="109"/>
      <c r="Y358" s="109"/>
      <c r="Z358" s="109"/>
    </row>
    <row r="359" spans="1:26" ht="13.5" customHeight="1">
      <c r="A359" s="109"/>
      <c r="B359" s="109"/>
      <c r="C359" s="109"/>
      <c r="D359" s="109"/>
      <c r="E359" s="109"/>
      <c r="F359" s="109"/>
      <c r="G359" s="161"/>
      <c r="H359" s="109"/>
      <c r="I359" s="109"/>
      <c r="J359" s="109"/>
      <c r="K359" s="109"/>
      <c r="L359" s="109"/>
      <c r="M359" s="109"/>
      <c r="N359" s="109"/>
      <c r="O359" s="109"/>
      <c r="P359" s="109"/>
      <c r="Q359" s="109"/>
      <c r="R359" s="109"/>
      <c r="S359" s="109"/>
      <c r="T359" s="109"/>
      <c r="U359" s="109"/>
      <c r="V359" s="109"/>
      <c r="W359" s="109"/>
      <c r="X359" s="109"/>
      <c r="Y359" s="109"/>
      <c r="Z359" s="109"/>
    </row>
    <row r="360" spans="1:26" ht="13.5" customHeight="1">
      <c r="A360" s="109"/>
      <c r="B360" s="109"/>
      <c r="C360" s="109"/>
      <c r="D360" s="109"/>
      <c r="E360" s="109"/>
      <c r="F360" s="109"/>
      <c r="G360" s="161"/>
      <c r="H360" s="109"/>
      <c r="I360" s="109"/>
      <c r="J360" s="109"/>
      <c r="K360" s="109"/>
      <c r="L360" s="109"/>
      <c r="M360" s="109"/>
      <c r="N360" s="109"/>
      <c r="O360" s="109"/>
      <c r="P360" s="109"/>
      <c r="Q360" s="109"/>
      <c r="R360" s="109"/>
      <c r="S360" s="109"/>
      <c r="T360" s="109"/>
      <c r="U360" s="109"/>
      <c r="V360" s="109"/>
      <c r="W360" s="109"/>
      <c r="X360" s="109"/>
      <c r="Y360" s="109"/>
      <c r="Z360" s="109"/>
    </row>
    <row r="361" spans="1:26" ht="13.5" customHeight="1">
      <c r="A361" s="109"/>
      <c r="B361" s="109"/>
      <c r="C361" s="109"/>
      <c r="D361" s="109"/>
      <c r="E361" s="109"/>
      <c r="F361" s="109"/>
      <c r="G361" s="161"/>
      <c r="H361" s="109"/>
      <c r="I361" s="109"/>
      <c r="J361" s="109"/>
      <c r="K361" s="109"/>
      <c r="L361" s="109"/>
      <c r="M361" s="109"/>
      <c r="N361" s="109"/>
      <c r="O361" s="109"/>
      <c r="P361" s="109"/>
      <c r="Q361" s="109"/>
      <c r="R361" s="109"/>
      <c r="S361" s="109"/>
      <c r="T361" s="109"/>
      <c r="U361" s="109"/>
      <c r="V361" s="109"/>
      <c r="W361" s="109"/>
      <c r="X361" s="109"/>
      <c r="Y361" s="109"/>
      <c r="Z361" s="109"/>
    </row>
    <row r="362" spans="1:26" ht="13.5" customHeight="1">
      <c r="A362" s="109"/>
      <c r="B362" s="109"/>
      <c r="C362" s="109"/>
      <c r="D362" s="109"/>
      <c r="E362" s="109"/>
      <c r="F362" s="109"/>
      <c r="G362" s="161"/>
      <c r="H362" s="109"/>
      <c r="I362" s="109"/>
      <c r="J362" s="109"/>
      <c r="K362" s="109"/>
      <c r="L362" s="109"/>
      <c r="M362" s="109"/>
      <c r="N362" s="109"/>
      <c r="O362" s="109"/>
      <c r="P362" s="109"/>
      <c r="Q362" s="109"/>
      <c r="R362" s="109"/>
      <c r="S362" s="109"/>
      <c r="T362" s="109"/>
      <c r="U362" s="109"/>
      <c r="V362" s="109"/>
      <c r="W362" s="109"/>
      <c r="X362" s="109"/>
      <c r="Y362" s="109"/>
      <c r="Z362" s="109"/>
    </row>
    <row r="363" spans="1:26" ht="13.5" customHeight="1">
      <c r="A363" s="109"/>
      <c r="B363" s="109"/>
      <c r="C363" s="109"/>
      <c r="D363" s="109"/>
      <c r="E363" s="109"/>
      <c r="F363" s="109"/>
      <c r="G363" s="161"/>
      <c r="H363" s="109"/>
      <c r="I363" s="109"/>
      <c r="J363" s="109"/>
      <c r="K363" s="109"/>
      <c r="L363" s="109"/>
      <c r="M363" s="109"/>
      <c r="N363" s="109"/>
      <c r="O363" s="109"/>
      <c r="P363" s="109"/>
      <c r="Q363" s="109"/>
      <c r="R363" s="109"/>
      <c r="S363" s="109"/>
      <c r="T363" s="109"/>
      <c r="U363" s="109"/>
      <c r="V363" s="109"/>
      <c r="W363" s="109"/>
      <c r="X363" s="109"/>
      <c r="Y363" s="109"/>
      <c r="Z363" s="109"/>
    </row>
    <row r="364" spans="1:26" ht="13.5" customHeight="1">
      <c r="A364" s="109"/>
      <c r="B364" s="109"/>
      <c r="C364" s="109"/>
      <c r="D364" s="109"/>
      <c r="E364" s="109"/>
      <c r="F364" s="109"/>
      <c r="G364" s="161"/>
      <c r="H364" s="109"/>
      <c r="I364" s="109"/>
      <c r="J364" s="109"/>
      <c r="K364" s="109"/>
      <c r="L364" s="109"/>
      <c r="M364" s="109"/>
      <c r="N364" s="109"/>
      <c r="O364" s="109"/>
      <c r="P364" s="109"/>
      <c r="Q364" s="109"/>
      <c r="R364" s="109"/>
      <c r="S364" s="109"/>
      <c r="T364" s="109"/>
      <c r="U364" s="109"/>
      <c r="V364" s="109"/>
      <c r="W364" s="109"/>
      <c r="X364" s="109"/>
      <c r="Y364" s="109"/>
      <c r="Z364" s="109"/>
    </row>
    <row r="365" spans="1:26" ht="13.5" customHeight="1">
      <c r="A365" s="109"/>
      <c r="B365" s="109"/>
      <c r="C365" s="109"/>
      <c r="D365" s="109"/>
      <c r="E365" s="109"/>
      <c r="F365" s="109"/>
      <c r="G365" s="161"/>
      <c r="H365" s="109"/>
      <c r="I365" s="109"/>
      <c r="J365" s="109"/>
      <c r="K365" s="109"/>
      <c r="L365" s="109"/>
      <c r="M365" s="109"/>
      <c r="N365" s="109"/>
      <c r="O365" s="109"/>
      <c r="P365" s="109"/>
      <c r="Q365" s="109"/>
      <c r="R365" s="109"/>
      <c r="S365" s="109"/>
      <c r="T365" s="109"/>
      <c r="U365" s="109"/>
      <c r="V365" s="109"/>
      <c r="W365" s="109"/>
      <c r="X365" s="109"/>
      <c r="Y365" s="109"/>
      <c r="Z365" s="109"/>
    </row>
    <row r="366" spans="1:26" ht="13.5" customHeight="1">
      <c r="A366" s="109"/>
      <c r="B366" s="109"/>
      <c r="C366" s="109"/>
      <c r="D366" s="109"/>
      <c r="E366" s="109"/>
      <c r="F366" s="109"/>
      <c r="G366" s="161"/>
      <c r="H366" s="109"/>
      <c r="I366" s="109"/>
      <c r="J366" s="109"/>
      <c r="K366" s="109"/>
      <c r="L366" s="109"/>
      <c r="M366" s="109"/>
      <c r="N366" s="109"/>
      <c r="O366" s="109"/>
      <c r="P366" s="109"/>
      <c r="Q366" s="109"/>
      <c r="R366" s="109"/>
      <c r="S366" s="109"/>
      <c r="T366" s="109"/>
      <c r="U366" s="109"/>
      <c r="V366" s="109"/>
      <c r="W366" s="109"/>
      <c r="X366" s="109"/>
      <c r="Y366" s="109"/>
      <c r="Z366" s="109"/>
    </row>
    <row r="367" spans="1:26" ht="13.5" customHeight="1">
      <c r="A367" s="109"/>
      <c r="B367" s="109"/>
      <c r="C367" s="109"/>
      <c r="D367" s="109"/>
      <c r="E367" s="109"/>
      <c r="F367" s="109"/>
      <c r="G367" s="161"/>
      <c r="H367" s="109"/>
      <c r="I367" s="109"/>
      <c r="J367" s="109"/>
      <c r="K367" s="109"/>
      <c r="L367" s="109"/>
      <c r="M367" s="109"/>
      <c r="N367" s="109"/>
      <c r="O367" s="109"/>
      <c r="P367" s="109"/>
      <c r="Q367" s="109"/>
      <c r="R367" s="109"/>
      <c r="S367" s="109"/>
      <c r="T367" s="109"/>
      <c r="U367" s="109"/>
      <c r="V367" s="109"/>
      <c r="W367" s="109"/>
      <c r="X367" s="109"/>
      <c r="Y367" s="109"/>
      <c r="Z367" s="109"/>
    </row>
    <row r="368" spans="1:26" ht="13.5" customHeight="1">
      <c r="A368" s="109"/>
      <c r="B368" s="109"/>
      <c r="C368" s="109"/>
      <c r="D368" s="109"/>
      <c r="E368" s="109"/>
      <c r="F368" s="109"/>
      <c r="G368" s="161"/>
      <c r="H368" s="109"/>
      <c r="I368" s="109"/>
      <c r="J368" s="109"/>
      <c r="K368" s="109"/>
      <c r="L368" s="109"/>
      <c r="M368" s="109"/>
      <c r="N368" s="109"/>
      <c r="O368" s="109"/>
      <c r="P368" s="109"/>
      <c r="Q368" s="109"/>
      <c r="R368" s="109"/>
      <c r="S368" s="109"/>
      <c r="T368" s="109"/>
      <c r="U368" s="109"/>
      <c r="V368" s="109"/>
      <c r="W368" s="109"/>
      <c r="X368" s="109"/>
      <c r="Y368" s="109"/>
      <c r="Z368" s="109"/>
    </row>
    <row r="369" spans="1:26" ht="13.5" customHeight="1">
      <c r="A369" s="109"/>
      <c r="B369" s="109"/>
      <c r="C369" s="109"/>
      <c r="D369" s="109"/>
      <c r="E369" s="109"/>
      <c r="F369" s="109"/>
      <c r="G369" s="161"/>
      <c r="H369" s="109"/>
      <c r="I369" s="109"/>
      <c r="J369" s="109"/>
      <c r="K369" s="109"/>
      <c r="L369" s="109"/>
      <c r="M369" s="109"/>
      <c r="N369" s="109"/>
      <c r="O369" s="109"/>
      <c r="P369" s="109"/>
      <c r="Q369" s="109"/>
      <c r="R369" s="109"/>
      <c r="S369" s="109"/>
      <c r="T369" s="109"/>
      <c r="U369" s="109"/>
      <c r="V369" s="109"/>
      <c r="W369" s="109"/>
      <c r="X369" s="109"/>
      <c r="Y369" s="109"/>
      <c r="Z369" s="109"/>
    </row>
    <row r="370" spans="1:26" ht="13.5" customHeight="1">
      <c r="A370" s="109"/>
      <c r="B370" s="109"/>
      <c r="C370" s="109"/>
      <c r="D370" s="109"/>
      <c r="E370" s="109"/>
      <c r="F370" s="109"/>
      <c r="G370" s="161"/>
      <c r="H370" s="109"/>
      <c r="I370" s="109"/>
      <c r="J370" s="109"/>
      <c r="K370" s="109"/>
      <c r="L370" s="109"/>
      <c r="M370" s="109"/>
      <c r="N370" s="109"/>
      <c r="O370" s="109"/>
      <c r="P370" s="109"/>
      <c r="Q370" s="109"/>
      <c r="R370" s="109"/>
      <c r="S370" s="109"/>
      <c r="T370" s="109"/>
      <c r="U370" s="109"/>
      <c r="V370" s="109"/>
      <c r="W370" s="109"/>
      <c r="X370" s="109"/>
      <c r="Y370" s="109"/>
      <c r="Z370" s="109"/>
    </row>
    <row r="371" spans="1:26" ht="13.5" customHeight="1">
      <c r="A371" s="109"/>
      <c r="B371" s="109"/>
      <c r="C371" s="109"/>
      <c r="D371" s="109"/>
      <c r="E371" s="109"/>
      <c r="F371" s="109"/>
      <c r="G371" s="161"/>
      <c r="H371" s="109"/>
      <c r="I371" s="109"/>
      <c r="J371" s="109"/>
      <c r="K371" s="109"/>
      <c r="L371" s="109"/>
      <c r="M371" s="109"/>
      <c r="N371" s="109"/>
      <c r="O371" s="109"/>
      <c r="P371" s="109"/>
      <c r="Q371" s="109"/>
      <c r="R371" s="109"/>
      <c r="S371" s="109"/>
      <c r="T371" s="109"/>
      <c r="U371" s="109"/>
      <c r="V371" s="109"/>
      <c r="W371" s="109"/>
      <c r="X371" s="109"/>
      <c r="Y371" s="109"/>
      <c r="Z371" s="109"/>
    </row>
    <row r="372" spans="1:26" ht="13.5" customHeight="1">
      <c r="A372" s="109"/>
      <c r="B372" s="109"/>
      <c r="C372" s="109"/>
      <c r="D372" s="109"/>
      <c r="E372" s="109"/>
      <c r="F372" s="109"/>
      <c r="G372" s="161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</row>
    <row r="373" spans="1:26" ht="13.5" customHeight="1">
      <c r="A373" s="109"/>
      <c r="B373" s="109"/>
      <c r="C373" s="109"/>
      <c r="D373" s="109"/>
      <c r="E373" s="109"/>
      <c r="F373" s="109"/>
      <c r="G373" s="161"/>
      <c r="H373" s="109"/>
      <c r="I373" s="109"/>
      <c r="J373" s="109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  <c r="Y373" s="109"/>
      <c r="Z373" s="109"/>
    </row>
    <row r="374" spans="1:26" ht="13.5" customHeight="1">
      <c r="A374" s="109"/>
      <c r="B374" s="109"/>
      <c r="C374" s="109"/>
      <c r="D374" s="109"/>
      <c r="E374" s="109"/>
      <c r="F374" s="109"/>
      <c r="G374" s="161"/>
      <c r="H374" s="109"/>
      <c r="I374" s="109"/>
      <c r="J374" s="109"/>
      <c r="K374" s="109"/>
      <c r="L374" s="109"/>
      <c r="M374" s="109"/>
      <c r="N374" s="109"/>
      <c r="O374" s="109"/>
      <c r="P374" s="109"/>
      <c r="Q374" s="109"/>
      <c r="R374" s="109"/>
      <c r="S374" s="109"/>
      <c r="T374" s="109"/>
      <c r="U374" s="109"/>
      <c r="V374" s="109"/>
      <c r="W374" s="109"/>
      <c r="X374" s="109"/>
      <c r="Y374" s="109"/>
      <c r="Z374" s="109"/>
    </row>
    <row r="375" spans="1:26" ht="13.5" customHeight="1">
      <c r="A375" s="109"/>
      <c r="B375" s="109"/>
      <c r="C375" s="109"/>
      <c r="D375" s="109"/>
      <c r="E375" s="109"/>
      <c r="F375" s="109"/>
      <c r="G375" s="161"/>
      <c r="H375" s="109"/>
      <c r="I375" s="109"/>
      <c r="J375" s="109"/>
      <c r="K375" s="109"/>
      <c r="L375" s="109"/>
      <c r="M375" s="109"/>
      <c r="N375" s="109"/>
      <c r="O375" s="109"/>
      <c r="P375" s="109"/>
      <c r="Q375" s="109"/>
      <c r="R375" s="109"/>
      <c r="S375" s="109"/>
      <c r="T375" s="109"/>
      <c r="U375" s="109"/>
      <c r="V375" s="109"/>
      <c r="W375" s="109"/>
      <c r="X375" s="109"/>
      <c r="Y375" s="109"/>
      <c r="Z375" s="109"/>
    </row>
    <row r="376" spans="1:26" ht="13.5" customHeight="1">
      <c r="A376" s="109"/>
      <c r="B376" s="109"/>
      <c r="C376" s="109"/>
      <c r="D376" s="109"/>
      <c r="E376" s="109"/>
      <c r="F376" s="109"/>
      <c r="G376" s="161"/>
      <c r="H376" s="109"/>
      <c r="I376" s="109"/>
      <c r="J376" s="109"/>
      <c r="K376" s="109"/>
      <c r="L376" s="109"/>
      <c r="M376" s="109"/>
      <c r="N376" s="109"/>
      <c r="O376" s="109"/>
      <c r="P376" s="109"/>
      <c r="Q376" s="109"/>
      <c r="R376" s="109"/>
      <c r="S376" s="109"/>
      <c r="T376" s="109"/>
      <c r="U376" s="109"/>
      <c r="V376" s="109"/>
      <c r="W376" s="109"/>
      <c r="X376" s="109"/>
      <c r="Y376" s="109"/>
      <c r="Z376" s="109"/>
    </row>
    <row r="377" spans="1:26" ht="13.5" customHeight="1">
      <c r="A377" s="109"/>
      <c r="B377" s="109"/>
      <c r="C377" s="109"/>
      <c r="D377" s="109"/>
      <c r="E377" s="109"/>
      <c r="F377" s="109"/>
      <c r="G377" s="161"/>
      <c r="H377" s="109"/>
      <c r="I377" s="109"/>
      <c r="J377" s="109"/>
      <c r="K377" s="109"/>
      <c r="L377" s="109"/>
      <c r="M377" s="109"/>
      <c r="N377" s="109"/>
      <c r="O377" s="109"/>
      <c r="P377" s="109"/>
      <c r="Q377" s="109"/>
      <c r="R377" s="109"/>
      <c r="S377" s="109"/>
      <c r="T377" s="109"/>
      <c r="U377" s="109"/>
      <c r="V377" s="109"/>
      <c r="W377" s="109"/>
      <c r="X377" s="109"/>
      <c r="Y377" s="109"/>
      <c r="Z377" s="109"/>
    </row>
    <row r="378" spans="1:26" ht="13.5" customHeight="1">
      <c r="A378" s="109"/>
      <c r="B378" s="109"/>
      <c r="C378" s="109"/>
      <c r="D378" s="109"/>
      <c r="E378" s="109"/>
      <c r="F378" s="109"/>
      <c r="G378" s="161"/>
      <c r="H378" s="109"/>
      <c r="I378" s="109"/>
      <c r="J378" s="109"/>
      <c r="K378" s="109"/>
      <c r="L378" s="109"/>
      <c r="M378" s="109"/>
      <c r="N378" s="109"/>
      <c r="O378" s="109"/>
      <c r="P378" s="109"/>
      <c r="Q378" s="109"/>
      <c r="R378" s="109"/>
      <c r="S378" s="109"/>
      <c r="T378" s="109"/>
      <c r="U378" s="109"/>
      <c r="V378" s="109"/>
      <c r="W378" s="109"/>
      <c r="X378" s="109"/>
      <c r="Y378" s="109"/>
      <c r="Z378" s="109"/>
    </row>
    <row r="379" spans="1:26" ht="13.5" customHeight="1">
      <c r="A379" s="109"/>
      <c r="B379" s="109"/>
      <c r="C379" s="109"/>
      <c r="D379" s="109"/>
      <c r="E379" s="109"/>
      <c r="F379" s="109"/>
      <c r="G379" s="161"/>
      <c r="H379" s="109"/>
      <c r="I379" s="109"/>
      <c r="J379" s="109"/>
      <c r="K379" s="109"/>
      <c r="L379" s="109"/>
      <c r="M379" s="109"/>
      <c r="N379" s="109"/>
      <c r="O379" s="109"/>
      <c r="P379" s="109"/>
      <c r="Q379" s="109"/>
      <c r="R379" s="109"/>
      <c r="S379" s="109"/>
      <c r="T379" s="109"/>
      <c r="U379" s="109"/>
      <c r="V379" s="109"/>
      <c r="W379" s="109"/>
      <c r="X379" s="109"/>
      <c r="Y379" s="109"/>
      <c r="Z379" s="109"/>
    </row>
    <row r="380" spans="1:26" ht="13.5" customHeight="1">
      <c r="A380" s="109"/>
      <c r="B380" s="109"/>
      <c r="C380" s="109"/>
      <c r="D380" s="109"/>
      <c r="E380" s="109"/>
      <c r="F380" s="109"/>
      <c r="G380" s="161"/>
      <c r="H380" s="109"/>
      <c r="I380" s="109"/>
      <c r="J380" s="109"/>
      <c r="K380" s="109"/>
      <c r="L380" s="109"/>
      <c r="M380" s="109"/>
      <c r="N380" s="109"/>
      <c r="O380" s="109"/>
      <c r="P380" s="109"/>
      <c r="Q380" s="109"/>
      <c r="R380" s="109"/>
      <c r="S380" s="109"/>
      <c r="T380" s="109"/>
      <c r="U380" s="109"/>
      <c r="V380" s="109"/>
      <c r="W380" s="109"/>
      <c r="X380" s="109"/>
      <c r="Y380" s="109"/>
      <c r="Z380" s="109"/>
    </row>
    <row r="381" spans="1:26" ht="13.5" customHeight="1">
      <c r="A381" s="109"/>
      <c r="B381" s="109"/>
      <c r="C381" s="109"/>
      <c r="D381" s="109"/>
      <c r="E381" s="109"/>
      <c r="F381" s="109"/>
      <c r="G381" s="161"/>
      <c r="H381" s="109"/>
      <c r="I381" s="109"/>
      <c r="J381" s="109"/>
      <c r="K381" s="109"/>
      <c r="L381" s="109"/>
      <c r="M381" s="109"/>
      <c r="N381" s="109"/>
      <c r="O381" s="109"/>
      <c r="P381" s="109"/>
      <c r="Q381" s="109"/>
      <c r="R381" s="109"/>
      <c r="S381" s="109"/>
      <c r="T381" s="109"/>
      <c r="U381" s="109"/>
      <c r="V381" s="109"/>
      <c r="W381" s="109"/>
      <c r="X381" s="109"/>
      <c r="Y381" s="109"/>
      <c r="Z381" s="109"/>
    </row>
    <row r="382" spans="1:26" ht="13.5" customHeight="1">
      <c r="A382" s="109"/>
      <c r="B382" s="109"/>
      <c r="C382" s="109"/>
      <c r="D382" s="109"/>
      <c r="E382" s="109"/>
      <c r="F382" s="109"/>
      <c r="G382" s="161"/>
      <c r="H382" s="109"/>
      <c r="I382" s="109"/>
      <c r="J382" s="109"/>
      <c r="K382" s="109"/>
      <c r="L382" s="109"/>
      <c r="M382" s="109"/>
      <c r="N382" s="109"/>
      <c r="O382" s="109"/>
      <c r="P382" s="109"/>
      <c r="Q382" s="109"/>
      <c r="R382" s="109"/>
      <c r="S382" s="109"/>
      <c r="T382" s="109"/>
      <c r="U382" s="109"/>
      <c r="V382" s="109"/>
      <c r="W382" s="109"/>
      <c r="X382" s="109"/>
      <c r="Y382" s="109"/>
      <c r="Z382" s="109"/>
    </row>
    <row r="383" spans="1:26" ht="13.5" customHeight="1">
      <c r="A383" s="109"/>
      <c r="B383" s="109"/>
      <c r="C383" s="109"/>
      <c r="D383" s="109"/>
      <c r="E383" s="109"/>
      <c r="F383" s="109"/>
      <c r="G383" s="161"/>
      <c r="H383" s="109"/>
      <c r="I383" s="109"/>
      <c r="J383" s="109"/>
      <c r="K383" s="109"/>
      <c r="L383" s="109"/>
      <c r="M383" s="109"/>
      <c r="N383" s="109"/>
      <c r="O383" s="109"/>
      <c r="P383" s="109"/>
      <c r="Q383" s="109"/>
      <c r="R383" s="109"/>
      <c r="S383" s="109"/>
      <c r="T383" s="109"/>
      <c r="U383" s="109"/>
      <c r="V383" s="109"/>
      <c r="W383" s="109"/>
      <c r="X383" s="109"/>
      <c r="Y383" s="109"/>
      <c r="Z383" s="109"/>
    </row>
    <row r="384" spans="1:26" ht="13.5" customHeight="1">
      <c r="A384" s="109"/>
      <c r="B384" s="109"/>
      <c r="C384" s="109"/>
      <c r="D384" s="109"/>
      <c r="E384" s="109"/>
      <c r="F384" s="109"/>
      <c r="G384" s="161"/>
      <c r="H384" s="109"/>
      <c r="I384" s="109"/>
      <c r="J384" s="109"/>
      <c r="K384" s="109"/>
      <c r="L384" s="109"/>
      <c r="M384" s="109"/>
      <c r="N384" s="109"/>
      <c r="O384" s="109"/>
      <c r="P384" s="109"/>
      <c r="Q384" s="109"/>
      <c r="R384" s="109"/>
      <c r="S384" s="109"/>
      <c r="T384" s="109"/>
      <c r="U384" s="109"/>
      <c r="V384" s="109"/>
      <c r="W384" s="109"/>
      <c r="X384" s="109"/>
      <c r="Y384" s="109"/>
      <c r="Z384" s="109"/>
    </row>
    <row r="385" spans="1:26" ht="13.5" customHeight="1">
      <c r="A385" s="109"/>
      <c r="B385" s="109"/>
      <c r="C385" s="109"/>
      <c r="D385" s="109"/>
      <c r="E385" s="109"/>
      <c r="F385" s="109"/>
      <c r="G385" s="161"/>
      <c r="H385" s="109"/>
      <c r="I385" s="109"/>
      <c r="J385" s="109"/>
      <c r="K385" s="109"/>
      <c r="L385" s="109"/>
      <c r="M385" s="109"/>
      <c r="N385" s="109"/>
      <c r="O385" s="109"/>
      <c r="P385" s="109"/>
      <c r="Q385" s="109"/>
      <c r="R385" s="109"/>
      <c r="S385" s="109"/>
      <c r="T385" s="109"/>
      <c r="U385" s="109"/>
      <c r="V385" s="109"/>
      <c r="W385" s="109"/>
      <c r="X385" s="109"/>
      <c r="Y385" s="109"/>
      <c r="Z385" s="109"/>
    </row>
    <row r="386" spans="1:26" ht="13.5" customHeight="1">
      <c r="A386" s="109"/>
      <c r="B386" s="109"/>
      <c r="C386" s="109"/>
      <c r="D386" s="109"/>
      <c r="E386" s="109"/>
      <c r="F386" s="109"/>
      <c r="G386" s="161"/>
      <c r="H386" s="109"/>
      <c r="I386" s="109"/>
      <c r="J386" s="109"/>
      <c r="K386" s="109"/>
      <c r="L386" s="109"/>
      <c r="M386" s="109"/>
      <c r="N386" s="109"/>
      <c r="O386" s="109"/>
      <c r="P386" s="109"/>
      <c r="Q386" s="109"/>
      <c r="R386" s="109"/>
      <c r="S386" s="109"/>
      <c r="T386" s="109"/>
      <c r="U386" s="109"/>
      <c r="V386" s="109"/>
      <c r="W386" s="109"/>
      <c r="X386" s="109"/>
      <c r="Y386" s="109"/>
      <c r="Z386" s="109"/>
    </row>
    <row r="387" spans="1:26" ht="13.5" customHeight="1">
      <c r="A387" s="109"/>
      <c r="B387" s="109"/>
      <c r="C387" s="109"/>
      <c r="D387" s="109"/>
      <c r="E387" s="109"/>
      <c r="F387" s="109"/>
      <c r="G387" s="161"/>
      <c r="H387" s="109"/>
      <c r="I387" s="109"/>
      <c r="J387" s="109"/>
      <c r="K387" s="109"/>
      <c r="L387" s="109"/>
      <c r="M387" s="109"/>
      <c r="N387" s="109"/>
      <c r="O387" s="109"/>
      <c r="P387" s="109"/>
      <c r="Q387" s="109"/>
      <c r="R387" s="109"/>
      <c r="S387" s="109"/>
      <c r="T387" s="109"/>
      <c r="U387" s="109"/>
      <c r="V387" s="109"/>
      <c r="W387" s="109"/>
      <c r="X387" s="109"/>
      <c r="Y387" s="109"/>
      <c r="Z387" s="109"/>
    </row>
    <row r="388" spans="1:26" ht="13.5" customHeight="1">
      <c r="A388" s="109"/>
      <c r="B388" s="109"/>
      <c r="C388" s="109"/>
      <c r="D388" s="109"/>
      <c r="E388" s="109"/>
      <c r="F388" s="109"/>
      <c r="G388" s="161"/>
      <c r="H388" s="109"/>
      <c r="I388" s="109"/>
      <c r="J388" s="109"/>
      <c r="K388" s="109"/>
      <c r="L388" s="109"/>
      <c r="M388" s="109"/>
      <c r="N388" s="109"/>
      <c r="O388" s="109"/>
      <c r="P388" s="109"/>
      <c r="Q388" s="109"/>
      <c r="R388" s="109"/>
      <c r="S388" s="109"/>
      <c r="T388" s="109"/>
      <c r="U388" s="109"/>
      <c r="V388" s="109"/>
      <c r="W388" s="109"/>
      <c r="X388" s="109"/>
      <c r="Y388" s="109"/>
      <c r="Z388" s="109"/>
    </row>
    <row r="389" spans="1:26" ht="13.5" customHeight="1">
      <c r="A389" s="109"/>
      <c r="B389" s="109"/>
      <c r="C389" s="109"/>
      <c r="D389" s="109"/>
      <c r="E389" s="109"/>
      <c r="F389" s="109"/>
      <c r="G389" s="161"/>
      <c r="H389" s="109"/>
      <c r="I389" s="109"/>
      <c r="J389" s="109"/>
      <c r="K389" s="109"/>
      <c r="L389" s="109"/>
      <c r="M389" s="109"/>
      <c r="N389" s="109"/>
      <c r="O389" s="109"/>
      <c r="P389" s="109"/>
      <c r="Q389" s="109"/>
      <c r="R389" s="109"/>
      <c r="S389" s="109"/>
      <c r="T389" s="109"/>
      <c r="U389" s="109"/>
      <c r="V389" s="109"/>
      <c r="W389" s="109"/>
      <c r="X389" s="109"/>
      <c r="Y389" s="109"/>
      <c r="Z389" s="109"/>
    </row>
    <row r="390" spans="1:26" ht="13.5" customHeight="1">
      <c r="A390" s="109"/>
      <c r="B390" s="109"/>
      <c r="C390" s="109"/>
      <c r="D390" s="109"/>
      <c r="E390" s="109"/>
      <c r="F390" s="109"/>
      <c r="G390" s="161"/>
      <c r="H390" s="109"/>
      <c r="I390" s="109"/>
      <c r="J390" s="109"/>
      <c r="K390" s="109"/>
      <c r="L390" s="109"/>
      <c r="M390" s="109"/>
      <c r="N390" s="109"/>
      <c r="O390" s="109"/>
      <c r="P390" s="109"/>
      <c r="Q390" s="109"/>
      <c r="R390" s="109"/>
      <c r="S390" s="109"/>
      <c r="T390" s="109"/>
      <c r="U390" s="109"/>
      <c r="V390" s="109"/>
      <c r="W390" s="109"/>
      <c r="X390" s="109"/>
      <c r="Y390" s="109"/>
      <c r="Z390" s="109"/>
    </row>
    <row r="391" spans="1:26" ht="13.5" customHeight="1">
      <c r="A391" s="109"/>
      <c r="B391" s="109"/>
      <c r="C391" s="109"/>
      <c r="D391" s="109"/>
      <c r="E391" s="109"/>
      <c r="F391" s="109"/>
      <c r="G391" s="161"/>
      <c r="H391" s="109"/>
      <c r="I391" s="109"/>
      <c r="J391" s="109"/>
      <c r="K391" s="109"/>
      <c r="L391" s="109"/>
      <c r="M391" s="109"/>
      <c r="N391" s="109"/>
      <c r="O391" s="109"/>
      <c r="P391" s="109"/>
      <c r="Q391" s="109"/>
      <c r="R391" s="109"/>
      <c r="S391" s="109"/>
      <c r="T391" s="109"/>
      <c r="U391" s="109"/>
      <c r="V391" s="109"/>
      <c r="W391" s="109"/>
      <c r="X391" s="109"/>
      <c r="Y391" s="109"/>
      <c r="Z391" s="109"/>
    </row>
    <row r="392" spans="1:26" ht="13.5" customHeight="1">
      <c r="A392" s="109"/>
      <c r="B392" s="109"/>
      <c r="C392" s="109"/>
      <c r="D392" s="109"/>
      <c r="E392" s="109"/>
      <c r="F392" s="109"/>
      <c r="G392" s="161"/>
      <c r="H392" s="109"/>
      <c r="I392" s="109"/>
      <c r="J392" s="109"/>
      <c r="K392" s="109"/>
      <c r="L392" s="109"/>
      <c r="M392" s="109"/>
      <c r="N392" s="109"/>
      <c r="O392" s="109"/>
      <c r="P392" s="109"/>
      <c r="Q392" s="109"/>
      <c r="R392" s="109"/>
      <c r="S392" s="109"/>
      <c r="T392" s="109"/>
      <c r="U392" s="109"/>
      <c r="V392" s="109"/>
      <c r="W392" s="109"/>
      <c r="X392" s="109"/>
      <c r="Y392" s="109"/>
      <c r="Z392" s="109"/>
    </row>
    <row r="393" spans="1:26" ht="13.5" customHeight="1">
      <c r="A393" s="109"/>
      <c r="B393" s="109"/>
      <c r="C393" s="109"/>
      <c r="D393" s="109"/>
      <c r="E393" s="109"/>
      <c r="F393" s="109"/>
      <c r="G393" s="161"/>
      <c r="H393" s="109"/>
      <c r="I393" s="109"/>
      <c r="J393" s="109"/>
      <c r="K393" s="109"/>
      <c r="L393" s="109"/>
      <c r="M393" s="109"/>
      <c r="N393" s="109"/>
      <c r="O393" s="109"/>
      <c r="P393" s="109"/>
      <c r="Q393" s="109"/>
      <c r="R393" s="109"/>
      <c r="S393" s="109"/>
      <c r="T393" s="109"/>
      <c r="U393" s="109"/>
      <c r="V393" s="109"/>
      <c r="W393" s="109"/>
      <c r="X393" s="109"/>
      <c r="Y393" s="109"/>
      <c r="Z393" s="109"/>
    </row>
    <row r="394" spans="1:26" ht="13.5" customHeight="1">
      <c r="A394" s="109"/>
      <c r="B394" s="109"/>
      <c r="C394" s="109"/>
      <c r="D394" s="109"/>
      <c r="E394" s="109"/>
      <c r="F394" s="109"/>
      <c r="G394" s="161"/>
      <c r="H394" s="109"/>
      <c r="I394" s="109"/>
      <c r="J394" s="109"/>
      <c r="K394" s="109"/>
      <c r="L394" s="109"/>
      <c r="M394" s="109"/>
      <c r="N394" s="109"/>
      <c r="O394" s="109"/>
      <c r="P394" s="109"/>
      <c r="Q394" s="109"/>
      <c r="R394" s="109"/>
      <c r="S394" s="109"/>
      <c r="T394" s="109"/>
      <c r="U394" s="109"/>
      <c r="V394" s="109"/>
      <c r="W394" s="109"/>
      <c r="X394" s="109"/>
      <c r="Y394" s="109"/>
      <c r="Z394" s="109"/>
    </row>
    <row r="395" spans="1:26" ht="13.5" customHeight="1">
      <c r="A395" s="109"/>
      <c r="B395" s="109"/>
      <c r="C395" s="109"/>
      <c r="D395" s="109"/>
      <c r="E395" s="109"/>
      <c r="F395" s="109"/>
      <c r="G395" s="161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</row>
    <row r="396" spans="1:26" ht="13.5" customHeight="1">
      <c r="A396" s="109"/>
      <c r="B396" s="109"/>
      <c r="C396" s="109"/>
      <c r="D396" s="109"/>
      <c r="E396" s="109"/>
      <c r="F396" s="109"/>
      <c r="G396" s="161"/>
      <c r="H396" s="109"/>
      <c r="I396" s="109"/>
      <c r="J396" s="109"/>
      <c r="K396" s="109"/>
      <c r="L396" s="109"/>
      <c r="M396" s="109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  <c r="Y396" s="109"/>
      <c r="Z396" s="109"/>
    </row>
    <row r="397" spans="1:26" ht="13.5" customHeight="1">
      <c r="A397" s="109"/>
      <c r="B397" s="109"/>
      <c r="C397" s="109"/>
      <c r="D397" s="109"/>
      <c r="E397" s="109"/>
      <c r="F397" s="109"/>
      <c r="G397" s="161"/>
      <c r="H397" s="109"/>
      <c r="I397" s="109"/>
      <c r="J397" s="109"/>
      <c r="K397" s="109"/>
      <c r="L397" s="109"/>
      <c r="M397" s="109"/>
      <c r="N397" s="109"/>
      <c r="O397" s="109"/>
      <c r="P397" s="109"/>
      <c r="Q397" s="109"/>
      <c r="R397" s="109"/>
      <c r="S397" s="109"/>
      <c r="T397" s="109"/>
      <c r="U397" s="109"/>
      <c r="V397" s="109"/>
      <c r="W397" s="109"/>
      <c r="X397" s="109"/>
      <c r="Y397" s="109"/>
      <c r="Z397" s="109"/>
    </row>
    <row r="398" spans="1:26" ht="13.5" customHeight="1">
      <c r="A398" s="109"/>
      <c r="B398" s="109"/>
      <c r="C398" s="109"/>
      <c r="D398" s="109"/>
      <c r="E398" s="109"/>
      <c r="F398" s="109"/>
      <c r="G398" s="161"/>
      <c r="H398" s="109"/>
      <c r="I398" s="109"/>
      <c r="J398" s="109"/>
      <c r="K398" s="109"/>
      <c r="L398" s="109"/>
      <c r="M398" s="109"/>
      <c r="N398" s="109"/>
      <c r="O398" s="109"/>
      <c r="P398" s="109"/>
      <c r="Q398" s="109"/>
      <c r="R398" s="109"/>
      <c r="S398" s="109"/>
      <c r="T398" s="109"/>
      <c r="U398" s="109"/>
      <c r="V398" s="109"/>
      <c r="W398" s="109"/>
      <c r="X398" s="109"/>
      <c r="Y398" s="109"/>
      <c r="Z398" s="109"/>
    </row>
    <row r="399" spans="1:26" ht="13.5" customHeight="1">
      <c r="A399" s="109"/>
      <c r="B399" s="109"/>
      <c r="C399" s="109"/>
      <c r="D399" s="109"/>
      <c r="E399" s="109"/>
      <c r="F399" s="109"/>
      <c r="G399" s="161"/>
      <c r="H399" s="109"/>
      <c r="I399" s="109"/>
      <c r="J399" s="109"/>
      <c r="K399" s="109"/>
      <c r="L399" s="109"/>
      <c r="M399" s="109"/>
      <c r="N399" s="109"/>
      <c r="O399" s="109"/>
      <c r="P399" s="109"/>
      <c r="Q399" s="109"/>
      <c r="R399" s="109"/>
      <c r="S399" s="109"/>
      <c r="T399" s="109"/>
      <c r="U399" s="109"/>
      <c r="V399" s="109"/>
      <c r="W399" s="109"/>
      <c r="X399" s="109"/>
      <c r="Y399" s="109"/>
      <c r="Z399" s="109"/>
    </row>
    <row r="400" spans="1:26" ht="13.5" customHeight="1">
      <c r="A400" s="109"/>
      <c r="B400" s="109"/>
      <c r="C400" s="109"/>
      <c r="D400" s="109"/>
      <c r="E400" s="109"/>
      <c r="F400" s="109"/>
      <c r="G400" s="161"/>
      <c r="H400" s="109"/>
      <c r="I400" s="109"/>
      <c r="J400" s="109"/>
      <c r="K400" s="109"/>
      <c r="L400" s="109"/>
      <c r="M400" s="109"/>
      <c r="N400" s="109"/>
      <c r="O400" s="109"/>
      <c r="P400" s="109"/>
      <c r="Q400" s="109"/>
      <c r="R400" s="109"/>
      <c r="S400" s="109"/>
      <c r="T400" s="109"/>
      <c r="U400" s="109"/>
      <c r="V400" s="109"/>
      <c r="W400" s="109"/>
      <c r="X400" s="109"/>
      <c r="Y400" s="109"/>
      <c r="Z400" s="109"/>
    </row>
    <row r="401" spans="1:26" ht="13.5" customHeight="1">
      <c r="A401" s="109"/>
      <c r="B401" s="109"/>
      <c r="C401" s="109"/>
      <c r="D401" s="109"/>
      <c r="E401" s="109"/>
      <c r="F401" s="109"/>
      <c r="G401" s="161"/>
      <c r="H401" s="109"/>
      <c r="I401" s="109"/>
      <c r="J401" s="109"/>
      <c r="K401" s="109"/>
      <c r="L401" s="109"/>
      <c r="M401" s="109"/>
      <c r="N401" s="109"/>
      <c r="O401" s="109"/>
      <c r="P401" s="109"/>
      <c r="Q401" s="109"/>
      <c r="R401" s="109"/>
      <c r="S401" s="109"/>
      <c r="T401" s="109"/>
      <c r="U401" s="109"/>
      <c r="V401" s="109"/>
      <c r="W401" s="109"/>
      <c r="X401" s="109"/>
      <c r="Y401" s="109"/>
      <c r="Z401" s="109"/>
    </row>
    <row r="402" spans="1:26" ht="13.5" customHeight="1">
      <c r="A402" s="109"/>
      <c r="B402" s="109"/>
      <c r="C402" s="109"/>
      <c r="D402" s="109"/>
      <c r="E402" s="109"/>
      <c r="F402" s="109"/>
      <c r="G402" s="161"/>
      <c r="H402" s="109"/>
      <c r="I402" s="109"/>
      <c r="J402" s="109"/>
      <c r="K402" s="109"/>
      <c r="L402" s="109"/>
      <c r="M402" s="109"/>
      <c r="N402" s="109"/>
      <c r="O402" s="109"/>
      <c r="P402" s="109"/>
      <c r="Q402" s="109"/>
      <c r="R402" s="109"/>
      <c r="S402" s="109"/>
      <c r="T402" s="109"/>
      <c r="U402" s="109"/>
      <c r="V402" s="109"/>
      <c r="W402" s="109"/>
      <c r="X402" s="109"/>
      <c r="Y402" s="109"/>
      <c r="Z402" s="109"/>
    </row>
    <row r="403" spans="1:26" ht="13.5" customHeight="1">
      <c r="A403" s="109"/>
      <c r="B403" s="109"/>
      <c r="C403" s="109"/>
      <c r="D403" s="109"/>
      <c r="E403" s="109"/>
      <c r="F403" s="109"/>
      <c r="G403" s="161"/>
      <c r="H403" s="109"/>
      <c r="I403" s="109"/>
      <c r="J403" s="109"/>
      <c r="K403" s="109"/>
      <c r="L403" s="109"/>
      <c r="M403" s="109"/>
      <c r="N403" s="109"/>
      <c r="O403" s="109"/>
      <c r="P403" s="109"/>
      <c r="Q403" s="109"/>
      <c r="R403" s="109"/>
      <c r="S403" s="109"/>
      <c r="T403" s="109"/>
      <c r="U403" s="109"/>
      <c r="V403" s="109"/>
      <c r="W403" s="109"/>
      <c r="X403" s="109"/>
      <c r="Y403" s="109"/>
      <c r="Z403" s="109"/>
    </row>
    <row r="404" spans="1:26" ht="13.5" customHeight="1">
      <c r="A404" s="109"/>
      <c r="B404" s="109"/>
      <c r="C404" s="109"/>
      <c r="D404" s="109"/>
      <c r="E404" s="109"/>
      <c r="F404" s="109"/>
      <c r="G404" s="161"/>
      <c r="H404" s="109"/>
      <c r="I404" s="109"/>
      <c r="J404" s="109"/>
      <c r="K404" s="109"/>
      <c r="L404" s="109"/>
      <c r="M404" s="109"/>
      <c r="N404" s="109"/>
      <c r="O404" s="109"/>
      <c r="P404" s="109"/>
      <c r="Q404" s="109"/>
      <c r="R404" s="109"/>
      <c r="S404" s="109"/>
      <c r="T404" s="109"/>
      <c r="U404" s="109"/>
      <c r="V404" s="109"/>
      <c r="W404" s="109"/>
      <c r="X404" s="109"/>
      <c r="Y404" s="109"/>
      <c r="Z404" s="109"/>
    </row>
    <row r="405" spans="1:26" ht="13.5" customHeight="1">
      <c r="A405" s="109"/>
      <c r="B405" s="109"/>
      <c r="C405" s="109"/>
      <c r="D405" s="109"/>
      <c r="E405" s="109"/>
      <c r="F405" s="109"/>
      <c r="G405" s="161"/>
      <c r="H405" s="109"/>
      <c r="I405" s="109"/>
      <c r="J405" s="109"/>
      <c r="K405" s="109"/>
      <c r="L405" s="109"/>
      <c r="M405" s="109"/>
      <c r="N405" s="109"/>
      <c r="O405" s="109"/>
      <c r="P405" s="109"/>
      <c r="Q405" s="109"/>
      <c r="R405" s="109"/>
      <c r="S405" s="109"/>
      <c r="T405" s="109"/>
      <c r="U405" s="109"/>
      <c r="V405" s="109"/>
      <c r="W405" s="109"/>
      <c r="X405" s="109"/>
      <c r="Y405" s="109"/>
      <c r="Z405" s="109"/>
    </row>
    <row r="406" spans="1:26" ht="13.5" customHeight="1">
      <c r="A406" s="109"/>
      <c r="B406" s="109"/>
      <c r="C406" s="109"/>
      <c r="D406" s="109"/>
      <c r="E406" s="109"/>
      <c r="F406" s="109"/>
      <c r="G406" s="161"/>
      <c r="H406" s="109"/>
      <c r="I406" s="109"/>
      <c r="J406" s="109"/>
      <c r="K406" s="109"/>
      <c r="L406" s="109"/>
      <c r="M406" s="109"/>
      <c r="N406" s="109"/>
      <c r="O406" s="109"/>
      <c r="P406" s="109"/>
      <c r="Q406" s="109"/>
      <c r="R406" s="109"/>
      <c r="S406" s="109"/>
      <c r="T406" s="109"/>
      <c r="U406" s="109"/>
      <c r="V406" s="109"/>
      <c r="W406" s="109"/>
      <c r="X406" s="109"/>
      <c r="Y406" s="109"/>
      <c r="Z406" s="109"/>
    </row>
    <row r="407" spans="1:26" ht="13.5" customHeight="1">
      <c r="A407" s="109"/>
      <c r="B407" s="109"/>
      <c r="C407" s="109"/>
      <c r="D407" s="109"/>
      <c r="E407" s="109"/>
      <c r="F407" s="109"/>
      <c r="G407" s="161"/>
      <c r="H407" s="109"/>
      <c r="I407" s="109"/>
      <c r="J407" s="109"/>
      <c r="K407" s="109"/>
      <c r="L407" s="109"/>
      <c r="M407" s="109"/>
      <c r="N407" s="109"/>
      <c r="O407" s="109"/>
      <c r="P407" s="109"/>
      <c r="Q407" s="109"/>
      <c r="R407" s="109"/>
      <c r="S407" s="109"/>
      <c r="T407" s="109"/>
      <c r="U407" s="109"/>
      <c r="V407" s="109"/>
      <c r="W407" s="109"/>
      <c r="X407" s="109"/>
      <c r="Y407" s="109"/>
      <c r="Z407" s="109"/>
    </row>
    <row r="408" spans="1:26" ht="13.5" customHeight="1">
      <c r="A408" s="109"/>
      <c r="B408" s="109"/>
      <c r="C408" s="109"/>
      <c r="D408" s="109"/>
      <c r="E408" s="109"/>
      <c r="F408" s="109"/>
      <c r="G408" s="161"/>
      <c r="H408" s="109"/>
      <c r="I408" s="109"/>
      <c r="J408" s="109"/>
      <c r="K408" s="109"/>
      <c r="L408" s="109"/>
      <c r="M408" s="109"/>
      <c r="N408" s="109"/>
      <c r="O408" s="109"/>
      <c r="P408" s="109"/>
      <c r="Q408" s="109"/>
      <c r="R408" s="109"/>
      <c r="S408" s="109"/>
      <c r="T408" s="109"/>
      <c r="U408" s="109"/>
      <c r="V408" s="109"/>
      <c r="W408" s="109"/>
      <c r="X408" s="109"/>
      <c r="Y408" s="109"/>
      <c r="Z408" s="109"/>
    </row>
    <row r="409" spans="1:26" ht="13.5" customHeight="1">
      <c r="A409" s="109"/>
      <c r="B409" s="109"/>
      <c r="C409" s="109"/>
      <c r="D409" s="109"/>
      <c r="E409" s="109"/>
      <c r="F409" s="109"/>
      <c r="G409" s="161"/>
      <c r="H409" s="109"/>
      <c r="I409" s="109"/>
      <c r="J409" s="109"/>
      <c r="K409" s="109"/>
      <c r="L409" s="109"/>
      <c r="M409" s="109"/>
      <c r="N409" s="109"/>
      <c r="O409" s="109"/>
      <c r="P409" s="109"/>
      <c r="Q409" s="109"/>
      <c r="R409" s="109"/>
      <c r="S409" s="109"/>
      <c r="T409" s="109"/>
      <c r="U409" s="109"/>
      <c r="V409" s="109"/>
      <c r="W409" s="109"/>
      <c r="X409" s="109"/>
      <c r="Y409" s="109"/>
      <c r="Z409" s="109"/>
    </row>
    <row r="410" spans="1:26" ht="13.5" customHeight="1">
      <c r="A410" s="109"/>
      <c r="B410" s="109"/>
      <c r="C410" s="109"/>
      <c r="D410" s="109"/>
      <c r="E410" s="109"/>
      <c r="F410" s="109"/>
      <c r="G410" s="161"/>
      <c r="H410" s="109"/>
      <c r="I410" s="109"/>
      <c r="J410" s="109"/>
      <c r="K410" s="109"/>
      <c r="L410" s="109"/>
      <c r="M410" s="109"/>
      <c r="N410" s="109"/>
      <c r="O410" s="109"/>
      <c r="P410" s="109"/>
      <c r="Q410" s="109"/>
      <c r="R410" s="109"/>
      <c r="S410" s="109"/>
      <c r="T410" s="109"/>
      <c r="U410" s="109"/>
      <c r="V410" s="109"/>
      <c r="W410" s="109"/>
      <c r="X410" s="109"/>
      <c r="Y410" s="109"/>
      <c r="Z410" s="109"/>
    </row>
    <row r="411" spans="1:26" ht="13.5" customHeight="1">
      <c r="A411" s="109"/>
      <c r="B411" s="109"/>
      <c r="C411" s="109"/>
      <c r="D411" s="109"/>
      <c r="E411" s="109"/>
      <c r="F411" s="109"/>
      <c r="G411" s="161"/>
      <c r="H411" s="109"/>
      <c r="I411" s="109"/>
      <c r="J411" s="109"/>
      <c r="K411" s="109"/>
      <c r="L411" s="109"/>
      <c r="M411" s="109"/>
      <c r="N411" s="109"/>
      <c r="O411" s="109"/>
      <c r="P411" s="109"/>
      <c r="Q411" s="109"/>
      <c r="R411" s="109"/>
      <c r="S411" s="109"/>
      <c r="T411" s="109"/>
      <c r="U411" s="109"/>
      <c r="V411" s="109"/>
      <c r="W411" s="109"/>
      <c r="X411" s="109"/>
      <c r="Y411" s="109"/>
      <c r="Z411" s="109"/>
    </row>
    <row r="412" spans="1:26" ht="13.5" customHeight="1">
      <c r="A412" s="109"/>
      <c r="B412" s="109"/>
      <c r="C412" s="109"/>
      <c r="D412" s="109"/>
      <c r="E412" s="109"/>
      <c r="F412" s="109"/>
      <c r="G412" s="161"/>
      <c r="H412" s="109"/>
      <c r="I412" s="109"/>
      <c r="J412" s="109"/>
      <c r="K412" s="109"/>
      <c r="L412" s="109"/>
      <c r="M412" s="109"/>
      <c r="N412" s="109"/>
      <c r="O412" s="109"/>
      <c r="P412" s="109"/>
      <c r="Q412" s="109"/>
      <c r="R412" s="109"/>
      <c r="S412" s="109"/>
      <c r="T412" s="109"/>
      <c r="U412" s="109"/>
      <c r="V412" s="109"/>
      <c r="W412" s="109"/>
      <c r="X412" s="109"/>
      <c r="Y412" s="109"/>
      <c r="Z412" s="109"/>
    </row>
    <row r="413" spans="1:26" ht="13.5" customHeight="1">
      <c r="A413" s="109"/>
      <c r="B413" s="109"/>
      <c r="C413" s="109"/>
      <c r="D413" s="109"/>
      <c r="E413" s="109"/>
      <c r="F413" s="109"/>
      <c r="G413" s="161"/>
      <c r="H413" s="109"/>
      <c r="I413" s="109"/>
      <c r="J413" s="109"/>
      <c r="K413" s="109"/>
      <c r="L413" s="109"/>
      <c r="M413" s="109"/>
      <c r="N413" s="109"/>
      <c r="O413" s="109"/>
      <c r="P413" s="109"/>
      <c r="Q413" s="109"/>
      <c r="R413" s="109"/>
      <c r="S413" s="109"/>
      <c r="T413" s="109"/>
      <c r="U413" s="109"/>
      <c r="V413" s="109"/>
      <c r="W413" s="109"/>
      <c r="X413" s="109"/>
      <c r="Y413" s="109"/>
      <c r="Z413" s="109"/>
    </row>
    <row r="414" spans="1:26" ht="13.5" customHeight="1">
      <c r="A414" s="109"/>
      <c r="B414" s="109"/>
      <c r="C414" s="109"/>
      <c r="D414" s="109"/>
      <c r="E414" s="109"/>
      <c r="F414" s="109"/>
      <c r="G414" s="161"/>
      <c r="H414" s="109"/>
      <c r="I414" s="109"/>
      <c r="J414" s="109"/>
      <c r="K414" s="109"/>
      <c r="L414" s="109"/>
      <c r="M414" s="109"/>
      <c r="N414" s="109"/>
      <c r="O414" s="109"/>
      <c r="P414" s="109"/>
      <c r="Q414" s="109"/>
      <c r="R414" s="109"/>
      <c r="S414" s="109"/>
      <c r="T414" s="109"/>
      <c r="U414" s="109"/>
      <c r="V414" s="109"/>
      <c r="W414" s="109"/>
      <c r="X414" s="109"/>
      <c r="Y414" s="109"/>
      <c r="Z414" s="109"/>
    </row>
    <row r="415" spans="1:26" ht="13.5" customHeight="1">
      <c r="A415" s="109"/>
      <c r="B415" s="109"/>
      <c r="C415" s="109"/>
      <c r="D415" s="109"/>
      <c r="E415" s="109"/>
      <c r="F415" s="109"/>
      <c r="G415" s="161"/>
      <c r="H415" s="109"/>
      <c r="I415" s="109"/>
      <c r="J415" s="109"/>
      <c r="K415" s="109"/>
      <c r="L415" s="109"/>
      <c r="M415" s="109"/>
      <c r="N415" s="109"/>
      <c r="O415" s="109"/>
      <c r="P415" s="109"/>
      <c r="Q415" s="109"/>
      <c r="R415" s="109"/>
      <c r="S415" s="109"/>
      <c r="T415" s="109"/>
      <c r="U415" s="109"/>
      <c r="V415" s="109"/>
      <c r="W415" s="109"/>
      <c r="X415" s="109"/>
      <c r="Y415" s="109"/>
      <c r="Z415" s="109"/>
    </row>
    <row r="416" spans="1:26" ht="13.5" customHeight="1">
      <c r="A416" s="109"/>
      <c r="B416" s="109"/>
      <c r="C416" s="109"/>
      <c r="D416" s="109"/>
      <c r="E416" s="109"/>
      <c r="F416" s="109"/>
      <c r="G416" s="161"/>
      <c r="H416" s="109"/>
      <c r="I416" s="109"/>
      <c r="J416" s="109"/>
      <c r="K416" s="109"/>
      <c r="L416" s="109"/>
      <c r="M416" s="109"/>
      <c r="N416" s="109"/>
      <c r="O416" s="109"/>
      <c r="P416" s="109"/>
      <c r="Q416" s="109"/>
      <c r="R416" s="109"/>
      <c r="S416" s="109"/>
      <c r="T416" s="109"/>
      <c r="U416" s="109"/>
      <c r="V416" s="109"/>
      <c r="W416" s="109"/>
      <c r="X416" s="109"/>
      <c r="Y416" s="109"/>
      <c r="Z416" s="109"/>
    </row>
    <row r="417" spans="1:26" ht="13.5" customHeight="1">
      <c r="A417" s="109"/>
      <c r="B417" s="109"/>
      <c r="C417" s="109"/>
      <c r="D417" s="109"/>
      <c r="E417" s="109"/>
      <c r="F417" s="109"/>
      <c r="G417" s="161"/>
      <c r="H417" s="109"/>
      <c r="I417" s="109"/>
      <c r="J417" s="109"/>
      <c r="K417" s="109"/>
      <c r="L417" s="109"/>
      <c r="M417" s="109"/>
      <c r="N417" s="109"/>
      <c r="O417" s="109"/>
      <c r="P417" s="109"/>
      <c r="Q417" s="109"/>
      <c r="R417" s="109"/>
      <c r="S417" s="109"/>
      <c r="T417" s="109"/>
      <c r="U417" s="109"/>
      <c r="V417" s="109"/>
      <c r="W417" s="109"/>
      <c r="X417" s="109"/>
      <c r="Y417" s="109"/>
      <c r="Z417" s="109"/>
    </row>
    <row r="418" spans="1:26" ht="13.5" customHeight="1">
      <c r="A418" s="109"/>
      <c r="B418" s="109"/>
      <c r="C418" s="109"/>
      <c r="D418" s="109"/>
      <c r="E418" s="109"/>
      <c r="F418" s="109"/>
      <c r="G418" s="161"/>
      <c r="H418" s="109"/>
      <c r="I418" s="109"/>
      <c r="J418" s="109"/>
      <c r="K418" s="109"/>
      <c r="L418" s="109"/>
      <c r="M418" s="109"/>
      <c r="N418" s="109"/>
      <c r="O418" s="109"/>
      <c r="P418" s="109"/>
      <c r="Q418" s="109"/>
      <c r="R418" s="109"/>
      <c r="S418" s="109"/>
      <c r="T418" s="109"/>
      <c r="U418" s="109"/>
      <c r="V418" s="109"/>
      <c r="W418" s="109"/>
      <c r="X418" s="109"/>
      <c r="Y418" s="109"/>
      <c r="Z418" s="109"/>
    </row>
    <row r="419" spans="1:26" ht="13.5" customHeight="1">
      <c r="A419" s="109"/>
      <c r="B419" s="109"/>
      <c r="C419" s="109"/>
      <c r="D419" s="109"/>
      <c r="E419" s="109"/>
      <c r="F419" s="109"/>
      <c r="G419" s="161"/>
      <c r="H419" s="109"/>
      <c r="I419" s="109"/>
      <c r="J419" s="109"/>
      <c r="K419" s="109"/>
      <c r="L419" s="109"/>
      <c r="M419" s="109"/>
      <c r="N419" s="109"/>
      <c r="O419" s="109"/>
      <c r="P419" s="109"/>
      <c r="Q419" s="109"/>
      <c r="R419" s="109"/>
      <c r="S419" s="109"/>
      <c r="T419" s="109"/>
      <c r="U419" s="109"/>
      <c r="V419" s="109"/>
      <c r="W419" s="109"/>
      <c r="X419" s="109"/>
      <c r="Y419" s="109"/>
      <c r="Z419" s="109"/>
    </row>
    <row r="420" spans="1:26" ht="13.5" customHeight="1">
      <c r="A420" s="109"/>
      <c r="B420" s="109"/>
      <c r="C420" s="109"/>
      <c r="D420" s="109"/>
      <c r="E420" s="109"/>
      <c r="F420" s="109"/>
      <c r="G420" s="161"/>
      <c r="H420" s="109"/>
      <c r="I420" s="109"/>
      <c r="J420" s="109"/>
      <c r="K420" s="109"/>
      <c r="L420" s="109"/>
      <c r="M420" s="109"/>
      <c r="N420" s="109"/>
      <c r="O420" s="109"/>
      <c r="P420" s="109"/>
      <c r="Q420" s="109"/>
      <c r="R420" s="109"/>
      <c r="S420" s="109"/>
      <c r="T420" s="109"/>
      <c r="U420" s="109"/>
      <c r="V420" s="109"/>
      <c r="W420" s="109"/>
      <c r="X420" s="109"/>
      <c r="Y420" s="109"/>
      <c r="Z420" s="109"/>
    </row>
    <row r="421" spans="1:26" ht="13.5" customHeight="1">
      <c r="A421" s="109"/>
      <c r="B421" s="109"/>
      <c r="C421" s="109"/>
      <c r="D421" s="109"/>
      <c r="E421" s="109"/>
      <c r="F421" s="109"/>
      <c r="G421" s="161"/>
      <c r="H421" s="109"/>
      <c r="I421" s="109"/>
      <c r="J421" s="109"/>
      <c r="K421" s="109"/>
      <c r="L421" s="109"/>
      <c r="M421" s="109"/>
      <c r="N421" s="109"/>
      <c r="O421" s="109"/>
      <c r="P421" s="109"/>
      <c r="Q421" s="109"/>
      <c r="R421" s="109"/>
      <c r="S421" s="109"/>
      <c r="T421" s="109"/>
      <c r="U421" s="109"/>
      <c r="V421" s="109"/>
      <c r="W421" s="109"/>
      <c r="X421" s="109"/>
      <c r="Y421" s="109"/>
      <c r="Z421" s="109"/>
    </row>
    <row r="422" spans="1:26" ht="13.5" customHeight="1">
      <c r="A422" s="109"/>
      <c r="B422" s="109"/>
      <c r="C422" s="109"/>
      <c r="D422" s="109"/>
      <c r="E422" s="109"/>
      <c r="F422" s="109"/>
      <c r="G422" s="161"/>
      <c r="H422" s="109"/>
      <c r="I422" s="109"/>
      <c r="J422" s="109"/>
      <c r="K422" s="109"/>
      <c r="L422" s="109"/>
      <c r="M422" s="109"/>
      <c r="N422" s="109"/>
      <c r="O422" s="109"/>
      <c r="P422" s="109"/>
      <c r="Q422" s="109"/>
      <c r="R422" s="109"/>
      <c r="S422" s="109"/>
      <c r="T422" s="109"/>
      <c r="U422" s="109"/>
      <c r="V422" s="109"/>
      <c r="W422" s="109"/>
      <c r="X422" s="109"/>
      <c r="Y422" s="109"/>
      <c r="Z422" s="109"/>
    </row>
    <row r="423" spans="1:26" ht="13.5" customHeight="1">
      <c r="A423" s="109"/>
      <c r="B423" s="109"/>
      <c r="C423" s="109"/>
      <c r="D423" s="109"/>
      <c r="E423" s="109"/>
      <c r="F423" s="109"/>
      <c r="G423" s="161"/>
      <c r="H423" s="109"/>
      <c r="I423" s="109"/>
      <c r="J423" s="109"/>
      <c r="K423" s="109"/>
      <c r="L423" s="109"/>
      <c r="M423" s="109"/>
      <c r="N423" s="109"/>
      <c r="O423" s="109"/>
      <c r="P423" s="109"/>
      <c r="Q423" s="109"/>
      <c r="R423" s="109"/>
      <c r="S423" s="109"/>
      <c r="T423" s="109"/>
      <c r="U423" s="109"/>
      <c r="V423" s="109"/>
      <c r="W423" s="109"/>
      <c r="X423" s="109"/>
      <c r="Y423" s="109"/>
      <c r="Z423" s="109"/>
    </row>
    <row r="424" spans="1:26" ht="13.5" customHeight="1">
      <c r="A424" s="109"/>
      <c r="B424" s="109"/>
      <c r="C424" s="109"/>
      <c r="D424" s="109"/>
      <c r="E424" s="109"/>
      <c r="F424" s="109"/>
      <c r="G424" s="161"/>
      <c r="H424" s="109"/>
      <c r="I424" s="109"/>
      <c r="J424" s="109"/>
      <c r="K424" s="109"/>
      <c r="L424" s="109"/>
      <c r="M424" s="109"/>
      <c r="N424" s="109"/>
      <c r="O424" s="109"/>
      <c r="P424" s="109"/>
      <c r="Q424" s="109"/>
      <c r="R424" s="109"/>
      <c r="S424" s="109"/>
      <c r="T424" s="109"/>
      <c r="U424" s="109"/>
      <c r="V424" s="109"/>
      <c r="W424" s="109"/>
      <c r="X424" s="109"/>
      <c r="Y424" s="109"/>
      <c r="Z424" s="109"/>
    </row>
    <row r="425" spans="1:26" ht="13.5" customHeight="1">
      <c r="A425" s="109"/>
      <c r="B425" s="109"/>
      <c r="C425" s="109"/>
      <c r="D425" s="109"/>
      <c r="E425" s="109"/>
      <c r="F425" s="109"/>
      <c r="G425" s="161"/>
      <c r="H425" s="109"/>
      <c r="I425" s="109"/>
      <c r="J425" s="109"/>
      <c r="K425" s="109"/>
      <c r="L425" s="109"/>
      <c r="M425" s="109"/>
      <c r="N425" s="109"/>
      <c r="O425" s="109"/>
      <c r="P425" s="109"/>
      <c r="Q425" s="109"/>
      <c r="R425" s="109"/>
      <c r="S425" s="109"/>
      <c r="T425" s="109"/>
      <c r="U425" s="109"/>
      <c r="V425" s="109"/>
      <c r="W425" s="109"/>
      <c r="X425" s="109"/>
      <c r="Y425" s="109"/>
      <c r="Z425" s="109"/>
    </row>
    <row r="426" spans="1:26" ht="13.5" customHeight="1">
      <c r="A426" s="109"/>
      <c r="B426" s="109"/>
      <c r="C426" s="109"/>
      <c r="D426" s="109"/>
      <c r="E426" s="109"/>
      <c r="F426" s="109"/>
      <c r="G426" s="161"/>
      <c r="H426" s="109"/>
      <c r="I426" s="109"/>
      <c r="J426" s="109"/>
      <c r="K426" s="109"/>
      <c r="L426" s="109"/>
      <c r="M426" s="109"/>
      <c r="N426" s="109"/>
      <c r="O426" s="109"/>
      <c r="P426" s="109"/>
      <c r="Q426" s="109"/>
      <c r="R426" s="109"/>
      <c r="S426" s="109"/>
      <c r="T426" s="109"/>
      <c r="U426" s="109"/>
      <c r="V426" s="109"/>
      <c r="W426" s="109"/>
      <c r="X426" s="109"/>
      <c r="Y426" s="109"/>
      <c r="Z426" s="109"/>
    </row>
    <row r="427" spans="1:26" ht="13.5" customHeight="1">
      <c r="A427" s="109"/>
      <c r="B427" s="109"/>
      <c r="C427" s="109"/>
      <c r="D427" s="109"/>
      <c r="E427" s="109"/>
      <c r="F427" s="109"/>
      <c r="G427" s="161"/>
      <c r="H427" s="109"/>
      <c r="I427" s="109"/>
      <c r="J427" s="109"/>
      <c r="K427" s="109"/>
      <c r="L427" s="109"/>
      <c r="M427" s="109"/>
      <c r="N427" s="109"/>
      <c r="O427" s="109"/>
      <c r="P427" s="109"/>
      <c r="Q427" s="109"/>
      <c r="R427" s="109"/>
      <c r="S427" s="109"/>
      <c r="T427" s="109"/>
      <c r="U427" s="109"/>
      <c r="V427" s="109"/>
      <c r="W427" s="109"/>
      <c r="X427" s="109"/>
      <c r="Y427" s="109"/>
      <c r="Z427" s="109"/>
    </row>
    <row r="428" spans="1:26" ht="13.5" customHeight="1">
      <c r="A428" s="109"/>
      <c r="B428" s="109"/>
      <c r="C428" s="109"/>
      <c r="D428" s="109"/>
      <c r="E428" s="109"/>
      <c r="F428" s="109"/>
      <c r="G428" s="161"/>
      <c r="H428" s="109"/>
      <c r="I428" s="109"/>
      <c r="J428" s="109"/>
      <c r="K428" s="109"/>
      <c r="L428" s="109"/>
      <c r="M428" s="109"/>
      <c r="N428" s="109"/>
      <c r="O428" s="109"/>
      <c r="P428" s="109"/>
      <c r="Q428" s="109"/>
      <c r="R428" s="109"/>
      <c r="S428" s="109"/>
      <c r="T428" s="109"/>
      <c r="U428" s="109"/>
      <c r="V428" s="109"/>
      <c r="W428" s="109"/>
      <c r="X428" s="109"/>
      <c r="Y428" s="109"/>
      <c r="Z428" s="109"/>
    </row>
    <row r="429" spans="1:26" ht="13.5" customHeight="1">
      <c r="A429" s="109"/>
      <c r="B429" s="109"/>
      <c r="C429" s="109"/>
      <c r="D429" s="109"/>
      <c r="E429" s="109"/>
      <c r="F429" s="109"/>
      <c r="G429" s="161"/>
      <c r="H429" s="109"/>
      <c r="I429" s="109"/>
      <c r="J429" s="109"/>
      <c r="K429" s="109"/>
      <c r="L429" s="109"/>
      <c r="M429" s="109"/>
      <c r="N429" s="109"/>
      <c r="O429" s="109"/>
      <c r="P429" s="109"/>
      <c r="Q429" s="109"/>
      <c r="R429" s="109"/>
      <c r="S429" s="109"/>
      <c r="T429" s="109"/>
      <c r="U429" s="109"/>
      <c r="V429" s="109"/>
      <c r="W429" s="109"/>
      <c r="X429" s="109"/>
      <c r="Y429" s="109"/>
      <c r="Z429" s="109"/>
    </row>
    <row r="430" spans="1:26" ht="13.5" customHeight="1">
      <c r="A430" s="109"/>
      <c r="B430" s="109"/>
      <c r="C430" s="109"/>
      <c r="D430" s="109"/>
      <c r="E430" s="109"/>
      <c r="F430" s="109"/>
      <c r="G430" s="161"/>
      <c r="H430" s="109"/>
      <c r="I430" s="109"/>
      <c r="J430" s="109"/>
      <c r="K430" s="109"/>
      <c r="L430" s="109"/>
      <c r="M430" s="109"/>
      <c r="N430" s="109"/>
      <c r="O430" s="109"/>
      <c r="P430" s="109"/>
      <c r="Q430" s="109"/>
      <c r="R430" s="109"/>
      <c r="S430" s="109"/>
      <c r="T430" s="109"/>
      <c r="U430" s="109"/>
      <c r="V430" s="109"/>
      <c r="W430" s="109"/>
      <c r="X430" s="109"/>
      <c r="Y430" s="109"/>
      <c r="Z430" s="109"/>
    </row>
    <row r="431" spans="1:26" ht="13.5" customHeight="1">
      <c r="A431" s="109"/>
      <c r="B431" s="109"/>
      <c r="C431" s="109"/>
      <c r="D431" s="109"/>
      <c r="E431" s="109"/>
      <c r="F431" s="109"/>
      <c r="G431" s="161"/>
      <c r="H431" s="109"/>
      <c r="I431" s="109"/>
      <c r="J431" s="109"/>
      <c r="K431" s="109"/>
      <c r="L431" s="109"/>
      <c r="M431" s="109"/>
      <c r="N431" s="109"/>
      <c r="O431" s="109"/>
      <c r="P431" s="109"/>
      <c r="Q431" s="109"/>
      <c r="R431" s="109"/>
      <c r="S431" s="109"/>
      <c r="T431" s="109"/>
      <c r="U431" s="109"/>
      <c r="V431" s="109"/>
      <c r="W431" s="109"/>
      <c r="X431" s="109"/>
      <c r="Y431" s="109"/>
      <c r="Z431" s="109"/>
    </row>
    <row r="432" spans="1:26" ht="13.5" customHeight="1">
      <c r="A432" s="109"/>
      <c r="B432" s="109"/>
      <c r="C432" s="109"/>
      <c r="D432" s="109"/>
      <c r="E432" s="109"/>
      <c r="F432" s="109"/>
      <c r="G432" s="161"/>
      <c r="H432" s="109"/>
      <c r="I432" s="109"/>
      <c r="J432" s="109"/>
      <c r="K432" s="109"/>
      <c r="L432" s="109"/>
      <c r="M432" s="109"/>
      <c r="N432" s="109"/>
      <c r="O432" s="109"/>
      <c r="P432" s="109"/>
      <c r="Q432" s="109"/>
      <c r="R432" s="109"/>
      <c r="S432" s="109"/>
      <c r="T432" s="109"/>
      <c r="U432" s="109"/>
      <c r="V432" s="109"/>
      <c r="W432" s="109"/>
      <c r="X432" s="109"/>
      <c r="Y432" s="109"/>
      <c r="Z432" s="109"/>
    </row>
    <row r="433" spans="1:26" ht="13.5" customHeight="1">
      <c r="A433" s="109"/>
      <c r="B433" s="109"/>
      <c r="C433" s="109"/>
      <c r="D433" s="109"/>
      <c r="E433" s="109"/>
      <c r="F433" s="109"/>
      <c r="G433" s="161"/>
      <c r="H433" s="109"/>
      <c r="I433" s="109"/>
      <c r="J433" s="109"/>
      <c r="K433" s="109"/>
      <c r="L433" s="109"/>
      <c r="M433" s="109"/>
      <c r="N433" s="109"/>
      <c r="O433" s="109"/>
      <c r="P433" s="109"/>
      <c r="Q433" s="109"/>
      <c r="R433" s="109"/>
      <c r="S433" s="109"/>
      <c r="T433" s="109"/>
      <c r="U433" s="109"/>
      <c r="V433" s="109"/>
      <c r="W433" s="109"/>
      <c r="X433" s="109"/>
      <c r="Y433" s="109"/>
      <c r="Z433" s="109"/>
    </row>
    <row r="434" spans="1:26" ht="13.5" customHeight="1">
      <c r="A434" s="109"/>
      <c r="B434" s="109"/>
      <c r="C434" s="109"/>
      <c r="D434" s="109"/>
      <c r="E434" s="109"/>
      <c r="F434" s="109"/>
      <c r="G434" s="161"/>
      <c r="H434" s="109"/>
      <c r="I434" s="109"/>
      <c r="J434" s="109"/>
      <c r="K434" s="109"/>
      <c r="L434" s="109"/>
      <c r="M434" s="109"/>
      <c r="N434" s="109"/>
      <c r="O434" s="109"/>
      <c r="P434" s="109"/>
      <c r="Q434" s="109"/>
      <c r="R434" s="109"/>
      <c r="S434" s="109"/>
      <c r="T434" s="109"/>
      <c r="U434" s="109"/>
      <c r="V434" s="109"/>
      <c r="W434" s="109"/>
      <c r="X434" s="109"/>
      <c r="Y434" s="109"/>
      <c r="Z434" s="109"/>
    </row>
    <row r="435" spans="1:26" ht="13.5" customHeight="1">
      <c r="A435" s="109"/>
      <c r="B435" s="109"/>
      <c r="C435" s="109"/>
      <c r="D435" s="109"/>
      <c r="E435" s="109"/>
      <c r="F435" s="109"/>
      <c r="G435" s="161"/>
      <c r="H435" s="109"/>
      <c r="I435" s="109"/>
      <c r="J435" s="109"/>
      <c r="K435" s="109"/>
      <c r="L435" s="109"/>
      <c r="M435" s="109"/>
      <c r="N435" s="109"/>
      <c r="O435" s="109"/>
      <c r="P435" s="109"/>
      <c r="Q435" s="109"/>
      <c r="R435" s="109"/>
      <c r="S435" s="109"/>
      <c r="T435" s="109"/>
      <c r="U435" s="109"/>
      <c r="V435" s="109"/>
      <c r="W435" s="109"/>
      <c r="X435" s="109"/>
      <c r="Y435" s="109"/>
      <c r="Z435" s="109"/>
    </row>
    <row r="436" spans="1:26" ht="13.5" customHeight="1">
      <c r="A436" s="109"/>
      <c r="B436" s="109"/>
      <c r="C436" s="109"/>
      <c r="D436" s="109"/>
      <c r="E436" s="109"/>
      <c r="F436" s="109"/>
      <c r="G436" s="161"/>
      <c r="H436" s="109"/>
      <c r="I436" s="109"/>
      <c r="J436" s="109"/>
      <c r="K436" s="109"/>
      <c r="L436" s="109"/>
      <c r="M436" s="109"/>
      <c r="N436" s="109"/>
      <c r="O436" s="109"/>
      <c r="P436" s="109"/>
      <c r="Q436" s="109"/>
      <c r="R436" s="109"/>
      <c r="S436" s="109"/>
      <c r="T436" s="109"/>
      <c r="U436" s="109"/>
      <c r="V436" s="109"/>
      <c r="W436" s="109"/>
      <c r="X436" s="109"/>
      <c r="Y436" s="109"/>
      <c r="Z436" s="109"/>
    </row>
    <row r="437" spans="1:26" ht="13.5" customHeight="1">
      <c r="A437" s="109"/>
      <c r="B437" s="109"/>
      <c r="C437" s="109"/>
      <c r="D437" s="109"/>
      <c r="E437" s="109"/>
      <c r="F437" s="109"/>
      <c r="G437" s="161"/>
      <c r="H437" s="109"/>
      <c r="I437" s="109"/>
      <c r="J437" s="109"/>
      <c r="K437" s="109"/>
      <c r="L437" s="109"/>
      <c r="M437" s="109"/>
      <c r="N437" s="109"/>
      <c r="O437" s="109"/>
      <c r="P437" s="109"/>
      <c r="Q437" s="109"/>
      <c r="R437" s="109"/>
      <c r="S437" s="109"/>
      <c r="T437" s="109"/>
      <c r="U437" s="109"/>
      <c r="V437" s="109"/>
      <c r="W437" s="109"/>
      <c r="X437" s="109"/>
      <c r="Y437" s="109"/>
      <c r="Z437" s="109"/>
    </row>
    <row r="438" spans="1:26" ht="13.5" customHeight="1">
      <c r="A438" s="109"/>
      <c r="B438" s="109"/>
      <c r="C438" s="109"/>
      <c r="D438" s="109"/>
      <c r="E438" s="109"/>
      <c r="F438" s="109"/>
      <c r="G438" s="161"/>
      <c r="H438" s="109"/>
      <c r="I438" s="109"/>
      <c r="J438" s="109"/>
      <c r="K438" s="109"/>
      <c r="L438" s="109"/>
      <c r="M438" s="109"/>
      <c r="N438" s="109"/>
      <c r="O438" s="109"/>
      <c r="P438" s="109"/>
      <c r="Q438" s="109"/>
      <c r="R438" s="109"/>
      <c r="S438" s="109"/>
      <c r="T438" s="109"/>
      <c r="U438" s="109"/>
      <c r="V438" s="109"/>
      <c r="W438" s="109"/>
      <c r="X438" s="109"/>
      <c r="Y438" s="109"/>
      <c r="Z438" s="109"/>
    </row>
    <row r="439" spans="1:26" ht="13.5" customHeight="1">
      <c r="A439" s="109"/>
      <c r="B439" s="109"/>
      <c r="C439" s="109"/>
      <c r="D439" s="109"/>
      <c r="E439" s="109"/>
      <c r="F439" s="109"/>
      <c r="G439" s="161"/>
      <c r="H439" s="109"/>
      <c r="I439" s="109"/>
      <c r="J439" s="109"/>
      <c r="K439" s="109"/>
      <c r="L439" s="109"/>
      <c r="M439" s="109"/>
      <c r="N439" s="109"/>
      <c r="O439" s="109"/>
      <c r="P439" s="109"/>
      <c r="Q439" s="109"/>
      <c r="R439" s="109"/>
      <c r="S439" s="109"/>
      <c r="T439" s="109"/>
      <c r="U439" s="109"/>
      <c r="V439" s="109"/>
      <c r="W439" s="109"/>
      <c r="X439" s="109"/>
      <c r="Y439" s="109"/>
      <c r="Z439" s="109"/>
    </row>
    <row r="440" spans="1:26" ht="13.5" customHeight="1">
      <c r="A440" s="109"/>
      <c r="B440" s="109"/>
      <c r="C440" s="109"/>
      <c r="D440" s="109"/>
      <c r="E440" s="109"/>
      <c r="F440" s="109"/>
      <c r="G440" s="161"/>
      <c r="H440" s="109"/>
      <c r="I440" s="109"/>
      <c r="J440" s="109"/>
      <c r="K440" s="109"/>
      <c r="L440" s="109"/>
      <c r="M440" s="109"/>
      <c r="N440" s="109"/>
      <c r="O440" s="109"/>
      <c r="P440" s="109"/>
      <c r="Q440" s="109"/>
      <c r="R440" s="109"/>
      <c r="S440" s="109"/>
      <c r="T440" s="109"/>
      <c r="U440" s="109"/>
      <c r="V440" s="109"/>
      <c r="W440" s="109"/>
      <c r="X440" s="109"/>
      <c r="Y440" s="109"/>
      <c r="Z440" s="109"/>
    </row>
    <row r="441" spans="1:26" ht="13.5" customHeight="1">
      <c r="A441" s="109"/>
      <c r="B441" s="109"/>
      <c r="C441" s="109"/>
      <c r="D441" s="109"/>
      <c r="E441" s="109"/>
      <c r="F441" s="109"/>
      <c r="G441" s="161"/>
      <c r="H441" s="109"/>
      <c r="I441" s="109"/>
      <c r="J441" s="109"/>
      <c r="K441" s="109"/>
      <c r="L441" s="109"/>
      <c r="M441" s="109"/>
      <c r="N441" s="109"/>
      <c r="O441" s="109"/>
      <c r="P441" s="109"/>
      <c r="Q441" s="109"/>
      <c r="R441" s="109"/>
      <c r="S441" s="109"/>
      <c r="T441" s="109"/>
      <c r="U441" s="109"/>
      <c r="V441" s="109"/>
      <c r="W441" s="109"/>
      <c r="X441" s="109"/>
      <c r="Y441" s="109"/>
      <c r="Z441" s="109"/>
    </row>
    <row r="442" spans="1:26" ht="13.5" customHeight="1">
      <c r="A442" s="109"/>
      <c r="B442" s="109"/>
      <c r="C442" s="109"/>
      <c r="D442" s="109"/>
      <c r="E442" s="109"/>
      <c r="F442" s="109"/>
      <c r="G442" s="161"/>
      <c r="H442" s="109"/>
      <c r="I442" s="109"/>
      <c r="J442" s="109"/>
      <c r="K442" s="109"/>
      <c r="L442" s="109"/>
      <c r="M442" s="109"/>
      <c r="N442" s="109"/>
      <c r="O442" s="109"/>
      <c r="P442" s="109"/>
      <c r="Q442" s="109"/>
      <c r="R442" s="109"/>
      <c r="S442" s="109"/>
      <c r="T442" s="109"/>
      <c r="U442" s="109"/>
      <c r="V442" s="109"/>
      <c r="W442" s="109"/>
      <c r="X442" s="109"/>
      <c r="Y442" s="109"/>
      <c r="Z442" s="109"/>
    </row>
    <row r="443" spans="1:26" ht="13.5" customHeight="1">
      <c r="A443" s="109"/>
      <c r="B443" s="109"/>
      <c r="C443" s="109"/>
      <c r="D443" s="109"/>
      <c r="E443" s="109"/>
      <c r="F443" s="109"/>
      <c r="G443" s="161"/>
      <c r="H443" s="109"/>
      <c r="I443" s="109"/>
      <c r="J443" s="109"/>
      <c r="K443" s="109"/>
      <c r="L443" s="109"/>
      <c r="M443" s="109"/>
      <c r="N443" s="109"/>
      <c r="O443" s="109"/>
      <c r="P443" s="109"/>
      <c r="Q443" s="109"/>
      <c r="R443" s="109"/>
      <c r="S443" s="109"/>
      <c r="T443" s="109"/>
      <c r="U443" s="109"/>
      <c r="V443" s="109"/>
      <c r="W443" s="109"/>
      <c r="X443" s="109"/>
      <c r="Y443" s="109"/>
      <c r="Z443" s="109"/>
    </row>
    <row r="444" spans="1:26" ht="13.5" customHeight="1">
      <c r="A444" s="109"/>
      <c r="B444" s="109"/>
      <c r="C444" s="109"/>
      <c r="D444" s="109"/>
      <c r="E444" s="109"/>
      <c r="F444" s="109"/>
      <c r="G444" s="161"/>
      <c r="H444" s="109"/>
      <c r="I444" s="109"/>
      <c r="J444" s="109"/>
      <c r="K444" s="109"/>
      <c r="L444" s="109"/>
      <c r="M444" s="109"/>
      <c r="N444" s="109"/>
      <c r="O444" s="109"/>
      <c r="P444" s="109"/>
      <c r="Q444" s="109"/>
      <c r="R444" s="109"/>
      <c r="S444" s="109"/>
      <c r="T444" s="109"/>
      <c r="U444" s="109"/>
      <c r="V444" s="109"/>
      <c r="W444" s="109"/>
      <c r="X444" s="109"/>
      <c r="Y444" s="109"/>
      <c r="Z444" s="109"/>
    </row>
    <row r="445" spans="1:26" ht="13.5" customHeight="1">
      <c r="A445" s="109"/>
      <c r="B445" s="109"/>
      <c r="C445" s="109"/>
      <c r="D445" s="109"/>
      <c r="E445" s="109"/>
      <c r="F445" s="109"/>
      <c r="G445" s="161"/>
      <c r="H445" s="109"/>
      <c r="I445" s="109"/>
      <c r="J445" s="109"/>
      <c r="K445" s="109"/>
      <c r="L445" s="109"/>
      <c r="M445" s="109"/>
      <c r="N445" s="109"/>
      <c r="O445" s="109"/>
      <c r="P445" s="109"/>
      <c r="Q445" s="109"/>
      <c r="R445" s="109"/>
      <c r="S445" s="109"/>
      <c r="T445" s="109"/>
      <c r="U445" s="109"/>
      <c r="V445" s="109"/>
      <c r="W445" s="109"/>
      <c r="X445" s="109"/>
      <c r="Y445" s="109"/>
      <c r="Z445" s="109"/>
    </row>
    <row r="446" spans="1:26" ht="13.5" customHeight="1">
      <c r="A446" s="109"/>
      <c r="B446" s="109"/>
      <c r="C446" s="109"/>
      <c r="D446" s="109"/>
      <c r="E446" s="109"/>
      <c r="F446" s="109"/>
      <c r="G446" s="161"/>
      <c r="H446" s="109"/>
      <c r="I446" s="109"/>
      <c r="J446" s="109"/>
      <c r="K446" s="109"/>
      <c r="L446" s="109"/>
      <c r="M446" s="109"/>
      <c r="N446" s="109"/>
      <c r="O446" s="109"/>
      <c r="P446" s="109"/>
      <c r="Q446" s="109"/>
      <c r="R446" s="109"/>
      <c r="S446" s="109"/>
      <c r="T446" s="109"/>
      <c r="U446" s="109"/>
      <c r="V446" s="109"/>
      <c r="W446" s="109"/>
      <c r="X446" s="109"/>
      <c r="Y446" s="109"/>
      <c r="Z446" s="109"/>
    </row>
    <row r="447" spans="1:26" ht="13.5" customHeight="1">
      <c r="A447" s="109"/>
      <c r="B447" s="109"/>
      <c r="C447" s="109"/>
      <c r="D447" s="109"/>
      <c r="E447" s="109"/>
      <c r="F447" s="109"/>
      <c r="G447" s="161"/>
      <c r="H447" s="109"/>
      <c r="I447" s="109"/>
      <c r="J447" s="109"/>
      <c r="K447" s="109"/>
      <c r="L447" s="109"/>
      <c r="M447" s="109"/>
      <c r="N447" s="109"/>
      <c r="O447" s="109"/>
      <c r="P447" s="109"/>
      <c r="Q447" s="109"/>
      <c r="R447" s="109"/>
      <c r="S447" s="109"/>
      <c r="T447" s="109"/>
      <c r="U447" s="109"/>
      <c r="V447" s="109"/>
      <c r="W447" s="109"/>
      <c r="X447" s="109"/>
      <c r="Y447" s="109"/>
      <c r="Z447" s="109"/>
    </row>
    <row r="448" spans="1:26" ht="13.5" customHeight="1">
      <c r="A448" s="109"/>
      <c r="B448" s="109"/>
      <c r="C448" s="109"/>
      <c r="D448" s="109"/>
      <c r="E448" s="109"/>
      <c r="F448" s="109"/>
      <c r="G448" s="161"/>
      <c r="H448" s="109"/>
      <c r="I448" s="109"/>
      <c r="J448" s="109"/>
      <c r="K448" s="109"/>
      <c r="L448" s="109"/>
      <c r="M448" s="109"/>
      <c r="N448" s="109"/>
      <c r="O448" s="109"/>
      <c r="P448" s="109"/>
      <c r="Q448" s="109"/>
      <c r="R448" s="109"/>
      <c r="S448" s="109"/>
      <c r="T448" s="109"/>
      <c r="U448" s="109"/>
      <c r="V448" s="109"/>
      <c r="W448" s="109"/>
      <c r="X448" s="109"/>
      <c r="Y448" s="109"/>
      <c r="Z448" s="109"/>
    </row>
    <row r="449" spans="1:26" ht="13.5" customHeight="1">
      <c r="A449" s="109"/>
      <c r="B449" s="109"/>
      <c r="C449" s="109"/>
      <c r="D449" s="109"/>
      <c r="E449" s="109"/>
      <c r="F449" s="109"/>
      <c r="G449" s="161"/>
      <c r="H449" s="109"/>
      <c r="I449" s="109"/>
      <c r="J449" s="109"/>
      <c r="K449" s="109"/>
      <c r="L449" s="109"/>
      <c r="M449" s="109"/>
      <c r="N449" s="109"/>
      <c r="O449" s="109"/>
      <c r="P449" s="109"/>
      <c r="Q449" s="109"/>
      <c r="R449" s="109"/>
      <c r="S449" s="109"/>
      <c r="T449" s="109"/>
      <c r="U449" s="109"/>
      <c r="V449" s="109"/>
      <c r="W449" s="109"/>
      <c r="X449" s="109"/>
      <c r="Y449" s="109"/>
      <c r="Z449" s="109"/>
    </row>
    <row r="450" spans="1:26" ht="13.5" customHeight="1">
      <c r="A450" s="109"/>
      <c r="B450" s="109"/>
      <c r="C450" s="109"/>
      <c r="D450" s="109"/>
      <c r="E450" s="109"/>
      <c r="F450" s="109"/>
      <c r="G450" s="161"/>
      <c r="H450" s="109"/>
      <c r="I450" s="109"/>
      <c r="J450" s="109"/>
      <c r="K450" s="109"/>
      <c r="L450" s="109"/>
      <c r="M450" s="109"/>
      <c r="N450" s="109"/>
      <c r="O450" s="109"/>
      <c r="P450" s="109"/>
      <c r="Q450" s="109"/>
      <c r="R450" s="109"/>
      <c r="S450" s="109"/>
      <c r="T450" s="109"/>
      <c r="U450" s="109"/>
      <c r="V450" s="109"/>
      <c r="W450" s="109"/>
      <c r="X450" s="109"/>
      <c r="Y450" s="109"/>
      <c r="Z450" s="109"/>
    </row>
    <row r="451" spans="1:26" ht="13.5" customHeight="1">
      <c r="A451" s="109"/>
      <c r="B451" s="109"/>
      <c r="C451" s="109"/>
      <c r="D451" s="109"/>
      <c r="E451" s="109"/>
      <c r="F451" s="109"/>
      <c r="G451" s="161"/>
      <c r="H451" s="109"/>
      <c r="I451" s="109"/>
      <c r="J451" s="109"/>
      <c r="K451" s="109"/>
      <c r="L451" s="109"/>
      <c r="M451" s="109"/>
      <c r="N451" s="109"/>
      <c r="O451" s="109"/>
      <c r="P451" s="109"/>
      <c r="Q451" s="109"/>
      <c r="R451" s="109"/>
      <c r="S451" s="109"/>
      <c r="T451" s="109"/>
      <c r="U451" s="109"/>
      <c r="V451" s="109"/>
      <c r="W451" s="109"/>
      <c r="X451" s="109"/>
      <c r="Y451" s="109"/>
      <c r="Z451" s="109"/>
    </row>
    <row r="452" spans="1:26" ht="13.5" customHeight="1">
      <c r="A452" s="109"/>
      <c r="B452" s="109"/>
      <c r="C452" s="109"/>
      <c r="D452" s="109"/>
      <c r="E452" s="109"/>
      <c r="F452" s="109"/>
      <c r="G452" s="161"/>
      <c r="H452" s="109"/>
      <c r="I452" s="109"/>
      <c r="J452" s="109"/>
      <c r="K452" s="109"/>
      <c r="L452" s="109"/>
      <c r="M452" s="109"/>
      <c r="N452" s="109"/>
      <c r="O452" s="109"/>
      <c r="P452" s="109"/>
      <c r="Q452" s="109"/>
      <c r="R452" s="109"/>
      <c r="S452" s="109"/>
      <c r="T452" s="109"/>
      <c r="U452" s="109"/>
      <c r="V452" s="109"/>
      <c r="W452" s="109"/>
      <c r="X452" s="109"/>
      <c r="Y452" s="109"/>
      <c r="Z452" s="109"/>
    </row>
    <row r="453" spans="1:26" ht="13.5" customHeight="1">
      <c r="A453" s="109"/>
      <c r="B453" s="109"/>
      <c r="C453" s="109"/>
      <c r="D453" s="109"/>
      <c r="E453" s="109"/>
      <c r="F453" s="109"/>
      <c r="G453" s="161"/>
      <c r="H453" s="109"/>
      <c r="I453" s="109"/>
      <c r="J453" s="109"/>
      <c r="K453" s="109"/>
      <c r="L453" s="109"/>
      <c r="M453" s="109"/>
      <c r="N453" s="109"/>
      <c r="O453" s="109"/>
      <c r="P453" s="109"/>
      <c r="Q453" s="109"/>
      <c r="R453" s="109"/>
      <c r="S453" s="109"/>
      <c r="T453" s="109"/>
      <c r="U453" s="109"/>
      <c r="V453" s="109"/>
      <c r="W453" s="109"/>
      <c r="X453" s="109"/>
      <c r="Y453" s="109"/>
      <c r="Z453" s="109"/>
    </row>
    <row r="454" spans="1:26" ht="13.5" customHeight="1">
      <c r="A454" s="109"/>
      <c r="B454" s="109"/>
      <c r="C454" s="109"/>
      <c r="D454" s="109"/>
      <c r="E454" s="109"/>
      <c r="F454" s="109"/>
      <c r="G454" s="161"/>
      <c r="H454" s="109"/>
      <c r="I454" s="109"/>
      <c r="J454" s="109"/>
      <c r="K454" s="109"/>
      <c r="L454" s="109"/>
      <c r="M454" s="109"/>
      <c r="N454" s="109"/>
      <c r="O454" s="109"/>
      <c r="P454" s="109"/>
      <c r="Q454" s="109"/>
      <c r="R454" s="109"/>
      <c r="S454" s="109"/>
      <c r="T454" s="109"/>
      <c r="U454" s="109"/>
      <c r="V454" s="109"/>
      <c r="W454" s="109"/>
      <c r="X454" s="109"/>
      <c r="Y454" s="109"/>
      <c r="Z454" s="109"/>
    </row>
    <row r="455" spans="1:26" ht="13.5" customHeight="1">
      <c r="A455" s="109"/>
      <c r="B455" s="109"/>
      <c r="C455" s="109"/>
      <c r="D455" s="109"/>
      <c r="E455" s="109"/>
      <c r="F455" s="109"/>
      <c r="G455" s="161"/>
      <c r="H455" s="109"/>
      <c r="I455" s="109"/>
      <c r="J455" s="109"/>
      <c r="K455" s="109"/>
      <c r="L455" s="109"/>
      <c r="M455" s="109"/>
      <c r="N455" s="109"/>
      <c r="O455" s="109"/>
      <c r="P455" s="109"/>
      <c r="Q455" s="109"/>
      <c r="R455" s="109"/>
      <c r="S455" s="109"/>
      <c r="T455" s="109"/>
      <c r="U455" s="109"/>
      <c r="V455" s="109"/>
      <c r="W455" s="109"/>
      <c r="X455" s="109"/>
      <c r="Y455" s="109"/>
      <c r="Z455" s="109"/>
    </row>
    <row r="456" spans="1:26" ht="13.5" customHeight="1">
      <c r="A456" s="109"/>
      <c r="B456" s="109"/>
      <c r="C456" s="109"/>
      <c r="D456" s="109"/>
      <c r="E456" s="109"/>
      <c r="F456" s="109"/>
      <c r="G456" s="161"/>
      <c r="H456" s="109"/>
      <c r="I456" s="109"/>
      <c r="J456" s="109"/>
      <c r="K456" s="109"/>
      <c r="L456" s="109"/>
      <c r="M456" s="109"/>
      <c r="N456" s="109"/>
      <c r="O456" s="109"/>
      <c r="P456" s="109"/>
      <c r="Q456" s="109"/>
      <c r="R456" s="109"/>
      <c r="S456" s="109"/>
      <c r="T456" s="109"/>
      <c r="U456" s="109"/>
      <c r="V456" s="109"/>
      <c r="W456" s="109"/>
      <c r="X456" s="109"/>
      <c r="Y456" s="109"/>
      <c r="Z456" s="109"/>
    </row>
    <row r="457" spans="1:26" ht="13.5" customHeight="1">
      <c r="A457" s="109"/>
      <c r="B457" s="109"/>
      <c r="C457" s="109"/>
      <c r="D457" s="109"/>
      <c r="E457" s="109"/>
      <c r="F457" s="109"/>
      <c r="G457" s="161"/>
      <c r="H457" s="109"/>
      <c r="I457" s="109"/>
      <c r="J457" s="109"/>
      <c r="K457" s="109"/>
      <c r="L457" s="109"/>
      <c r="M457" s="109"/>
      <c r="N457" s="109"/>
      <c r="O457" s="109"/>
      <c r="P457" s="109"/>
      <c r="Q457" s="109"/>
      <c r="R457" s="109"/>
      <c r="S457" s="109"/>
      <c r="T457" s="109"/>
      <c r="U457" s="109"/>
      <c r="V457" s="109"/>
      <c r="W457" s="109"/>
      <c r="X457" s="109"/>
      <c r="Y457" s="109"/>
      <c r="Z457" s="109"/>
    </row>
    <row r="458" spans="1:26" ht="13.5" customHeight="1">
      <c r="A458" s="109"/>
      <c r="B458" s="109"/>
      <c r="C458" s="109"/>
      <c r="D458" s="109"/>
      <c r="E458" s="109"/>
      <c r="F458" s="109"/>
      <c r="G458" s="161"/>
      <c r="H458" s="109"/>
      <c r="I458" s="109"/>
      <c r="J458" s="109"/>
      <c r="K458" s="109"/>
      <c r="L458" s="109"/>
      <c r="M458" s="109"/>
      <c r="N458" s="109"/>
      <c r="O458" s="109"/>
      <c r="P458" s="109"/>
      <c r="Q458" s="109"/>
      <c r="R458" s="109"/>
      <c r="S458" s="109"/>
      <c r="T458" s="109"/>
      <c r="U458" s="109"/>
      <c r="V458" s="109"/>
      <c r="W458" s="109"/>
      <c r="X458" s="109"/>
      <c r="Y458" s="109"/>
      <c r="Z458" s="109"/>
    </row>
    <row r="459" spans="1:26" ht="13.5" customHeight="1">
      <c r="A459" s="109"/>
      <c r="B459" s="109"/>
      <c r="C459" s="109"/>
      <c r="D459" s="109"/>
      <c r="E459" s="109"/>
      <c r="F459" s="109"/>
      <c r="G459" s="161"/>
      <c r="H459" s="109"/>
      <c r="I459" s="109"/>
      <c r="J459" s="109"/>
      <c r="K459" s="109"/>
      <c r="L459" s="109"/>
      <c r="M459" s="109"/>
      <c r="N459" s="109"/>
      <c r="O459" s="109"/>
      <c r="P459" s="109"/>
      <c r="Q459" s="109"/>
      <c r="R459" s="109"/>
      <c r="S459" s="109"/>
      <c r="T459" s="109"/>
      <c r="U459" s="109"/>
      <c r="V459" s="109"/>
      <c r="W459" s="109"/>
      <c r="X459" s="109"/>
      <c r="Y459" s="109"/>
      <c r="Z459" s="109"/>
    </row>
    <row r="460" spans="1:26" ht="13.5" customHeight="1">
      <c r="A460" s="109"/>
      <c r="B460" s="109"/>
      <c r="C460" s="109"/>
      <c r="D460" s="109"/>
      <c r="E460" s="109"/>
      <c r="F460" s="109"/>
      <c r="G460" s="161"/>
      <c r="H460" s="109"/>
      <c r="I460" s="109"/>
      <c r="J460" s="109"/>
      <c r="K460" s="109"/>
      <c r="L460" s="109"/>
      <c r="M460" s="109"/>
      <c r="N460" s="109"/>
      <c r="O460" s="109"/>
      <c r="P460" s="109"/>
      <c r="Q460" s="109"/>
      <c r="R460" s="109"/>
      <c r="S460" s="109"/>
      <c r="T460" s="109"/>
      <c r="U460" s="109"/>
      <c r="V460" s="109"/>
      <c r="W460" s="109"/>
      <c r="X460" s="109"/>
      <c r="Y460" s="109"/>
      <c r="Z460" s="109"/>
    </row>
    <row r="461" spans="1:26" ht="13.5" customHeight="1">
      <c r="A461" s="109"/>
      <c r="B461" s="109"/>
      <c r="C461" s="109"/>
      <c r="D461" s="109"/>
      <c r="E461" s="109"/>
      <c r="F461" s="109"/>
      <c r="G461" s="161"/>
      <c r="H461" s="109"/>
      <c r="I461" s="109"/>
      <c r="J461" s="109"/>
      <c r="K461" s="109"/>
      <c r="L461" s="109"/>
      <c r="M461" s="109"/>
      <c r="N461" s="109"/>
      <c r="O461" s="109"/>
      <c r="P461" s="109"/>
      <c r="Q461" s="109"/>
      <c r="R461" s="109"/>
      <c r="S461" s="109"/>
      <c r="T461" s="109"/>
      <c r="U461" s="109"/>
      <c r="V461" s="109"/>
      <c r="W461" s="109"/>
      <c r="X461" s="109"/>
      <c r="Y461" s="109"/>
      <c r="Z461" s="109"/>
    </row>
    <row r="462" spans="1:26" ht="13.5" customHeight="1">
      <c r="A462" s="109"/>
      <c r="B462" s="109"/>
      <c r="C462" s="109"/>
      <c r="D462" s="109"/>
      <c r="E462" s="109"/>
      <c r="F462" s="109"/>
      <c r="G462" s="161"/>
      <c r="H462" s="109"/>
      <c r="I462" s="109"/>
      <c r="J462" s="109"/>
      <c r="K462" s="109"/>
      <c r="L462" s="109"/>
      <c r="M462" s="109"/>
      <c r="N462" s="109"/>
      <c r="O462" s="109"/>
      <c r="P462" s="109"/>
      <c r="Q462" s="109"/>
      <c r="R462" s="109"/>
      <c r="S462" s="109"/>
      <c r="T462" s="109"/>
      <c r="U462" s="109"/>
      <c r="V462" s="109"/>
      <c r="W462" s="109"/>
      <c r="X462" s="109"/>
      <c r="Y462" s="109"/>
      <c r="Z462" s="109"/>
    </row>
    <row r="463" spans="1:26" ht="13.5" customHeight="1">
      <c r="A463" s="109"/>
      <c r="B463" s="109"/>
      <c r="C463" s="109"/>
      <c r="D463" s="109"/>
      <c r="E463" s="109"/>
      <c r="F463" s="109"/>
      <c r="G463" s="161"/>
      <c r="H463" s="109"/>
      <c r="I463" s="109"/>
      <c r="J463" s="109"/>
      <c r="K463" s="109"/>
      <c r="L463" s="109"/>
      <c r="M463" s="109"/>
      <c r="N463" s="109"/>
      <c r="O463" s="109"/>
      <c r="P463" s="109"/>
      <c r="Q463" s="109"/>
      <c r="R463" s="109"/>
      <c r="S463" s="109"/>
      <c r="T463" s="109"/>
      <c r="U463" s="109"/>
      <c r="V463" s="109"/>
      <c r="W463" s="109"/>
      <c r="X463" s="109"/>
      <c r="Y463" s="109"/>
      <c r="Z463" s="109"/>
    </row>
    <row r="464" spans="1:26" ht="13.5" customHeight="1">
      <c r="A464" s="109"/>
      <c r="B464" s="109"/>
      <c r="C464" s="109"/>
      <c r="D464" s="109"/>
      <c r="E464" s="109"/>
      <c r="F464" s="109"/>
      <c r="G464" s="161"/>
      <c r="H464" s="109"/>
      <c r="I464" s="109"/>
      <c r="J464" s="109"/>
      <c r="K464" s="109"/>
      <c r="L464" s="109"/>
      <c r="M464" s="109"/>
      <c r="N464" s="109"/>
      <c r="O464" s="109"/>
      <c r="P464" s="109"/>
      <c r="Q464" s="109"/>
      <c r="R464" s="109"/>
      <c r="S464" s="109"/>
      <c r="T464" s="109"/>
      <c r="U464" s="109"/>
      <c r="V464" s="109"/>
      <c r="W464" s="109"/>
      <c r="X464" s="109"/>
      <c r="Y464" s="109"/>
      <c r="Z464" s="109"/>
    </row>
    <row r="465" spans="1:26" ht="13.5" customHeight="1">
      <c r="A465" s="109"/>
      <c r="B465" s="109"/>
      <c r="C465" s="109"/>
      <c r="D465" s="109"/>
      <c r="E465" s="109"/>
      <c r="F465" s="109"/>
      <c r="G465" s="161"/>
      <c r="H465" s="109"/>
      <c r="I465" s="109"/>
      <c r="J465" s="109"/>
      <c r="K465" s="109"/>
      <c r="L465" s="109"/>
      <c r="M465" s="109"/>
      <c r="N465" s="109"/>
      <c r="O465" s="109"/>
      <c r="P465" s="109"/>
      <c r="Q465" s="109"/>
      <c r="R465" s="109"/>
      <c r="S465" s="109"/>
      <c r="T465" s="109"/>
      <c r="U465" s="109"/>
      <c r="V465" s="109"/>
      <c r="W465" s="109"/>
      <c r="X465" s="109"/>
      <c r="Y465" s="109"/>
      <c r="Z465" s="109"/>
    </row>
    <row r="466" spans="1:26" ht="13.5" customHeight="1">
      <c r="A466" s="109"/>
      <c r="B466" s="109"/>
      <c r="C466" s="109"/>
      <c r="D466" s="109"/>
      <c r="E466" s="109"/>
      <c r="F466" s="109"/>
      <c r="G466" s="161"/>
      <c r="H466" s="109"/>
      <c r="I466" s="109"/>
      <c r="J466" s="109"/>
      <c r="K466" s="109"/>
      <c r="L466" s="109"/>
      <c r="M466" s="109"/>
      <c r="N466" s="109"/>
      <c r="O466" s="109"/>
      <c r="P466" s="109"/>
      <c r="Q466" s="109"/>
      <c r="R466" s="109"/>
      <c r="S466" s="109"/>
      <c r="T466" s="109"/>
      <c r="U466" s="109"/>
      <c r="V466" s="109"/>
      <c r="W466" s="109"/>
      <c r="X466" s="109"/>
      <c r="Y466" s="109"/>
      <c r="Z466" s="109"/>
    </row>
    <row r="467" spans="1:26" ht="13.5" customHeight="1">
      <c r="A467" s="109"/>
      <c r="B467" s="109"/>
      <c r="C467" s="109"/>
      <c r="D467" s="109"/>
      <c r="E467" s="109"/>
      <c r="F467" s="109"/>
      <c r="G467" s="161"/>
      <c r="H467" s="109"/>
      <c r="I467" s="109"/>
      <c r="J467" s="109"/>
      <c r="K467" s="109"/>
      <c r="L467" s="109"/>
      <c r="M467" s="109"/>
      <c r="N467" s="109"/>
      <c r="O467" s="109"/>
      <c r="P467" s="109"/>
      <c r="Q467" s="109"/>
      <c r="R467" s="109"/>
      <c r="S467" s="109"/>
      <c r="T467" s="109"/>
      <c r="U467" s="109"/>
      <c r="V467" s="109"/>
      <c r="W467" s="109"/>
      <c r="X467" s="109"/>
      <c r="Y467" s="109"/>
      <c r="Z467" s="109"/>
    </row>
    <row r="468" spans="1:26" ht="13.5" customHeight="1">
      <c r="A468" s="109"/>
      <c r="B468" s="109"/>
      <c r="C468" s="109"/>
      <c r="D468" s="109"/>
      <c r="E468" s="109"/>
      <c r="F468" s="109"/>
      <c r="G468" s="161"/>
      <c r="H468" s="109"/>
      <c r="I468" s="109"/>
      <c r="J468" s="109"/>
      <c r="K468" s="109"/>
      <c r="L468" s="109"/>
      <c r="M468" s="109"/>
      <c r="N468" s="109"/>
      <c r="O468" s="109"/>
      <c r="P468" s="109"/>
      <c r="Q468" s="109"/>
      <c r="R468" s="109"/>
      <c r="S468" s="109"/>
      <c r="T468" s="109"/>
      <c r="U468" s="109"/>
      <c r="V468" s="109"/>
      <c r="W468" s="109"/>
      <c r="X468" s="109"/>
      <c r="Y468" s="109"/>
      <c r="Z468" s="109"/>
    </row>
    <row r="469" spans="1:26" ht="13.5" customHeight="1">
      <c r="A469" s="109"/>
      <c r="B469" s="109"/>
      <c r="C469" s="109"/>
      <c r="D469" s="109"/>
      <c r="E469" s="109"/>
      <c r="F469" s="109"/>
      <c r="G469" s="161"/>
      <c r="H469" s="109"/>
      <c r="I469" s="109"/>
      <c r="J469" s="109"/>
      <c r="K469" s="109"/>
      <c r="L469" s="109"/>
      <c r="M469" s="109"/>
      <c r="N469" s="109"/>
      <c r="O469" s="109"/>
      <c r="P469" s="109"/>
      <c r="Q469" s="109"/>
      <c r="R469" s="109"/>
      <c r="S469" s="109"/>
      <c r="T469" s="109"/>
      <c r="U469" s="109"/>
      <c r="V469" s="109"/>
      <c r="W469" s="109"/>
      <c r="X469" s="109"/>
      <c r="Y469" s="109"/>
      <c r="Z469" s="109"/>
    </row>
    <row r="470" spans="1:26" ht="13.5" customHeight="1">
      <c r="A470" s="109"/>
      <c r="B470" s="109"/>
      <c r="C470" s="109"/>
      <c r="D470" s="109"/>
      <c r="E470" s="109"/>
      <c r="F470" s="109"/>
      <c r="G470" s="161"/>
      <c r="H470" s="109"/>
      <c r="I470" s="109"/>
      <c r="J470" s="109"/>
      <c r="K470" s="109"/>
      <c r="L470" s="109"/>
      <c r="M470" s="109"/>
      <c r="N470" s="109"/>
      <c r="O470" s="109"/>
      <c r="P470" s="109"/>
      <c r="Q470" s="109"/>
      <c r="R470" s="109"/>
      <c r="S470" s="109"/>
      <c r="T470" s="109"/>
      <c r="U470" s="109"/>
      <c r="V470" s="109"/>
      <c r="W470" s="109"/>
      <c r="X470" s="109"/>
      <c r="Y470" s="109"/>
      <c r="Z470" s="109"/>
    </row>
    <row r="471" spans="1:26" ht="13.5" customHeight="1">
      <c r="A471" s="109"/>
      <c r="B471" s="109"/>
      <c r="C471" s="109"/>
      <c r="D471" s="109"/>
      <c r="E471" s="109"/>
      <c r="F471" s="109"/>
      <c r="G471" s="161"/>
      <c r="H471" s="109"/>
      <c r="I471" s="109"/>
      <c r="J471" s="109"/>
      <c r="K471" s="109"/>
      <c r="L471" s="109"/>
      <c r="M471" s="109"/>
      <c r="N471" s="109"/>
      <c r="O471" s="109"/>
      <c r="P471" s="109"/>
      <c r="Q471" s="109"/>
      <c r="R471" s="109"/>
      <c r="S471" s="109"/>
      <c r="T471" s="109"/>
      <c r="U471" s="109"/>
      <c r="V471" s="109"/>
      <c r="W471" s="109"/>
      <c r="X471" s="109"/>
      <c r="Y471" s="109"/>
      <c r="Z471" s="109"/>
    </row>
    <row r="472" spans="1:26" ht="13.5" customHeight="1">
      <c r="A472" s="109"/>
      <c r="B472" s="109"/>
      <c r="C472" s="109"/>
      <c r="D472" s="109"/>
      <c r="E472" s="109"/>
      <c r="F472" s="109"/>
      <c r="G472" s="161"/>
      <c r="H472" s="109"/>
      <c r="I472" s="109"/>
      <c r="J472" s="109"/>
      <c r="K472" s="109"/>
      <c r="L472" s="109"/>
      <c r="M472" s="109"/>
      <c r="N472" s="109"/>
      <c r="O472" s="109"/>
      <c r="P472" s="109"/>
      <c r="Q472" s="109"/>
      <c r="R472" s="109"/>
      <c r="S472" s="109"/>
      <c r="T472" s="109"/>
      <c r="U472" s="109"/>
      <c r="V472" s="109"/>
      <c r="W472" s="109"/>
      <c r="X472" s="109"/>
      <c r="Y472" s="109"/>
      <c r="Z472" s="109"/>
    </row>
    <row r="473" spans="1:26" ht="13.5" customHeight="1">
      <c r="A473" s="109"/>
      <c r="B473" s="109"/>
      <c r="C473" s="109"/>
      <c r="D473" s="109"/>
      <c r="E473" s="109"/>
      <c r="F473" s="109"/>
      <c r="G473" s="161"/>
      <c r="H473" s="109"/>
      <c r="I473" s="109"/>
      <c r="J473" s="109"/>
      <c r="K473" s="109"/>
      <c r="L473" s="109"/>
      <c r="M473" s="109"/>
      <c r="N473" s="109"/>
      <c r="O473" s="109"/>
      <c r="P473" s="109"/>
      <c r="Q473" s="109"/>
      <c r="R473" s="109"/>
      <c r="S473" s="109"/>
      <c r="T473" s="109"/>
      <c r="U473" s="109"/>
      <c r="V473" s="109"/>
      <c r="W473" s="109"/>
      <c r="X473" s="109"/>
      <c r="Y473" s="109"/>
      <c r="Z473" s="109"/>
    </row>
    <row r="474" spans="1:26" ht="13.5" customHeight="1">
      <c r="A474" s="109"/>
      <c r="B474" s="109"/>
      <c r="C474" s="109"/>
      <c r="D474" s="109"/>
      <c r="E474" s="109"/>
      <c r="F474" s="109"/>
      <c r="G474" s="161"/>
      <c r="H474" s="109"/>
      <c r="I474" s="109"/>
      <c r="J474" s="109"/>
      <c r="K474" s="109"/>
      <c r="L474" s="109"/>
      <c r="M474" s="109"/>
      <c r="N474" s="109"/>
      <c r="O474" s="109"/>
      <c r="P474" s="109"/>
      <c r="Q474" s="109"/>
      <c r="R474" s="109"/>
      <c r="S474" s="109"/>
      <c r="T474" s="109"/>
      <c r="U474" s="109"/>
      <c r="V474" s="109"/>
      <c r="W474" s="109"/>
      <c r="X474" s="109"/>
      <c r="Y474" s="109"/>
      <c r="Z474" s="109"/>
    </row>
    <row r="475" spans="1:26" ht="13.5" customHeight="1">
      <c r="A475" s="109"/>
      <c r="B475" s="109"/>
      <c r="C475" s="109"/>
      <c r="D475" s="109"/>
      <c r="E475" s="109"/>
      <c r="F475" s="109"/>
      <c r="G475" s="161"/>
      <c r="H475" s="109"/>
      <c r="I475" s="109"/>
      <c r="J475" s="109"/>
      <c r="K475" s="109"/>
      <c r="L475" s="109"/>
      <c r="M475" s="109"/>
      <c r="N475" s="109"/>
      <c r="O475" s="109"/>
      <c r="P475" s="109"/>
      <c r="Q475" s="109"/>
      <c r="R475" s="109"/>
      <c r="S475" s="109"/>
      <c r="T475" s="109"/>
      <c r="U475" s="109"/>
      <c r="V475" s="109"/>
      <c r="W475" s="109"/>
      <c r="X475" s="109"/>
      <c r="Y475" s="109"/>
      <c r="Z475" s="109"/>
    </row>
    <row r="476" spans="1:26" ht="13.5" customHeight="1">
      <c r="A476" s="109"/>
      <c r="B476" s="109"/>
      <c r="C476" s="109"/>
      <c r="D476" s="109"/>
      <c r="E476" s="109"/>
      <c r="F476" s="109"/>
      <c r="G476" s="161"/>
      <c r="H476" s="109"/>
      <c r="I476" s="109"/>
      <c r="J476" s="109"/>
      <c r="K476" s="109"/>
      <c r="L476" s="109"/>
      <c r="M476" s="109"/>
      <c r="N476" s="109"/>
      <c r="O476" s="109"/>
      <c r="P476" s="109"/>
      <c r="Q476" s="109"/>
      <c r="R476" s="109"/>
      <c r="S476" s="109"/>
      <c r="T476" s="109"/>
      <c r="U476" s="109"/>
      <c r="V476" s="109"/>
      <c r="W476" s="109"/>
      <c r="X476" s="109"/>
      <c r="Y476" s="109"/>
      <c r="Z476" s="109"/>
    </row>
    <row r="477" spans="1:26" ht="13.5" customHeight="1">
      <c r="A477" s="109"/>
      <c r="B477" s="109"/>
      <c r="C477" s="109"/>
      <c r="D477" s="109"/>
      <c r="E477" s="109"/>
      <c r="F477" s="109"/>
      <c r="G477" s="161"/>
      <c r="H477" s="109"/>
      <c r="I477" s="109"/>
      <c r="J477" s="109"/>
      <c r="K477" s="109"/>
      <c r="L477" s="109"/>
      <c r="M477" s="109"/>
      <c r="N477" s="109"/>
      <c r="O477" s="109"/>
      <c r="P477" s="109"/>
      <c r="Q477" s="109"/>
      <c r="R477" s="109"/>
      <c r="S477" s="109"/>
      <c r="T477" s="109"/>
      <c r="U477" s="109"/>
      <c r="V477" s="109"/>
      <c r="W477" s="109"/>
      <c r="X477" s="109"/>
      <c r="Y477" s="109"/>
      <c r="Z477" s="109"/>
    </row>
    <row r="478" spans="1:26" ht="13.5" customHeight="1">
      <c r="A478" s="109"/>
      <c r="B478" s="109"/>
      <c r="C478" s="109"/>
      <c r="D478" s="109"/>
      <c r="E478" s="109"/>
      <c r="F478" s="109"/>
      <c r="G478" s="161"/>
      <c r="H478" s="109"/>
      <c r="I478" s="109"/>
      <c r="J478" s="109"/>
      <c r="K478" s="109"/>
      <c r="L478" s="109"/>
      <c r="M478" s="109"/>
      <c r="N478" s="109"/>
      <c r="O478" s="109"/>
      <c r="P478" s="109"/>
      <c r="Q478" s="109"/>
      <c r="R478" s="109"/>
      <c r="S478" s="109"/>
      <c r="T478" s="109"/>
      <c r="U478" s="109"/>
      <c r="V478" s="109"/>
      <c r="W478" s="109"/>
      <c r="X478" s="109"/>
      <c r="Y478" s="109"/>
      <c r="Z478" s="109"/>
    </row>
    <row r="479" spans="1:26" ht="13.5" customHeight="1">
      <c r="A479" s="109"/>
      <c r="B479" s="109"/>
      <c r="C479" s="109"/>
      <c r="D479" s="109"/>
      <c r="E479" s="109"/>
      <c r="F479" s="109"/>
      <c r="G479" s="161"/>
      <c r="H479" s="109"/>
      <c r="I479" s="109"/>
      <c r="J479" s="109"/>
      <c r="K479" s="109"/>
      <c r="L479" s="109"/>
      <c r="M479" s="109"/>
      <c r="N479" s="109"/>
      <c r="O479" s="109"/>
      <c r="P479" s="109"/>
      <c r="Q479" s="109"/>
      <c r="R479" s="109"/>
      <c r="S479" s="109"/>
      <c r="T479" s="109"/>
      <c r="U479" s="109"/>
      <c r="V479" s="109"/>
      <c r="W479" s="109"/>
      <c r="X479" s="109"/>
      <c r="Y479" s="109"/>
      <c r="Z479" s="109"/>
    </row>
    <row r="480" spans="1:26" ht="13.5" customHeight="1">
      <c r="A480" s="109"/>
      <c r="B480" s="109"/>
      <c r="C480" s="109"/>
      <c r="D480" s="109"/>
      <c r="E480" s="109"/>
      <c r="F480" s="109"/>
      <c r="G480" s="161"/>
      <c r="H480" s="109"/>
      <c r="I480" s="109"/>
      <c r="J480" s="109"/>
      <c r="K480" s="109"/>
      <c r="L480" s="109"/>
      <c r="M480" s="109"/>
      <c r="N480" s="109"/>
      <c r="O480" s="109"/>
      <c r="P480" s="109"/>
      <c r="Q480" s="109"/>
      <c r="R480" s="109"/>
      <c r="S480" s="109"/>
      <c r="T480" s="109"/>
      <c r="U480" s="109"/>
      <c r="V480" s="109"/>
      <c r="W480" s="109"/>
      <c r="X480" s="109"/>
      <c r="Y480" s="109"/>
      <c r="Z480" s="109"/>
    </row>
    <row r="481" spans="1:26" ht="13.5" customHeight="1">
      <c r="A481" s="109"/>
      <c r="B481" s="109"/>
      <c r="C481" s="109"/>
      <c r="D481" s="109"/>
      <c r="E481" s="109"/>
      <c r="F481" s="109"/>
      <c r="G481" s="161"/>
      <c r="H481" s="109"/>
      <c r="I481" s="109"/>
      <c r="J481" s="109"/>
      <c r="K481" s="109"/>
      <c r="L481" s="109"/>
      <c r="M481" s="109"/>
      <c r="N481" s="109"/>
      <c r="O481" s="109"/>
      <c r="P481" s="109"/>
      <c r="Q481" s="109"/>
      <c r="R481" s="109"/>
      <c r="S481" s="109"/>
      <c r="T481" s="109"/>
      <c r="U481" s="109"/>
      <c r="V481" s="109"/>
      <c r="W481" s="109"/>
      <c r="X481" s="109"/>
      <c r="Y481" s="109"/>
      <c r="Z481" s="109"/>
    </row>
    <row r="482" spans="1:26" ht="13.5" customHeight="1">
      <c r="A482" s="109"/>
      <c r="B482" s="109"/>
      <c r="C482" s="109"/>
      <c r="D482" s="109"/>
      <c r="E482" s="109"/>
      <c r="F482" s="109"/>
      <c r="G482" s="161"/>
      <c r="H482" s="109"/>
      <c r="I482" s="109"/>
      <c r="J482" s="109"/>
      <c r="K482" s="109"/>
      <c r="L482" s="109"/>
      <c r="M482" s="109"/>
      <c r="N482" s="109"/>
      <c r="O482" s="109"/>
      <c r="P482" s="109"/>
      <c r="Q482" s="109"/>
      <c r="R482" s="109"/>
      <c r="S482" s="109"/>
      <c r="T482" s="109"/>
      <c r="U482" s="109"/>
      <c r="V482" s="109"/>
      <c r="W482" s="109"/>
      <c r="X482" s="109"/>
      <c r="Y482" s="109"/>
      <c r="Z482" s="109"/>
    </row>
    <row r="483" spans="1:26" ht="13.5" customHeight="1">
      <c r="A483" s="109"/>
      <c r="B483" s="109"/>
      <c r="C483" s="109"/>
      <c r="D483" s="109"/>
      <c r="E483" s="109"/>
      <c r="F483" s="109"/>
      <c r="G483" s="161"/>
      <c r="H483" s="109"/>
      <c r="I483" s="109"/>
      <c r="J483" s="109"/>
      <c r="K483" s="109"/>
      <c r="L483" s="109"/>
      <c r="M483" s="109"/>
      <c r="N483" s="109"/>
      <c r="O483" s="109"/>
      <c r="P483" s="109"/>
      <c r="Q483" s="109"/>
      <c r="R483" s="109"/>
      <c r="S483" s="109"/>
      <c r="T483" s="109"/>
      <c r="U483" s="109"/>
      <c r="V483" s="109"/>
      <c r="W483" s="109"/>
      <c r="X483" s="109"/>
      <c r="Y483" s="109"/>
      <c r="Z483" s="109"/>
    </row>
    <row r="484" spans="1:26" ht="13.5" customHeight="1">
      <c r="A484" s="109"/>
      <c r="B484" s="109"/>
      <c r="C484" s="109"/>
      <c r="D484" s="109"/>
      <c r="E484" s="109"/>
      <c r="F484" s="109"/>
      <c r="G484" s="161"/>
      <c r="H484" s="109"/>
      <c r="I484" s="109"/>
      <c r="J484" s="109"/>
      <c r="K484" s="109"/>
      <c r="L484" s="109"/>
      <c r="M484" s="109"/>
      <c r="N484" s="109"/>
      <c r="O484" s="109"/>
      <c r="P484" s="109"/>
      <c r="Q484" s="109"/>
      <c r="R484" s="109"/>
      <c r="S484" s="109"/>
      <c r="T484" s="109"/>
      <c r="U484" s="109"/>
      <c r="V484" s="109"/>
      <c r="W484" s="109"/>
      <c r="X484" s="109"/>
      <c r="Y484" s="109"/>
      <c r="Z484" s="109"/>
    </row>
    <row r="485" spans="1:26" ht="13.5" customHeight="1">
      <c r="A485" s="109"/>
      <c r="B485" s="109"/>
      <c r="C485" s="109"/>
      <c r="D485" s="109"/>
      <c r="E485" s="109"/>
      <c r="F485" s="109"/>
      <c r="G485" s="161"/>
      <c r="H485" s="109"/>
      <c r="I485" s="109"/>
      <c r="J485" s="109"/>
      <c r="K485" s="109"/>
      <c r="L485" s="109"/>
      <c r="M485" s="109"/>
      <c r="N485" s="109"/>
      <c r="O485" s="109"/>
      <c r="P485" s="109"/>
      <c r="Q485" s="109"/>
      <c r="R485" s="109"/>
      <c r="S485" s="109"/>
      <c r="T485" s="109"/>
      <c r="U485" s="109"/>
      <c r="V485" s="109"/>
      <c r="W485" s="109"/>
      <c r="X485" s="109"/>
      <c r="Y485" s="109"/>
      <c r="Z485" s="109"/>
    </row>
    <row r="486" spans="1:26" ht="13.5" customHeight="1">
      <c r="A486" s="109"/>
      <c r="B486" s="109"/>
      <c r="C486" s="109"/>
      <c r="D486" s="109"/>
      <c r="E486" s="109"/>
      <c r="F486" s="109"/>
      <c r="G486" s="161"/>
      <c r="H486" s="109"/>
      <c r="I486" s="109"/>
      <c r="J486" s="109"/>
      <c r="K486" s="109"/>
      <c r="L486" s="109"/>
      <c r="M486" s="109"/>
      <c r="N486" s="109"/>
      <c r="O486" s="109"/>
      <c r="P486" s="109"/>
      <c r="Q486" s="109"/>
      <c r="R486" s="109"/>
      <c r="S486" s="109"/>
      <c r="T486" s="109"/>
      <c r="U486" s="109"/>
      <c r="V486" s="109"/>
      <c r="W486" s="109"/>
      <c r="X486" s="109"/>
      <c r="Y486" s="109"/>
      <c r="Z486" s="109"/>
    </row>
    <row r="487" spans="1:26" ht="13.5" customHeight="1">
      <c r="A487" s="109"/>
      <c r="B487" s="109"/>
      <c r="C487" s="109"/>
      <c r="D487" s="109"/>
      <c r="E487" s="109"/>
      <c r="F487" s="109"/>
      <c r="G487" s="161"/>
      <c r="H487" s="109"/>
      <c r="I487" s="109"/>
      <c r="J487" s="109"/>
      <c r="K487" s="109"/>
      <c r="L487" s="109"/>
      <c r="M487" s="109"/>
      <c r="N487" s="109"/>
      <c r="O487" s="109"/>
      <c r="P487" s="109"/>
      <c r="Q487" s="109"/>
      <c r="R487" s="109"/>
      <c r="S487" s="109"/>
      <c r="T487" s="109"/>
      <c r="U487" s="109"/>
      <c r="V487" s="109"/>
      <c r="W487" s="109"/>
      <c r="X487" s="109"/>
      <c r="Y487" s="109"/>
      <c r="Z487" s="109"/>
    </row>
    <row r="488" spans="1:26" ht="13.5" customHeight="1">
      <c r="A488" s="109"/>
      <c r="B488" s="109"/>
      <c r="C488" s="109"/>
      <c r="D488" s="109"/>
      <c r="E488" s="109"/>
      <c r="F488" s="109"/>
      <c r="G488" s="161"/>
      <c r="H488" s="109"/>
      <c r="I488" s="109"/>
      <c r="J488" s="109"/>
      <c r="K488" s="109"/>
      <c r="L488" s="109"/>
      <c r="M488" s="109"/>
      <c r="N488" s="109"/>
      <c r="O488" s="109"/>
      <c r="P488" s="109"/>
      <c r="Q488" s="109"/>
      <c r="R488" s="109"/>
      <c r="S488" s="109"/>
      <c r="T488" s="109"/>
      <c r="U488" s="109"/>
      <c r="V488" s="109"/>
      <c r="W488" s="109"/>
      <c r="X488" s="109"/>
      <c r="Y488" s="109"/>
      <c r="Z488" s="109"/>
    </row>
    <row r="489" spans="1:26" ht="13.5" customHeight="1">
      <c r="A489" s="109"/>
      <c r="B489" s="109"/>
      <c r="C489" s="109"/>
      <c r="D489" s="109"/>
      <c r="E489" s="109"/>
      <c r="F489" s="109"/>
      <c r="G489" s="161"/>
      <c r="H489" s="109"/>
      <c r="I489" s="109"/>
      <c r="J489" s="109"/>
      <c r="K489" s="109"/>
      <c r="L489" s="109"/>
      <c r="M489" s="109"/>
      <c r="N489" s="109"/>
      <c r="O489" s="109"/>
      <c r="P489" s="109"/>
      <c r="Q489" s="109"/>
      <c r="R489" s="109"/>
      <c r="S489" s="109"/>
      <c r="T489" s="109"/>
      <c r="U489" s="109"/>
      <c r="V489" s="109"/>
      <c r="W489" s="109"/>
      <c r="X489" s="109"/>
      <c r="Y489" s="109"/>
      <c r="Z489" s="109"/>
    </row>
    <row r="490" spans="1:26" ht="13.5" customHeight="1">
      <c r="A490" s="109"/>
      <c r="B490" s="109"/>
      <c r="C490" s="109"/>
      <c r="D490" s="109"/>
      <c r="E490" s="109"/>
      <c r="F490" s="109"/>
      <c r="G490" s="161"/>
      <c r="H490" s="109"/>
      <c r="I490" s="109"/>
      <c r="J490" s="109"/>
      <c r="K490" s="109"/>
      <c r="L490" s="109"/>
      <c r="M490" s="109"/>
      <c r="N490" s="109"/>
      <c r="O490" s="109"/>
      <c r="P490" s="109"/>
      <c r="Q490" s="109"/>
      <c r="R490" s="109"/>
      <c r="S490" s="109"/>
      <c r="T490" s="109"/>
      <c r="U490" s="109"/>
      <c r="V490" s="109"/>
      <c r="W490" s="109"/>
      <c r="X490" s="109"/>
      <c r="Y490" s="109"/>
      <c r="Z490" s="109"/>
    </row>
    <row r="491" spans="1:26" ht="13.5" customHeight="1">
      <c r="A491" s="109"/>
      <c r="B491" s="109"/>
      <c r="C491" s="109"/>
      <c r="D491" s="109"/>
      <c r="E491" s="109"/>
      <c r="F491" s="109"/>
      <c r="G491" s="161"/>
      <c r="H491" s="109"/>
      <c r="I491" s="109"/>
      <c r="J491" s="109"/>
      <c r="K491" s="109"/>
      <c r="L491" s="109"/>
      <c r="M491" s="109"/>
      <c r="N491" s="109"/>
      <c r="O491" s="109"/>
      <c r="P491" s="109"/>
      <c r="Q491" s="109"/>
      <c r="R491" s="109"/>
      <c r="S491" s="109"/>
      <c r="T491" s="109"/>
      <c r="U491" s="109"/>
      <c r="V491" s="109"/>
      <c r="W491" s="109"/>
      <c r="X491" s="109"/>
      <c r="Y491" s="109"/>
      <c r="Z491" s="109"/>
    </row>
    <row r="492" spans="1:26" ht="13.5" customHeight="1">
      <c r="A492" s="109"/>
      <c r="B492" s="109"/>
      <c r="C492" s="109"/>
      <c r="D492" s="109"/>
      <c r="E492" s="109"/>
      <c r="F492" s="109"/>
      <c r="G492" s="161"/>
      <c r="H492" s="109"/>
      <c r="I492" s="109"/>
      <c r="J492" s="109"/>
      <c r="K492" s="109"/>
      <c r="L492" s="109"/>
      <c r="M492" s="109"/>
      <c r="N492" s="109"/>
      <c r="O492" s="109"/>
      <c r="P492" s="109"/>
      <c r="Q492" s="109"/>
      <c r="R492" s="109"/>
      <c r="S492" s="109"/>
      <c r="T492" s="109"/>
      <c r="U492" s="109"/>
      <c r="V492" s="109"/>
      <c r="W492" s="109"/>
      <c r="X492" s="109"/>
      <c r="Y492" s="109"/>
      <c r="Z492" s="109"/>
    </row>
    <row r="493" spans="1:26" ht="13.5" customHeight="1">
      <c r="A493" s="109"/>
      <c r="B493" s="109"/>
      <c r="C493" s="109"/>
      <c r="D493" s="109"/>
      <c r="E493" s="109"/>
      <c r="F493" s="109"/>
      <c r="G493" s="161"/>
      <c r="H493" s="109"/>
      <c r="I493" s="109"/>
      <c r="J493" s="109"/>
      <c r="K493" s="109"/>
      <c r="L493" s="109"/>
      <c r="M493" s="109"/>
      <c r="N493" s="109"/>
      <c r="O493" s="109"/>
      <c r="P493" s="109"/>
      <c r="Q493" s="109"/>
      <c r="R493" s="109"/>
      <c r="S493" s="109"/>
      <c r="T493" s="109"/>
      <c r="U493" s="109"/>
      <c r="V493" s="109"/>
      <c r="W493" s="109"/>
      <c r="X493" s="109"/>
      <c r="Y493" s="109"/>
      <c r="Z493" s="109"/>
    </row>
    <row r="494" spans="1:26" ht="13.5" customHeight="1">
      <c r="A494" s="109"/>
      <c r="B494" s="109"/>
      <c r="C494" s="109"/>
      <c r="D494" s="109"/>
      <c r="E494" s="109"/>
      <c r="F494" s="109"/>
      <c r="G494" s="161"/>
      <c r="H494" s="109"/>
      <c r="I494" s="109"/>
      <c r="J494" s="109"/>
      <c r="K494" s="109"/>
      <c r="L494" s="109"/>
      <c r="M494" s="109"/>
      <c r="N494" s="109"/>
      <c r="O494" s="109"/>
      <c r="P494" s="109"/>
      <c r="Q494" s="109"/>
      <c r="R494" s="109"/>
      <c r="S494" s="109"/>
      <c r="T494" s="109"/>
      <c r="U494" s="109"/>
      <c r="V494" s="109"/>
      <c r="W494" s="109"/>
      <c r="X494" s="109"/>
      <c r="Y494" s="109"/>
      <c r="Z494" s="109"/>
    </row>
    <row r="495" spans="1:26" ht="13.5" customHeight="1">
      <c r="A495" s="109"/>
      <c r="B495" s="109"/>
      <c r="C495" s="109"/>
      <c r="D495" s="109"/>
      <c r="E495" s="109"/>
      <c r="F495" s="109"/>
      <c r="G495" s="161"/>
      <c r="H495" s="109"/>
      <c r="I495" s="109"/>
      <c r="J495" s="109"/>
      <c r="K495" s="109"/>
      <c r="L495" s="109"/>
      <c r="M495" s="109"/>
      <c r="N495" s="109"/>
      <c r="O495" s="109"/>
      <c r="P495" s="109"/>
      <c r="Q495" s="109"/>
      <c r="R495" s="109"/>
      <c r="S495" s="109"/>
      <c r="T495" s="109"/>
      <c r="U495" s="109"/>
      <c r="V495" s="109"/>
      <c r="W495" s="109"/>
      <c r="X495" s="109"/>
      <c r="Y495" s="109"/>
      <c r="Z495" s="109"/>
    </row>
    <row r="496" spans="1:26" ht="13.5" customHeight="1">
      <c r="A496" s="109"/>
      <c r="B496" s="109"/>
      <c r="C496" s="109"/>
      <c r="D496" s="109"/>
      <c r="E496" s="109"/>
      <c r="F496" s="109"/>
      <c r="G496" s="161"/>
      <c r="H496" s="109"/>
      <c r="I496" s="109"/>
      <c r="J496" s="109"/>
      <c r="K496" s="109"/>
      <c r="L496" s="109"/>
      <c r="M496" s="109"/>
      <c r="N496" s="109"/>
      <c r="O496" s="109"/>
      <c r="P496" s="109"/>
      <c r="Q496" s="109"/>
      <c r="R496" s="109"/>
      <c r="S496" s="109"/>
      <c r="T496" s="109"/>
      <c r="U496" s="109"/>
      <c r="V496" s="109"/>
      <c r="W496" s="109"/>
      <c r="X496" s="109"/>
      <c r="Y496" s="109"/>
      <c r="Z496" s="109"/>
    </row>
    <row r="497" spans="1:26" ht="13.5" customHeight="1">
      <c r="A497" s="109"/>
      <c r="B497" s="109"/>
      <c r="C497" s="109"/>
      <c r="D497" s="109"/>
      <c r="E497" s="109"/>
      <c r="F497" s="109"/>
      <c r="G497" s="161"/>
      <c r="H497" s="109"/>
      <c r="I497" s="109"/>
      <c r="J497" s="109"/>
      <c r="K497" s="109"/>
      <c r="L497" s="109"/>
      <c r="M497" s="109"/>
      <c r="N497" s="109"/>
      <c r="O497" s="109"/>
      <c r="P497" s="109"/>
      <c r="Q497" s="109"/>
      <c r="R497" s="109"/>
      <c r="S497" s="109"/>
      <c r="T497" s="109"/>
      <c r="U497" s="109"/>
      <c r="V497" s="109"/>
      <c r="W497" s="109"/>
      <c r="X497" s="109"/>
      <c r="Y497" s="109"/>
      <c r="Z497" s="109"/>
    </row>
    <row r="498" spans="1:26" ht="13.5" customHeight="1">
      <c r="A498" s="109"/>
      <c r="B498" s="109"/>
      <c r="C498" s="109"/>
      <c r="D498" s="109"/>
      <c r="E498" s="109"/>
      <c r="F498" s="109"/>
      <c r="G498" s="161"/>
      <c r="H498" s="109"/>
      <c r="I498" s="109"/>
      <c r="J498" s="109"/>
      <c r="K498" s="109"/>
      <c r="L498" s="109"/>
      <c r="M498" s="109"/>
      <c r="N498" s="109"/>
      <c r="O498" s="109"/>
      <c r="P498" s="109"/>
      <c r="Q498" s="109"/>
      <c r="R498" s="109"/>
      <c r="S498" s="109"/>
      <c r="T498" s="109"/>
      <c r="U498" s="109"/>
      <c r="V498" s="109"/>
      <c r="W498" s="109"/>
      <c r="X498" s="109"/>
      <c r="Y498" s="109"/>
      <c r="Z498" s="109"/>
    </row>
    <row r="499" spans="1:26" ht="13.5" customHeight="1">
      <c r="A499" s="109"/>
      <c r="B499" s="109"/>
      <c r="C499" s="109"/>
      <c r="D499" s="109"/>
      <c r="E499" s="109"/>
      <c r="F499" s="109"/>
      <c r="G499" s="161"/>
      <c r="H499" s="109"/>
      <c r="I499" s="109"/>
      <c r="J499" s="109"/>
      <c r="K499" s="109"/>
      <c r="L499" s="109"/>
      <c r="M499" s="109"/>
      <c r="N499" s="109"/>
      <c r="O499" s="109"/>
      <c r="P499" s="109"/>
      <c r="Q499" s="109"/>
      <c r="R499" s="109"/>
      <c r="S499" s="109"/>
      <c r="T499" s="109"/>
      <c r="U499" s="109"/>
      <c r="V499" s="109"/>
      <c r="W499" s="109"/>
      <c r="X499" s="109"/>
      <c r="Y499" s="109"/>
      <c r="Z499" s="109"/>
    </row>
    <row r="500" spans="1:26" ht="13.5" customHeight="1">
      <c r="A500" s="109"/>
      <c r="B500" s="109"/>
      <c r="C500" s="109"/>
      <c r="D500" s="109"/>
      <c r="E500" s="109"/>
      <c r="F500" s="109"/>
      <c r="G500" s="161"/>
      <c r="H500" s="109"/>
      <c r="I500" s="109"/>
      <c r="J500" s="109"/>
      <c r="K500" s="109"/>
      <c r="L500" s="109"/>
      <c r="M500" s="109"/>
      <c r="N500" s="109"/>
      <c r="O500" s="109"/>
      <c r="P500" s="109"/>
      <c r="Q500" s="109"/>
      <c r="R500" s="109"/>
      <c r="S500" s="109"/>
      <c r="T500" s="109"/>
      <c r="U500" s="109"/>
      <c r="V500" s="109"/>
      <c r="W500" s="109"/>
      <c r="X500" s="109"/>
      <c r="Y500" s="109"/>
      <c r="Z500" s="109"/>
    </row>
    <row r="501" spans="1:26" ht="13.5" customHeight="1">
      <c r="A501" s="109"/>
      <c r="B501" s="109"/>
      <c r="C501" s="109"/>
      <c r="D501" s="109"/>
      <c r="E501" s="109"/>
      <c r="F501" s="109"/>
      <c r="G501" s="161"/>
      <c r="H501" s="109"/>
      <c r="I501" s="109"/>
      <c r="J501" s="109"/>
      <c r="K501" s="109"/>
      <c r="L501" s="109"/>
      <c r="M501" s="109"/>
      <c r="N501" s="109"/>
      <c r="O501" s="109"/>
      <c r="P501" s="109"/>
      <c r="Q501" s="109"/>
      <c r="R501" s="109"/>
      <c r="S501" s="109"/>
      <c r="T501" s="109"/>
      <c r="U501" s="109"/>
      <c r="V501" s="109"/>
      <c r="W501" s="109"/>
      <c r="X501" s="109"/>
      <c r="Y501" s="109"/>
      <c r="Z501" s="109"/>
    </row>
    <row r="502" spans="1:26" ht="13.5" customHeight="1">
      <c r="A502" s="109"/>
      <c r="B502" s="109"/>
      <c r="C502" s="109"/>
      <c r="D502" s="109"/>
      <c r="E502" s="109"/>
      <c r="F502" s="109"/>
      <c r="G502" s="161"/>
      <c r="H502" s="109"/>
      <c r="I502" s="109"/>
      <c r="J502" s="109"/>
      <c r="K502" s="109"/>
      <c r="L502" s="109"/>
      <c r="M502" s="109"/>
      <c r="N502" s="109"/>
      <c r="O502" s="109"/>
      <c r="P502" s="109"/>
      <c r="Q502" s="109"/>
      <c r="R502" s="109"/>
      <c r="S502" s="109"/>
      <c r="T502" s="109"/>
      <c r="U502" s="109"/>
      <c r="V502" s="109"/>
      <c r="W502" s="109"/>
      <c r="X502" s="109"/>
      <c r="Y502" s="109"/>
      <c r="Z502" s="109"/>
    </row>
    <row r="503" spans="1:26" ht="13.5" customHeight="1">
      <c r="A503" s="109"/>
      <c r="B503" s="109"/>
      <c r="C503" s="109"/>
      <c r="D503" s="109"/>
      <c r="E503" s="109"/>
      <c r="F503" s="109"/>
      <c r="G503" s="161"/>
      <c r="H503" s="109"/>
      <c r="I503" s="109"/>
      <c r="J503" s="109"/>
      <c r="K503" s="109"/>
      <c r="L503" s="109"/>
      <c r="M503" s="109"/>
      <c r="N503" s="109"/>
      <c r="O503" s="109"/>
      <c r="P503" s="109"/>
      <c r="Q503" s="109"/>
      <c r="R503" s="109"/>
      <c r="S503" s="109"/>
      <c r="T503" s="109"/>
      <c r="U503" s="109"/>
      <c r="V503" s="109"/>
      <c r="W503" s="109"/>
      <c r="X503" s="109"/>
      <c r="Y503" s="109"/>
      <c r="Z503" s="109"/>
    </row>
    <row r="504" spans="1:26" ht="13.5" customHeight="1">
      <c r="A504" s="109"/>
      <c r="B504" s="109"/>
      <c r="C504" s="109"/>
      <c r="D504" s="109"/>
      <c r="E504" s="109"/>
      <c r="F504" s="109"/>
      <c r="G504" s="161"/>
      <c r="H504" s="109"/>
      <c r="I504" s="109"/>
      <c r="J504" s="109"/>
      <c r="K504" s="109"/>
      <c r="L504" s="109"/>
      <c r="M504" s="109"/>
      <c r="N504" s="109"/>
      <c r="O504" s="109"/>
      <c r="P504" s="109"/>
      <c r="Q504" s="109"/>
      <c r="R504" s="109"/>
      <c r="S504" s="109"/>
      <c r="T504" s="109"/>
      <c r="U504" s="109"/>
      <c r="V504" s="109"/>
      <c r="W504" s="109"/>
      <c r="X504" s="109"/>
      <c r="Y504" s="109"/>
      <c r="Z504" s="109"/>
    </row>
    <row r="505" spans="1:26" ht="13.5" customHeight="1">
      <c r="A505" s="109"/>
      <c r="B505" s="109"/>
      <c r="C505" s="109"/>
      <c r="D505" s="109"/>
      <c r="E505" s="109"/>
      <c r="F505" s="109"/>
      <c r="G505" s="161"/>
      <c r="H505" s="109"/>
      <c r="I505" s="109"/>
      <c r="J505" s="109"/>
      <c r="K505" s="109"/>
      <c r="L505" s="109"/>
      <c r="M505" s="109"/>
      <c r="N505" s="109"/>
      <c r="O505" s="109"/>
      <c r="P505" s="109"/>
      <c r="Q505" s="109"/>
      <c r="R505" s="109"/>
      <c r="S505" s="109"/>
      <c r="T505" s="109"/>
      <c r="U505" s="109"/>
      <c r="V505" s="109"/>
      <c r="W505" s="109"/>
      <c r="X505" s="109"/>
      <c r="Y505" s="109"/>
      <c r="Z505" s="109"/>
    </row>
    <row r="506" spans="1:26" ht="13.5" customHeight="1">
      <c r="A506" s="109"/>
      <c r="B506" s="109"/>
      <c r="C506" s="109"/>
      <c r="D506" s="109"/>
      <c r="E506" s="109"/>
      <c r="F506" s="109"/>
      <c r="G506" s="161"/>
      <c r="H506" s="109"/>
      <c r="I506" s="109"/>
      <c r="J506" s="109"/>
      <c r="K506" s="109"/>
      <c r="L506" s="109"/>
      <c r="M506" s="109"/>
      <c r="N506" s="109"/>
      <c r="O506" s="109"/>
      <c r="P506" s="109"/>
      <c r="Q506" s="109"/>
      <c r="R506" s="109"/>
      <c r="S506" s="109"/>
      <c r="T506" s="109"/>
      <c r="U506" s="109"/>
      <c r="V506" s="109"/>
      <c r="W506" s="109"/>
      <c r="X506" s="109"/>
      <c r="Y506" s="109"/>
      <c r="Z506" s="109"/>
    </row>
    <row r="507" spans="1:26" ht="13.5" customHeight="1">
      <c r="A507" s="109"/>
      <c r="B507" s="109"/>
      <c r="C507" s="109"/>
      <c r="D507" s="109"/>
      <c r="E507" s="109"/>
      <c r="F507" s="109"/>
      <c r="G507" s="161"/>
      <c r="H507" s="109"/>
      <c r="I507" s="109"/>
      <c r="J507" s="109"/>
      <c r="K507" s="109"/>
      <c r="L507" s="109"/>
      <c r="M507" s="109"/>
      <c r="N507" s="109"/>
      <c r="O507" s="109"/>
      <c r="P507" s="109"/>
      <c r="Q507" s="109"/>
      <c r="R507" s="109"/>
      <c r="S507" s="109"/>
      <c r="T507" s="109"/>
      <c r="U507" s="109"/>
      <c r="V507" s="109"/>
      <c r="W507" s="109"/>
      <c r="X507" s="109"/>
      <c r="Y507" s="109"/>
      <c r="Z507" s="109"/>
    </row>
    <row r="508" spans="1:26" ht="13.5" customHeight="1">
      <c r="A508" s="109"/>
      <c r="B508" s="109"/>
      <c r="C508" s="109"/>
      <c r="D508" s="109"/>
      <c r="E508" s="109"/>
      <c r="F508" s="109"/>
      <c r="G508" s="161"/>
      <c r="H508" s="109"/>
      <c r="I508" s="109"/>
      <c r="J508" s="109"/>
      <c r="K508" s="109"/>
      <c r="L508" s="109"/>
      <c r="M508" s="109"/>
      <c r="N508" s="109"/>
      <c r="O508" s="109"/>
      <c r="P508" s="109"/>
      <c r="Q508" s="109"/>
      <c r="R508" s="109"/>
      <c r="S508" s="109"/>
      <c r="T508" s="109"/>
      <c r="U508" s="109"/>
      <c r="V508" s="109"/>
      <c r="W508" s="109"/>
      <c r="X508" s="109"/>
      <c r="Y508" s="109"/>
      <c r="Z508" s="109"/>
    </row>
    <row r="509" spans="1:26" ht="13.5" customHeight="1">
      <c r="A509" s="109"/>
      <c r="B509" s="109"/>
      <c r="C509" s="109"/>
      <c r="D509" s="109"/>
      <c r="E509" s="109"/>
      <c r="F509" s="109"/>
      <c r="G509" s="161"/>
      <c r="H509" s="109"/>
      <c r="I509" s="109"/>
      <c r="J509" s="109"/>
      <c r="K509" s="109"/>
      <c r="L509" s="109"/>
      <c r="M509" s="109"/>
      <c r="N509" s="109"/>
      <c r="O509" s="109"/>
      <c r="P509" s="109"/>
      <c r="Q509" s="109"/>
      <c r="R509" s="109"/>
      <c r="S509" s="109"/>
      <c r="T509" s="109"/>
      <c r="U509" s="109"/>
      <c r="V509" s="109"/>
      <c r="W509" s="109"/>
      <c r="X509" s="109"/>
      <c r="Y509" s="109"/>
      <c r="Z509" s="109"/>
    </row>
    <row r="510" spans="1:26" ht="13.5" customHeight="1">
      <c r="A510" s="109"/>
      <c r="B510" s="109"/>
      <c r="C510" s="109"/>
      <c r="D510" s="109"/>
      <c r="E510" s="109"/>
      <c r="F510" s="109"/>
      <c r="G510" s="161"/>
      <c r="H510" s="109"/>
      <c r="I510" s="109"/>
      <c r="J510" s="109"/>
      <c r="K510" s="109"/>
      <c r="L510" s="109"/>
      <c r="M510" s="109"/>
      <c r="N510" s="109"/>
      <c r="O510" s="109"/>
      <c r="P510" s="109"/>
      <c r="Q510" s="109"/>
      <c r="R510" s="109"/>
      <c r="S510" s="109"/>
      <c r="T510" s="109"/>
      <c r="U510" s="109"/>
      <c r="V510" s="109"/>
      <c r="W510" s="109"/>
      <c r="X510" s="109"/>
      <c r="Y510" s="109"/>
      <c r="Z510" s="109"/>
    </row>
    <row r="511" spans="1:26" ht="13.5" customHeight="1">
      <c r="A511" s="109"/>
      <c r="B511" s="109"/>
      <c r="C511" s="109"/>
      <c r="D511" s="109"/>
      <c r="E511" s="109"/>
      <c r="F511" s="109"/>
      <c r="G511" s="161"/>
      <c r="H511" s="109"/>
      <c r="I511" s="109"/>
      <c r="J511" s="109"/>
      <c r="K511" s="109"/>
      <c r="L511" s="109"/>
      <c r="M511" s="109"/>
      <c r="N511" s="109"/>
      <c r="O511" s="109"/>
      <c r="P511" s="109"/>
      <c r="Q511" s="109"/>
      <c r="R511" s="109"/>
      <c r="S511" s="109"/>
      <c r="T511" s="109"/>
      <c r="U511" s="109"/>
      <c r="V511" s="109"/>
      <c r="W511" s="109"/>
      <c r="X511" s="109"/>
      <c r="Y511" s="109"/>
      <c r="Z511" s="109"/>
    </row>
    <row r="512" spans="1:26" ht="13.5" customHeight="1">
      <c r="A512" s="109"/>
      <c r="B512" s="109"/>
      <c r="C512" s="109"/>
      <c r="D512" s="109"/>
      <c r="E512" s="109"/>
      <c r="F512" s="109"/>
      <c r="G512" s="161"/>
      <c r="H512" s="109"/>
      <c r="I512" s="109"/>
      <c r="J512" s="109"/>
      <c r="K512" s="109"/>
      <c r="L512" s="109"/>
      <c r="M512" s="109"/>
      <c r="N512" s="109"/>
      <c r="O512" s="109"/>
      <c r="P512" s="109"/>
      <c r="Q512" s="109"/>
      <c r="R512" s="109"/>
      <c r="S512" s="109"/>
      <c r="T512" s="109"/>
      <c r="U512" s="109"/>
      <c r="V512" s="109"/>
      <c r="W512" s="109"/>
      <c r="X512" s="109"/>
      <c r="Y512" s="109"/>
      <c r="Z512" s="109"/>
    </row>
    <row r="513" spans="1:26" ht="13.5" customHeight="1">
      <c r="A513" s="109"/>
      <c r="B513" s="109"/>
      <c r="C513" s="109"/>
      <c r="D513" s="109"/>
      <c r="E513" s="109"/>
      <c r="F513" s="109"/>
      <c r="G513" s="161"/>
      <c r="H513" s="109"/>
      <c r="I513" s="109"/>
      <c r="J513" s="109"/>
      <c r="K513" s="109"/>
      <c r="L513" s="109"/>
      <c r="M513" s="109"/>
      <c r="N513" s="109"/>
      <c r="O513" s="109"/>
      <c r="P513" s="109"/>
      <c r="Q513" s="109"/>
      <c r="R513" s="109"/>
      <c r="S513" s="109"/>
      <c r="T513" s="109"/>
      <c r="U513" s="109"/>
      <c r="V513" s="109"/>
      <c r="W513" s="109"/>
      <c r="X513" s="109"/>
      <c r="Y513" s="109"/>
      <c r="Z513" s="109"/>
    </row>
    <row r="514" spans="1:26" ht="13.5" customHeight="1">
      <c r="A514" s="109"/>
      <c r="B514" s="109"/>
      <c r="C514" s="109"/>
      <c r="D514" s="109"/>
      <c r="E514" s="109"/>
      <c r="F514" s="109"/>
      <c r="G514" s="161"/>
      <c r="H514" s="109"/>
      <c r="I514" s="109"/>
      <c r="J514" s="109"/>
      <c r="K514" s="109"/>
      <c r="L514" s="109"/>
      <c r="M514" s="109"/>
      <c r="N514" s="109"/>
      <c r="O514" s="109"/>
      <c r="P514" s="109"/>
      <c r="Q514" s="109"/>
      <c r="R514" s="109"/>
      <c r="S514" s="109"/>
      <c r="T514" s="109"/>
      <c r="U514" s="109"/>
      <c r="V514" s="109"/>
      <c r="W514" s="109"/>
      <c r="X514" s="109"/>
      <c r="Y514" s="109"/>
      <c r="Z514" s="109"/>
    </row>
    <row r="515" spans="1:26" ht="13.5" customHeight="1">
      <c r="A515" s="109"/>
      <c r="B515" s="109"/>
      <c r="C515" s="109"/>
      <c r="D515" s="109"/>
      <c r="E515" s="109"/>
      <c r="F515" s="109"/>
      <c r="G515" s="161"/>
      <c r="H515" s="109"/>
      <c r="I515" s="109"/>
      <c r="J515" s="109"/>
      <c r="K515" s="109"/>
      <c r="L515" s="109"/>
      <c r="M515" s="109"/>
      <c r="N515" s="109"/>
      <c r="O515" s="109"/>
      <c r="P515" s="109"/>
      <c r="Q515" s="109"/>
      <c r="R515" s="109"/>
      <c r="S515" s="109"/>
      <c r="T515" s="109"/>
      <c r="U515" s="109"/>
      <c r="V515" s="109"/>
      <c r="W515" s="109"/>
      <c r="X515" s="109"/>
      <c r="Y515" s="109"/>
      <c r="Z515" s="109"/>
    </row>
    <row r="516" spans="1:26" ht="13.5" customHeight="1">
      <c r="A516" s="109"/>
      <c r="B516" s="109"/>
      <c r="C516" s="109"/>
      <c r="D516" s="109"/>
      <c r="E516" s="109"/>
      <c r="F516" s="109"/>
      <c r="G516" s="161"/>
      <c r="H516" s="109"/>
      <c r="I516" s="109"/>
      <c r="J516" s="109"/>
      <c r="K516" s="109"/>
      <c r="L516" s="109"/>
      <c r="M516" s="109"/>
      <c r="N516" s="109"/>
      <c r="O516" s="109"/>
      <c r="P516" s="109"/>
      <c r="Q516" s="109"/>
      <c r="R516" s="109"/>
      <c r="S516" s="109"/>
      <c r="T516" s="109"/>
      <c r="U516" s="109"/>
      <c r="V516" s="109"/>
      <c r="W516" s="109"/>
      <c r="X516" s="109"/>
      <c r="Y516" s="109"/>
      <c r="Z516" s="109"/>
    </row>
    <row r="517" spans="1:26" ht="13.5" customHeight="1">
      <c r="A517" s="109"/>
      <c r="B517" s="109"/>
      <c r="C517" s="109"/>
      <c r="D517" s="109"/>
      <c r="E517" s="109"/>
      <c r="F517" s="109"/>
      <c r="G517" s="161"/>
      <c r="H517" s="109"/>
      <c r="I517" s="109"/>
      <c r="J517" s="109"/>
      <c r="K517" s="109"/>
      <c r="L517" s="109"/>
      <c r="M517" s="109"/>
      <c r="N517" s="109"/>
      <c r="O517" s="109"/>
      <c r="P517" s="109"/>
      <c r="Q517" s="109"/>
      <c r="R517" s="109"/>
      <c r="S517" s="109"/>
      <c r="T517" s="109"/>
      <c r="U517" s="109"/>
      <c r="V517" s="109"/>
      <c r="W517" s="109"/>
      <c r="X517" s="109"/>
      <c r="Y517" s="109"/>
      <c r="Z517" s="109"/>
    </row>
    <row r="518" spans="1:26" ht="13.5" customHeight="1">
      <c r="A518" s="109"/>
      <c r="B518" s="109"/>
      <c r="C518" s="109"/>
      <c r="D518" s="109"/>
      <c r="E518" s="109"/>
      <c r="F518" s="109"/>
      <c r="G518" s="161"/>
      <c r="H518" s="109"/>
      <c r="I518" s="109"/>
      <c r="J518" s="109"/>
      <c r="K518" s="109"/>
      <c r="L518" s="109"/>
      <c r="M518" s="109"/>
      <c r="N518" s="109"/>
      <c r="O518" s="109"/>
      <c r="P518" s="109"/>
      <c r="Q518" s="109"/>
      <c r="R518" s="109"/>
      <c r="S518" s="109"/>
      <c r="T518" s="109"/>
      <c r="U518" s="109"/>
      <c r="V518" s="109"/>
      <c r="W518" s="109"/>
      <c r="X518" s="109"/>
      <c r="Y518" s="109"/>
      <c r="Z518" s="109"/>
    </row>
    <row r="519" spans="1:26" ht="13.5" customHeight="1">
      <c r="A519" s="109"/>
      <c r="B519" s="109"/>
      <c r="C519" s="109"/>
      <c r="D519" s="109"/>
      <c r="E519" s="109"/>
      <c r="F519" s="109"/>
      <c r="G519" s="161"/>
      <c r="H519" s="109"/>
      <c r="I519" s="109"/>
      <c r="J519" s="109"/>
      <c r="K519" s="109"/>
      <c r="L519" s="109"/>
      <c r="M519" s="109"/>
      <c r="N519" s="109"/>
      <c r="O519" s="109"/>
      <c r="P519" s="109"/>
      <c r="Q519" s="109"/>
      <c r="R519" s="109"/>
      <c r="S519" s="109"/>
      <c r="T519" s="109"/>
      <c r="U519" s="109"/>
      <c r="V519" s="109"/>
      <c r="W519" s="109"/>
      <c r="X519" s="109"/>
      <c r="Y519" s="109"/>
      <c r="Z519" s="109"/>
    </row>
    <row r="520" spans="1:26" ht="13.5" customHeight="1">
      <c r="A520" s="109"/>
      <c r="B520" s="109"/>
      <c r="C520" s="109"/>
      <c r="D520" s="109"/>
      <c r="E520" s="109"/>
      <c r="F520" s="109"/>
      <c r="G520" s="161"/>
      <c r="H520" s="109"/>
      <c r="I520" s="109"/>
      <c r="J520" s="109"/>
      <c r="K520" s="109"/>
      <c r="L520" s="109"/>
      <c r="M520" s="109"/>
      <c r="N520" s="109"/>
      <c r="O520" s="109"/>
      <c r="P520" s="109"/>
      <c r="Q520" s="109"/>
      <c r="R520" s="109"/>
      <c r="S520" s="109"/>
      <c r="T520" s="109"/>
      <c r="U520" s="109"/>
      <c r="V520" s="109"/>
      <c r="W520" s="109"/>
      <c r="X520" s="109"/>
      <c r="Y520" s="109"/>
      <c r="Z520" s="109"/>
    </row>
    <row r="521" spans="1:26" ht="13.5" customHeight="1">
      <c r="A521" s="109"/>
      <c r="B521" s="109"/>
      <c r="C521" s="109"/>
      <c r="D521" s="109"/>
      <c r="E521" s="109"/>
      <c r="F521" s="109"/>
      <c r="G521" s="161"/>
      <c r="H521" s="109"/>
      <c r="I521" s="109"/>
      <c r="J521" s="109"/>
      <c r="K521" s="109"/>
      <c r="L521" s="109"/>
      <c r="M521" s="109"/>
      <c r="N521" s="109"/>
      <c r="O521" s="109"/>
      <c r="P521" s="109"/>
      <c r="Q521" s="109"/>
      <c r="R521" s="109"/>
      <c r="S521" s="109"/>
      <c r="T521" s="109"/>
      <c r="U521" s="109"/>
      <c r="V521" s="109"/>
      <c r="W521" s="109"/>
      <c r="X521" s="109"/>
      <c r="Y521" s="109"/>
      <c r="Z521" s="109"/>
    </row>
    <row r="522" spans="1:26" ht="13.5" customHeight="1">
      <c r="A522" s="109"/>
      <c r="B522" s="109"/>
      <c r="C522" s="109"/>
      <c r="D522" s="109"/>
      <c r="E522" s="109"/>
      <c r="F522" s="109"/>
      <c r="G522" s="161"/>
      <c r="H522" s="109"/>
      <c r="I522" s="109"/>
      <c r="J522" s="109"/>
      <c r="K522" s="109"/>
      <c r="L522" s="109"/>
      <c r="M522" s="109"/>
      <c r="N522" s="109"/>
      <c r="O522" s="109"/>
      <c r="P522" s="109"/>
      <c r="Q522" s="109"/>
      <c r="R522" s="109"/>
      <c r="S522" s="109"/>
      <c r="T522" s="109"/>
      <c r="U522" s="109"/>
      <c r="V522" s="109"/>
      <c r="W522" s="109"/>
      <c r="X522" s="109"/>
      <c r="Y522" s="109"/>
      <c r="Z522" s="109"/>
    </row>
    <row r="523" spans="1:26" ht="13.5" customHeight="1">
      <c r="A523" s="109"/>
      <c r="B523" s="109"/>
      <c r="C523" s="109"/>
      <c r="D523" s="109"/>
      <c r="E523" s="109"/>
      <c r="F523" s="109"/>
      <c r="G523" s="161"/>
      <c r="H523" s="109"/>
      <c r="I523" s="109"/>
      <c r="J523" s="109"/>
      <c r="K523" s="109"/>
      <c r="L523" s="109"/>
      <c r="M523" s="109"/>
      <c r="N523" s="109"/>
      <c r="O523" s="109"/>
      <c r="P523" s="109"/>
      <c r="Q523" s="109"/>
      <c r="R523" s="109"/>
      <c r="S523" s="109"/>
      <c r="T523" s="109"/>
      <c r="U523" s="109"/>
      <c r="V523" s="109"/>
      <c r="W523" s="109"/>
      <c r="X523" s="109"/>
      <c r="Y523" s="109"/>
      <c r="Z523" s="109"/>
    </row>
    <row r="524" spans="1:26" ht="13.5" customHeight="1">
      <c r="A524" s="109"/>
      <c r="B524" s="109"/>
      <c r="C524" s="109"/>
      <c r="D524" s="109"/>
      <c r="E524" s="109"/>
      <c r="F524" s="109"/>
      <c r="G524" s="161"/>
      <c r="H524" s="109"/>
      <c r="I524" s="109"/>
      <c r="J524" s="109"/>
      <c r="K524" s="109"/>
      <c r="L524" s="109"/>
      <c r="M524" s="109"/>
      <c r="N524" s="109"/>
      <c r="O524" s="109"/>
      <c r="P524" s="109"/>
      <c r="Q524" s="109"/>
      <c r="R524" s="109"/>
      <c r="S524" s="109"/>
      <c r="T524" s="109"/>
      <c r="U524" s="109"/>
      <c r="V524" s="109"/>
      <c r="W524" s="109"/>
      <c r="X524" s="109"/>
      <c r="Y524" s="109"/>
      <c r="Z524" s="109"/>
    </row>
    <row r="525" spans="1:26" ht="13.5" customHeight="1">
      <c r="A525" s="109"/>
      <c r="B525" s="109"/>
      <c r="C525" s="109"/>
      <c r="D525" s="109"/>
      <c r="E525" s="109"/>
      <c r="F525" s="109"/>
      <c r="G525" s="161"/>
      <c r="H525" s="109"/>
      <c r="I525" s="109"/>
      <c r="J525" s="109"/>
      <c r="K525" s="109"/>
      <c r="L525" s="109"/>
      <c r="M525" s="109"/>
      <c r="N525" s="109"/>
      <c r="O525" s="109"/>
      <c r="P525" s="109"/>
      <c r="Q525" s="109"/>
      <c r="R525" s="109"/>
      <c r="S525" s="109"/>
      <c r="T525" s="109"/>
      <c r="U525" s="109"/>
      <c r="V525" s="109"/>
      <c r="W525" s="109"/>
      <c r="X525" s="109"/>
      <c r="Y525" s="109"/>
      <c r="Z525" s="109"/>
    </row>
    <row r="526" spans="1:26" ht="13.5" customHeight="1">
      <c r="A526" s="109"/>
      <c r="B526" s="109"/>
      <c r="C526" s="109"/>
      <c r="D526" s="109"/>
      <c r="E526" s="109"/>
      <c r="F526" s="109"/>
      <c r="G526" s="161"/>
      <c r="H526" s="109"/>
      <c r="I526" s="109"/>
      <c r="J526" s="109"/>
      <c r="K526" s="109"/>
      <c r="L526" s="109"/>
      <c r="M526" s="109"/>
      <c r="N526" s="109"/>
      <c r="O526" s="109"/>
      <c r="P526" s="109"/>
      <c r="Q526" s="109"/>
      <c r="R526" s="109"/>
      <c r="S526" s="109"/>
      <c r="T526" s="109"/>
      <c r="U526" s="109"/>
      <c r="V526" s="109"/>
      <c r="W526" s="109"/>
      <c r="X526" s="109"/>
      <c r="Y526" s="109"/>
      <c r="Z526" s="109"/>
    </row>
    <row r="527" spans="1:26" ht="13.5" customHeight="1">
      <c r="A527" s="109"/>
      <c r="B527" s="109"/>
      <c r="C527" s="109"/>
      <c r="D527" s="109"/>
      <c r="E527" s="109"/>
      <c r="F527" s="109"/>
      <c r="G527" s="161"/>
      <c r="H527" s="109"/>
      <c r="I527" s="109"/>
      <c r="J527" s="109"/>
      <c r="K527" s="109"/>
      <c r="L527" s="109"/>
      <c r="M527" s="109"/>
      <c r="N527" s="109"/>
      <c r="O527" s="109"/>
      <c r="P527" s="109"/>
      <c r="Q527" s="109"/>
      <c r="R527" s="109"/>
      <c r="S527" s="109"/>
      <c r="T527" s="109"/>
      <c r="U527" s="109"/>
      <c r="V527" s="109"/>
      <c r="W527" s="109"/>
      <c r="X527" s="109"/>
      <c r="Y527" s="109"/>
      <c r="Z527" s="109"/>
    </row>
    <row r="528" spans="1:26" ht="13.5" customHeight="1">
      <c r="A528" s="109"/>
      <c r="B528" s="109"/>
      <c r="C528" s="109"/>
      <c r="D528" s="109"/>
      <c r="E528" s="109"/>
      <c r="F528" s="109"/>
      <c r="G528" s="161"/>
      <c r="H528" s="109"/>
      <c r="I528" s="109"/>
      <c r="J528" s="109"/>
      <c r="K528" s="109"/>
      <c r="L528" s="109"/>
      <c r="M528" s="109"/>
      <c r="N528" s="109"/>
      <c r="O528" s="109"/>
      <c r="P528" s="109"/>
      <c r="Q528" s="109"/>
      <c r="R528" s="109"/>
      <c r="S528" s="109"/>
      <c r="T528" s="109"/>
      <c r="U528" s="109"/>
      <c r="V528" s="109"/>
      <c r="W528" s="109"/>
      <c r="X528" s="109"/>
      <c r="Y528" s="109"/>
      <c r="Z528" s="109"/>
    </row>
    <row r="529" spans="1:26" ht="13.5" customHeight="1">
      <c r="A529" s="109"/>
      <c r="B529" s="109"/>
      <c r="C529" s="109"/>
      <c r="D529" s="109"/>
      <c r="E529" s="109"/>
      <c r="F529" s="109"/>
      <c r="G529" s="161"/>
      <c r="H529" s="109"/>
      <c r="I529" s="109"/>
      <c r="J529" s="109"/>
      <c r="K529" s="109"/>
      <c r="L529" s="109"/>
      <c r="M529" s="109"/>
      <c r="N529" s="109"/>
      <c r="O529" s="109"/>
      <c r="P529" s="109"/>
      <c r="Q529" s="109"/>
      <c r="R529" s="109"/>
      <c r="S529" s="109"/>
      <c r="T529" s="109"/>
      <c r="U529" s="109"/>
      <c r="V529" s="109"/>
      <c r="W529" s="109"/>
      <c r="X529" s="109"/>
      <c r="Y529" s="109"/>
      <c r="Z529" s="109"/>
    </row>
    <row r="530" spans="1:26" ht="13.5" customHeight="1">
      <c r="A530" s="109"/>
      <c r="B530" s="109"/>
      <c r="C530" s="109"/>
      <c r="D530" s="109"/>
      <c r="E530" s="109"/>
      <c r="F530" s="109"/>
      <c r="G530" s="161"/>
      <c r="H530" s="109"/>
      <c r="I530" s="109"/>
      <c r="J530" s="109"/>
      <c r="K530" s="109"/>
      <c r="L530" s="109"/>
      <c r="M530" s="109"/>
      <c r="N530" s="109"/>
      <c r="O530" s="109"/>
      <c r="P530" s="109"/>
      <c r="Q530" s="109"/>
      <c r="R530" s="109"/>
      <c r="S530" s="109"/>
      <c r="T530" s="109"/>
      <c r="U530" s="109"/>
      <c r="V530" s="109"/>
      <c r="W530" s="109"/>
      <c r="X530" s="109"/>
      <c r="Y530" s="109"/>
      <c r="Z530" s="109"/>
    </row>
    <row r="531" spans="1:26" ht="13.5" customHeight="1">
      <c r="A531" s="109"/>
      <c r="B531" s="109"/>
      <c r="C531" s="109"/>
      <c r="D531" s="109"/>
      <c r="E531" s="109"/>
      <c r="F531" s="109"/>
      <c r="G531" s="161"/>
      <c r="H531" s="109"/>
      <c r="I531" s="109"/>
      <c r="J531" s="109"/>
      <c r="K531" s="109"/>
      <c r="L531" s="109"/>
      <c r="M531" s="109"/>
      <c r="N531" s="109"/>
      <c r="O531" s="109"/>
      <c r="P531" s="109"/>
      <c r="Q531" s="109"/>
      <c r="R531" s="109"/>
      <c r="S531" s="109"/>
      <c r="T531" s="109"/>
      <c r="U531" s="109"/>
      <c r="V531" s="109"/>
      <c r="W531" s="109"/>
      <c r="X531" s="109"/>
      <c r="Y531" s="109"/>
      <c r="Z531" s="109"/>
    </row>
    <row r="532" spans="1:26" ht="13.5" customHeight="1">
      <c r="A532" s="109"/>
      <c r="B532" s="109"/>
      <c r="C532" s="109"/>
      <c r="D532" s="109"/>
      <c r="E532" s="109"/>
      <c r="F532" s="109"/>
      <c r="G532" s="161"/>
      <c r="H532" s="109"/>
      <c r="I532" s="109"/>
      <c r="J532" s="109"/>
      <c r="K532" s="109"/>
      <c r="L532" s="109"/>
      <c r="M532" s="109"/>
      <c r="N532" s="109"/>
      <c r="O532" s="109"/>
      <c r="P532" s="109"/>
      <c r="Q532" s="109"/>
      <c r="R532" s="109"/>
      <c r="S532" s="109"/>
      <c r="T532" s="109"/>
      <c r="U532" s="109"/>
      <c r="V532" s="109"/>
      <c r="W532" s="109"/>
      <c r="X532" s="109"/>
      <c r="Y532" s="109"/>
      <c r="Z532" s="109"/>
    </row>
    <row r="533" spans="1:26" ht="13.5" customHeight="1">
      <c r="A533" s="109"/>
      <c r="B533" s="109"/>
      <c r="C533" s="109"/>
      <c r="D533" s="109"/>
      <c r="E533" s="109"/>
      <c r="F533" s="109"/>
      <c r="G533" s="161"/>
      <c r="H533" s="109"/>
      <c r="I533" s="109"/>
      <c r="J533" s="109"/>
      <c r="K533" s="109"/>
      <c r="L533" s="109"/>
      <c r="M533" s="109"/>
      <c r="N533" s="109"/>
      <c r="O533" s="109"/>
      <c r="P533" s="109"/>
      <c r="Q533" s="109"/>
      <c r="R533" s="109"/>
      <c r="S533" s="109"/>
      <c r="T533" s="109"/>
      <c r="U533" s="109"/>
      <c r="V533" s="109"/>
      <c r="W533" s="109"/>
      <c r="X533" s="109"/>
      <c r="Y533" s="109"/>
      <c r="Z533" s="109"/>
    </row>
    <row r="534" spans="1:26" ht="13.5" customHeight="1">
      <c r="A534" s="109"/>
      <c r="B534" s="109"/>
      <c r="C534" s="109"/>
      <c r="D534" s="109"/>
      <c r="E534" s="109"/>
      <c r="F534" s="109"/>
      <c r="G534" s="161"/>
      <c r="H534" s="109"/>
      <c r="I534" s="109"/>
      <c r="J534" s="109"/>
      <c r="K534" s="109"/>
      <c r="L534" s="109"/>
      <c r="M534" s="109"/>
      <c r="N534" s="109"/>
      <c r="O534" s="109"/>
      <c r="P534" s="109"/>
      <c r="Q534" s="109"/>
      <c r="R534" s="109"/>
      <c r="S534" s="109"/>
      <c r="T534" s="109"/>
      <c r="U534" s="109"/>
      <c r="V534" s="109"/>
      <c r="W534" s="109"/>
      <c r="X534" s="109"/>
      <c r="Y534" s="109"/>
      <c r="Z534" s="109"/>
    </row>
    <row r="535" spans="1:26" ht="13.5" customHeight="1">
      <c r="A535" s="109"/>
      <c r="B535" s="109"/>
      <c r="C535" s="109"/>
      <c r="D535" s="109"/>
      <c r="E535" s="109"/>
      <c r="F535" s="109"/>
      <c r="G535" s="161"/>
      <c r="H535" s="109"/>
      <c r="I535" s="109"/>
      <c r="J535" s="109"/>
      <c r="K535" s="109"/>
      <c r="L535" s="109"/>
      <c r="M535" s="109"/>
      <c r="N535" s="109"/>
      <c r="O535" s="109"/>
      <c r="P535" s="109"/>
      <c r="Q535" s="109"/>
      <c r="R535" s="109"/>
      <c r="S535" s="109"/>
      <c r="T535" s="109"/>
      <c r="U535" s="109"/>
      <c r="V535" s="109"/>
      <c r="W535" s="109"/>
      <c r="X535" s="109"/>
      <c r="Y535" s="109"/>
      <c r="Z535" s="109"/>
    </row>
    <row r="536" spans="1:26" ht="13.5" customHeight="1">
      <c r="A536" s="109"/>
      <c r="B536" s="109"/>
      <c r="C536" s="109"/>
      <c r="D536" s="109"/>
      <c r="E536" s="109"/>
      <c r="F536" s="109"/>
      <c r="G536" s="161"/>
      <c r="H536" s="109"/>
      <c r="I536" s="109"/>
      <c r="J536" s="109"/>
      <c r="K536" s="109"/>
      <c r="L536" s="109"/>
      <c r="M536" s="109"/>
      <c r="N536" s="109"/>
      <c r="O536" s="109"/>
      <c r="P536" s="109"/>
      <c r="Q536" s="109"/>
      <c r="R536" s="109"/>
      <c r="S536" s="109"/>
      <c r="T536" s="109"/>
      <c r="U536" s="109"/>
      <c r="V536" s="109"/>
      <c r="W536" s="109"/>
      <c r="X536" s="109"/>
      <c r="Y536" s="109"/>
      <c r="Z536" s="109"/>
    </row>
    <row r="537" spans="1:26" ht="13.5" customHeight="1">
      <c r="A537" s="109"/>
      <c r="B537" s="109"/>
      <c r="C537" s="109"/>
      <c r="D537" s="109"/>
      <c r="E537" s="109"/>
      <c r="F537" s="109"/>
      <c r="G537" s="161"/>
      <c r="H537" s="109"/>
      <c r="I537" s="109"/>
      <c r="J537" s="109"/>
      <c r="K537" s="109"/>
      <c r="L537" s="109"/>
      <c r="M537" s="109"/>
      <c r="N537" s="109"/>
      <c r="O537" s="109"/>
      <c r="P537" s="109"/>
      <c r="Q537" s="109"/>
      <c r="R537" s="109"/>
      <c r="S537" s="109"/>
      <c r="T537" s="109"/>
      <c r="U537" s="109"/>
      <c r="V537" s="109"/>
      <c r="W537" s="109"/>
      <c r="X537" s="109"/>
      <c r="Y537" s="109"/>
      <c r="Z537" s="109"/>
    </row>
    <row r="538" spans="1:26" ht="13.5" customHeight="1">
      <c r="A538" s="109"/>
      <c r="B538" s="109"/>
      <c r="C538" s="109"/>
      <c r="D538" s="109"/>
      <c r="E538" s="109"/>
      <c r="F538" s="109"/>
      <c r="G538" s="161"/>
      <c r="H538" s="109"/>
      <c r="I538" s="109"/>
      <c r="J538" s="109"/>
      <c r="K538" s="109"/>
      <c r="L538" s="109"/>
      <c r="M538" s="109"/>
      <c r="N538" s="109"/>
      <c r="O538" s="109"/>
      <c r="P538" s="109"/>
      <c r="Q538" s="109"/>
      <c r="R538" s="109"/>
      <c r="S538" s="109"/>
      <c r="T538" s="109"/>
      <c r="U538" s="109"/>
      <c r="V538" s="109"/>
      <c r="W538" s="109"/>
      <c r="X538" s="109"/>
      <c r="Y538" s="109"/>
      <c r="Z538" s="109"/>
    </row>
    <row r="539" spans="1:26" ht="13.5" customHeight="1">
      <c r="A539" s="109"/>
      <c r="B539" s="109"/>
      <c r="C539" s="109"/>
      <c r="D539" s="109"/>
      <c r="E539" s="109"/>
      <c r="F539" s="109"/>
      <c r="G539" s="161"/>
      <c r="H539" s="109"/>
      <c r="I539" s="109"/>
      <c r="J539" s="109"/>
      <c r="K539" s="109"/>
      <c r="L539" s="109"/>
      <c r="M539" s="109"/>
      <c r="N539" s="109"/>
      <c r="O539" s="109"/>
      <c r="P539" s="109"/>
      <c r="Q539" s="109"/>
      <c r="R539" s="109"/>
      <c r="S539" s="109"/>
      <c r="T539" s="109"/>
      <c r="U539" s="109"/>
      <c r="V539" s="109"/>
      <c r="W539" s="109"/>
      <c r="X539" s="109"/>
      <c r="Y539" s="109"/>
      <c r="Z539" s="109"/>
    </row>
    <row r="540" spans="1:26" ht="13.5" customHeight="1">
      <c r="A540" s="109"/>
      <c r="B540" s="109"/>
      <c r="C540" s="109"/>
      <c r="D540" s="109"/>
      <c r="E540" s="109"/>
      <c r="F540" s="109"/>
      <c r="G540" s="161"/>
      <c r="H540" s="109"/>
      <c r="I540" s="109"/>
      <c r="J540" s="109"/>
      <c r="K540" s="109"/>
      <c r="L540" s="109"/>
      <c r="M540" s="109"/>
      <c r="N540" s="109"/>
      <c r="O540" s="109"/>
      <c r="P540" s="109"/>
      <c r="Q540" s="109"/>
      <c r="R540" s="109"/>
      <c r="S540" s="109"/>
      <c r="T540" s="109"/>
      <c r="U540" s="109"/>
      <c r="V540" s="109"/>
      <c r="W540" s="109"/>
      <c r="X540" s="109"/>
      <c r="Y540" s="109"/>
      <c r="Z540" s="109"/>
    </row>
    <row r="541" spans="1:26" ht="13.5" customHeight="1">
      <c r="A541" s="109"/>
      <c r="B541" s="109"/>
      <c r="C541" s="109"/>
      <c r="D541" s="109"/>
      <c r="E541" s="109"/>
      <c r="F541" s="109"/>
      <c r="G541" s="161"/>
      <c r="H541" s="109"/>
      <c r="I541" s="109"/>
      <c r="J541" s="109"/>
      <c r="K541" s="109"/>
      <c r="L541" s="109"/>
      <c r="M541" s="109"/>
      <c r="N541" s="109"/>
      <c r="O541" s="109"/>
      <c r="P541" s="109"/>
      <c r="Q541" s="109"/>
      <c r="R541" s="109"/>
      <c r="S541" s="109"/>
      <c r="T541" s="109"/>
      <c r="U541" s="109"/>
      <c r="V541" s="109"/>
      <c r="W541" s="109"/>
      <c r="X541" s="109"/>
      <c r="Y541" s="109"/>
      <c r="Z541" s="109"/>
    </row>
    <row r="542" spans="1:26" ht="13.5" customHeight="1">
      <c r="A542" s="109"/>
      <c r="B542" s="109"/>
      <c r="C542" s="109"/>
      <c r="D542" s="109"/>
      <c r="E542" s="109"/>
      <c r="F542" s="109"/>
      <c r="G542" s="161"/>
      <c r="H542" s="109"/>
      <c r="I542" s="109"/>
      <c r="J542" s="109"/>
      <c r="K542" s="109"/>
      <c r="L542" s="109"/>
      <c r="M542" s="109"/>
      <c r="N542" s="109"/>
      <c r="O542" s="109"/>
      <c r="P542" s="109"/>
      <c r="Q542" s="109"/>
      <c r="R542" s="109"/>
      <c r="S542" s="109"/>
      <c r="T542" s="109"/>
      <c r="U542" s="109"/>
      <c r="V542" s="109"/>
      <c r="W542" s="109"/>
      <c r="X542" s="109"/>
      <c r="Y542" s="109"/>
      <c r="Z542" s="109"/>
    </row>
    <row r="543" spans="1:26" ht="13.5" customHeight="1">
      <c r="A543" s="109"/>
      <c r="B543" s="109"/>
      <c r="C543" s="109"/>
      <c r="D543" s="109"/>
      <c r="E543" s="109"/>
      <c r="F543" s="109"/>
      <c r="G543" s="161"/>
      <c r="H543" s="109"/>
      <c r="I543" s="109"/>
      <c r="J543" s="109"/>
      <c r="K543" s="109"/>
      <c r="L543" s="109"/>
      <c r="M543" s="109"/>
      <c r="N543" s="109"/>
      <c r="O543" s="109"/>
      <c r="P543" s="109"/>
      <c r="Q543" s="109"/>
      <c r="R543" s="109"/>
      <c r="S543" s="109"/>
      <c r="T543" s="109"/>
      <c r="U543" s="109"/>
      <c r="V543" s="109"/>
      <c r="W543" s="109"/>
      <c r="X543" s="109"/>
      <c r="Y543" s="109"/>
      <c r="Z543" s="109"/>
    </row>
    <row r="544" spans="1:26" ht="13.5" customHeight="1">
      <c r="A544" s="109"/>
      <c r="B544" s="109"/>
      <c r="C544" s="109"/>
      <c r="D544" s="109"/>
      <c r="E544" s="109"/>
      <c r="F544" s="109"/>
      <c r="G544" s="161"/>
      <c r="H544" s="109"/>
      <c r="I544" s="109"/>
      <c r="J544" s="109"/>
      <c r="K544" s="109"/>
      <c r="L544" s="109"/>
      <c r="M544" s="109"/>
      <c r="N544" s="109"/>
      <c r="O544" s="109"/>
      <c r="P544" s="109"/>
      <c r="Q544" s="109"/>
      <c r="R544" s="109"/>
      <c r="S544" s="109"/>
      <c r="T544" s="109"/>
      <c r="U544" s="109"/>
      <c r="V544" s="109"/>
      <c r="W544" s="109"/>
      <c r="X544" s="109"/>
      <c r="Y544" s="109"/>
      <c r="Z544" s="109"/>
    </row>
    <row r="545" spans="1:26" ht="13.5" customHeight="1">
      <c r="A545" s="109"/>
      <c r="B545" s="109"/>
      <c r="C545" s="109"/>
      <c r="D545" s="109"/>
      <c r="E545" s="109"/>
      <c r="F545" s="109"/>
      <c r="G545" s="161"/>
      <c r="H545" s="109"/>
      <c r="I545" s="109"/>
      <c r="J545" s="109"/>
      <c r="K545" s="109"/>
      <c r="L545" s="109"/>
      <c r="M545" s="109"/>
      <c r="N545" s="109"/>
      <c r="O545" s="109"/>
      <c r="P545" s="109"/>
      <c r="Q545" s="109"/>
      <c r="R545" s="109"/>
      <c r="S545" s="109"/>
      <c r="T545" s="109"/>
      <c r="U545" s="109"/>
      <c r="V545" s="109"/>
      <c r="W545" s="109"/>
      <c r="X545" s="109"/>
      <c r="Y545" s="109"/>
      <c r="Z545" s="109"/>
    </row>
    <row r="546" spans="1:26" ht="13.5" customHeight="1">
      <c r="A546" s="109"/>
      <c r="B546" s="109"/>
      <c r="C546" s="109"/>
      <c r="D546" s="109"/>
      <c r="E546" s="109"/>
      <c r="F546" s="109"/>
      <c r="G546" s="161"/>
      <c r="H546" s="109"/>
      <c r="I546" s="109"/>
      <c r="J546" s="109"/>
      <c r="K546" s="109"/>
      <c r="L546" s="109"/>
      <c r="M546" s="109"/>
      <c r="N546" s="109"/>
      <c r="O546" s="109"/>
      <c r="P546" s="109"/>
      <c r="Q546" s="109"/>
      <c r="R546" s="109"/>
      <c r="S546" s="109"/>
      <c r="T546" s="109"/>
      <c r="U546" s="109"/>
      <c r="V546" s="109"/>
      <c r="W546" s="109"/>
      <c r="X546" s="109"/>
      <c r="Y546" s="109"/>
      <c r="Z546" s="109"/>
    </row>
    <row r="547" spans="1:26" ht="13.5" customHeight="1">
      <c r="A547" s="109"/>
      <c r="B547" s="109"/>
      <c r="C547" s="109"/>
      <c r="D547" s="109"/>
      <c r="E547" s="109"/>
      <c r="F547" s="109"/>
      <c r="G547" s="161"/>
      <c r="H547" s="109"/>
      <c r="I547" s="109"/>
      <c r="J547" s="109"/>
      <c r="K547" s="109"/>
      <c r="L547" s="109"/>
      <c r="M547" s="109"/>
      <c r="N547" s="109"/>
      <c r="O547" s="109"/>
      <c r="P547" s="109"/>
      <c r="Q547" s="109"/>
      <c r="R547" s="109"/>
      <c r="S547" s="109"/>
      <c r="T547" s="109"/>
      <c r="U547" s="109"/>
      <c r="V547" s="109"/>
      <c r="W547" s="109"/>
      <c r="X547" s="109"/>
      <c r="Y547" s="109"/>
      <c r="Z547" s="109"/>
    </row>
    <row r="548" spans="1:26" ht="13.5" customHeight="1">
      <c r="A548" s="109"/>
      <c r="B548" s="109"/>
      <c r="C548" s="109"/>
      <c r="D548" s="109"/>
      <c r="E548" s="109"/>
      <c r="F548" s="109"/>
      <c r="G548" s="161"/>
      <c r="H548" s="109"/>
      <c r="I548" s="109"/>
      <c r="J548" s="109"/>
      <c r="K548" s="109"/>
      <c r="L548" s="109"/>
      <c r="M548" s="109"/>
      <c r="N548" s="109"/>
      <c r="O548" s="109"/>
      <c r="P548" s="109"/>
      <c r="Q548" s="109"/>
      <c r="R548" s="109"/>
      <c r="S548" s="109"/>
      <c r="T548" s="109"/>
      <c r="U548" s="109"/>
      <c r="V548" s="109"/>
      <c r="W548" s="109"/>
      <c r="X548" s="109"/>
      <c r="Y548" s="109"/>
      <c r="Z548" s="109"/>
    </row>
    <row r="549" spans="1:26" ht="13.5" customHeight="1">
      <c r="A549" s="109"/>
      <c r="B549" s="109"/>
      <c r="C549" s="109"/>
      <c r="D549" s="109"/>
      <c r="E549" s="109"/>
      <c r="F549" s="109"/>
      <c r="G549" s="161"/>
      <c r="H549" s="109"/>
      <c r="I549" s="109"/>
      <c r="J549" s="109"/>
      <c r="K549" s="109"/>
      <c r="L549" s="109"/>
      <c r="M549" s="109"/>
      <c r="N549" s="109"/>
      <c r="O549" s="109"/>
      <c r="P549" s="109"/>
      <c r="Q549" s="109"/>
      <c r="R549" s="109"/>
      <c r="S549" s="109"/>
      <c r="T549" s="109"/>
      <c r="U549" s="109"/>
      <c r="V549" s="109"/>
      <c r="W549" s="109"/>
      <c r="X549" s="109"/>
      <c r="Y549" s="109"/>
      <c r="Z549" s="109"/>
    </row>
    <row r="550" spans="1:26" ht="13.5" customHeight="1">
      <c r="A550" s="109"/>
      <c r="B550" s="109"/>
      <c r="C550" s="109"/>
      <c r="D550" s="109"/>
      <c r="E550" s="109"/>
      <c r="F550" s="109"/>
      <c r="G550" s="161"/>
      <c r="H550" s="109"/>
      <c r="I550" s="109"/>
      <c r="J550" s="109"/>
      <c r="K550" s="109"/>
      <c r="L550" s="109"/>
      <c r="M550" s="109"/>
      <c r="N550" s="109"/>
      <c r="O550" s="109"/>
      <c r="P550" s="109"/>
      <c r="Q550" s="109"/>
      <c r="R550" s="109"/>
      <c r="S550" s="109"/>
      <c r="T550" s="109"/>
      <c r="U550" s="109"/>
      <c r="V550" s="109"/>
      <c r="W550" s="109"/>
      <c r="X550" s="109"/>
      <c r="Y550" s="109"/>
      <c r="Z550" s="109"/>
    </row>
    <row r="551" spans="1:26" ht="13.5" customHeight="1">
      <c r="A551" s="109"/>
      <c r="B551" s="109"/>
      <c r="C551" s="109"/>
      <c r="D551" s="109"/>
      <c r="E551" s="109"/>
      <c r="F551" s="109"/>
      <c r="G551" s="161"/>
      <c r="H551" s="109"/>
      <c r="I551" s="109"/>
      <c r="J551" s="109"/>
      <c r="K551" s="109"/>
      <c r="L551" s="109"/>
      <c r="M551" s="109"/>
      <c r="N551" s="109"/>
      <c r="O551" s="109"/>
      <c r="P551" s="109"/>
      <c r="Q551" s="109"/>
      <c r="R551" s="109"/>
      <c r="S551" s="109"/>
      <c r="T551" s="109"/>
      <c r="U551" s="109"/>
      <c r="V551" s="109"/>
      <c r="W551" s="109"/>
      <c r="X551" s="109"/>
      <c r="Y551" s="109"/>
      <c r="Z551" s="109"/>
    </row>
    <row r="552" spans="1:26" ht="13.5" customHeight="1">
      <c r="A552" s="109"/>
      <c r="B552" s="109"/>
      <c r="C552" s="109"/>
      <c r="D552" s="109"/>
      <c r="E552" s="109"/>
      <c r="F552" s="109"/>
      <c r="G552" s="161"/>
      <c r="H552" s="109"/>
      <c r="I552" s="109"/>
      <c r="J552" s="109"/>
      <c r="K552" s="109"/>
      <c r="L552" s="109"/>
      <c r="M552" s="109"/>
      <c r="N552" s="109"/>
      <c r="O552" s="109"/>
      <c r="P552" s="109"/>
      <c r="Q552" s="109"/>
      <c r="R552" s="109"/>
      <c r="S552" s="109"/>
      <c r="T552" s="109"/>
      <c r="U552" s="109"/>
      <c r="V552" s="109"/>
      <c r="W552" s="109"/>
      <c r="X552" s="109"/>
      <c r="Y552" s="109"/>
      <c r="Z552" s="109"/>
    </row>
    <row r="553" spans="1:26" ht="13.5" customHeight="1">
      <c r="A553" s="109"/>
      <c r="B553" s="109"/>
      <c r="C553" s="109"/>
      <c r="D553" s="109"/>
      <c r="E553" s="109"/>
      <c r="F553" s="109"/>
      <c r="G553" s="161"/>
      <c r="H553" s="109"/>
      <c r="I553" s="109"/>
      <c r="J553" s="109"/>
      <c r="K553" s="109"/>
      <c r="L553" s="109"/>
      <c r="M553" s="109"/>
      <c r="N553" s="109"/>
      <c r="O553" s="109"/>
      <c r="P553" s="109"/>
      <c r="Q553" s="109"/>
      <c r="R553" s="109"/>
      <c r="S553" s="109"/>
      <c r="T553" s="109"/>
      <c r="U553" s="109"/>
      <c r="V553" s="109"/>
      <c r="W553" s="109"/>
      <c r="X553" s="109"/>
      <c r="Y553" s="109"/>
      <c r="Z553" s="109"/>
    </row>
    <row r="554" spans="1:26" ht="13.5" customHeight="1">
      <c r="A554" s="109"/>
      <c r="B554" s="109"/>
      <c r="C554" s="109"/>
      <c r="D554" s="109"/>
      <c r="E554" s="109"/>
      <c r="F554" s="109"/>
      <c r="G554" s="161"/>
      <c r="H554" s="109"/>
      <c r="I554" s="109"/>
      <c r="J554" s="109"/>
      <c r="K554" s="109"/>
      <c r="L554" s="109"/>
      <c r="M554" s="109"/>
      <c r="N554" s="109"/>
      <c r="O554" s="109"/>
      <c r="P554" s="109"/>
      <c r="Q554" s="109"/>
      <c r="R554" s="109"/>
      <c r="S554" s="109"/>
      <c r="T554" s="109"/>
      <c r="U554" s="109"/>
      <c r="V554" s="109"/>
      <c r="W554" s="109"/>
      <c r="X554" s="109"/>
      <c r="Y554" s="109"/>
      <c r="Z554" s="109"/>
    </row>
    <row r="555" spans="1:26" ht="13.5" customHeight="1">
      <c r="A555" s="109"/>
      <c r="B555" s="109"/>
      <c r="C555" s="109"/>
      <c r="D555" s="109"/>
      <c r="E555" s="109"/>
      <c r="F555" s="109"/>
      <c r="G555" s="161"/>
      <c r="H555" s="109"/>
      <c r="I555" s="109"/>
      <c r="J555" s="109"/>
      <c r="K555" s="109"/>
      <c r="L555" s="109"/>
      <c r="M555" s="109"/>
      <c r="N555" s="109"/>
      <c r="O555" s="109"/>
      <c r="P555" s="109"/>
      <c r="Q555" s="109"/>
      <c r="R555" s="109"/>
      <c r="S555" s="109"/>
      <c r="T555" s="109"/>
      <c r="U555" s="109"/>
      <c r="V555" s="109"/>
      <c r="W555" s="109"/>
      <c r="X555" s="109"/>
      <c r="Y555" s="109"/>
      <c r="Z555" s="109"/>
    </row>
    <row r="556" spans="1:26" ht="13.5" customHeight="1">
      <c r="A556" s="109"/>
      <c r="B556" s="109"/>
      <c r="C556" s="109"/>
      <c r="D556" s="109"/>
      <c r="E556" s="109"/>
      <c r="F556" s="109"/>
      <c r="G556" s="161"/>
      <c r="H556" s="109"/>
      <c r="I556" s="109"/>
      <c r="J556" s="109"/>
      <c r="K556" s="109"/>
      <c r="L556" s="109"/>
      <c r="M556" s="109"/>
      <c r="N556" s="109"/>
      <c r="O556" s="109"/>
      <c r="P556" s="109"/>
      <c r="Q556" s="109"/>
      <c r="R556" s="109"/>
      <c r="S556" s="109"/>
      <c r="T556" s="109"/>
      <c r="U556" s="109"/>
      <c r="V556" s="109"/>
      <c r="W556" s="109"/>
      <c r="X556" s="109"/>
      <c r="Y556" s="109"/>
      <c r="Z556" s="109"/>
    </row>
    <row r="557" spans="1:26" ht="13.5" customHeight="1">
      <c r="A557" s="109"/>
      <c r="B557" s="109"/>
      <c r="C557" s="109"/>
      <c r="D557" s="109"/>
      <c r="E557" s="109"/>
      <c r="F557" s="109"/>
      <c r="G557" s="161"/>
      <c r="H557" s="109"/>
      <c r="I557" s="109"/>
      <c r="J557" s="109"/>
      <c r="K557" s="109"/>
      <c r="L557" s="109"/>
      <c r="M557" s="109"/>
      <c r="N557" s="109"/>
      <c r="O557" s="109"/>
      <c r="P557" s="109"/>
      <c r="Q557" s="109"/>
      <c r="R557" s="109"/>
      <c r="S557" s="109"/>
      <c r="T557" s="109"/>
      <c r="U557" s="109"/>
      <c r="V557" s="109"/>
      <c r="W557" s="109"/>
      <c r="X557" s="109"/>
      <c r="Y557" s="109"/>
      <c r="Z557" s="109"/>
    </row>
    <row r="558" spans="1:26" ht="13.5" customHeight="1">
      <c r="A558" s="109"/>
      <c r="B558" s="109"/>
      <c r="C558" s="109"/>
      <c r="D558" s="109"/>
      <c r="E558" s="109"/>
      <c r="F558" s="109"/>
      <c r="G558" s="161"/>
      <c r="H558" s="109"/>
      <c r="I558" s="109"/>
      <c r="J558" s="109"/>
      <c r="K558" s="109"/>
      <c r="L558" s="109"/>
      <c r="M558" s="109"/>
      <c r="N558" s="109"/>
      <c r="O558" s="109"/>
      <c r="P558" s="109"/>
      <c r="Q558" s="109"/>
      <c r="R558" s="109"/>
      <c r="S558" s="109"/>
      <c r="T558" s="109"/>
      <c r="U558" s="109"/>
      <c r="V558" s="109"/>
      <c r="W558" s="109"/>
      <c r="X558" s="109"/>
      <c r="Y558" s="109"/>
      <c r="Z558" s="109"/>
    </row>
    <row r="559" spans="1:26" ht="13.5" customHeight="1">
      <c r="A559" s="109"/>
      <c r="B559" s="109"/>
      <c r="C559" s="109"/>
      <c r="D559" s="109"/>
      <c r="E559" s="109"/>
      <c r="F559" s="109"/>
      <c r="G559" s="161"/>
      <c r="H559" s="109"/>
      <c r="I559" s="109"/>
      <c r="J559" s="109"/>
      <c r="K559" s="109"/>
      <c r="L559" s="109"/>
      <c r="M559" s="109"/>
      <c r="N559" s="109"/>
      <c r="O559" s="109"/>
      <c r="P559" s="109"/>
      <c r="Q559" s="109"/>
      <c r="R559" s="109"/>
      <c r="S559" s="109"/>
      <c r="T559" s="109"/>
      <c r="U559" s="109"/>
      <c r="V559" s="109"/>
      <c r="W559" s="109"/>
      <c r="X559" s="109"/>
      <c r="Y559" s="109"/>
      <c r="Z559" s="109"/>
    </row>
    <row r="560" spans="1:26" ht="13.5" customHeight="1">
      <c r="A560" s="109"/>
      <c r="B560" s="109"/>
      <c r="C560" s="109"/>
      <c r="D560" s="109"/>
      <c r="E560" s="109"/>
      <c r="F560" s="109"/>
      <c r="G560" s="161"/>
      <c r="H560" s="109"/>
      <c r="I560" s="109"/>
      <c r="J560" s="109"/>
      <c r="K560" s="109"/>
      <c r="L560" s="109"/>
      <c r="M560" s="109"/>
      <c r="N560" s="109"/>
      <c r="O560" s="109"/>
      <c r="P560" s="109"/>
      <c r="Q560" s="109"/>
      <c r="R560" s="109"/>
      <c r="S560" s="109"/>
      <c r="T560" s="109"/>
      <c r="U560" s="109"/>
      <c r="V560" s="109"/>
      <c r="W560" s="109"/>
      <c r="X560" s="109"/>
      <c r="Y560" s="109"/>
      <c r="Z560" s="109"/>
    </row>
    <row r="561" spans="1:26" ht="13.5" customHeight="1">
      <c r="A561" s="109"/>
      <c r="B561" s="109"/>
      <c r="C561" s="109"/>
      <c r="D561" s="109"/>
      <c r="E561" s="109"/>
      <c r="F561" s="109"/>
      <c r="G561" s="161"/>
      <c r="H561" s="109"/>
      <c r="I561" s="109"/>
      <c r="J561" s="109"/>
      <c r="K561" s="109"/>
      <c r="L561" s="109"/>
      <c r="M561" s="109"/>
      <c r="N561" s="109"/>
      <c r="O561" s="109"/>
      <c r="P561" s="109"/>
      <c r="Q561" s="109"/>
      <c r="R561" s="109"/>
      <c r="S561" s="109"/>
      <c r="T561" s="109"/>
      <c r="U561" s="109"/>
      <c r="V561" s="109"/>
      <c r="W561" s="109"/>
      <c r="X561" s="109"/>
      <c r="Y561" s="109"/>
      <c r="Z561" s="109"/>
    </row>
    <row r="562" spans="1:26" ht="13.5" customHeight="1">
      <c r="A562" s="109"/>
      <c r="B562" s="109"/>
      <c r="C562" s="109"/>
      <c r="D562" s="109"/>
      <c r="E562" s="109"/>
      <c r="F562" s="109"/>
      <c r="G562" s="161"/>
      <c r="H562" s="109"/>
      <c r="I562" s="109"/>
      <c r="J562" s="109"/>
      <c r="K562" s="109"/>
      <c r="L562" s="109"/>
      <c r="M562" s="109"/>
      <c r="N562" s="109"/>
      <c r="O562" s="109"/>
      <c r="P562" s="109"/>
      <c r="Q562" s="109"/>
      <c r="R562" s="109"/>
      <c r="S562" s="109"/>
      <c r="T562" s="109"/>
      <c r="U562" s="109"/>
      <c r="V562" s="109"/>
      <c r="W562" s="109"/>
      <c r="X562" s="109"/>
      <c r="Y562" s="109"/>
      <c r="Z562" s="109"/>
    </row>
    <row r="563" spans="1:26" ht="13.5" customHeight="1">
      <c r="A563" s="109"/>
      <c r="B563" s="109"/>
      <c r="C563" s="109"/>
      <c r="D563" s="109"/>
      <c r="E563" s="109"/>
      <c r="F563" s="109"/>
      <c r="G563" s="161"/>
      <c r="H563" s="109"/>
      <c r="I563" s="109"/>
      <c r="J563" s="109"/>
      <c r="K563" s="109"/>
      <c r="L563" s="109"/>
      <c r="M563" s="109"/>
      <c r="N563" s="109"/>
      <c r="O563" s="109"/>
      <c r="P563" s="109"/>
      <c r="Q563" s="109"/>
      <c r="R563" s="109"/>
      <c r="S563" s="109"/>
      <c r="T563" s="109"/>
      <c r="U563" s="109"/>
      <c r="V563" s="109"/>
      <c r="W563" s="109"/>
      <c r="X563" s="109"/>
      <c r="Y563" s="109"/>
      <c r="Z563" s="109"/>
    </row>
    <row r="564" spans="1:26" ht="13.5" customHeight="1">
      <c r="A564" s="109"/>
      <c r="B564" s="109"/>
      <c r="C564" s="109"/>
      <c r="D564" s="109"/>
      <c r="E564" s="109"/>
      <c r="F564" s="109"/>
      <c r="G564" s="161"/>
      <c r="H564" s="109"/>
      <c r="I564" s="109"/>
      <c r="J564" s="109"/>
      <c r="K564" s="109"/>
      <c r="L564" s="109"/>
      <c r="M564" s="109"/>
      <c r="N564" s="109"/>
      <c r="O564" s="109"/>
      <c r="P564" s="109"/>
      <c r="Q564" s="109"/>
      <c r="R564" s="109"/>
      <c r="S564" s="109"/>
      <c r="T564" s="109"/>
      <c r="U564" s="109"/>
      <c r="V564" s="109"/>
      <c r="W564" s="109"/>
      <c r="X564" s="109"/>
      <c r="Y564" s="109"/>
      <c r="Z564" s="109"/>
    </row>
    <row r="565" spans="1:26" ht="13.5" customHeight="1">
      <c r="A565" s="109"/>
      <c r="B565" s="109"/>
      <c r="C565" s="109"/>
      <c r="D565" s="109"/>
      <c r="E565" s="109"/>
      <c r="F565" s="109"/>
      <c r="G565" s="161"/>
      <c r="H565" s="109"/>
      <c r="I565" s="109"/>
      <c r="J565" s="109"/>
      <c r="K565" s="109"/>
      <c r="L565" s="109"/>
      <c r="M565" s="109"/>
      <c r="N565" s="109"/>
      <c r="O565" s="109"/>
      <c r="P565" s="109"/>
      <c r="Q565" s="109"/>
      <c r="R565" s="109"/>
      <c r="S565" s="109"/>
      <c r="T565" s="109"/>
      <c r="U565" s="109"/>
      <c r="V565" s="109"/>
      <c r="W565" s="109"/>
      <c r="X565" s="109"/>
      <c r="Y565" s="109"/>
      <c r="Z565" s="109"/>
    </row>
    <row r="566" spans="1:26" ht="13.5" customHeight="1">
      <c r="A566" s="109"/>
      <c r="B566" s="109"/>
      <c r="C566" s="109"/>
      <c r="D566" s="109"/>
      <c r="E566" s="109"/>
      <c r="F566" s="109"/>
      <c r="G566" s="161"/>
      <c r="H566" s="109"/>
      <c r="I566" s="109"/>
      <c r="J566" s="109"/>
      <c r="K566" s="109"/>
      <c r="L566" s="109"/>
      <c r="M566" s="109"/>
      <c r="N566" s="109"/>
      <c r="O566" s="109"/>
      <c r="P566" s="109"/>
      <c r="Q566" s="109"/>
      <c r="R566" s="109"/>
      <c r="S566" s="109"/>
      <c r="T566" s="109"/>
      <c r="U566" s="109"/>
      <c r="V566" s="109"/>
      <c r="W566" s="109"/>
      <c r="X566" s="109"/>
      <c r="Y566" s="109"/>
      <c r="Z566" s="109"/>
    </row>
    <row r="567" spans="1:26" ht="13.5" customHeight="1">
      <c r="A567" s="109"/>
      <c r="B567" s="109"/>
      <c r="C567" s="109"/>
      <c r="D567" s="109"/>
      <c r="E567" s="109"/>
      <c r="F567" s="109"/>
      <c r="G567" s="161"/>
      <c r="H567" s="109"/>
      <c r="I567" s="109"/>
      <c r="J567" s="109"/>
      <c r="K567" s="109"/>
      <c r="L567" s="109"/>
      <c r="M567" s="109"/>
      <c r="N567" s="109"/>
      <c r="O567" s="109"/>
      <c r="P567" s="109"/>
      <c r="Q567" s="109"/>
      <c r="R567" s="109"/>
      <c r="S567" s="109"/>
      <c r="T567" s="109"/>
      <c r="U567" s="109"/>
      <c r="V567" s="109"/>
      <c r="W567" s="109"/>
      <c r="X567" s="109"/>
      <c r="Y567" s="109"/>
      <c r="Z567" s="109"/>
    </row>
    <row r="568" spans="1:26" ht="13.5" customHeight="1">
      <c r="A568" s="109"/>
      <c r="B568" s="109"/>
      <c r="C568" s="109"/>
      <c r="D568" s="109"/>
      <c r="E568" s="109"/>
      <c r="F568" s="109"/>
      <c r="G568" s="161"/>
      <c r="H568" s="109"/>
      <c r="I568" s="109"/>
      <c r="J568" s="109"/>
      <c r="K568" s="109"/>
      <c r="L568" s="109"/>
      <c r="M568" s="109"/>
      <c r="N568" s="109"/>
      <c r="O568" s="109"/>
      <c r="P568" s="109"/>
      <c r="Q568" s="109"/>
      <c r="R568" s="109"/>
      <c r="S568" s="109"/>
      <c r="T568" s="109"/>
      <c r="U568" s="109"/>
      <c r="V568" s="109"/>
      <c r="W568" s="109"/>
      <c r="X568" s="109"/>
      <c r="Y568" s="109"/>
      <c r="Z568" s="109"/>
    </row>
    <row r="569" spans="1:26" ht="13.5" customHeight="1">
      <c r="A569" s="109"/>
      <c r="B569" s="109"/>
      <c r="C569" s="109"/>
      <c r="D569" s="109"/>
      <c r="E569" s="109"/>
      <c r="F569" s="109"/>
      <c r="G569" s="161"/>
      <c r="H569" s="109"/>
      <c r="I569" s="109"/>
      <c r="J569" s="109"/>
      <c r="K569" s="109"/>
      <c r="L569" s="109"/>
      <c r="M569" s="109"/>
      <c r="N569" s="109"/>
      <c r="O569" s="109"/>
      <c r="P569" s="109"/>
      <c r="Q569" s="109"/>
      <c r="R569" s="109"/>
      <c r="S569" s="109"/>
      <c r="T569" s="109"/>
      <c r="U569" s="109"/>
      <c r="V569" s="109"/>
      <c r="W569" s="109"/>
      <c r="X569" s="109"/>
      <c r="Y569" s="109"/>
      <c r="Z569" s="109"/>
    </row>
    <row r="570" spans="1:26" ht="13.5" customHeight="1">
      <c r="A570" s="109"/>
      <c r="B570" s="109"/>
      <c r="C570" s="109"/>
      <c r="D570" s="109"/>
      <c r="E570" s="109"/>
      <c r="F570" s="109"/>
      <c r="G570" s="161"/>
      <c r="H570" s="109"/>
      <c r="I570" s="109"/>
      <c r="J570" s="109"/>
      <c r="K570" s="109"/>
      <c r="L570" s="109"/>
      <c r="M570" s="109"/>
      <c r="N570" s="109"/>
      <c r="O570" s="109"/>
      <c r="P570" s="109"/>
      <c r="Q570" s="109"/>
      <c r="R570" s="109"/>
      <c r="S570" s="109"/>
      <c r="T570" s="109"/>
      <c r="U570" s="109"/>
      <c r="V570" s="109"/>
      <c r="W570" s="109"/>
      <c r="X570" s="109"/>
      <c r="Y570" s="109"/>
      <c r="Z570" s="109"/>
    </row>
    <row r="571" spans="1:26" ht="13.5" customHeight="1">
      <c r="A571" s="109"/>
      <c r="B571" s="109"/>
      <c r="C571" s="109"/>
      <c r="D571" s="109"/>
      <c r="E571" s="109"/>
      <c r="F571" s="109"/>
      <c r="G571" s="161"/>
      <c r="H571" s="109"/>
      <c r="I571" s="109"/>
      <c r="J571" s="109"/>
      <c r="K571" s="109"/>
      <c r="L571" s="109"/>
      <c r="M571" s="109"/>
      <c r="N571" s="109"/>
      <c r="O571" s="109"/>
      <c r="P571" s="109"/>
      <c r="Q571" s="109"/>
      <c r="R571" s="109"/>
      <c r="S571" s="109"/>
      <c r="T571" s="109"/>
      <c r="U571" s="109"/>
      <c r="V571" s="109"/>
      <c r="W571" s="109"/>
      <c r="X571" s="109"/>
      <c r="Y571" s="109"/>
      <c r="Z571" s="109"/>
    </row>
    <row r="572" spans="1:26" ht="13.5" customHeight="1">
      <c r="A572" s="109"/>
      <c r="B572" s="109"/>
      <c r="C572" s="109"/>
      <c r="D572" s="109"/>
      <c r="E572" s="109"/>
      <c r="F572" s="109"/>
      <c r="G572" s="161"/>
      <c r="H572" s="109"/>
      <c r="I572" s="109"/>
      <c r="J572" s="109"/>
      <c r="K572" s="109"/>
      <c r="L572" s="109"/>
      <c r="M572" s="109"/>
      <c r="N572" s="109"/>
      <c r="O572" s="109"/>
      <c r="P572" s="109"/>
      <c r="Q572" s="109"/>
      <c r="R572" s="109"/>
      <c r="S572" s="109"/>
      <c r="T572" s="109"/>
      <c r="U572" s="109"/>
      <c r="V572" s="109"/>
      <c r="W572" s="109"/>
      <c r="X572" s="109"/>
      <c r="Y572" s="109"/>
      <c r="Z572" s="109"/>
    </row>
    <row r="573" spans="1:26" ht="13.5" customHeight="1">
      <c r="A573" s="109"/>
      <c r="B573" s="109"/>
      <c r="C573" s="109"/>
      <c r="D573" s="109"/>
      <c r="E573" s="109"/>
      <c r="F573" s="109"/>
      <c r="G573" s="161"/>
      <c r="H573" s="109"/>
      <c r="I573" s="109"/>
      <c r="J573" s="109"/>
      <c r="K573" s="109"/>
      <c r="L573" s="109"/>
      <c r="M573" s="109"/>
      <c r="N573" s="109"/>
      <c r="O573" s="109"/>
      <c r="P573" s="109"/>
      <c r="Q573" s="109"/>
      <c r="R573" s="109"/>
      <c r="S573" s="109"/>
      <c r="T573" s="109"/>
      <c r="U573" s="109"/>
      <c r="V573" s="109"/>
      <c r="W573" s="109"/>
      <c r="X573" s="109"/>
      <c r="Y573" s="109"/>
      <c r="Z573" s="109"/>
    </row>
    <row r="574" spans="1:26" ht="13.5" customHeight="1">
      <c r="A574" s="109"/>
      <c r="B574" s="109"/>
      <c r="C574" s="109"/>
      <c r="D574" s="109"/>
      <c r="E574" s="109"/>
      <c r="F574" s="109"/>
      <c r="G574" s="161"/>
      <c r="H574" s="109"/>
      <c r="I574" s="109"/>
      <c r="J574" s="109"/>
      <c r="K574" s="109"/>
      <c r="L574" s="109"/>
      <c r="M574" s="109"/>
      <c r="N574" s="109"/>
      <c r="O574" s="109"/>
      <c r="P574" s="109"/>
      <c r="Q574" s="109"/>
      <c r="R574" s="109"/>
      <c r="S574" s="109"/>
      <c r="T574" s="109"/>
      <c r="U574" s="109"/>
      <c r="V574" s="109"/>
      <c r="W574" s="109"/>
      <c r="X574" s="109"/>
      <c r="Y574" s="109"/>
      <c r="Z574" s="109"/>
    </row>
    <row r="575" spans="1:26" ht="13.5" customHeight="1">
      <c r="A575" s="109"/>
      <c r="B575" s="109"/>
      <c r="C575" s="109"/>
      <c r="D575" s="109"/>
      <c r="E575" s="109"/>
      <c r="F575" s="109"/>
      <c r="G575" s="161"/>
      <c r="H575" s="109"/>
      <c r="I575" s="109"/>
      <c r="J575" s="109"/>
      <c r="K575" s="109"/>
      <c r="L575" s="109"/>
      <c r="M575" s="109"/>
      <c r="N575" s="109"/>
      <c r="O575" s="109"/>
      <c r="P575" s="109"/>
      <c r="Q575" s="109"/>
      <c r="R575" s="109"/>
      <c r="S575" s="109"/>
      <c r="T575" s="109"/>
      <c r="U575" s="109"/>
      <c r="V575" s="109"/>
      <c r="W575" s="109"/>
      <c r="X575" s="109"/>
      <c r="Y575" s="109"/>
      <c r="Z575" s="109"/>
    </row>
    <row r="576" spans="1:26" ht="13.5" customHeight="1">
      <c r="A576" s="109"/>
      <c r="B576" s="109"/>
      <c r="C576" s="109"/>
      <c r="D576" s="109"/>
      <c r="E576" s="109"/>
      <c r="F576" s="109"/>
      <c r="G576" s="161"/>
      <c r="H576" s="109"/>
      <c r="I576" s="109"/>
      <c r="J576" s="109"/>
      <c r="K576" s="109"/>
      <c r="L576" s="109"/>
      <c r="M576" s="109"/>
      <c r="N576" s="109"/>
      <c r="O576" s="109"/>
      <c r="P576" s="109"/>
      <c r="Q576" s="109"/>
      <c r="R576" s="109"/>
      <c r="S576" s="109"/>
      <c r="T576" s="109"/>
      <c r="U576" s="109"/>
      <c r="V576" s="109"/>
      <c r="W576" s="109"/>
      <c r="X576" s="109"/>
      <c r="Y576" s="109"/>
      <c r="Z576" s="109"/>
    </row>
    <row r="577" spans="1:26" ht="13.5" customHeight="1">
      <c r="A577" s="109"/>
      <c r="B577" s="109"/>
      <c r="C577" s="109"/>
      <c r="D577" s="109"/>
      <c r="E577" s="109"/>
      <c r="F577" s="109"/>
      <c r="G577" s="161"/>
      <c r="H577" s="109"/>
      <c r="I577" s="109"/>
      <c r="J577" s="109"/>
      <c r="K577" s="109"/>
      <c r="L577" s="109"/>
      <c r="M577" s="109"/>
      <c r="N577" s="109"/>
      <c r="O577" s="109"/>
      <c r="P577" s="109"/>
      <c r="Q577" s="109"/>
      <c r="R577" s="109"/>
      <c r="S577" s="109"/>
      <c r="T577" s="109"/>
      <c r="U577" s="109"/>
      <c r="V577" s="109"/>
      <c r="W577" s="109"/>
      <c r="X577" s="109"/>
      <c r="Y577" s="109"/>
      <c r="Z577" s="109"/>
    </row>
    <row r="578" spans="1:26" ht="13.5" customHeight="1">
      <c r="A578" s="109"/>
      <c r="B578" s="109"/>
      <c r="C578" s="109"/>
      <c r="D578" s="109"/>
      <c r="E578" s="109"/>
      <c r="F578" s="109"/>
      <c r="G578" s="161"/>
      <c r="H578" s="109"/>
      <c r="I578" s="109"/>
      <c r="J578" s="109"/>
      <c r="K578" s="109"/>
      <c r="L578" s="109"/>
      <c r="M578" s="109"/>
      <c r="N578" s="109"/>
      <c r="O578" s="109"/>
      <c r="P578" s="109"/>
      <c r="Q578" s="109"/>
      <c r="R578" s="109"/>
      <c r="S578" s="109"/>
      <c r="T578" s="109"/>
      <c r="U578" s="109"/>
      <c r="V578" s="109"/>
      <c r="W578" s="109"/>
      <c r="X578" s="109"/>
      <c r="Y578" s="109"/>
      <c r="Z578" s="109"/>
    </row>
    <row r="579" spans="1:26" ht="13.5" customHeight="1">
      <c r="A579" s="109"/>
      <c r="B579" s="109"/>
      <c r="C579" s="109"/>
      <c r="D579" s="109"/>
      <c r="E579" s="109"/>
      <c r="F579" s="109"/>
      <c r="G579" s="161"/>
      <c r="H579" s="109"/>
      <c r="I579" s="109"/>
      <c r="J579" s="109"/>
      <c r="K579" s="109"/>
      <c r="L579" s="109"/>
      <c r="M579" s="109"/>
      <c r="N579" s="109"/>
      <c r="O579" s="109"/>
      <c r="P579" s="109"/>
      <c r="Q579" s="109"/>
      <c r="R579" s="109"/>
      <c r="S579" s="109"/>
      <c r="T579" s="109"/>
      <c r="U579" s="109"/>
      <c r="V579" s="109"/>
      <c r="W579" s="109"/>
      <c r="X579" s="109"/>
      <c r="Y579" s="109"/>
      <c r="Z579" s="109"/>
    </row>
    <row r="580" spans="1:26" ht="13.5" customHeight="1">
      <c r="A580" s="109"/>
      <c r="B580" s="109"/>
      <c r="C580" s="109"/>
      <c r="D580" s="109"/>
      <c r="E580" s="109"/>
      <c r="F580" s="109"/>
      <c r="G580" s="161"/>
      <c r="H580" s="109"/>
      <c r="I580" s="109"/>
      <c r="J580" s="109"/>
      <c r="K580" s="109"/>
      <c r="L580" s="109"/>
      <c r="M580" s="109"/>
      <c r="N580" s="109"/>
      <c r="O580" s="109"/>
      <c r="P580" s="109"/>
      <c r="Q580" s="109"/>
      <c r="R580" s="109"/>
      <c r="S580" s="109"/>
      <c r="T580" s="109"/>
      <c r="U580" s="109"/>
      <c r="V580" s="109"/>
      <c r="W580" s="109"/>
      <c r="X580" s="109"/>
      <c r="Y580" s="109"/>
      <c r="Z580" s="109"/>
    </row>
    <row r="581" spans="1:26" ht="13.5" customHeight="1">
      <c r="A581" s="109"/>
      <c r="B581" s="109"/>
      <c r="C581" s="109"/>
      <c r="D581" s="109"/>
      <c r="E581" s="109"/>
      <c r="F581" s="109"/>
      <c r="G581" s="161"/>
      <c r="H581" s="109"/>
      <c r="I581" s="109"/>
      <c r="J581" s="109"/>
      <c r="K581" s="109"/>
      <c r="L581" s="109"/>
      <c r="M581" s="109"/>
      <c r="N581" s="109"/>
      <c r="O581" s="109"/>
      <c r="P581" s="109"/>
      <c r="Q581" s="109"/>
      <c r="R581" s="109"/>
      <c r="S581" s="109"/>
      <c r="T581" s="109"/>
      <c r="U581" s="109"/>
      <c r="V581" s="109"/>
      <c r="W581" s="109"/>
      <c r="X581" s="109"/>
      <c r="Y581" s="109"/>
      <c r="Z581" s="109"/>
    </row>
    <row r="582" spans="1:26" ht="13.5" customHeight="1">
      <c r="A582" s="109"/>
      <c r="B582" s="109"/>
      <c r="C582" s="109"/>
      <c r="D582" s="109"/>
      <c r="E582" s="109"/>
      <c r="F582" s="109"/>
      <c r="G582" s="161"/>
      <c r="H582" s="109"/>
      <c r="I582" s="109"/>
      <c r="J582" s="109"/>
      <c r="K582" s="109"/>
      <c r="L582" s="109"/>
      <c r="M582" s="109"/>
      <c r="N582" s="109"/>
      <c r="O582" s="109"/>
      <c r="P582" s="109"/>
      <c r="Q582" s="109"/>
      <c r="R582" s="109"/>
      <c r="S582" s="109"/>
      <c r="T582" s="109"/>
      <c r="U582" s="109"/>
      <c r="V582" s="109"/>
      <c r="W582" s="109"/>
      <c r="X582" s="109"/>
      <c r="Y582" s="109"/>
      <c r="Z582" s="109"/>
    </row>
    <row r="583" spans="1:26" ht="13.5" customHeight="1">
      <c r="A583" s="109"/>
      <c r="B583" s="109"/>
      <c r="C583" s="109"/>
      <c r="D583" s="109"/>
      <c r="E583" s="109"/>
      <c r="F583" s="109"/>
      <c r="G583" s="161"/>
      <c r="H583" s="109"/>
      <c r="I583" s="109"/>
      <c r="J583" s="109"/>
      <c r="K583" s="109"/>
      <c r="L583" s="109"/>
      <c r="M583" s="109"/>
      <c r="N583" s="109"/>
      <c r="O583" s="109"/>
      <c r="P583" s="109"/>
      <c r="Q583" s="109"/>
      <c r="R583" s="109"/>
      <c r="S583" s="109"/>
      <c r="T583" s="109"/>
      <c r="U583" s="109"/>
      <c r="V583" s="109"/>
      <c r="W583" s="109"/>
      <c r="X583" s="109"/>
      <c r="Y583" s="109"/>
      <c r="Z583" s="109"/>
    </row>
    <row r="584" spans="1:26" ht="13.5" customHeight="1">
      <c r="A584" s="109"/>
      <c r="B584" s="109"/>
      <c r="C584" s="109"/>
      <c r="D584" s="109"/>
      <c r="E584" s="109"/>
      <c r="F584" s="109"/>
      <c r="G584" s="161"/>
      <c r="H584" s="109"/>
      <c r="I584" s="109"/>
      <c r="J584" s="109"/>
      <c r="K584" s="109"/>
      <c r="L584" s="109"/>
      <c r="M584" s="109"/>
      <c r="N584" s="109"/>
      <c r="O584" s="109"/>
      <c r="P584" s="109"/>
      <c r="Q584" s="109"/>
      <c r="R584" s="109"/>
      <c r="S584" s="109"/>
      <c r="T584" s="109"/>
      <c r="U584" s="109"/>
      <c r="V584" s="109"/>
      <c r="W584" s="109"/>
      <c r="X584" s="109"/>
      <c r="Y584" s="109"/>
      <c r="Z584" s="109"/>
    </row>
    <row r="585" spans="1:26" ht="13.5" customHeight="1">
      <c r="A585" s="109"/>
      <c r="B585" s="109"/>
      <c r="C585" s="109"/>
      <c r="D585" s="109"/>
      <c r="E585" s="109"/>
      <c r="F585" s="109"/>
      <c r="G585" s="161"/>
      <c r="H585" s="109"/>
      <c r="I585" s="109"/>
      <c r="J585" s="109"/>
      <c r="K585" s="109"/>
      <c r="L585" s="109"/>
      <c r="M585" s="109"/>
      <c r="N585" s="109"/>
      <c r="O585" s="109"/>
      <c r="P585" s="109"/>
      <c r="Q585" s="109"/>
      <c r="R585" s="109"/>
      <c r="S585" s="109"/>
      <c r="T585" s="109"/>
      <c r="U585" s="109"/>
      <c r="V585" s="109"/>
      <c r="W585" s="109"/>
      <c r="X585" s="109"/>
      <c r="Y585" s="109"/>
      <c r="Z585" s="109"/>
    </row>
    <row r="586" spans="1:26" ht="13.5" customHeight="1">
      <c r="A586" s="109"/>
      <c r="B586" s="109"/>
      <c r="C586" s="109"/>
      <c r="D586" s="109"/>
      <c r="E586" s="109"/>
      <c r="F586" s="109"/>
      <c r="G586" s="161"/>
      <c r="H586" s="109"/>
      <c r="I586" s="109"/>
      <c r="J586" s="109"/>
      <c r="K586" s="109"/>
      <c r="L586" s="109"/>
      <c r="M586" s="109"/>
      <c r="N586" s="109"/>
      <c r="O586" s="109"/>
      <c r="P586" s="109"/>
      <c r="Q586" s="109"/>
      <c r="R586" s="109"/>
      <c r="S586" s="109"/>
      <c r="T586" s="109"/>
      <c r="U586" s="109"/>
      <c r="V586" s="109"/>
      <c r="W586" s="109"/>
      <c r="X586" s="109"/>
      <c r="Y586" s="109"/>
      <c r="Z586" s="109"/>
    </row>
    <row r="587" spans="1:26" ht="13.5" customHeight="1">
      <c r="A587" s="109"/>
      <c r="B587" s="109"/>
      <c r="C587" s="109"/>
      <c r="D587" s="109"/>
      <c r="E587" s="109"/>
      <c r="F587" s="109"/>
      <c r="G587" s="161"/>
      <c r="H587" s="109"/>
      <c r="I587" s="109"/>
      <c r="J587" s="109"/>
      <c r="K587" s="109"/>
      <c r="L587" s="109"/>
      <c r="M587" s="109"/>
      <c r="N587" s="109"/>
      <c r="O587" s="109"/>
      <c r="P587" s="109"/>
      <c r="Q587" s="109"/>
      <c r="R587" s="109"/>
      <c r="S587" s="109"/>
      <c r="T587" s="109"/>
      <c r="U587" s="109"/>
      <c r="V587" s="109"/>
      <c r="W587" s="109"/>
      <c r="X587" s="109"/>
      <c r="Y587" s="109"/>
      <c r="Z587" s="109"/>
    </row>
    <row r="588" spans="1:26" ht="13.5" customHeight="1">
      <c r="A588" s="109"/>
      <c r="B588" s="109"/>
      <c r="C588" s="109"/>
      <c r="D588" s="109"/>
      <c r="E588" s="109"/>
      <c r="F588" s="109"/>
      <c r="G588" s="161"/>
      <c r="H588" s="109"/>
      <c r="I588" s="109"/>
      <c r="J588" s="109"/>
      <c r="K588" s="109"/>
      <c r="L588" s="109"/>
      <c r="M588" s="109"/>
      <c r="N588" s="109"/>
      <c r="O588" s="109"/>
      <c r="P588" s="109"/>
      <c r="Q588" s="109"/>
      <c r="R588" s="109"/>
      <c r="S588" s="109"/>
      <c r="T588" s="109"/>
      <c r="U588" s="109"/>
      <c r="V588" s="109"/>
      <c r="W588" s="109"/>
      <c r="X588" s="109"/>
      <c r="Y588" s="109"/>
      <c r="Z588" s="109"/>
    </row>
    <row r="589" spans="1:26" ht="13.5" customHeight="1">
      <c r="A589" s="109"/>
      <c r="B589" s="109"/>
      <c r="C589" s="109"/>
      <c r="D589" s="109"/>
      <c r="E589" s="109"/>
      <c r="F589" s="109"/>
      <c r="G589" s="161"/>
      <c r="H589" s="109"/>
      <c r="I589" s="109"/>
      <c r="J589" s="109"/>
      <c r="K589" s="109"/>
      <c r="L589" s="109"/>
      <c r="M589" s="109"/>
      <c r="N589" s="109"/>
      <c r="O589" s="109"/>
      <c r="P589" s="109"/>
      <c r="Q589" s="109"/>
      <c r="R589" s="109"/>
      <c r="S589" s="109"/>
      <c r="T589" s="109"/>
      <c r="U589" s="109"/>
      <c r="V589" s="109"/>
      <c r="W589" s="109"/>
      <c r="X589" s="109"/>
      <c r="Y589" s="109"/>
      <c r="Z589" s="109"/>
    </row>
    <row r="590" spans="1:26" ht="13.5" customHeight="1">
      <c r="A590" s="109"/>
      <c r="B590" s="109"/>
      <c r="C590" s="109"/>
      <c r="D590" s="109"/>
      <c r="E590" s="109"/>
      <c r="F590" s="109"/>
      <c r="G590" s="161"/>
      <c r="H590" s="109"/>
      <c r="I590" s="109"/>
      <c r="J590" s="109"/>
      <c r="K590" s="109"/>
      <c r="L590" s="109"/>
      <c r="M590" s="109"/>
      <c r="N590" s="109"/>
      <c r="O590" s="109"/>
      <c r="P590" s="109"/>
      <c r="Q590" s="109"/>
      <c r="R590" s="109"/>
      <c r="S590" s="109"/>
      <c r="T590" s="109"/>
      <c r="U590" s="109"/>
      <c r="V590" s="109"/>
      <c r="W590" s="109"/>
      <c r="X590" s="109"/>
      <c r="Y590" s="109"/>
      <c r="Z590" s="109"/>
    </row>
    <row r="591" spans="1:26" ht="13.5" customHeight="1">
      <c r="A591" s="109"/>
      <c r="B591" s="109"/>
      <c r="C591" s="109"/>
      <c r="D591" s="109"/>
      <c r="E591" s="109"/>
      <c r="F591" s="109"/>
      <c r="G591" s="161"/>
      <c r="H591" s="109"/>
      <c r="I591" s="109"/>
      <c r="J591" s="109"/>
      <c r="K591" s="109"/>
      <c r="L591" s="109"/>
      <c r="M591" s="109"/>
      <c r="N591" s="109"/>
      <c r="O591" s="109"/>
      <c r="P591" s="109"/>
      <c r="Q591" s="109"/>
      <c r="R591" s="109"/>
      <c r="S591" s="109"/>
      <c r="T591" s="109"/>
      <c r="U591" s="109"/>
      <c r="V591" s="109"/>
      <c r="W591" s="109"/>
      <c r="X591" s="109"/>
      <c r="Y591" s="109"/>
      <c r="Z591" s="109"/>
    </row>
    <row r="592" spans="1:26" ht="13.5" customHeight="1">
      <c r="A592" s="109"/>
      <c r="B592" s="109"/>
      <c r="C592" s="109"/>
      <c r="D592" s="109"/>
      <c r="E592" s="109"/>
      <c r="F592" s="109"/>
      <c r="G592" s="161"/>
      <c r="H592" s="109"/>
      <c r="I592" s="109"/>
      <c r="J592" s="109"/>
      <c r="K592" s="109"/>
      <c r="L592" s="109"/>
      <c r="M592" s="109"/>
      <c r="N592" s="109"/>
      <c r="O592" s="109"/>
      <c r="P592" s="109"/>
      <c r="Q592" s="109"/>
      <c r="R592" s="109"/>
      <c r="S592" s="109"/>
      <c r="T592" s="109"/>
      <c r="U592" s="109"/>
      <c r="V592" s="109"/>
      <c r="W592" s="109"/>
      <c r="X592" s="109"/>
      <c r="Y592" s="109"/>
      <c r="Z592" s="109"/>
    </row>
    <row r="593" spans="1:26" ht="13.5" customHeight="1">
      <c r="A593" s="109"/>
      <c r="B593" s="109"/>
      <c r="C593" s="109"/>
      <c r="D593" s="109"/>
      <c r="E593" s="109"/>
      <c r="F593" s="109"/>
      <c r="G593" s="161"/>
      <c r="H593" s="109"/>
      <c r="I593" s="109"/>
      <c r="J593" s="109"/>
      <c r="K593" s="109"/>
      <c r="L593" s="109"/>
      <c r="M593" s="109"/>
      <c r="N593" s="109"/>
      <c r="O593" s="109"/>
      <c r="P593" s="109"/>
      <c r="Q593" s="109"/>
      <c r="R593" s="109"/>
      <c r="S593" s="109"/>
      <c r="T593" s="109"/>
      <c r="U593" s="109"/>
      <c r="V593" s="109"/>
      <c r="W593" s="109"/>
      <c r="X593" s="109"/>
      <c r="Y593" s="109"/>
      <c r="Z593" s="109"/>
    </row>
    <row r="594" spans="1:26" ht="13.5" customHeight="1">
      <c r="A594" s="109"/>
      <c r="B594" s="109"/>
      <c r="C594" s="109"/>
      <c r="D594" s="109"/>
      <c r="E594" s="109"/>
      <c r="F594" s="109"/>
      <c r="G594" s="161"/>
      <c r="H594" s="109"/>
      <c r="I594" s="109"/>
      <c r="J594" s="109"/>
      <c r="K594" s="109"/>
      <c r="L594" s="109"/>
      <c r="M594" s="109"/>
      <c r="N594" s="109"/>
      <c r="O594" s="109"/>
      <c r="P594" s="109"/>
      <c r="Q594" s="109"/>
      <c r="R594" s="109"/>
      <c r="S594" s="109"/>
      <c r="T594" s="109"/>
      <c r="U594" s="109"/>
      <c r="V594" s="109"/>
      <c r="W594" s="109"/>
      <c r="X594" s="109"/>
      <c r="Y594" s="109"/>
      <c r="Z594" s="109"/>
    </row>
    <row r="595" spans="1:26" ht="13.5" customHeight="1">
      <c r="A595" s="109"/>
      <c r="B595" s="109"/>
      <c r="C595" s="109"/>
      <c r="D595" s="109"/>
      <c r="E595" s="109"/>
      <c r="F595" s="109"/>
      <c r="G595" s="161"/>
      <c r="H595" s="109"/>
      <c r="I595" s="109"/>
      <c r="J595" s="109"/>
      <c r="K595" s="109"/>
      <c r="L595" s="109"/>
      <c r="M595" s="109"/>
      <c r="N595" s="109"/>
      <c r="O595" s="109"/>
      <c r="P595" s="109"/>
      <c r="Q595" s="109"/>
      <c r="R595" s="109"/>
      <c r="S595" s="109"/>
      <c r="T595" s="109"/>
      <c r="U595" s="109"/>
      <c r="V595" s="109"/>
      <c r="W595" s="109"/>
      <c r="X595" s="109"/>
      <c r="Y595" s="109"/>
      <c r="Z595" s="109"/>
    </row>
    <row r="596" spans="1:26" ht="13.5" customHeight="1">
      <c r="A596" s="109"/>
      <c r="B596" s="109"/>
      <c r="C596" s="109"/>
      <c r="D596" s="109"/>
      <c r="E596" s="109"/>
      <c r="F596" s="109"/>
      <c r="G596" s="161"/>
      <c r="H596" s="109"/>
      <c r="I596" s="109"/>
      <c r="J596" s="109"/>
      <c r="K596" s="109"/>
      <c r="L596" s="109"/>
      <c r="M596" s="109"/>
      <c r="N596" s="109"/>
      <c r="O596" s="109"/>
      <c r="P596" s="109"/>
      <c r="Q596" s="109"/>
      <c r="R596" s="109"/>
      <c r="S596" s="109"/>
      <c r="T596" s="109"/>
      <c r="U596" s="109"/>
      <c r="V596" s="109"/>
      <c r="W596" s="109"/>
      <c r="X596" s="109"/>
      <c r="Y596" s="109"/>
      <c r="Z596" s="109"/>
    </row>
    <row r="597" spans="1:26" ht="13.5" customHeight="1">
      <c r="A597" s="109"/>
      <c r="B597" s="109"/>
      <c r="C597" s="109"/>
      <c r="D597" s="109"/>
      <c r="E597" s="109"/>
      <c r="F597" s="109"/>
      <c r="G597" s="161"/>
      <c r="H597" s="109"/>
      <c r="I597" s="109"/>
      <c r="J597" s="109"/>
      <c r="K597" s="109"/>
      <c r="L597" s="109"/>
      <c r="M597" s="109"/>
      <c r="N597" s="109"/>
      <c r="O597" s="109"/>
      <c r="P597" s="109"/>
      <c r="Q597" s="109"/>
      <c r="R597" s="109"/>
      <c r="S597" s="109"/>
      <c r="T597" s="109"/>
      <c r="U597" s="109"/>
      <c r="V597" s="109"/>
      <c r="W597" s="109"/>
      <c r="X597" s="109"/>
      <c r="Y597" s="109"/>
      <c r="Z597" s="109"/>
    </row>
    <row r="598" spans="1:26" ht="13.5" customHeight="1">
      <c r="A598" s="109"/>
      <c r="B598" s="109"/>
      <c r="C598" s="109"/>
      <c r="D598" s="109"/>
      <c r="E598" s="109"/>
      <c r="F598" s="109"/>
      <c r="G598" s="161"/>
      <c r="H598" s="109"/>
      <c r="I598" s="109"/>
      <c r="J598" s="109"/>
      <c r="K598" s="109"/>
      <c r="L598" s="109"/>
      <c r="M598" s="109"/>
      <c r="N598" s="109"/>
      <c r="O598" s="109"/>
      <c r="P598" s="109"/>
      <c r="Q598" s="109"/>
      <c r="R598" s="109"/>
      <c r="S598" s="109"/>
      <c r="T598" s="109"/>
      <c r="U598" s="109"/>
      <c r="V598" s="109"/>
      <c r="W598" s="109"/>
      <c r="X598" s="109"/>
      <c r="Y598" s="109"/>
      <c r="Z598" s="109"/>
    </row>
    <row r="599" spans="1:26" ht="13.5" customHeight="1">
      <c r="A599" s="109"/>
      <c r="B599" s="109"/>
      <c r="C599" s="109"/>
      <c r="D599" s="109"/>
      <c r="E599" s="109"/>
      <c r="F599" s="109"/>
      <c r="G599" s="161"/>
      <c r="H599" s="109"/>
      <c r="I599" s="109"/>
      <c r="J599" s="109"/>
      <c r="K599" s="109"/>
      <c r="L599" s="109"/>
      <c r="M599" s="109"/>
      <c r="N599" s="109"/>
      <c r="O599" s="109"/>
      <c r="P599" s="109"/>
      <c r="Q599" s="109"/>
      <c r="R599" s="109"/>
      <c r="S599" s="109"/>
      <c r="T599" s="109"/>
      <c r="U599" s="109"/>
      <c r="V599" s="109"/>
      <c r="W599" s="109"/>
      <c r="X599" s="109"/>
      <c r="Y599" s="109"/>
      <c r="Z599" s="109"/>
    </row>
    <row r="600" spans="1:26" ht="13.5" customHeight="1">
      <c r="A600" s="109"/>
      <c r="B600" s="109"/>
      <c r="C600" s="109"/>
      <c r="D600" s="109"/>
      <c r="E600" s="109"/>
      <c r="F600" s="109"/>
      <c r="G600" s="161"/>
      <c r="H600" s="109"/>
      <c r="I600" s="109"/>
      <c r="J600" s="109"/>
      <c r="K600" s="109"/>
      <c r="L600" s="109"/>
      <c r="M600" s="109"/>
      <c r="N600" s="109"/>
      <c r="O600" s="109"/>
      <c r="P600" s="109"/>
      <c r="Q600" s="109"/>
      <c r="R600" s="109"/>
      <c r="S600" s="109"/>
      <c r="T600" s="109"/>
      <c r="U600" s="109"/>
      <c r="V600" s="109"/>
      <c r="W600" s="109"/>
      <c r="X600" s="109"/>
      <c r="Y600" s="109"/>
      <c r="Z600" s="109"/>
    </row>
    <row r="601" spans="1:26" ht="13.5" customHeight="1">
      <c r="A601" s="109"/>
      <c r="B601" s="109"/>
      <c r="C601" s="109"/>
      <c r="D601" s="109"/>
      <c r="E601" s="109"/>
      <c r="F601" s="109"/>
      <c r="G601" s="161"/>
      <c r="H601" s="109"/>
      <c r="I601" s="109"/>
      <c r="J601" s="109"/>
      <c r="K601" s="109"/>
      <c r="L601" s="109"/>
      <c r="M601" s="109"/>
      <c r="N601" s="109"/>
      <c r="O601" s="109"/>
      <c r="P601" s="109"/>
      <c r="Q601" s="109"/>
      <c r="R601" s="109"/>
      <c r="S601" s="109"/>
      <c r="T601" s="109"/>
      <c r="U601" s="109"/>
      <c r="V601" s="109"/>
      <c r="W601" s="109"/>
      <c r="X601" s="109"/>
      <c r="Y601" s="109"/>
      <c r="Z601" s="109"/>
    </row>
    <row r="602" spans="1:26" ht="13.5" customHeight="1">
      <c r="A602" s="109"/>
      <c r="B602" s="109"/>
      <c r="C602" s="109"/>
      <c r="D602" s="109"/>
      <c r="E602" s="109"/>
      <c r="F602" s="109"/>
      <c r="G602" s="161"/>
      <c r="H602" s="109"/>
      <c r="I602" s="109"/>
      <c r="J602" s="109"/>
      <c r="K602" s="109"/>
      <c r="L602" s="109"/>
      <c r="M602" s="109"/>
      <c r="N602" s="109"/>
      <c r="O602" s="109"/>
      <c r="P602" s="109"/>
      <c r="Q602" s="109"/>
      <c r="R602" s="109"/>
      <c r="S602" s="109"/>
      <c r="T602" s="109"/>
      <c r="U602" s="109"/>
      <c r="V602" s="109"/>
      <c r="W602" s="109"/>
      <c r="X602" s="109"/>
      <c r="Y602" s="109"/>
      <c r="Z602" s="109"/>
    </row>
    <row r="603" spans="1:26" ht="13.5" customHeight="1">
      <c r="A603" s="109"/>
      <c r="B603" s="109"/>
      <c r="C603" s="109"/>
      <c r="D603" s="109"/>
      <c r="E603" s="109"/>
      <c r="F603" s="109"/>
      <c r="G603" s="161"/>
      <c r="H603" s="109"/>
      <c r="I603" s="109"/>
      <c r="J603" s="109"/>
      <c r="K603" s="109"/>
      <c r="L603" s="109"/>
      <c r="M603" s="109"/>
      <c r="N603" s="109"/>
      <c r="O603" s="109"/>
      <c r="P603" s="109"/>
      <c r="Q603" s="109"/>
      <c r="R603" s="109"/>
      <c r="S603" s="109"/>
      <c r="T603" s="109"/>
      <c r="U603" s="109"/>
      <c r="V603" s="109"/>
      <c r="W603" s="109"/>
      <c r="X603" s="109"/>
      <c r="Y603" s="109"/>
      <c r="Z603" s="109"/>
    </row>
    <row r="604" spans="1:26" ht="13.5" customHeight="1">
      <c r="A604" s="109"/>
      <c r="B604" s="109"/>
      <c r="C604" s="109"/>
      <c r="D604" s="109"/>
      <c r="E604" s="109"/>
      <c r="F604" s="109"/>
      <c r="G604" s="161"/>
      <c r="H604" s="109"/>
      <c r="I604" s="109"/>
      <c r="J604" s="109"/>
      <c r="K604" s="109"/>
      <c r="L604" s="109"/>
      <c r="M604" s="109"/>
      <c r="N604" s="109"/>
      <c r="O604" s="109"/>
      <c r="P604" s="109"/>
      <c r="Q604" s="109"/>
      <c r="R604" s="109"/>
      <c r="S604" s="109"/>
      <c r="T604" s="109"/>
      <c r="U604" s="109"/>
      <c r="V604" s="109"/>
      <c r="W604" s="109"/>
      <c r="X604" s="109"/>
      <c r="Y604" s="109"/>
      <c r="Z604" s="109"/>
    </row>
    <row r="605" spans="1:26" ht="13.5" customHeight="1">
      <c r="A605" s="109"/>
      <c r="B605" s="109"/>
      <c r="C605" s="109"/>
      <c r="D605" s="109"/>
      <c r="E605" s="109"/>
      <c r="F605" s="109"/>
      <c r="G605" s="161"/>
      <c r="H605" s="109"/>
      <c r="I605" s="109"/>
      <c r="J605" s="109"/>
      <c r="K605" s="109"/>
      <c r="L605" s="109"/>
      <c r="M605" s="109"/>
      <c r="N605" s="109"/>
      <c r="O605" s="109"/>
      <c r="P605" s="109"/>
      <c r="Q605" s="109"/>
      <c r="R605" s="109"/>
      <c r="S605" s="109"/>
      <c r="T605" s="109"/>
      <c r="U605" s="109"/>
      <c r="V605" s="109"/>
      <c r="W605" s="109"/>
      <c r="X605" s="109"/>
      <c r="Y605" s="109"/>
      <c r="Z605" s="109"/>
    </row>
    <row r="606" spans="1:26" ht="13.5" customHeight="1">
      <c r="A606" s="109"/>
      <c r="B606" s="109"/>
      <c r="C606" s="109"/>
      <c r="D606" s="109"/>
      <c r="E606" s="109"/>
      <c r="F606" s="109"/>
      <c r="G606" s="161"/>
      <c r="H606" s="109"/>
      <c r="I606" s="109"/>
      <c r="J606" s="109"/>
      <c r="K606" s="109"/>
      <c r="L606" s="109"/>
      <c r="M606" s="109"/>
      <c r="N606" s="109"/>
      <c r="O606" s="109"/>
      <c r="P606" s="109"/>
      <c r="Q606" s="109"/>
      <c r="R606" s="109"/>
      <c r="S606" s="109"/>
      <c r="T606" s="109"/>
      <c r="U606" s="109"/>
      <c r="V606" s="109"/>
      <c r="W606" s="109"/>
      <c r="X606" s="109"/>
      <c r="Y606" s="109"/>
      <c r="Z606" s="109"/>
    </row>
    <row r="607" spans="1:26" ht="13.5" customHeight="1">
      <c r="A607" s="109"/>
      <c r="B607" s="109"/>
      <c r="C607" s="109"/>
      <c r="D607" s="109"/>
      <c r="E607" s="109"/>
      <c r="F607" s="109"/>
      <c r="G607" s="161"/>
      <c r="H607" s="109"/>
      <c r="I607" s="109"/>
      <c r="J607" s="109"/>
      <c r="K607" s="109"/>
      <c r="L607" s="109"/>
      <c r="M607" s="109"/>
      <c r="N607" s="109"/>
      <c r="O607" s="109"/>
      <c r="P607" s="109"/>
      <c r="Q607" s="109"/>
      <c r="R607" s="109"/>
      <c r="S607" s="109"/>
      <c r="T607" s="109"/>
      <c r="U607" s="109"/>
      <c r="V607" s="109"/>
      <c r="W607" s="109"/>
      <c r="X607" s="109"/>
      <c r="Y607" s="109"/>
      <c r="Z607" s="109"/>
    </row>
    <row r="608" spans="1:26" ht="13.5" customHeight="1">
      <c r="A608" s="109"/>
      <c r="B608" s="109"/>
      <c r="C608" s="109"/>
      <c r="D608" s="109"/>
      <c r="E608" s="109"/>
      <c r="F608" s="109"/>
      <c r="G608" s="161"/>
      <c r="H608" s="109"/>
      <c r="I608" s="109"/>
      <c r="J608" s="109"/>
      <c r="K608" s="109"/>
      <c r="L608" s="109"/>
      <c r="M608" s="109"/>
      <c r="N608" s="109"/>
      <c r="O608" s="109"/>
      <c r="P608" s="109"/>
      <c r="Q608" s="109"/>
      <c r="R608" s="109"/>
      <c r="S608" s="109"/>
      <c r="T608" s="109"/>
      <c r="U608" s="109"/>
      <c r="V608" s="109"/>
      <c r="W608" s="109"/>
      <c r="X608" s="109"/>
      <c r="Y608" s="109"/>
      <c r="Z608" s="109"/>
    </row>
    <row r="609" spans="1:26" ht="13.5" customHeight="1">
      <c r="A609" s="109"/>
      <c r="B609" s="109"/>
      <c r="C609" s="109"/>
      <c r="D609" s="109"/>
      <c r="E609" s="109"/>
      <c r="F609" s="109"/>
      <c r="G609" s="161"/>
      <c r="H609" s="109"/>
      <c r="I609" s="109"/>
      <c r="J609" s="109"/>
      <c r="K609" s="109"/>
      <c r="L609" s="109"/>
      <c r="M609" s="109"/>
      <c r="N609" s="109"/>
      <c r="O609" s="109"/>
      <c r="P609" s="109"/>
      <c r="Q609" s="109"/>
      <c r="R609" s="109"/>
      <c r="S609" s="109"/>
      <c r="T609" s="109"/>
      <c r="U609" s="109"/>
      <c r="V609" s="109"/>
      <c r="W609" s="109"/>
      <c r="X609" s="109"/>
      <c r="Y609" s="109"/>
      <c r="Z609" s="109"/>
    </row>
    <row r="610" spans="1:26" ht="13.5" customHeight="1">
      <c r="A610" s="109"/>
      <c r="B610" s="109"/>
      <c r="C610" s="109"/>
      <c r="D610" s="109"/>
      <c r="E610" s="109"/>
      <c r="F610" s="109"/>
      <c r="G610" s="161"/>
      <c r="H610" s="109"/>
      <c r="I610" s="109"/>
      <c r="J610" s="109"/>
      <c r="K610" s="109"/>
      <c r="L610" s="109"/>
      <c r="M610" s="109"/>
      <c r="N610" s="109"/>
      <c r="O610" s="109"/>
      <c r="P610" s="109"/>
      <c r="Q610" s="109"/>
      <c r="R610" s="109"/>
      <c r="S610" s="109"/>
      <c r="T610" s="109"/>
      <c r="U610" s="109"/>
      <c r="V610" s="109"/>
      <c r="W610" s="109"/>
      <c r="X610" s="109"/>
      <c r="Y610" s="109"/>
      <c r="Z610" s="109"/>
    </row>
    <row r="611" spans="1:26" ht="13.5" customHeight="1">
      <c r="A611" s="109"/>
      <c r="B611" s="109"/>
      <c r="C611" s="109"/>
      <c r="D611" s="109"/>
      <c r="E611" s="109"/>
      <c r="F611" s="109"/>
      <c r="G611" s="161"/>
      <c r="H611" s="109"/>
      <c r="I611" s="109"/>
      <c r="J611" s="109"/>
      <c r="K611" s="109"/>
      <c r="L611" s="109"/>
      <c r="M611" s="109"/>
      <c r="N611" s="109"/>
      <c r="O611" s="109"/>
      <c r="P611" s="109"/>
      <c r="Q611" s="109"/>
      <c r="R611" s="109"/>
      <c r="S611" s="109"/>
      <c r="T611" s="109"/>
      <c r="U611" s="109"/>
      <c r="V611" s="109"/>
      <c r="W611" s="109"/>
      <c r="X611" s="109"/>
      <c r="Y611" s="109"/>
      <c r="Z611" s="109"/>
    </row>
    <row r="612" spans="1:26" ht="13.5" customHeight="1">
      <c r="A612" s="109"/>
      <c r="B612" s="109"/>
      <c r="C612" s="109"/>
      <c r="D612" s="109"/>
      <c r="E612" s="109"/>
      <c r="F612" s="109"/>
      <c r="G612" s="161"/>
      <c r="H612" s="109"/>
      <c r="I612" s="109"/>
      <c r="J612" s="109"/>
      <c r="K612" s="109"/>
      <c r="L612" s="109"/>
      <c r="M612" s="109"/>
      <c r="N612" s="109"/>
      <c r="O612" s="109"/>
      <c r="P612" s="109"/>
      <c r="Q612" s="109"/>
      <c r="R612" s="109"/>
      <c r="S612" s="109"/>
      <c r="T612" s="109"/>
      <c r="U612" s="109"/>
      <c r="V612" s="109"/>
      <c r="W612" s="109"/>
      <c r="X612" s="109"/>
      <c r="Y612" s="109"/>
      <c r="Z612" s="109"/>
    </row>
    <row r="613" spans="1:26" ht="13.5" customHeight="1">
      <c r="A613" s="109"/>
      <c r="B613" s="109"/>
      <c r="C613" s="109"/>
      <c r="D613" s="109"/>
      <c r="E613" s="109"/>
      <c r="F613" s="109"/>
      <c r="G613" s="161"/>
      <c r="H613" s="109"/>
      <c r="I613" s="109"/>
      <c r="J613" s="109"/>
      <c r="K613" s="109"/>
      <c r="L613" s="109"/>
      <c r="M613" s="109"/>
      <c r="N613" s="109"/>
      <c r="O613" s="109"/>
      <c r="P613" s="109"/>
      <c r="Q613" s="109"/>
      <c r="R613" s="109"/>
      <c r="S613" s="109"/>
      <c r="T613" s="109"/>
      <c r="U613" s="109"/>
      <c r="V613" s="109"/>
      <c r="W613" s="109"/>
      <c r="X613" s="109"/>
      <c r="Y613" s="109"/>
      <c r="Z613" s="109"/>
    </row>
    <row r="614" spans="1:26" ht="13.5" customHeight="1">
      <c r="A614" s="109"/>
      <c r="B614" s="109"/>
      <c r="C614" s="109"/>
      <c r="D614" s="109"/>
      <c r="E614" s="109"/>
      <c r="F614" s="109"/>
      <c r="G614" s="161"/>
      <c r="H614" s="109"/>
      <c r="I614" s="109"/>
      <c r="J614" s="109"/>
      <c r="K614" s="109"/>
      <c r="L614" s="109"/>
      <c r="M614" s="109"/>
      <c r="N614" s="109"/>
      <c r="O614" s="109"/>
      <c r="P614" s="109"/>
      <c r="Q614" s="109"/>
      <c r="R614" s="109"/>
      <c r="S614" s="109"/>
      <c r="T614" s="109"/>
      <c r="U614" s="109"/>
      <c r="V614" s="109"/>
      <c r="W614" s="109"/>
      <c r="X614" s="109"/>
      <c r="Y614" s="109"/>
      <c r="Z614" s="109"/>
    </row>
    <row r="615" spans="1:26" ht="13.5" customHeight="1">
      <c r="A615" s="109"/>
      <c r="B615" s="109"/>
      <c r="C615" s="109"/>
      <c r="D615" s="109"/>
      <c r="E615" s="109"/>
      <c r="F615" s="109"/>
      <c r="G615" s="161"/>
      <c r="H615" s="109"/>
      <c r="I615" s="109"/>
      <c r="J615" s="109"/>
      <c r="K615" s="109"/>
      <c r="L615" s="109"/>
      <c r="M615" s="109"/>
      <c r="N615" s="109"/>
      <c r="O615" s="109"/>
      <c r="P615" s="109"/>
      <c r="Q615" s="109"/>
      <c r="R615" s="109"/>
      <c r="S615" s="109"/>
      <c r="T615" s="109"/>
      <c r="U615" s="109"/>
      <c r="V615" s="109"/>
      <c r="W615" s="109"/>
      <c r="X615" s="109"/>
      <c r="Y615" s="109"/>
      <c r="Z615" s="109"/>
    </row>
    <row r="616" spans="1:26" ht="13.5" customHeight="1">
      <c r="A616" s="109"/>
      <c r="B616" s="109"/>
      <c r="C616" s="109"/>
      <c r="D616" s="109"/>
      <c r="E616" s="109"/>
      <c r="F616" s="109"/>
      <c r="G616" s="161"/>
      <c r="H616" s="109"/>
      <c r="I616" s="109"/>
      <c r="J616" s="109"/>
      <c r="K616" s="109"/>
      <c r="L616" s="109"/>
      <c r="M616" s="109"/>
      <c r="N616" s="109"/>
      <c r="O616" s="109"/>
      <c r="P616" s="109"/>
      <c r="Q616" s="109"/>
      <c r="R616" s="109"/>
      <c r="S616" s="109"/>
      <c r="T616" s="109"/>
      <c r="U616" s="109"/>
      <c r="V616" s="109"/>
      <c r="W616" s="109"/>
      <c r="X616" s="109"/>
      <c r="Y616" s="109"/>
      <c r="Z616" s="109"/>
    </row>
    <row r="617" spans="1:26" ht="13.5" customHeight="1">
      <c r="A617" s="109"/>
      <c r="B617" s="109"/>
      <c r="C617" s="109"/>
      <c r="D617" s="109"/>
      <c r="E617" s="109"/>
      <c r="F617" s="109"/>
      <c r="G617" s="161"/>
      <c r="H617" s="109"/>
      <c r="I617" s="109"/>
      <c r="J617" s="109"/>
      <c r="K617" s="109"/>
      <c r="L617" s="109"/>
      <c r="M617" s="109"/>
      <c r="N617" s="109"/>
      <c r="O617" s="109"/>
      <c r="P617" s="109"/>
      <c r="Q617" s="109"/>
      <c r="R617" s="109"/>
      <c r="S617" s="109"/>
      <c r="T617" s="109"/>
      <c r="U617" s="109"/>
      <c r="V617" s="109"/>
      <c r="W617" s="109"/>
      <c r="X617" s="109"/>
      <c r="Y617" s="109"/>
      <c r="Z617" s="109"/>
    </row>
    <row r="618" spans="1:26" ht="13.5" customHeight="1">
      <c r="A618" s="109"/>
      <c r="B618" s="109"/>
      <c r="C618" s="109"/>
      <c r="D618" s="109"/>
      <c r="E618" s="109"/>
      <c r="F618" s="109"/>
      <c r="G618" s="161"/>
      <c r="H618" s="109"/>
      <c r="I618" s="109"/>
      <c r="J618" s="109"/>
      <c r="K618" s="109"/>
      <c r="L618" s="109"/>
      <c r="M618" s="109"/>
      <c r="N618" s="109"/>
      <c r="O618" s="109"/>
      <c r="P618" s="109"/>
      <c r="Q618" s="109"/>
      <c r="R618" s="109"/>
      <c r="S618" s="109"/>
      <c r="T618" s="109"/>
      <c r="U618" s="109"/>
      <c r="V618" s="109"/>
      <c r="W618" s="109"/>
      <c r="X618" s="109"/>
      <c r="Y618" s="109"/>
      <c r="Z618" s="109"/>
    </row>
    <row r="619" spans="1:26" ht="13.5" customHeight="1">
      <c r="A619" s="109"/>
      <c r="B619" s="109"/>
      <c r="C619" s="109"/>
      <c r="D619" s="109"/>
      <c r="E619" s="109"/>
      <c r="F619" s="109"/>
      <c r="G619" s="161"/>
      <c r="H619" s="109"/>
      <c r="I619" s="109"/>
      <c r="J619" s="109"/>
      <c r="K619" s="109"/>
      <c r="L619" s="109"/>
      <c r="M619" s="109"/>
      <c r="N619" s="109"/>
      <c r="O619" s="109"/>
      <c r="P619" s="109"/>
      <c r="Q619" s="109"/>
      <c r="R619" s="109"/>
      <c r="S619" s="109"/>
      <c r="T619" s="109"/>
      <c r="U619" s="109"/>
      <c r="V619" s="109"/>
      <c r="W619" s="109"/>
      <c r="X619" s="109"/>
      <c r="Y619" s="109"/>
      <c r="Z619" s="109"/>
    </row>
    <row r="620" spans="1:26" ht="13.5" customHeight="1">
      <c r="A620" s="109"/>
      <c r="B620" s="109"/>
      <c r="C620" s="109"/>
      <c r="D620" s="109"/>
      <c r="E620" s="109"/>
      <c r="F620" s="109"/>
      <c r="G620" s="161"/>
      <c r="H620" s="109"/>
      <c r="I620" s="109"/>
      <c r="J620" s="109"/>
      <c r="K620" s="109"/>
      <c r="L620" s="109"/>
      <c r="M620" s="109"/>
      <c r="N620" s="109"/>
      <c r="O620" s="109"/>
      <c r="P620" s="109"/>
      <c r="Q620" s="109"/>
      <c r="R620" s="109"/>
      <c r="S620" s="109"/>
      <c r="T620" s="109"/>
      <c r="U620" s="109"/>
      <c r="V620" s="109"/>
      <c r="W620" s="109"/>
      <c r="X620" s="109"/>
      <c r="Y620" s="109"/>
      <c r="Z620" s="109"/>
    </row>
    <row r="621" spans="1:26" ht="13.5" customHeight="1">
      <c r="A621" s="109"/>
      <c r="B621" s="109"/>
      <c r="C621" s="109"/>
      <c r="D621" s="109"/>
      <c r="E621" s="109"/>
      <c r="F621" s="109"/>
      <c r="G621" s="161"/>
      <c r="H621" s="109"/>
      <c r="I621" s="109"/>
      <c r="J621" s="109"/>
      <c r="K621" s="109"/>
      <c r="L621" s="109"/>
      <c r="M621" s="109"/>
      <c r="N621" s="109"/>
      <c r="O621" s="109"/>
      <c r="P621" s="109"/>
      <c r="Q621" s="109"/>
      <c r="R621" s="109"/>
      <c r="S621" s="109"/>
      <c r="T621" s="109"/>
      <c r="U621" s="109"/>
      <c r="V621" s="109"/>
      <c r="W621" s="109"/>
      <c r="X621" s="109"/>
      <c r="Y621" s="109"/>
      <c r="Z621" s="109"/>
    </row>
    <row r="622" spans="1:26" ht="13.5" customHeight="1">
      <c r="A622" s="109"/>
      <c r="B622" s="109"/>
      <c r="C622" s="109"/>
      <c r="D622" s="109"/>
      <c r="E622" s="109"/>
      <c r="F622" s="109"/>
      <c r="G622" s="161"/>
      <c r="H622" s="109"/>
      <c r="I622" s="109"/>
      <c r="J622" s="109"/>
      <c r="K622" s="109"/>
      <c r="L622" s="109"/>
      <c r="M622" s="109"/>
      <c r="N622" s="109"/>
      <c r="O622" s="109"/>
      <c r="P622" s="109"/>
      <c r="Q622" s="109"/>
      <c r="R622" s="109"/>
      <c r="S622" s="109"/>
      <c r="T622" s="109"/>
      <c r="U622" s="109"/>
      <c r="V622" s="109"/>
      <c r="W622" s="109"/>
      <c r="X622" s="109"/>
      <c r="Y622" s="109"/>
      <c r="Z622" s="109"/>
    </row>
    <row r="623" spans="1:26" ht="13.5" customHeight="1">
      <c r="A623" s="109"/>
      <c r="B623" s="109"/>
      <c r="C623" s="109"/>
      <c r="D623" s="109"/>
      <c r="E623" s="109"/>
      <c r="F623" s="109"/>
      <c r="G623" s="161"/>
      <c r="H623" s="109"/>
      <c r="I623" s="109"/>
      <c r="J623" s="109"/>
      <c r="K623" s="109"/>
      <c r="L623" s="109"/>
      <c r="M623" s="109"/>
      <c r="N623" s="109"/>
      <c r="O623" s="109"/>
      <c r="P623" s="109"/>
      <c r="Q623" s="109"/>
      <c r="R623" s="109"/>
      <c r="S623" s="109"/>
      <c r="T623" s="109"/>
      <c r="U623" s="109"/>
      <c r="V623" s="109"/>
      <c r="W623" s="109"/>
      <c r="X623" s="109"/>
      <c r="Y623" s="109"/>
      <c r="Z623" s="109"/>
    </row>
    <row r="624" spans="1:26" ht="13.5" customHeight="1">
      <c r="A624" s="109"/>
      <c r="B624" s="109"/>
      <c r="C624" s="109"/>
      <c r="D624" s="109"/>
      <c r="E624" s="109"/>
      <c r="F624" s="109"/>
      <c r="G624" s="161"/>
      <c r="H624" s="109"/>
      <c r="I624" s="109"/>
      <c r="J624" s="109"/>
      <c r="K624" s="109"/>
      <c r="L624" s="109"/>
      <c r="M624" s="109"/>
      <c r="N624" s="109"/>
      <c r="O624" s="109"/>
      <c r="P624" s="109"/>
      <c r="Q624" s="109"/>
      <c r="R624" s="109"/>
      <c r="S624" s="109"/>
      <c r="T624" s="109"/>
      <c r="U624" s="109"/>
      <c r="V624" s="109"/>
      <c r="W624" s="109"/>
      <c r="X624" s="109"/>
      <c r="Y624" s="109"/>
      <c r="Z624" s="109"/>
    </row>
    <row r="625" spans="1:26" ht="13.5" customHeight="1">
      <c r="A625" s="109"/>
      <c r="B625" s="109"/>
      <c r="C625" s="109"/>
      <c r="D625" s="109"/>
      <c r="E625" s="109"/>
      <c r="F625" s="109"/>
      <c r="G625" s="161"/>
      <c r="H625" s="109"/>
      <c r="I625" s="109"/>
      <c r="J625" s="109"/>
      <c r="K625" s="109"/>
      <c r="L625" s="109"/>
      <c r="M625" s="109"/>
      <c r="N625" s="109"/>
      <c r="O625" s="109"/>
      <c r="P625" s="109"/>
      <c r="Q625" s="109"/>
      <c r="R625" s="109"/>
      <c r="S625" s="109"/>
      <c r="T625" s="109"/>
      <c r="U625" s="109"/>
      <c r="V625" s="109"/>
      <c r="W625" s="109"/>
      <c r="X625" s="109"/>
      <c r="Y625" s="109"/>
      <c r="Z625" s="109"/>
    </row>
    <row r="626" spans="1:26" ht="13.5" customHeight="1">
      <c r="A626" s="109"/>
      <c r="B626" s="109"/>
      <c r="C626" s="109"/>
      <c r="D626" s="109"/>
      <c r="E626" s="109"/>
      <c r="F626" s="109"/>
      <c r="G626" s="161"/>
      <c r="H626" s="109"/>
      <c r="I626" s="109"/>
      <c r="J626" s="109"/>
      <c r="K626" s="109"/>
      <c r="L626" s="109"/>
      <c r="M626" s="109"/>
      <c r="N626" s="109"/>
      <c r="O626" s="109"/>
      <c r="P626" s="109"/>
      <c r="Q626" s="109"/>
      <c r="R626" s="109"/>
      <c r="S626" s="109"/>
      <c r="T626" s="109"/>
      <c r="U626" s="109"/>
      <c r="V626" s="109"/>
      <c r="W626" s="109"/>
      <c r="X626" s="109"/>
      <c r="Y626" s="109"/>
      <c r="Z626" s="109"/>
    </row>
    <row r="627" spans="1:26" ht="13.5" customHeight="1">
      <c r="A627" s="109"/>
      <c r="B627" s="109"/>
      <c r="C627" s="109"/>
      <c r="D627" s="109"/>
      <c r="E627" s="109"/>
      <c r="F627" s="109"/>
      <c r="G627" s="161"/>
      <c r="H627" s="109"/>
      <c r="I627" s="109"/>
      <c r="J627" s="109"/>
      <c r="K627" s="109"/>
      <c r="L627" s="109"/>
      <c r="M627" s="109"/>
      <c r="N627" s="109"/>
      <c r="O627" s="109"/>
      <c r="P627" s="109"/>
      <c r="Q627" s="109"/>
      <c r="R627" s="109"/>
      <c r="S627" s="109"/>
      <c r="T627" s="109"/>
      <c r="U627" s="109"/>
      <c r="V627" s="109"/>
      <c r="W627" s="109"/>
      <c r="X627" s="109"/>
      <c r="Y627" s="109"/>
      <c r="Z627" s="109"/>
    </row>
    <row r="628" spans="1:26" ht="13.5" customHeight="1">
      <c r="A628" s="109"/>
      <c r="B628" s="109"/>
      <c r="C628" s="109"/>
      <c r="D628" s="109"/>
      <c r="E628" s="109"/>
      <c r="F628" s="109"/>
      <c r="G628" s="161"/>
      <c r="H628" s="109"/>
      <c r="I628" s="109"/>
      <c r="J628" s="109"/>
      <c r="K628" s="109"/>
      <c r="L628" s="109"/>
      <c r="M628" s="109"/>
      <c r="N628" s="109"/>
      <c r="O628" s="109"/>
      <c r="P628" s="109"/>
      <c r="Q628" s="109"/>
      <c r="R628" s="109"/>
      <c r="S628" s="109"/>
      <c r="T628" s="109"/>
      <c r="U628" s="109"/>
      <c r="V628" s="109"/>
      <c r="W628" s="109"/>
      <c r="X628" s="109"/>
      <c r="Y628" s="109"/>
      <c r="Z628" s="109"/>
    </row>
    <row r="629" spans="1:26" ht="13.5" customHeight="1">
      <c r="A629" s="109"/>
      <c r="B629" s="109"/>
      <c r="C629" s="109"/>
      <c r="D629" s="109"/>
      <c r="E629" s="109"/>
      <c r="F629" s="109"/>
      <c r="G629" s="161"/>
      <c r="H629" s="109"/>
      <c r="I629" s="109"/>
      <c r="J629" s="109"/>
      <c r="K629" s="109"/>
      <c r="L629" s="109"/>
      <c r="M629" s="109"/>
      <c r="N629" s="109"/>
      <c r="O629" s="109"/>
      <c r="P629" s="109"/>
      <c r="Q629" s="109"/>
      <c r="R629" s="109"/>
      <c r="S629" s="109"/>
      <c r="T629" s="109"/>
      <c r="U629" s="109"/>
      <c r="V629" s="109"/>
      <c r="W629" s="109"/>
      <c r="X629" s="109"/>
      <c r="Y629" s="109"/>
      <c r="Z629" s="109"/>
    </row>
    <row r="630" spans="1:26" ht="13.5" customHeight="1">
      <c r="A630" s="109"/>
      <c r="B630" s="109"/>
      <c r="C630" s="109"/>
      <c r="D630" s="109"/>
      <c r="E630" s="109"/>
      <c r="F630" s="109"/>
      <c r="G630" s="161"/>
      <c r="H630" s="109"/>
      <c r="I630" s="109"/>
      <c r="J630" s="109"/>
      <c r="K630" s="109"/>
      <c r="L630" s="109"/>
      <c r="M630" s="109"/>
      <c r="N630" s="109"/>
      <c r="O630" s="109"/>
      <c r="P630" s="109"/>
      <c r="Q630" s="109"/>
      <c r="R630" s="109"/>
      <c r="S630" s="109"/>
      <c r="T630" s="109"/>
      <c r="U630" s="109"/>
      <c r="V630" s="109"/>
      <c r="W630" s="109"/>
      <c r="X630" s="109"/>
      <c r="Y630" s="109"/>
      <c r="Z630" s="109"/>
    </row>
    <row r="631" spans="1:26" ht="13.5" customHeight="1">
      <c r="A631" s="109"/>
      <c r="B631" s="109"/>
      <c r="C631" s="109"/>
      <c r="D631" s="109"/>
      <c r="E631" s="109"/>
      <c r="F631" s="109"/>
      <c r="G631" s="161"/>
      <c r="H631" s="109"/>
      <c r="I631" s="109"/>
      <c r="J631" s="109"/>
      <c r="K631" s="109"/>
      <c r="L631" s="109"/>
      <c r="M631" s="109"/>
      <c r="N631" s="109"/>
      <c r="O631" s="109"/>
      <c r="P631" s="109"/>
      <c r="Q631" s="109"/>
      <c r="R631" s="109"/>
      <c r="S631" s="109"/>
      <c r="T631" s="109"/>
      <c r="U631" s="109"/>
      <c r="V631" s="109"/>
      <c r="W631" s="109"/>
      <c r="X631" s="109"/>
      <c r="Y631" s="109"/>
      <c r="Z631" s="109"/>
    </row>
    <row r="632" spans="1:26" ht="13.5" customHeight="1">
      <c r="A632" s="109"/>
      <c r="B632" s="109"/>
      <c r="C632" s="109"/>
      <c r="D632" s="109"/>
      <c r="E632" s="109"/>
      <c r="F632" s="109"/>
      <c r="G632" s="161"/>
      <c r="H632" s="109"/>
      <c r="I632" s="109"/>
      <c r="J632" s="109"/>
      <c r="K632" s="109"/>
      <c r="L632" s="109"/>
      <c r="M632" s="109"/>
      <c r="N632" s="109"/>
      <c r="O632" s="109"/>
      <c r="P632" s="109"/>
      <c r="Q632" s="109"/>
      <c r="R632" s="109"/>
      <c r="S632" s="109"/>
      <c r="T632" s="109"/>
      <c r="U632" s="109"/>
      <c r="V632" s="109"/>
      <c r="W632" s="109"/>
      <c r="X632" s="109"/>
      <c r="Y632" s="109"/>
      <c r="Z632" s="109"/>
    </row>
    <row r="633" spans="1:26" ht="13.5" customHeight="1">
      <c r="A633" s="109"/>
      <c r="B633" s="109"/>
      <c r="C633" s="109"/>
      <c r="D633" s="109"/>
      <c r="E633" s="109"/>
      <c r="F633" s="109"/>
      <c r="G633" s="161"/>
      <c r="H633" s="109"/>
      <c r="I633" s="109"/>
      <c r="J633" s="109"/>
      <c r="K633" s="109"/>
      <c r="L633" s="109"/>
      <c r="M633" s="109"/>
      <c r="N633" s="109"/>
      <c r="O633" s="109"/>
      <c r="P633" s="109"/>
      <c r="Q633" s="109"/>
      <c r="R633" s="109"/>
      <c r="S633" s="109"/>
      <c r="T633" s="109"/>
      <c r="U633" s="109"/>
      <c r="V633" s="109"/>
      <c r="W633" s="109"/>
      <c r="X633" s="109"/>
      <c r="Y633" s="109"/>
      <c r="Z633" s="109"/>
    </row>
    <row r="634" spans="1:26" ht="13.5" customHeight="1">
      <c r="A634" s="109"/>
      <c r="B634" s="109"/>
      <c r="C634" s="109"/>
      <c r="D634" s="109"/>
      <c r="E634" s="109"/>
      <c r="F634" s="109"/>
      <c r="G634" s="161"/>
      <c r="H634" s="109"/>
      <c r="I634" s="109"/>
      <c r="J634" s="109"/>
      <c r="K634" s="109"/>
      <c r="L634" s="109"/>
      <c r="M634" s="109"/>
      <c r="N634" s="109"/>
      <c r="O634" s="109"/>
      <c r="P634" s="109"/>
      <c r="Q634" s="109"/>
      <c r="R634" s="109"/>
      <c r="S634" s="109"/>
      <c r="T634" s="109"/>
      <c r="U634" s="109"/>
      <c r="V634" s="109"/>
      <c r="W634" s="109"/>
      <c r="X634" s="109"/>
      <c r="Y634" s="109"/>
      <c r="Z634" s="109"/>
    </row>
    <row r="635" spans="1:26" ht="13.5" customHeight="1">
      <c r="A635" s="109"/>
      <c r="B635" s="109"/>
      <c r="C635" s="109"/>
      <c r="D635" s="109"/>
      <c r="E635" s="109"/>
      <c r="F635" s="109"/>
      <c r="G635" s="161"/>
      <c r="H635" s="109"/>
      <c r="I635" s="109"/>
      <c r="J635" s="109"/>
      <c r="K635" s="109"/>
      <c r="L635" s="109"/>
      <c r="M635" s="109"/>
      <c r="N635" s="109"/>
      <c r="O635" s="109"/>
      <c r="P635" s="109"/>
      <c r="Q635" s="109"/>
      <c r="R635" s="109"/>
      <c r="S635" s="109"/>
      <c r="T635" s="109"/>
      <c r="U635" s="109"/>
      <c r="V635" s="109"/>
      <c r="W635" s="109"/>
      <c r="X635" s="109"/>
      <c r="Y635" s="109"/>
      <c r="Z635" s="109"/>
    </row>
    <row r="636" spans="1:26" ht="13.5" customHeight="1">
      <c r="A636" s="109"/>
      <c r="B636" s="109"/>
      <c r="C636" s="109"/>
      <c r="D636" s="109"/>
      <c r="E636" s="109"/>
      <c r="F636" s="109"/>
      <c r="G636" s="161"/>
      <c r="H636" s="109"/>
      <c r="I636" s="109"/>
      <c r="J636" s="109"/>
      <c r="K636" s="109"/>
      <c r="L636" s="109"/>
      <c r="M636" s="109"/>
      <c r="N636" s="109"/>
      <c r="O636" s="109"/>
      <c r="P636" s="109"/>
      <c r="Q636" s="109"/>
      <c r="R636" s="109"/>
      <c r="S636" s="109"/>
      <c r="T636" s="109"/>
      <c r="U636" s="109"/>
      <c r="V636" s="109"/>
      <c r="W636" s="109"/>
      <c r="X636" s="109"/>
      <c r="Y636" s="109"/>
      <c r="Z636" s="109"/>
    </row>
    <row r="637" spans="1:26" ht="13.5" customHeight="1">
      <c r="A637" s="109"/>
      <c r="B637" s="109"/>
      <c r="C637" s="109"/>
      <c r="D637" s="109"/>
      <c r="E637" s="109"/>
      <c r="F637" s="109"/>
      <c r="G637" s="161"/>
      <c r="H637" s="109"/>
      <c r="I637" s="109"/>
      <c r="J637" s="109"/>
      <c r="K637" s="109"/>
      <c r="L637" s="109"/>
      <c r="M637" s="109"/>
      <c r="N637" s="109"/>
      <c r="O637" s="109"/>
      <c r="P637" s="109"/>
      <c r="Q637" s="109"/>
      <c r="R637" s="109"/>
      <c r="S637" s="109"/>
      <c r="T637" s="109"/>
      <c r="U637" s="109"/>
      <c r="V637" s="109"/>
      <c r="W637" s="109"/>
      <c r="X637" s="109"/>
      <c r="Y637" s="109"/>
      <c r="Z637" s="109"/>
    </row>
    <row r="638" spans="1:26" ht="13.5" customHeight="1">
      <c r="A638" s="109"/>
      <c r="B638" s="109"/>
      <c r="C638" s="109"/>
      <c r="D638" s="109"/>
      <c r="E638" s="109"/>
      <c r="F638" s="109"/>
      <c r="G638" s="161"/>
      <c r="H638" s="109"/>
      <c r="I638" s="109"/>
      <c r="J638" s="109"/>
      <c r="K638" s="109"/>
      <c r="L638" s="109"/>
      <c r="M638" s="109"/>
      <c r="N638" s="109"/>
      <c r="O638" s="109"/>
      <c r="P638" s="109"/>
      <c r="Q638" s="109"/>
      <c r="R638" s="109"/>
      <c r="S638" s="109"/>
      <c r="T638" s="109"/>
      <c r="U638" s="109"/>
      <c r="V638" s="109"/>
      <c r="W638" s="109"/>
      <c r="X638" s="109"/>
      <c r="Y638" s="109"/>
      <c r="Z638" s="109"/>
    </row>
    <row r="639" spans="1:26" ht="13.5" customHeight="1">
      <c r="A639" s="109"/>
      <c r="B639" s="109"/>
      <c r="C639" s="109"/>
      <c r="D639" s="109"/>
      <c r="E639" s="109"/>
      <c r="F639" s="109"/>
      <c r="G639" s="161"/>
      <c r="H639" s="109"/>
      <c r="I639" s="109"/>
      <c r="J639" s="109"/>
      <c r="K639" s="109"/>
      <c r="L639" s="109"/>
      <c r="M639" s="109"/>
      <c r="N639" s="109"/>
      <c r="O639" s="109"/>
      <c r="P639" s="109"/>
      <c r="Q639" s="109"/>
      <c r="R639" s="109"/>
      <c r="S639" s="109"/>
      <c r="T639" s="109"/>
      <c r="U639" s="109"/>
      <c r="V639" s="109"/>
      <c r="W639" s="109"/>
      <c r="X639" s="109"/>
      <c r="Y639" s="109"/>
      <c r="Z639" s="109"/>
    </row>
    <row r="640" spans="1:26" ht="13.5" customHeight="1">
      <c r="A640" s="109"/>
      <c r="B640" s="109"/>
      <c r="C640" s="109"/>
      <c r="D640" s="109"/>
      <c r="E640" s="109"/>
      <c r="F640" s="109"/>
      <c r="G640" s="161"/>
      <c r="H640" s="109"/>
      <c r="I640" s="109"/>
      <c r="J640" s="109"/>
      <c r="K640" s="109"/>
      <c r="L640" s="109"/>
      <c r="M640" s="109"/>
      <c r="N640" s="109"/>
      <c r="O640" s="109"/>
      <c r="P640" s="109"/>
      <c r="Q640" s="109"/>
      <c r="R640" s="109"/>
      <c r="S640" s="109"/>
      <c r="T640" s="109"/>
      <c r="U640" s="109"/>
      <c r="V640" s="109"/>
      <c r="W640" s="109"/>
      <c r="X640" s="109"/>
      <c r="Y640" s="109"/>
      <c r="Z640" s="109"/>
    </row>
    <row r="641" spans="1:26" ht="13.5" customHeight="1">
      <c r="A641" s="109"/>
      <c r="B641" s="109"/>
      <c r="C641" s="109"/>
      <c r="D641" s="109"/>
      <c r="E641" s="109"/>
      <c r="F641" s="109"/>
      <c r="G641" s="161"/>
      <c r="H641" s="109"/>
      <c r="I641" s="109"/>
      <c r="J641" s="109"/>
      <c r="K641" s="109"/>
      <c r="L641" s="109"/>
      <c r="M641" s="109"/>
      <c r="N641" s="109"/>
      <c r="O641" s="109"/>
      <c r="P641" s="109"/>
      <c r="Q641" s="109"/>
      <c r="R641" s="109"/>
      <c r="S641" s="109"/>
      <c r="T641" s="109"/>
      <c r="U641" s="109"/>
      <c r="V641" s="109"/>
      <c r="W641" s="109"/>
      <c r="X641" s="109"/>
      <c r="Y641" s="109"/>
      <c r="Z641" s="109"/>
    </row>
    <row r="642" spans="1:26" ht="13.5" customHeight="1">
      <c r="A642" s="109"/>
      <c r="B642" s="109"/>
      <c r="C642" s="109"/>
      <c r="D642" s="109"/>
      <c r="E642" s="109"/>
      <c r="F642" s="109"/>
      <c r="G642" s="161"/>
      <c r="H642" s="109"/>
      <c r="I642" s="109"/>
      <c r="J642" s="109"/>
      <c r="K642" s="109"/>
      <c r="L642" s="109"/>
      <c r="M642" s="109"/>
      <c r="N642" s="109"/>
      <c r="O642" s="109"/>
      <c r="P642" s="109"/>
      <c r="Q642" s="109"/>
      <c r="R642" s="109"/>
      <c r="S642" s="109"/>
      <c r="T642" s="109"/>
      <c r="U642" s="109"/>
      <c r="V642" s="109"/>
      <c r="W642" s="109"/>
      <c r="X642" s="109"/>
      <c r="Y642" s="109"/>
      <c r="Z642" s="109"/>
    </row>
    <row r="643" spans="1:26" ht="13.5" customHeight="1">
      <c r="A643" s="109"/>
      <c r="B643" s="109"/>
      <c r="C643" s="109"/>
      <c r="D643" s="109"/>
      <c r="E643" s="109"/>
      <c r="F643" s="109"/>
      <c r="G643" s="161"/>
      <c r="H643" s="109"/>
      <c r="I643" s="109"/>
      <c r="J643" s="109"/>
      <c r="K643" s="109"/>
      <c r="L643" s="109"/>
      <c r="M643" s="109"/>
      <c r="N643" s="109"/>
      <c r="O643" s="109"/>
      <c r="P643" s="109"/>
      <c r="Q643" s="109"/>
      <c r="R643" s="109"/>
      <c r="S643" s="109"/>
      <c r="T643" s="109"/>
      <c r="U643" s="109"/>
      <c r="V643" s="109"/>
      <c r="W643" s="109"/>
      <c r="X643" s="109"/>
      <c r="Y643" s="109"/>
      <c r="Z643" s="109"/>
    </row>
    <row r="644" spans="1:26" ht="13.5" customHeight="1">
      <c r="A644" s="109"/>
      <c r="B644" s="109"/>
      <c r="C644" s="109"/>
      <c r="D644" s="109"/>
      <c r="E644" s="109"/>
      <c r="F644" s="109"/>
      <c r="G644" s="161"/>
      <c r="H644" s="109"/>
      <c r="I644" s="109"/>
      <c r="J644" s="109"/>
      <c r="K644" s="109"/>
      <c r="L644" s="109"/>
      <c r="M644" s="109"/>
      <c r="N644" s="109"/>
      <c r="O644" s="109"/>
      <c r="P644" s="109"/>
      <c r="Q644" s="109"/>
      <c r="R644" s="109"/>
      <c r="S644" s="109"/>
      <c r="T644" s="109"/>
      <c r="U644" s="109"/>
      <c r="V644" s="109"/>
      <c r="W644" s="109"/>
      <c r="X644" s="109"/>
      <c r="Y644" s="109"/>
      <c r="Z644" s="109"/>
    </row>
    <row r="645" spans="1:26" ht="13.5" customHeight="1">
      <c r="A645" s="109"/>
      <c r="B645" s="109"/>
      <c r="C645" s="109"/>
      <c r="D645" s="109"/>
      <c r="E645" s="109"/>
      <c r="F645" s="109"/>
      <c r="G645" s="161"/>
      <c r="H645" s="109"/>
      <c r="I645" s="109"/>
      <c r="J645" s="109"/>
      <c r="K645" s="109"/>
      <c r="L645" s="109"/>
      <c r="M645" s="109"/>
      <c r="N645" s="109"/>
      <c r="O645" s="109"/>
      <c r="P645" s="109"/>
      <c r="Q645" s="109"/>
      <c r="R645" s="109"/>
      <c r="S645" s="109"/>
      <c r="T645" s="109"/>
      <c r="U645" s="109"/>
      <c r="V645" s="109"/>
      <c r="W645" s="109"/>
      <c r="X645" s="109"/>
      <c r="Y645" s="109"/>
      <c r="Z645" s="109"/>
    </row>
    <row r="646" spans="1:26" ht="13.5" customHeight="1">
      <c r="A646" s="109"/>
      <c r="B646" s="109"/>
      <c r="C646" s="109"/>
      <c r="D646" s="109"/>
      <c r="E646" s="109"/>
      <c r="F646" s="109"/>
      <c r="G646" s="161"/>
      <c r="H646" s="109"/>
      <c r="I646" s="109"/>
      <c r="J646" s="109"/>
      <c r="K646" s="109"/>
      <c r="L646" s="109"/>
      <c r="M646" s="109"/>
      <c r="N646" s="109"/>
      <c r="O646" s="109"/>
      <c r="P646" s="109"/>
      <c r="Q646" s="109"/>
      <c r="R646" s="109"/>
      <c r="S646" s="109"/>
      <c r="T646" s="109"/>
      <c r="U646" s="109"/>
      <c r="V646" s="109"/>
      <c r="W646" s="109"/>
      <c r="X646" s="109"/>
      <c r="Y646" s="109"/>
      <c r="Z646" s="109"/>
    </row>
    <row r="647" spans="1:26" ht="13.5" customHeight="1">
      <c r="A647" s="109"/>
      <c r="B647" s="109"/>
      <c r="C647" s="109"/>
      <c r="D647" s="109"/>
      <c r="E647" s="109"/>
      <c r="F647" s="109"/>
      <c r="G647" s="161"/>
      <c r="H647" s="109"/>
      <c r="I647" s="109"/>
      <c r="J647" s="109"/>
      <c r="K647" s="109"/>
      <c r="L647" s="109"/>
      <c r="M647" s="109"/>
      <c r="N647" s="109"/>
      <c r="O647" s="109"/>
      <c r="P647" s="109"/>
      <c r="Q647" s="109"/>
      <c r="R647" s="109"/>
      <c r="S647" s="109"/>
      <c r="T647" s="109"/>
      <c r="U647" s="109"/>
      <c r="V647" s="109"/>
      <c r="W647" s="109"/>
      <c r="X647" s="109"/>
      <c r="Y647" s="109"/>
      <c r="Z647" s="109"/>
    </row>
    <row r="648" spans="1:26" ht="13.5" customHeight="1">
      <c r="A648" s="109"/>
      <c r="B648" s="109"/>
      <c r="C648" s="109"/>
      <c r="D648" s="109"/>
      <c r="E648" s="109"/>
      <c r="F648" s="109"/>
      <c r="G648" s="161"/>
      <c r="H648" s="109"/>
      <c r="I648" s="109"/>
      <c r="J648" s="109"/>
      <c r="K648" s="109"/>
      <c r="L648" s="109"/>
      <c r="M648" s="109"/>
      <c r="N648" s="109"/>
      <c r="O648" s="109"/>
      <c r="P648" s="109"/>
      <c r="Q648" s="109"/>
      <c r="R648" s="109"/>
      <c r="S648" s="109"/>
      <c r="T648" s="109"/>
      <c r="U648" s="109"/>
      <c r="V648" s="109"/>
      <c r="W648" s="109"/>
      <c r="X648" s="109"/>
      <c r="Y648" s="109"/>
      <c r="Z648" s="109"/>
    </row>
    <row r="649" spans="1:26" ht="13.5" customHeight="1">
      <c r="A649" s="109"/>
      <c r="B649" s="109"/>
      <c r="C649" s="109"/>
      <c r="D649" s="109"/>
      <c r="E649" s="109"/>
      <c r="F649" s="109"/>
      <c r="G649" s="161"/>
      <c r="H649" s="109"/>
      <c r="I649" s="109"/>
      <c r="J649" s="109"/>
      <c r="K649" s="109"/>
      <c r="L649" s="109"/>
      <c r="M649" s="109"/>
      <c r="N649" s="109"/>
      <c r="O649" s="109"/>
      <c r="P649" s="109"/>
      <c r="Q649" s="109"/>
      <c r="R649" s="109"/>
      <c r="S649" s="109"/>
      <c r="T649" s="109"/>
      <c r="U649" s="109"/>
      <c r="V649" s="109"/>
      <c r="W649" s="109"/>
      <c r="X649" s="109"/>
      <c r="Y649" s="109"/>
      <c r="Z649" s="109"/>
    </row>
    <row r="650" spans="1:26" ht="13.5" customHeight="1">
      <c r="A650" s="109"/>
      <c r="B650" s="109"/>
      <c r="C650" s="109"/>
      <c r="D650" s="109"/>
      <c r="E650" s="109"/>
      <c r="F650" s="109"/>
      <c r="G650" s="161"/>
      <c r="H650" s="109"/>
      <c r="I650" s="109"/>
      <c r="J650" s="109"/>
      <c r="K650" s="109"/>
      <c r="L650" s="109"/>
      <c r="M650" s="109"/>
      <c r="N650" s="109"/>
      <c r="O650" s="109"/>
      <c r="P650" s="109"/>
      <c r="Q650" s="109"/>
      <c r="R650" s="109"/>
      <c r="S650" s="109"/>
      <c r="T650" s="109"/>
      <c r="U650" s="109"/>
      <c r="V650" s="109"/>
      <c r="W650" s="109"/>
      <c r="X650" s="109"/>
      <c r="Y650" s="109"/>
      <c r="Z650" s="109"/>
    </row>
    <row r="651" spans="1:26" ht="13.5" customHeight="1">
      <c r="A651" s="109"/>
      <c r="B651" s="109"/>
      <c r="C651" s="109"/>
      <c r="D651" s="109"/>
      <c r="E651" s="109"/>
      <c r="F651" s="109"/>
      <c r="G651" s="161"/>
      <c r="H651" s="109"/>
      <c r="I651" s="109"/>
      <c r="J651" s="109"/>
      <c r="K651" s="109"/>
      <c r="L651" s="109"/>
      <c r="M651" s="109"/>
      <c r="N651" s="109"/>
      <c r="O651" s="109"/>
      <c r="P651" s="109"/>
      <c r="Q651" s="109"/>
      <c r="R651" s="109"/>
      <c r="S651" s="109"/>
      <c r="T651" s="109"/>
      <c r="U651" s="109"/>
      <c r="V651" s="109"/>
      <c r="W651" s="109"/>
      <c r="X651" s="109"/>
      <c r="Y651" s="109"/>
      <c r="Z651" s="109"/>
    </row>
    <row r="652" spans="1:26" ht="13.5" customHeight="1">
      <c r="A652" s="109"/>
      <c r="B652" s="109"/>
      <c r="C652" s="109"/>
      <c r="D652" s="109"/>
      <c r="E652" s="109"/>
      <c r="F652" s="109"/>
      <c r="G652" s="161"/>
      <c r="H652" s="109"/>
      <c r="I652" s="109"/>
      <c r="J652" s="109"/>
      <c r="K652" s="109"/>
      <c r="L652" s="109"/>
      <c r="M652" s="109"/>
      <c r="N652" s="109"/>
      <c r="O652" s="109"/>
      <c r="P652" s="109"/>
      <c r="Q652" s="109"/>
      <c r="R652" s="109"/>
      <c r="S652" s="109"/>
      <c r="T652" s="109"/>
      <c r="U652" s="109"/>
      <c r="V652" s="109"/>
      <c r="W652" s="109"/>
      <c r="X652" s="109"/>
      <c r="Y652" s="109"/>
      <c r="Z652" s="109"/>
    </row>
    <row r="653" spans="1:26" ht="13.5" customHeight="1">
      <c r="A653" s="109"/>
      <c r="B653" s="109"/>
      <c r="C653" s="109"/>
      <c r="D653" s="109"/>
      <c r="E653" s="109"/>
      <c r="F653" s="109"/>
      <c r="G653" s="161"/>
      <c r="H653" s="109"/>
      <c r="I653" s="109"/>
      <c r="J653" s="109"/>
      <c r="K653" s="109"/>
      <c r="L653" s="109"/>
      <c r="M653" s="109"/>
      <c r="N653" s="109"/>
      <c r="O653" s="109"/>
      <c r="P653" s="109"/>
      <c r="Q653" s="109"/>
      <c r="R653" s="109"/>
      <c r="S653" s="109"/>
      <c r="T653" s="109"/>
      <c r="U653" s="109"/>
      <c r="V653" s="109"/>
      <c r="W653" s="109"/>
      <c r="X653" s="109"/>
      <c r="Y653" s="109"/>
      <c r="Z653" s="109"/>
    </row>
    <row r="654" spans="1:26" ht="13.5" customHeight="1">
      <c r="A654" s="109"/>
      <c r="B654" s="109"/>
      <c r="C654" s="109"/>
      <c r="D654" s="109"/>
      <c r="E654" s="109"/>
      <c r="F654" s="109"/>
      <c r="G654" s="161"/>
      <c r="H654" s="109"/>
      <c r="I654" s="109"/>
      <c r="J654" s="109"/>
      <c r="K654" s="109"/>
      <c r="L654" s="109"/>
      <c r="M654" s="109"/>
      <c r="N654" s="109"/>
      <c r="O654" s="109"/>
      <c r="P654" s="109"/>
      <c r="Q654" s="109"/>
      <c r="R654" s="109"/>
      <c r="S654" s="109"/>
      <c r="T654" s="109"/>
      <c r="U654" s="109"/>
      <c r="V654" s="109"/>
      <c r="W654" s="109"/>
      <c r="X654" s="109"/>
      <c r="Y654" s="109"/>
      <c r="Z654" s="109"/>
    </row>
    <row r="655" spans="1:26" ht="13.5" customHeight="1">
      <c r="A655" s="109"/>
      <c r="B655" s="109"/>
      <c r="C655" s="109"/>
      <c r="D655" s="109"/>
      <c r="E655" s="109"/>
      <c r="F655" s="109"/>
      <c r="G655" s="161"/>
      <c r="H655" s="109"/>
      <c r="I655" s="109"/>
      <c r="J655" s="109"/>
      <c r="K655" s="109"/>
      <c r="L655" s="109"/>
      <c r="M655" s="109"/>
      <c r="N655" s="109"/>
      <c r="O655" s="109"/>
      <c r="P655" s="109"/>
      <c r="Q655" s="109"/>
      <c r="R655" s="109"/>
      <c r="S655" s="109"/>
      <c r="T655" s="109"/>
      <c r="U655" s="109"/>
      <c r="V655" s="109"/>
      <c r="W655" s="109"/>
      <c r="X655" s="109"/>
      <c r="Y655" s="109"/>
      <c r="Z655" s="109"/>
    </row>
    <row r="656" spans="1:26" ht="13.5" customHeight="1">
      <c r="A656" s="109"/>
      <c r="B656" s="109"/>
      <c r="C656" s="109"/>
      <c r="D656" s="109"/>
      <c r="E656" s="109"/>
      <c r="F656" s="109"/>
      <c r="G656" s="161"/>
      <c r="H656" s="109"/>
      <c r="I656" s="109"/>
      <c r="J656" s="109"/>
      <c r="K656" s="109"/>
      <c r="L656" s="109"/>
      <c r="M656" s="109"/>
      <c r="N656" s="109"/>
      <c r="O656" s="109"/>
      <c r="P656" s="109"/>
      <c r="Q656" s="109"/>
      <c r="R656" s="109"/>
      <c r="S656" s="109"/>
      <c r="T656" s="109"/>
      <c r="U656" s="109"/>
      <c r="V656" s="109"/>
      <c r="W656" s="109"/>
      <c r="X656" s="109"/>
      <c r="Y656" s="109"/>
      <c r="Z656" s="109"/>
    </row>
    <row r="657" spans="1:26" ht="13.5" customHeight="1">
      <c r="A657" s="109"/>
      <c r="B657" s="109"/>
      <c r="C657" s="109"/>
      <c r="D657" s="109"/>
      <c r="E657" s="109"/>
      <c r="F657" s="109"/>
      <c r="G657" s="161"/>
      <c r="H657" s="109"/>
      <c r="I657" s="109"/>
      <c r="J657" s="109"/>
      <c r="K657" s="109"/>
      <c r="L657" s="109"/>
      <c r="M657" s="109"/>
      <c r="N657" s="109"/>
      <c r="O657" s="109"/>
      <c r="P657" s="109"/>
      <c r="Q657" s="109"/>
      <c r="R657" s="109"/>
      <c r="S657" s="109"/>
      <c r="T657" s="109"/>
      <c r="U657" s="109"/>
      <c r="V657" s="109"/>
      <c r="W657" s="109"/>
      <c r="X657" s="109"/>
      <c r="Y657" s="109"/>
      <c r="Z657" s="109"/>
    </row>
    <row r="658" spans="1:26" ht="13.5" customHeight="1">
      <c r="A658" s="109"/>
      <c r="B658" s="109"/>
      <c r="C658" s="109"/>
      <c r="D658" s="109"/>
      <c r="E658" s="109"/>
      <c r="F658" s="109"/>
      <c r="G658" s="161"/>
      <c r="H658" s="109"/>
      <c r="I658" s="109"/>
      <c r="J658" s="109"/>
      <c r="K658" s="109"/>
      <c r="L658" s="109"/>
      <c r="M658" s="109"/>
      <c r="N658" s="109"/>
      <c r="O658" s="109"/>
      <c r="P658" s="109"/>
      <c r="Q658" s="109"/>
      <c r="R658" s="109"/>
      <c r="S658" s="109"/>
      <c r="T658" s="109"/>
      <c r="U658" s="109"/>
      <c r="V658" s="109"/>
      <c r="W658" s="109"/>
      <c r="X658" s="109"/>
      <c r="Y658" s="109"/>
      <c r="Z658" s="109"/>
    </row>
    <row r="659" spans="1:26" ht="13.5" customHeight="1">
      <c r="A659" s="109"/>
      <c r="B659" s="109"/>
      <c r="C659" s="109"/>
      <c r="D659" s="109"/>
      <c r="E659" s="109"/>
      <c r="F659" s="109"/>
      <c r="G659" s="161"/>
      <c r="H659" s="109"/>
      <c r="I659" s="109"/>
      <c r="J659" s="109"/>
      <c r="K659" s="109"/>
      <c r="L659" s="109"/>
      <c r="M659" s="109"/>
      <c r="N659" s="109"/>
      <c r="O659" s="109"/>
      <c r="P659" s="109"/>
      <c r="Q659" s="109"/>
      <c r="R659" s="109"/>
      <c r="S659" s="109"/>
      <c r="T659" s="109"/>
      <c r="U659" s="109"/>
      <c r="V659" s="109"/>
      <c r="W659" s="109"/>
      <c r="X659" s="109"/>
      <c r="Y659" s="109"/>
      <c r="Z659" s="109"/>
    </row>
    <row r="660" spans="1:26" ht="13.5" customHeight="1">
      <c r="A660" s="109"/>
      <c r="B660" s="109"/>
      <c r="C660" s="109"/>
      <c r="D660" s="109"/>
      <c r="E660" s="109"/>
      <c r="F660" s="109"/>
      <c r="G660" s="161"/>
      <c r="H660" s="109"/>
      <c r="I660" s="109"/>
      <c r="J660" s="109"/>
      <c r="K660" s="109"/>
      <c r="L660" s="109"/>
      <c r="M660" s="109"/>
      <c r="N660" s="109"/>
      <c r="O660" s="109"/>
      <c r="P660" s="109"/>
      <c r="Q660" s="109"/>
      <c r="R660" s="109"/>
      <c r="S660" s="109"/>
      <c r="T660" s="109"/>
      <c r="U660" s="109"/>
      <c r="V660" s="109"/>
      <c r="W660" s="109"/>
      <c r="X660" s="109"/>
      <c r="Y660" s="109"/>
      <c r="Z660" s="109"/>
    </row>
    <row r="661" spans="1:26" ht="13.5" customHeight="1">
      <c r="A661" s="109"/>
      <c r="B661" s="109"/>
      <c r="C661" s="109"/>
      <c r="D661" s="109"/>
      <c r="E661" s="109"/>
      <c r="F661" s="109"/>
      <c r="G661" s="161"/>
      <c r="H661" s="109"/>
      <c r="I661" s="109"/>
      <c r="J661" s="109"/>
      <c r="K661" s="109"/>
      <c r="L661" s="109"/>
      <c r="M661" s="109"/>
      <c r="N661" s="109"/>
      <c r="O661" s="109"/>
      <c r="P661" s="109"/>
      <c r="Q661" s="109"/>
      <c r="R661" s="109"/>
      <c r="S661" s="109"/>
      <c r="T661" s="109"/>
      <c r="U661" s="109"/>
      <c r="V661" s="109"/>
      <c r="W661" s="109"/>
      <c r="X661" s="109"/>
      <c r="Y661" s="109"/>
      <c r="Z661" s="109"/>
    </row>
    <row r="662" spans="1:26" ht="13.5" customHeight="1">
      <c r="A662" s="109"/>
      <c r="B662" s="109"/>
      <c r="C662" s="109"/>
      <c r="D662" s="109"/>
      <c r="E662" s="109"/>
      <c r="F662" s="109"/>
      <c r="G662" s="161"/>
      <c r="H662" s="109"/>
      <c r="I662" s="109"/>
      <c r="J662" s="109"/>
      <c r="K662" s="109"/>
      <c r="L662" s="109"/>
      <c r="M662" s="109"/>
      <c r="N662" s="109"/>
      <c r="O662" s="109"/>
      <c r="P662" s="109"/>
      <c r="Q662" s="109"/>
      <c r="R662" s="109"/>
      <c r="S662" s="109"/>
      <c r="T662" s="109"/>
      <c r="U662" s="109"/>
      <c r="V662" s="109"/>
      <c r="W662" s="109"/>
      <c r="X662" s="109"/>
      <c r="Y662" s="109"/>
      <c r="Z662" s="109"/>
    </row>
    <row r="663" spans="1:26" ht="13.5" customHeight="1">
      <c r="A663" s="109"/>
      <c r="B663" s="109"/>
      <c r="C663" s="109"/>
      <c r="D663" s="109"/>
      <c r="E663" s="109"/>
      <c r="F663" s="109"/>
      <c r="G663" s="161"/>
      <c r="H663" s="109"/>
      <c r="I663" s="109"/>
      <c r="J663" s="109"/>
      <c r="K663" s="109"/>
      <c r="L663" s="109"/>
      <c r="M663" s="109"/>
      <c r="N663" s="109"/>
      <c r="O663" s="109"/>
      <c r="P663" s="109"/>
      <c r="Q663" s="109"/>
      <c r="R663" s="109"/>
      <c r="S663" s="109"/>
      <c r="T663" s="109"/>
      <c r="U663" s="109"/>
      <c r="V663" s="109"/>
      <c r="W663" s="109"/>
      <c r="X663" s="109"/>
      <c r="Y663" s="109"/>
      <c r="Z663" s="109"/>
    </row>
    <row r="664" spans="1:26" ht="13.5" customHeight="1">
      <c r="A664" s="109"/>
      <c r="B664" s="109"/>
      <c r="C664" s="109"/>
      <c r="D664" s="109"/>
      <c r="E664" s="109"/>
      <c r="F664" s="109"/>
      <c r="G664" s="161"/>
      <c r="H664" s="109"/>
      <c r="I664" s="109"/>
      <c r="J664" s="109"/>
      <c r="K664" s="109"/>
      <c r="L664" s="109"/>
      <c r="M664" s="109"/>
      <c r="N664" s="109"/>
      <c r="O664" s="109"/>
      <c r="P664" s="109"/>
      <c r="Q664" s="109"/>
      <c r="R664" s="109"/>
      <c r="S664" s="109"/>
      <c r="T664" s="109"/>
      <c r="U664" s="109"/>
      <c r="V664" s="109"/>
      <c r="W664" s="109"/>
      <c r="X664" s="109"/>
      <c r="Y664" s="109"/>
      <c r="Z664" s="109"/>
    </row>
    <row r="665" spans="1:26" ht="13.5" customHeight="1">
      <c r="A665" s="109"/>
      <c r="B665" s="109"/>
      <c r="C665" s="109"/>
      <c r="D665" s="109"/>
      <c r="E665" s="109"/>
      <c r="F665" s="109"/>
      <c r="G665" s="161"/>
      <c r="H665" s="109"/>
      <c r="I665" s="109"/>
      <c r="J665" s="109"/>
      <c r="K665" s="109"/>
      <c r="L665" s="109"/>
      <c r="M665" s="109"/>
      <c r="N665" s="109"/>
      <c r="O665" s="109"/>
      <c r="P665" s="109"/>
      <c r="Q665" s="109"/>
      <c r="R665" s="109"/>
      <c r="S665" s="109"/>
      <c r="T665" s="109"/>
      <c r="U665" s="109"/>
      <c r="V665" s="109"/>
      <c r="W665" s="109"/>
      <c r="X665" s="109"/>
      <c r="Y665" s="109"/>
      <c r="Z665" s="109"/>
    </row>
    <row r="666" spans="1:26" ht="13.5" customHeight="1">
      <c r="A666" s="109"/>
      <c r="B666" s="109"/>
      <c r="C666" s="109"/>
      <c r="D666" s="109"/>
      <c r="E666" s="109"/>
      <c r="F666" s="109"/>
      <c r="G666" s="161"/>
      <c r="H666" s="109"/>
      <c r="I666" s="109"/>
      <c r="J666" s="109"/>
      <c r="K666" s="109"/>
      <c r="L666" s="109"/>
      <c r="M666" s="109"/>
      <c r="N666" s="109"/>
      <c r="O666" s="109"/>
      <c r="P666" s="109"/>
      <c r="Q666" s="109"/>
      <c r="R666" s="109"/>
      <c r="S666" s="109"/>
      <c r="T666" s="109"/>
      <c r="U666" s="109"/>
      <c r="V666" s="109"/>
      <c r="W666" s="109"/>
      <c r="X666" s="109"/>
      <c r="Y666" s="109"/>
      <c r="Z666" s="109"/>
    </row>
    <row r="667" spans="1:26" ht="13.5" customHeight="1">
      <c r="A667" s="109"/>
      <c r="B667" s="109"/>
      <c r="C667" s="109"/>
      <c r="D667" s="109"/>
      <c r="E667" s="109"/>
      <c r="F667" s="109"/>
      <c r="G667" s="161"/>
      <c r="H667" s="109"/>
      <c r="I667" s="109"/>
      <c r="J667" s="109"/>
      <c r="K667" s="109"/>
      <c r="L667" s="109"/>
      <c r="M667" s="109"/>
      <c r="N667" s="109"/>
      <c r="O667" s="109"/>
      <c r="P667" s="109"/>
      <c r="Q667" s="109"/>
      <c r="R667" s="109"/>
      <c r="S667" s="109"/>
      <c r="T667" s="109"/>
      <c r="U667" s="109"/>
      <c r="V667" s="109"/>
      <c r="W667" s="109"/>
      <c r="X667" s="109"/>
      <c r="Y667" s="109"/>
      <c r="Z667" s="109"/>
    </row>
    <row r="668" spans="1:26" ht="13.5" customHeight="1">
      <c r="A668" s="109"/>
      <c r="B668" s="109"/>
      <c r="C668" s="109"/>
      <c r="D668" s="109"/>
      <c r="E668" s="109"/>
      <c r="F668" s="109"/>
      <c r="G668" s="161"/>
      <c r="H668" s="109"/>
      <c r="I668" s="109"/>
      <c r="J668" s="109"/>
      <c r="K668" s="109"/>
      <c r="L668" s="109"/>
      <c r="M668" s="109"/>
      <c r="N668" s="109"/>
      <c r="O668" s="109"/>
      <c r="P668" s="109"/>
      <c r="Q668" s="109"/>
      <c r="R668" s="109"/>
      <c r="S668" s="109"/>
      <c r="T668" s="109"/>
      <c r="U668" s="109"/>
      <c r="V668" s="109"/>
      <c r="W668" s="109"/>
      <c r="X668" s="109"/>
      <c r="Y668" s="109"/>
      <c r="Z668" s="109"/>
    </row>
    <row r="669" spans="1:26" ht="13.5" customHeight="1">
      <c r="A669" s="109"/>
      <c r="B669" s="109"/>
      <c r="C669" s="109"/>
      <c r="D669" s="109"/>
      <c r="E669" s="109"/>
      <c r="F669" s="109"/>
      <c r="G669" s="161"/>
      <c r="H669" s="109"/>
      <c r="I669" s="109"/>
      <c r="J669" s="109"/>
      <c r="K669" s="109"/>
      <c r="L669" s="109"/>
      <c r="M669" s="109"/>
      <c r="N669" s="109"/>
      <c r="O669" s="109"/>
      <c r="P669" s="109"/>
      <c r="Q669" s="109"/>
      <c r="R669" s="109"/>
      <c r="S669" s="109"/>
      <c r="T669" s="109"/>
      <c r="U669" s="109"/>
      <c r="V669" s="109"/>
      <c r="W669" s="109"/>
      <c r="X669" s="109"/>
      <c r="Y669" s="109"/>
      <c r="Z669" s="109"/>
    </row>
    <row r="670" spans="1:26" ht="13.5" customHeight="1">
      <c r="A670" s="109"/>
      <c r="B670" s="109"/>
      <c r="C670" s="109"/>
      <c r="D670" s="109"/>
      <c r="E670" s="109"/>
      <c r="F670" s="109"/>
      <c r="G670" s="161"/>
      <c r="H670" s="109"/>
      <c r="I670" s="109"/>
      <c r="J670" s="109"/>
      <c r="K670" s="109"/>
      <c r="L670" s="109"/>
      <c r="M670" s="109"/>
      <c r="N670" s="109"/>
      <c r="O670" s="109"/>
      <c r="P670" s="109"/>
      <c r="Q670" s="109"/>
      <c r="R670" s="109"/>
      <c r="S670" s="109"/>
      <c r="T670" s="109"/>
      <c r="U670" s="109"/>
      <c r="V670" s="109"/>
      <c r="W670" s="109"/>
      <c r="X670" s="109"/>
      <c r="Y670" s="109"/>
      <c r="Z670" s="109"/>
    </row>
    <row r="671" spans="1:26" ht="13.5" customHeight="1">
      <c r="A671" s="109"/>
      <c r="B671" s="109"/>
      <c r="C671" s="109"/>
      <c r="D671" s="109"/>
      <c r="E671" s="109"/>
      <c r="F671" s="109"/>
      <c r="G671" s="161"/>
      <c r="H671" s="109"/>
      <c r="I671" s="109"/>
      <c r="J671" s="109"/>
      <c r="K671" s="109"/>
      <c r="L671" s="109"/>
      <c r="M671" s="109"/>
      <c r="N671" s="109"/>
      <c r="O671" s="109"/>
      <c r="P671" s="109"/>
      <c r="Q671" s="109"/>
      <c r="R671" s="109"/>
      <c r="S671" s="109"/>
      <c r="T671" s="109"/>
      <c r="U671" s="109"/>
      <c r="V671" s="109"/>
      <c r="W671" s="109"/>
      <c r="X671" s="109"/>
      <c r="Y671" s="109"/>
      <c r="Z671" s="109"/>
    </row>
    <row r="672" spans="1:26" ht="13.5" customHeight="1">
      <c r="A672" s="109"/>
      <c r="B672" s="109"/>
      <c r="C672" s="109"/>
      <c r="D672" s="109"/>
      <c r="E672" s="109"/>
      <c r="F672" s="109"/>
      <c r="G672" s="161"/>
      <c r="H672" s="109"/>
      <c r="I672" s="109"/>
      <c r="J672" s="109"/>
      <c r="K672" s="109"/>
      <c r="L672" s="109"/>
      <c r="M672" s="109"/>
      <c r="N672" s="109"/>
      <c r="O672" s="109"/>
      <c r="P672" s="109"/>
      <c r="Q672" s="109"/>
      <c r="R672" s="109"/>
      <c r="S672" s="109"/>
      <c r="T672" s="109"/>
      <c r="U672" s="109"/>
      <c r="V672" s="109"/>
      <c r="W672" s="109"/>
      <c r="X672" s="109"/>
      <c r="Y672" s="109"/>
      <c r="Z672" s="109"/>
    </row>
    <row r="673" spans="1:26" ht="13.5" customHeight="1">
      <c r="A673" s="109"/>
      <c r="B673" s="109"/>
      <c r="C673" s="109"/>
      <c r="D673" s="109"/>
      <c r="E673" s="109"/>
      <c r="F673" s="109"/>
      <c r="G673" s="161"/>
      <c r="H673" s="109"/>
      <c r="I673" s="109"/>
      <c r="J673" s="109"/>
      <c r="K673" s="109"/>
      <c r="L673" s="109"/>
      <c r="M673" s="109"/>
      <c r="N673" s="109"/>
      <c r="O673" s="109"/>
      <c r="P673" s="109"/>
      <c r="Q673" s="109"/>
      <c r="R673" s="109"/>
      <c r="S673" s="109"/>
      <c r="T673" s="109"/>
      <c r="U673" s="109"/>
      <c r="V673" s="109"/>
      <c r="W673" s="109"/>
      <c r="X673" s="109"/>
      <c r="Y673" s="109"/>
      <c r="Z673" s="109"/>
    </row>
    <row r="674" spans="1:26" ht="13.5" customHeight="1">
      <c r="A674" s="109"/>
      <c r="B674" s="109"/>
      <c r="C674" s="109"/>
      <c r="D674" s="109"/>
      <c r="E674" s="109"/>
      <c r="F674" s="109"/>
      <c r="G674" s="161"/>
      <c r="H674" s="109"/>
      <c r="I674" s="109"/>
      <c r="J674" s="109"/>
      <c r="K674" s="109"/>
      <c r="L674" s="109"/>
      <c r="M674" s="109"/>
      <c r="N674" s="109"/>
      <c r="O674" s="109"/>
      <c r="P674" s="109"/>
      <c r="Q674" s="109"/>
      <c r="R674" s="109"/>
      <c r="S674" s="109"/>
      <c r="T674" s="109"/>
      <c r="U674" s="109"/>
      <c r="V674" s="109"/>
      <c r="W674" s="109"/>
      <c r="X674" s="109"/>
      <c r="Y674" s="109"/>
      <c r="Z674" s="109"/>
    </row>
    <row r="675" spans="1:26" ht="13.5" customHeight="1">
      <c r="A675" s="109"/>
      <c r="B675" s="109"/>
      <c r="C675" s="109"/>
      <c r="D675" s="109"/>
      <c r="E675" s="109"/>
      <c r="F675" s="109"/>
      <c r="G675" s="161"/>
      <c r="H675" s="109"/>
      <c r="I675" s="109"/>
      <c r="J675" s="109"/>
      <c r="K675" s="109"/>
      <c r="L675" s="109"/>
      <c r="M675" s="109"/>
      <c r="N675" s="109"/>
      <c r="O675" s="109"/>
      <c r="P675" s="109"/>
      <c r="Q675" s="109"/>
      <c r="R675" s="109"/>
      <c r="S675" s="109"/>
      <c r="T675" s="109"/>
      <c r="U675" s="109"/>
      <c r="V675" s="109"/>
      <c r="W675" s="109"/>
      <c r="X675" s="109"/>
      <c r="Y675" s="109"/>
      <c r="Z675" s="109"/>
    </row>
    <row r="676" spans="1:26" ht="13.5" customHeight="1">
      <c r="A676" s="109"/>
      <c r="B676" s="109"/>
      <c r="C676" s="109"/>
      <c r="D676" s="109"/>
      <c r="E676" s="109"/>
      <c r="F676" s="109"/>
      <c r="G676" s="161"/>
      <c r="H676" s="109"/>
      <c r="I676" s="109"/>
      <c r="J676" s="109"/>
      <c r="K676" s="109"/>
      <c r="L676" s="109"/>
      <c r="M676" s="109"/>
      <c r="N676" s="109"/>
      <c r="O676" s="109"/>
      <c r="P676" s="109"/>
      <c r="Q676" s="109"/>
      <c r="R676" s="109"/>
      <c r="S676" s="109"/>
      <c r="T676" s="109"/>
      <c r="U676" s="109"/>
      <c r="V676" s="109"/>
      <c r="W676" s="109"/>
      <c r="X676" s="109"/>
      <c r="Y676" s="109"/>
      <c r="Z676" s="109"/>
    </row>
    <row r="677" spans="1:26" ht="13.5" customHeight="1">
      <c r="A677" s="109"/>
      <c r="B677" s="109"/>
      <c r="C677" s="109"/>
      <c r="D677" s="109"/>
      <c r="E677" s="109"/>
      <c r="F677" s="109"/>
      <c r="G677" s="161"/>
      <c r="H677" s="109"/>
      <c r="I677" s="109"/>
      <c r="J677" s="109"/>
      <c r="K677" s="109"/>
      <c r="L677" s="109"/>
      <c r="M677" s="109"/>
      <c r="N677" s="109"/>
      <c r="O677" s="109"/>
      <c r="P677" s="109"/>
      <c r="Q677" s="109"/>
      <c r="R677" s="109"/>
      <c r="S677" s="109"/>
      <c r="T677" s="109"/>
      <c r="U677" s="109"/>
      <c r="V677" s="109"/>
      <c r="W677" s="109"/>
      <c r="X677" s="109"/>
      <c r="Y677" s="109"/>
      <c r="Z677" s="109"/>
    </row>
    <row r="678" spans="1:26" ht="13.5" customHeight="1">
      <c r="A678" s="109"/>
      <c r="B678" s="109"/>
      <c r="C678" s="109"/>
      <c r="D678" s="109"/>
      <c r="E678" s="109"/>
      <c r="F678" s="109"/>
      <c r="G678" s="161"/>
      <c r="H678" s="109"/>
      <c r="I678" s="109"/>
      <c r="J678" s="109"/>
      <c r="K678" s="109"/>
      <c r="L678" s="109"/>
      <c r="M678" s="109"/>
      <c r="N678" s="109"/>
      <c r="O678" s="109"/>
      <c r="P678" s="109"/>
      <c r="Q678" s="109"/>
      <c r="R678" s="109"/>
      <c r="S678" s="109"/>
      <c r="T678" s="109"/>
      <c r="U678" s="109"/>
      <c r="V678" s="109"/>
      <c r="W678" s="109"/>
      <c r="X678" s="109"/>
      <c r="Y678" s="109"/>
      <c r="Z678" s="109"/>
    </row>
    <row r="679" spans="1:26" ht="13.5" customHeight="1">
      <c r="A679" s="109"/>
      <c r="B679" s="109"/>
      <c r="C679" s="109"/>
      <c r="D679" s="109"/>
      <c r="E679" s="109"/>
      <c r="F679" s="109"/>
      <c r="G679" s="161"/>
      <c r="H679" s="109"/>
      <c r="I679" s="109"/>
      <c r="J679" s="109"/>
      <c r="K679" s="109"/>
      <c r="L679" s="109"/>
      <c r="M679" s="109"/>
      <c r="N679" s="109"/>
      <c r="O679" s="109"/>
      <c r="P679" s="109"/>
      <c r="Q679" s="109"/>
      <c r="R679" s="109"/>
      <c r="S679" s="109"/>
      <c r="T679" s="109"/>
      <c r="U679" s="109"/>
      <c r="V679" s="109"/>
      <c r="W679" s="109"/>
      <c r="X679" s="109"/>
      <c r="Y679" s="109"/>
      <c r="Z679" s="109"/>
    </row>
    <row r="680" spans="1:26" ht="13.5" customHeight="1">
      <c r="A680" s="109"/>
      <c r="B680" s="109"/>
      <c r="C680" s="109"/>
      <c r="D680" s="109"/>
      <c r="E680" s="109"/>
      <c r="F680" s="109"/>
      <c r="G680" s="161"/>
      <c r="H680" s="109"/>
      <c r="I680" s="109"/>
      <c r="J680" s="109"/>
      <c r="K680" s="109"/>
      <c r="L680" s="109"/>
      <c r="M680" s="109"/>
      <c r="N680" s="109"/>
      <c r="O680" s="109"/>
      <c r="P680" s="109"/>
      <c r="Q680" s="109"/>
      <c r="R680" s="109"/>
      <c r="S680" s="109"/>
      <c r="T680" s="109"/>
      <c r="U680" s="109"/>
      <c r="V680" s="109"/>
      <c r="W680" s="109"/>
      <c r="X680" s="109"/>
      <c r="Y680" s="109"/>
      <c r="Z680" s="109"/>
    </row>
    <row r="681" spans="1:26" ht="13.5" customHeight="1">
      <c r="A681" s="109"/>
      <c r="B681" s="109"/>
      <c r="C681" s="109"/>
      <c r="D681" s="109"/>
      <c r="E681" s="109"/>
      <c r="F681" s="109"/>
      <c r="G681" s="161"/>
      <c r="H681" s="109"/>
      <c r="I681" s="109"/>
      <c r="J681" s="109"/>
      <c r="K681" s="109"/>
      <c r="L681" s="109"/>
      <c r="M681" s="109"/>
      <c r="N681" s="109"/>
      <c r="O681" s="109"/>
      <c r="P681" s="109"/>
      <c r="Q681" s="109"/>
      <c r="R681" s="109"/>
      <c r="S681" s="109"/>
      <c r="T681" s="109"/>
      <c r="U681" s="109"/>
      <c r="V681" s="109"/>
      <c r="W681" s="109"/>
      <c r="X681" s="109"/>
      <c r="Y681" s="109"/>
      <c r="Z681" s="109"/>
    </row>
    <row r="682" spans="1:26" ht="13.5" customHeight="1">
      <c r="A682" s="109"/>
      <c r="B682" s="109"/>
      <c r="C682" s="109"/>
      <c r="D682" s="109"/>
      <c r="E682" s="109"/>
      <c r="F682" s="109"/>
      <c r="G682" s="161"/>
      <c r="H682" s="109"/>
      <c r="I682" s="109"/>
      <c r="J682" s="109"/>
      <c r="K682" s="109"/>
      <c r="L682" s="109"/>
      <c r="M682" s="109"/>
      <c r="N682" s="109"/>
      <c r="O682" s="109"/>
      <c r="P682" s="109"/>
      <c r="Q682" s="109"/>
      <c r="R682" s="109"/>
      <c r="S682" s="109"/>
      <c r="T682" s="109"/>
      <c r="U682" s="109"/>
      <c r="V682" s="109"/>
      <c r="W682" s="109"/>
      <c r="X682" s="109"/>
      <c r="Y682" s="109"/>
      <c r="Z682" s="109"/>
    </row>
    <row r="683" spans="1:26" ht="13.5" customHeight="1">
      <c r="A683" s="109"/>
      <c r="B683" s="109"/>
      <c r="C683" s="109"/>
      <c r="D683" s="109"/>
      <c r="E683" s="109"/>
      <c r="F683" s="109"/>
      <c r="G683" s="161"/>
      <c r="H683" s="109"/>
      <c r="I683" s="109"/>
      <c r="J683" s="109"/>
      <c r="K683" s="109"/>
      <c r="L683" s="109"/>
      <c r="M683" s="109"/>
      <c r="N683" s="109"/>
      <c r="O683" s="109"/>
      <c r="P683" s="109"/>
      <c r="Q683" s="109"/>
      <c r="R683" s="109"/>
      <c r="S683" s="109"/>
      <c r="T683" s="109"/>
      <c r="U683" s="109"/>
      <c r="V683" s="109"/>
      <c r="W683" s="109"/>
      <c r="X683" s="109"/>
      <c r="Y683" s="109"/>
      <c r="Z683" s="109"/>
    </row>
    <row r="684" spans="1:26" ht="13.5" customHeight="1">
      <c r="A684" s="109"/>
      <c r="B684" s="109"/>
      <c r="C684" s="109"/>
      <c r="D684" s="109"/>
      <c r="E684" s="109"/>
      <c r="F684" s="109"/>
      <c r="G684" s="161"/>
      <c r="H684" s="109"/>
      <c r="I684" s="109"/>
      <c r="J684" s="109"/>
      <c r="K684" s="109"/>
      <c r="L684" s="109"/>
      <c r="M684" s="109"/>
      <c r="N684" s="109"/>
      <c r="O684" s="109"/>
      <c r="P684" s="109"/>
      <c r="Q684" s="109"/>
      <c r="R684" s="109"/>
      <c r="S684" s="109"/>
      <c r="T684" s="109"/>
      <c r="U684" s="109"/>
      <c r="V684" s="109"/>
      <c r="W684" s="109"/>
      <c r="X684" s="109"/>
      <c r="Y684" s="109"/>
      <c r="Z684" s="109"/>
    </row>
    <row r="685" spans="1:26" ht="13.5" customHeight="1">
      <c r="A685" s="109"/>
      <c r="B685" s="109"/>
      <c r="C685" s="109"/>
      <c r="D685" s="109"/>
      <c r="E685" s="109"/>
      <c r="F685" s="109"/>
      <c r="G685" s="161"/>
      <c r="H685" s="109"/>
      <c r="I685" s="109"/>
      <c r="J685" s="109"/>
      <c r="K685" s="109"/>
      <c r="L685" s="109"/>
      <c r="M685" s="109"/>
      <c r="N685" s="109"/>
      <c r="O685" s="109"/>
      <c r="P685" s="109"/>
      <c r="Q685" s="109"/>
      <c r="R685" s="109"/>
      <c r="S685" s="109"/>
      <c r="T685" s="109"/>
      <c r="U685" s="109"/>
      <c r="V685" s="109"/>
      <c r="W685" s="109"/>
      <c r="X685" s="109"/>
      <c r="Y685" s="109"/>
      <c r="Z685" s="109"/>
    </row>
    <row r="686" spans="1:26" ht="13.5" customHeight="1">
      <c r="A686" s="109"/>
      <c r="B686" s="109"/>
      <c r="C686" s="109"/>
      <c r="D686" s="109"/>
      <c r="E686" s="109"/>
      <c r="F686" s="109"/>
      <c r="G686" s="161"/>
      <c r="H686" s="109"/>
      <c r="I686" s="109"/>
      <c r="J686" s="109"/>
      <c r="K686" s="109"/>
      <c r="L686" s="109"/>
      <c r="M686" s="109"/>
      <c r="N686" s="109"/>
      <c r="O686" s="109"/>
      <c r="P686" s="109"/>
      <c r="Q686" s="109"/>
      <c r="R686" s="109"/>
      <c r="S686" s="109"/>
      <c r="T686" s="109"/>
      <c r="U686" s="109"/>
      <c r="V686" s="109"/>
      <c r="W686" s="109"/>
      <c r="X686" s="109"/>
      <c r="Y686" s="109"/>
      <c r="Z686" s="109"/>
    </row>
    <row r="687" spans="1:26" ht="13.5" customHeight="1">
      <c r="A687" s="109"/>
      <c r="B687" s="109"/>
      <c r="C687" s="109"/>
      <c r="D687" s="109"/>
      <c r="E687" s="109"/>
      <c r="F687" s="109"/>
      <c r="G687" s="161"/>
      <c r="H687" s="109"/>
      <c r="I687" s="109"/>
      <c r="J687" s="109"/>
      <c r="K687" s="109"/>
      <c r="L687" s="109"/>
      <c r="M687" s="109"/>
      <c r="N687" s="109"/>
      <c r="O687" s="109"/>
      <c r="P687" s="109"/>
      <c r="Q687" s="109"/>
      <c r="R687" s="109"/>
      <c r="S687" s="109"/>
      <c r="T687" s="109"/>
      <c r="U687" s="109"/>
      <c r="V687" s="109"/>
      <c r="W687" s="109"/>
      <c r="X687" s="109"/>
      <c r="Y687" s="109"/>
      <c r="Z687" s="109"/>
    </row>
    <row r="688" spans="1:26" ht="13.5" customHeight="1">
      <c r="A688" s="109"/>
      <c r="B688" s="109"/>
      <c r="C688" s="109"/>
      <c r="D688" s="109"/>
      <c r="E688" s="109"/>
      <c r="F688" s="109"/>
      <c r="G688" s="161"/>
      <c r="H688" s="109"/>
      <c r="I688" s="109"/>
      <c r="J688" s="109"/>
      <c r="K688" s="109"/>
      <c r="L688" s="109"/>
      <c r="M688" s="109"/>
      <c r="N688" s="109"/>
      <c r="O688" s="109"/>
      <c r="P688" s="109"/>
      <c r="Q688" s="109"/>
      <c r="R688" s="109"/>
      <c r="S688" s="109"/>
      <c r="T688" s="109"/>
      <c r="U688" s="109"/>
      <c r="V688" s="109"/>
      <c r="W688" s="109"/>
      <c r="X688" s="109"/>
      <c r="Y688" s="109"/>
      <c r="Z688" s="109"/>
    </row>
    <row r="689" spans="1:26" ht="13.5" customHeight="1">
      <c r="A689" s="109"/>
      <c r="B689" s="109"/>
      <c r="C689" s="109"/>
      <c r="D689" s="109"/>
      <c r="E689" s="109"/>
      <c r="F689" s="109"/>
      <c r="G689" s="161"/>
      <c r="H689" s="109"/>
      <c r="I689" s="109"/>
      <c r="J689" s="109"/>
      <c r="K689" s="109"/>
      <c r="L689" s="109"/>
      <c r="M689" s="109"/>
      <c r="N689" s="109"/>
      <c r="O689" s="109"/>
      <c r="P689" s="109"/>
      <c r="Q689" s="109"/>
      <c r="R689" s="109"/>
      <c r="S689" s="109"/>
      <c r="T689" s="109"/>
      <c r="U689" s="109"/>
      <c r="V689" s="109"/>
      <c r="W689" s="109"/>
      <c r="X689" s="109"/>
      <c r="Y689" s="109"/>
      <c r="Z689" s="109"/>
    </row>
    <row r="690" spans="1:26" ht="13.5" customHeight="1">
      <c r="A690" s="109"/>
      <c r="B690" s="109"/>
      <c r="C690" s="109"/>
      <c r="D690" s="109"/>
      <c r="E690" s="109"/>
      <c r="F690" s="109"/>
      <c r="G690" s="161"/>
      <c r="H690" s="109"/>
      <c r="I690" s="109"/>
      <c r="J690" s="109"/>
      <c r="K690" s="109"/>
      <c r="L690" s="109"/>
      <c r="M690" s="109"/>
      <c r="N690" s="109"/>
      <c r="O690" s="109"/>
      <c r="P690" s="109"/>
      <c r="Q690" s="109"/>
      <c r="R690" s="109"/>
      <c r="S690" s="109"/>
      <c r="T690" s="109"/>
      <c r="U690" s="109"/>
      <c r="V690" s="109"/>
      <c r="W690" s="109"/>
      <c r="X690" s="109"/>
      <c r="Y690" s="109"/>
      <c r="Z690" s="109"/>
    </row>
    <row r="691" spans="1:26" ht="13.5" customHeight="1">
      <c r="A691" s="109"/>
      <c r="B691" s="109"/>
      <c r="C691" s="109"/>
      <c r="D691" s="109"/>
      <c r="E691" s="109"/>
      <c r="F691" s="109"/>
      <c r="G691" s="161"/>
      <c r="H691" s="109"/>
      <c r="I691" s="109"/>
      <c r="J691" s="109"/>
      <c r="K691" s="109"/>
      <c r="L691" s="109"/>
      <c r="M691" s="109"/>
      <c r="N691" s="109"/>
      <c r="O691" s="109"/>
      <c r="P691" s="109"/>
      <c r="Q691" s="109"/>
      <c r="R691" s="109"/>
      <c r="S691" s="109"/>
      <c r="T691" s="109"/>
      <c r="U691" s="109"/>
      <c r="V691" s="109"/>
      <c r="W691" s="109"/>
      <c r="X691" s="109"/>
      <c r="Y691" s="109"/>
      <c r="Z691" s="109"/>
    </row>
    <row r="692" spans="1:26" ht="13.5" customHeight="1">
      <c r="A692" s="109"/>
      <c r="B692" s="109"/>
      <c r="C692" s="109"/>
      <c r="D692" s="109"/>
      <c r="E692" s="109"/>
      <c r="F692" s="109"/>
      <c r="G692" s="161"/>
      <c r="H692" s="109"/>
      <c r="I692" s="109"/>
      <c r="J692" s="109"/>
      <c r="K692" s="109"/>
      <c r="L692" s="109"/>
      <c r="M692" s="109"/>
      <c r="N692" s="109"/>
      <c r="O692" s="109"/>
      <c r="P692" s="109"/>
      <c r="Q692" s="109"/>
      <c r="R692" s="109"/>
      <c r="S692" s="109"/>
      <c r="T692" s="109"/>
      <c r="U692" s="109"/>
      <c r="V692" s="109"/>
      <c r="W692" s="109"/>
      <c r="X692" s="109"/>
      <c r="Y692" s="109"/>
      <c r="Z692" s="109"/>
    </row>
    <row r="693" spans="1:26" ht="13.5" customHeight="1">
      <c r="A693" s="109"/>
      <c r="B693" s="109"/>
      <c r="C693" s="109"/>
      <c r="D693" s="109"/>
      <c r="E693" s="109"/>
      <c r="F693" s="109"/>
      <c r="G693" s="161"/>
      <c r="H693" s="109"/>
      <c r="I693" s="109"/>
      <c r="J693" s="109"/>
      <c r="K693" s="109"/>
      <c r="L693" s="109"/>
      <c r="M693" s="109"/>
      <c r="N693" s="109"/>
      <c r="O693" s="109"/>
      <c r="P693" s="109"/>
      <c r="Q693" s="109"/>
      <c r="R693" s="109"/>
      <c r="S693" s="109"/>
      <c r="T693" s="109"/>
      <c r="U693" s="109"/>
      <c r="V693" s="109"/>
      <c r="W693" s="109"/>
      <c r="X693" s="109"/>
      <c r="Y693" s="109"/>
      <c r="Z693" s="109"/>
    </row>
    <row r="694" spans="1:26" ht="13.5" customHeight="1">
      <c r="A694" s="109"/>
      <c r="B694" s="109"/>
      <c r="C694" s="109"/>
      <c r="D694" s="109"/>
      <c r="E694" s="109"/>
      <c r="F694" s="109"/>
      <c r="G694" s="161"/>
      <c r="H694" s="109"/>
      <c r="I694" s="109"/>
      <c r="J694" s="109"/>
      <c r="K694" s="109"/>
      <c r="L694" s="109"/>
      <c r="M694" s="109"/>
      <c r="N694" s="109"/>
      <c r="O694" s="109"/>
      <c r="P694" s="109"/>
      <c r="Q694" s="109"/>
      <c r="R694" s="109"/>
      <c r="S694" s="109"/>
      <c r="T694" s="109"/>
      <c r="U694" s="109"/>
      <c r="V694" s="109"/>
      <c r="W694" s="109"/>
      <c r="X694" s="109"/>
      <c r="Y694" s="109"/>
      <c r="Z694" s="109"/>
    </row>
    <row r="695" spans="1:26" ht="13.5" customHeight="1">
      <c r="A695" s="109"/>
      <c r="B695" s="109"/>
      <c r="C695" s="109"/>
      <c r="D695" s="109"/>
      <c r="E695" s="109"/>
      <c r="F695" s="109"/>
      <c r="G695" s="161"/>
      <c r="H695" s="109"/>
      <c r="I695" s="109"/>
      <c r="J695" s="109"/>
      <c r="K695" s="109"/>
      <c r="L695" s="109"/>
      <c r="M695" s="109"/>
      <c r="N695" s="109"/>
      <c r="O695" s="109"/>
      <c r="P695" s="109"/>
      <c r="Q695" s="109"/>
      <c r="R695" s="109"/>
      <c r="S695" s="109"/>
      <c r="T695" s="109"/>
      <c r="U695" s="109"/>
      <c r="V695" s="109"/>
      <c r="W695" s="109"/>
      <c r="X695" s="109"/>
      <c r="Y695" s="109"/>
      <c r="Z695" s="109"/>
    </row>
    <row r="696" spans="1:26" ht="13.5" customHeight="1">
      <c r="A696" s="109"/>
      <c r="B696" s="109"/>
      <c r="C696" s="109"/>
      <c r="D696" s="109"/>
      <c r="E696" s="109"/>
      <c r="F696" s="109"/>
      <c r="G696" s="161"/>
      <c r="H696" s="109"/>
      <c r="I696" s="109"/>
      <c r="J696" s="109"/>
      <c r="K696" s="109"/>
      <c r="L696" s="109"/>
      <c r="M696" s="109"/>
      <c r="N696" s="109"/>
      <c r="O696" s="109"/>
      <c r="P696" s="109"/>
      <c r="Q696" s="109"/>
      <c r="R696" s="109"/>
      <c r="S696" s="109"/>
      <c r="T696" s="109"/>
      <c r="U696" s="109"/>
      <c r="V696" s="109"/>
      <c r="W696" s="109"/>
      <c r="X696" s="109"/>
      <c r="Y696" s="109"/>
      <c r="Z696" s="109"/>
    </row>
    <row r="697" spans="1:26" ht="13.5" customHeight="1">
      <c r="A697" s="109"/>
      <c r="B697" s="109"/>
      <c r="C697" s="109"/>
      <c r="D697" s="109"/>
      <c r="E697" s="109"/>
      <c r="F697" s="109"/>
      <c r="G697" s="161"/>
      <c r="H697" s="109"/>
      <c r="I697" s="109"/>
      <c r="J697" s="109"/>
      <c r="K697" s="109"/>
      <c r="L697" s="109"/>
      <c r="M697" s="109"/>
      <c r="N697" s="109"/>
      <c r="O697" s="109"/>
      <c r="P697" s="109"/>
      <c r="Q697" s="109"/>
      <c r="R697" s="109"/>
      <c r="S697" s="109"/>
      <c r="T697" s="109"/>
      <c r="U697" s="109"/>
      <c r="V697" s="109"/>
      <c r="W697" s="109"/>
      <c r="X697" s="109"/>
      <c r="Y697" s="109"/>
      <c r="Z697" s="109"/>
    </row>
    <row r="698" spans="1:26" ht="13.5" customHeight="1">
      <c r="A698" s="109"/>
      <c r="B698" s="109"/>
      <c r="C698" s="109"/>
      <c r="D698" s="109"/>
      <c r="E698" s="109"/>
      <c r="F698" s="109"/>
      <c r="G698" s="161"/>
      <c r="H698" s="109"/>
      <c r="I698" s="109"/>
      <c r="J698" s="109"/>
      <c r="K698" s="109"/>
      <c r="L698" s="109"/>
      <c r="M698" s="109"/>
      <c r="N698" s="109"/>
      <c r="O698" s="109"/>
      <c r="P698" s="109"/>
      <c r="Q698" s="109"/>
      <c r="R698" s="109"/>
      <c r="S698" s="109"/>
      <c r="T698" s="109"/>
      <c r="U698" s="109"/>
      <c r="V698" s="109"/>
      <c r="W698" s="109"/>
      <c r="X698" s="109"/>
      <c r="Y698" s="109"/>
      <c r="Z698" s="109"/>
    </row>
    <row r="699" spans="1:26" ht="13.5" customHeight="1">
      <c r="A699" s="109"/>
      <c r="B699" s="109"/>
      <c r="C699" s="109"/>
      <c r="D699" s="109"/>
      <c r="E699" s="109"/>
      <c r="F699" s="109"/>
      <c r="G699" s="161"/>
      <c r="H699" s="109"/>
      <c r="I699" s="109"/>
      <c r="J699" s="109"/>
      <c r="K699" s="109"/>
      <c r="L699" s="109"/>
      <c r="M699" s="109"/>
      <c r="N699" s="109"/>
      <c r="O699" s="109"/>
      <c r="P699" s="109"/>
      <c r="Q699" s="109"/>
      <c r="R699" s="109"/>
      <c r="S699" s="109"/>
      <c r="T699" s="109"/>
      <c r="U699" s="109"/>
      <c r="V699" s="109"/>
      <c r="W699" s="109"/>
      <c r="X699" s="109"/>
      <c r="Y699" s="109"/>
      <c r="Z699" s="109"/>
    </row>
    <row r="700" spans="1:26" ht="13.5" customHeight="1">
      <c r="A700" s="109"/>
      <c r="B700" s="109"/>
      <c r="C700" s="109"/>
      <c r="D700" s="109"/>
      <c r="E700" s="109"/>
      <c r="F700" s="109"/>
      <c r="G700" s="161"/>
      <c r="H700" s="109"/>
      <c r="I700" s="109"/>
      <c r="J700" s="109"/>
      <c r="K700" s="109"/>
      <c r="L700" s="109"/>
      <c r="M700" s="109"/>
      <c r="N700" s="109"/>
      <c r="O700" s="109"/>
      <c r="P700" s="109"/>
      <c r="Q700" s="109"/>
      <c r="R700" s="109"/>
      <c r="S700" s="109"/>
      <c r="T700" s="109"/>
      <c r="U700" s="109"/>
      <c r="V700" s="109"/>
      <c r="W700" s="109"/>
      <c r="X700" s="109"/>
      <c r="Y700" s="109"/>
      <c r="Z700" s="109"/>
    </row>
    <row r="701" spans="1:26" ht="13.5" customHeight="1">
      <c r="A701" s="109"/>
      <c r="B701" s="109"/>
      <c r="C701" s="109"/>
      <c r="D701" s="109"/>
      <c r="E701" s="109"/>
      <c r="F701" s="109"/>
      <c r="G701" s="161"/>
      <c r="H701" s="109"/>
      <c r="I701" s="109"/>
      <c r="J701" s="109"/>
      <c r="K701" s="109"/>
      <c r="L701" s="109"/>
      <c r="M701" s="109"/>
      <c r="N701" s="109"/>
      <c r="O701" s="109"/>
      <c r="P701" s="109"/>
      <c r="Q701" s="109"/>
      <c r="R701" s="109"/>
      <c r="S701" s="109"/>
      <c r="T701" s="109"/>
      <c r="U701" s="109"/>
      <c r="V701" s="109"/>
      <c r="W701" s="109"/>
      <c r="X701" s="109"/>
      <c r="Y701" s="109"/>
      <c r="Z701" s="109"/>
    </row>
    <row r="702" spans="1:26" ht="13.5" customHeight="1">
      <c r="A702" s="109"/>
      <c r="B702" s="109"/>
      <c r="C702" s="109"/>
      <c r="D702" s="109"/>
      <c r="E702" s="109"/>
      <c r="F702" s="109"/>
      <c r="G702" s="161"/>
      <c r="H702" s="109"/>
      <c r="I702" s="109"/>
      <c r="J702" s="109"/>
      <c r="K702" s="109"/>
      <c r="L702" s="109"/>
      <c r="M702" s="109"/>
      <c r="N702" s="109"/>
      <c r="O702" s="109"/>
      <c r="P702" s="109"/>
      <c r="Q702" s="109"/>
      <c r="R702" s="109"/>
      <c r="S702" s="109"/>
      <c r="T702" s="109"/>
      <c r="U702" s="109"/>
      <c r="V702" s="109"/>
      <c r="W702" s="109"/>
      <c r="X702" s="109"/>
      <c r="Y702" s="109"/>
      <c r="Z702" s="109"/>
    </row>
    <row r="703" spans="1:26" ht="13.5" customHeight="1">
      <c r="A703" s="109"/>
      <c r="B703" s="109"/>
      <c r="C703" s="109"/>
      <c r="D703" s="109"/>
      <c r="E703" s="109"/>
      <c r="F703" s="109"/>
      <c r="G703" s="161"/>
      <c r="H703" s="109"/>
      <c r="I703" s="109"/>
      <c r="J703" s="109"/>
      <c r="K703" s="109"/>
      <c r="L703" s="109"/>
      <c r="M703" s="109"/>
      <c r="N703" s="109"/>
      <c r="O703" s="109"/>
      <c r="P703" s="109"/>
      <c r="Q703" s="109"/>
      <c r="R703" s="109"/>
      <c r="S703" s="109"/>
      <c r="T703" s="109"/>
      <c r="U703" s="109"/>
      <c r="V703" s="109"/>
      <c r="W703" s="109"/>
      <c r="X703" s="109"/>
      <c r="Y703" s="109"/>
      <c r="Z703" s="109"/>
    </row>
    <row r="704" spans="1:26" ht="13.5" customHeight="1">
      <c r="A704" s="109"/>
      <c r="B704" s="109"/>
      <c r="C704" s="109"/>
      <c r="D704" s="109"/>
      <c r="E704" s="109"/>
      <c r="F704" s="109"/>
      <c r="G704" s="161"/>
      <c r="H704" s="109"/>
      <c r="I704" s="109"/>
      <c r="J704" s="109"/>
      <c r="K704" s="109"/>
      <c r="L704" s="109"/>
      <c r="M704" s="109"/>
      <c r="N704" s="109"/>
      <c r="O704" s="109"/>
      <c r="P704" s="109"/>
      <c r="Q704" s="109"/>
      <c r="R704" s="109"/>
      <c r="S704" s="109"/>
      <c r="T704" s="109"/>
      <c r="U704" s="109"/>
      <c r="V704" s="109"/>
      <c r="W704" s="109"/>
      <c r="X704" s="109"/>
      <c r="Y704" s="109"/>
      <c r="Z704" s="109"/>
    </row>
    <row r="705" spans="1:26" ht="13.5" customHeight="1">
      <c r="A705" s="109"/>
      <c r="B705" s="109"/>
      <c r="C705" s="109"/>
      <c r="D705" s="109"/>
      <c r="E705" s="109"/>
      <c r="F705" s="109"/>
      <c r="G705" s="161"/>
      <c r="H705" s="109"/>
      <c r="I705" s="109"/>
      <c r="J705" s="109"/>
      <c r="K705" s="109"/>
      <c r="L705" s="109"/>
      <c r="M705" s="109"/>
      <c r="N705" s="109"/>
      <c r="O705" s="109"/>
      <c r="P705" s="109"/>
      <c r="Q705" s="109"/>
      <c r="R705" s="109"/>
      <c r="S705" s="109"/>
      <c r="T705" s="109"/>
      <c r="U705" s="109"/>
      <c r="V705" s="109"/>
      <c r="W705" s="109"/>
      <c r="X705" s="109"/>
      <c r="Y705" s="109"/>
      <c r="Z705" s="109"/>
    </row>
    <row r="706" spans="1:26" ht="13.5" customHeight="1">
      <c r="A706" s="109"/>
      <c r="B706" s="109"/>
      <c r="C706" s="109"/>
      <c r="D706" s="109"/>
      <c r="E706" s="109"/>
      <c r="F706" s="109"/>
      <c r="G706" s="161"/>
      <c r="H706" s="109"/>
      <c r="I706" s="109"/>
      <c r="J706" s="109"/>
      <c r="K706" s="109"/>
      <c r="L706" s="109"/>
      <c r="M706" s="109"/>
      <c r="N706" s="109"/>
      <c r="O706" s="109"/>
      <c r="P706" s="109"/>
      <c r="Q706" s="109"/>
      <c r="R706" s="109"/>
      <c r="S706" s="109"/>
      <c r="T706" s="109"/>
      <c r="U706" s="109"/>
      <c r="V706" s="109"/>
      <c r="W706" s="109"/>
      <c r="X706" s="109"/>
      <c r="Y706" s="109"/>
      <c r="Z706" s="109"/>
    </row>
    <row r="707" spans="1:26" ht="13.5" customHeight="1">
      <c r="A707" s="109"/>
      <c r="B707" s="109"/>
      <c r="C707" s="109"/>
      <c r="D707" s="109"/>
      <c r="E707" s="109"/>
      <c r="F707" s="109"/>
      <c r="G707" s="161"/>
      <c r="H707" s="109"/>
      <c r="I707" s="109"/>
      <c r="J707" s="109"/>
      <c r="K707" s="109"/>
      <c r="L707" s="109"/>
      <c r="M707" s="109"/>
      <c r="N707" s="109"/>
      <c r="O707" s="109"/>
      <c r="P707" s="109"/>
      <c r="Q707" s="109"/>
      <c r="R707" s="109"/>
      <c r="S707" s="109"/>
      <c r="T707" s="109"/>
      <c r="U707" s="109"/>
      <c r="V707" s="109"/>
      <c r="W707" s="109"/>
      <c r="X707" s="109"/>
      <c r="Y707" s="109"/>
      <c r="Z707" s="109"/>
    </row>
    <row r="708" spans="1:26" ht="13.5" customHeight="1">
      <c r="A708" s="109"/>
      <c r="B708" s="109"/>
      <c r="C708" s="109"/>
      <c r="D708" s="109"/>
      <c r="E708" s="109"/>
      <c r="F708" s="109"/>
      <c r="G708" s="161"/>
      <c r="H708" s="109"/>
      <c r="I708" s="109"/>
      <c r="J708" s="109"/>
      <c r="K708" s="109"/>
      <c r="L708" s="109"/>
      <c r="M708" s="109"/>
      <c r="N708" s="109"/>
      <c r="O708" s="109"/>
      <c r="P708" s="109"/>
      <c r="Q708" s="109"/>
      <c r="R708" s="109"/>
      <c r="S708" s="109"/>
      <c r="T708" s="109"/>
      <c r="U708" s="109"/>
      <c r="V708" s="109"/>
      <c r="W708" s="109"/>
      <c r="X708" s="109"/>
      <c r="Y708" s="109"/>
      <c r="Z708" s="109"/>
    </row>
    <row r="709" spans="1:26" ht="13.5" customHeight="1">
      <c r="A709" s="109"/>
      <c r="B709" s="109"/>
      <c r="C709" s="109"/>
      <c r="D709" s="109"/>
      <c r="E709" s="109"/>
      <c r="F709" s="109"/>
      <c r="G709" s="161"/>
      <c r="H709" s="109"/>
      <c r="I709" s="109"/>
      <c r="J709" s="109"/>
      <c r="K709" s="109"/>
      <c r="L709" s="109"/>
      <c r="M709" s="109"/>
      <c r="N709" s="109"/>
      <c r="O709" s="109"/>
      <c r="P709" s="109"/>
      <c r="Q709" s="109"/>
      <c r="R709" s="109"/>
      <c r="S709" s="109"/>
      <c r="T709" s="109"/>
      <c r="U709" s="109"/>
      <c r="V709" s="109"/>
      <c r="W709" s="109"/>
      <c r="X709" s="109"/>
      <c r="Y709" s="109"/>
      <c r="Z709" s="109"/>
    </row>
    <row r="710" spans="1:26" ht="13.5" customHeight="1">
      <c r="A710" s="109"/>
      <c r="B710" s="109"/>
      <c r="C710" s="109"/>
      <c r="D710" s="109"/>
      <c r="E710" s="109"/>
      <c r="F710" s="109"/>
      <c r="G710" s="161"/>
      <c r="H710" s="109"/>
      <c r="I710" s="109"/>
      <c r="J710" s="109"/>
      <c r="K710" s="109"/>
      <c r="L710" s="109"/>
      <c r="M710" s="109"/>
      <c r="N710" s="109"/>
      <c r="O710" s="109"/>
      <c r="P710" s="109"/>
      <c r="Q710" s="109"/>
      <c r="R710" s="109"/>
      <c r="S710" s="109"/>
      <c r="T710" s="109"/>
      <c r="U710" s="109"/>
      <c r="V710" s="109"/>
      <c r="W710" s="109"/>
      <c r="X710" s="109"/>
      <c r="Y710" s="109"/>
      <c r="Z710" s="109"/>
    </row>
    <row r="711" spans="1:26" ht="13.5" customHeight="1">
      <c r="A711" s="109"/>
      <c r="B711" s="109"/>
      <c r="C711" s="109"/>
      <c r="D711" s="109"/>
      <c r="E711" s="109"/>
      <c r="F711" s="109"/>
      <c r="G711" s="161"/>
      <c r="H711" s="109"/>
      <c r="I711" s="109"/>
      <c r="J711" s="109"/>
      <c r="K711" s="109"/>
      <c r="L711" s="109"/>
      <c r="M711" s="109"/>
      <c r="N711" s="109"/>
      <c r="O711" s="109"/>
      <c r="P711" s="109"/>
      <c r="Q711" s="109"/>
      <c r="R711" s="109"/>
      <c r="S711" s="109"/>
      <c r="T711" s="109"/>
      <c r="U711" s="109"/>
      <c r="V711" s="109"/>
      <c r="W711" s="109"/>
      <c r="X711" s="109"/>
      <c r="Y711" s="109"/>
      <c r="Z711" s="109"/>
    </row>
    <row r="712" spans="1:26" ht="13.5" customHeight="1">
      <c r="A712" s="109"/>
      <c r="B712" s="109"/>
      <c r="C712" s="109"/>
      <c r="D712" s="109"/>
      <c r="E712" s="109"/>
      <c r="F712" s="109"/>
      <c r="G712" s="161"/>
      <c r="H712" s="109"/>
      <c r="I712" s="109"/>
      <c r="J712" s="109"/>
      <c r="K712" s="109"/>
      <c r="L712" s="109"/>
      <c r="M712" s="109"/>
      <c r="N712" s="109"/>
      <c r="O712" s="109"/>
      <c r="P712" s="109"/>
      <c r="Q712" s="109"/>
      <c r="R712" s="109"/>
      <c r="S712" s="109"/>
      <c r="T712" s="109"/>
      <c r="U712" s="109"/>
      <c r="V712" s="109"/>
      <c r="W712" s="109"/>
      <c r="X712" s="109"/>
      <c r="Y712" s="109"/>
      <c r="Z712" s="109"/>
    </row>
    <row r="713" spans="1:26" ht="13.5" customHeight="1">
      <c r="A713" s="109"/>
      <c r="B713" s="109"/>
      <c r="C713" s="109"/>
      <c r="D713" s="109"/>
      <c r="E713" s="109"/>
      <c r="F713" s="109"/>
      <c r="G713" s="161"/>
      <c r="H713" s="109"/>
      <c r="I713" s="109"/>
      <c r="J713" s="109"/>
      <c r="K713" s="109"/>
      <c r="L713" s="109"/>
      <c r="M713" s="109"/>
      <c r="N713" s="109"/>
      <c r="O713" s="109"/>
      <c r="P713" s="109"/>
      <c r="Q713" s="109"/>
      <c r="R713" s="109"/>
      <c r="S713" s="109"/>
      <c r="T713" s="109"/>
      <c r="U713" s="109"/>
      <c r="V713" s="109"/>
      <c r="W713" s="109"/>
      <c r="X713" s="109"/>
      <c r="Y713" s="109"/>
      <c r="Z713" s="109"/>
    </row>
    <row r="714" spans="1:26" ht="13.5" customHeight="1">
      <c r="A714" s="109"/>
      <c r="B714" s="109"/>
      <c r="C714" s="109"/>
      <c r="D714" s="109"/>
      <c r="E714" s="109"/>
      <c r="F714" s="109"/>
      <c r="G714" s="161"/>
      <c r="H714" s="109"/>
      <c r="I714" s="109"/>
      <c r="J714" s="109"/>
      <c r="K714" s="109"/>
      <c r="L714" s="109"/>
      <c r="M714" s="109"/>
      <c r="N714" s="109"/>
      <c r="O714" s="109"/>
      <c r="P714" s="109"/>
      <c r="Q714" s="109"/>
      <c r="R714" s="109"/>
      <c r="S714" s="109"/>
      <c r="T714" s="109"/>
      <c r="U714" s="109"/>
      <c r="V714" s="109"/>
      <c r="W714" s="109"/>
      <c r="X714" s="109"/>
      <c r="Y714" s="109"/>
      <c r="Z714" s="109"/>
    </row>
    <row r="715" spans="1:26" ht="13.5" customHeight="1">
      <c r="A715" s="109"/>
      <c r="B715" s="109"/>
      <c r="C715" s="109"/>
      <c r="D715" s="109"/>
      <c r="E715" s="109"/>
      <c r="F715" s="109"/>
      <c r="G715" s="161"/>
      <c r="H715" s="109"/>
      <c r="I715" s="109"/>
      <c r="J715" s="109"/>
      <c r="K715" s="109"/>
      <c r="L715" s="109"/>
      <c r="M715" s="109"/>
      <c r="N715" s="109"/>
      <c r="O715" s="109"/>
      <c r="P715" s="109"/>
      <c r="Q715" s="109"/>
      <c r="R715" s="109"/>
      <c r="S715" s="109"/>
      <c r="T715" s="109"/>
      <c r="U715" s="109"/>
      <c r="V715" s="109"/>
      <c r="W715" s="109"/>
      <c r="X715" s="109"/>
      <c r="Y715" s="109"/>
      <c r="Z715" s="109"/>
    </row>
    <row r="716" spans="1:26" ht="13.5" customHeight="1">
      <c r="A716" s="109"/>
      <c r="B716" s="109"/>
      <c r="C716" s="109"/>
      <c r="D716" s="109"/>
      <c r="E716" s="109"/>
      <c r="F716" s="109"/>
      <c r="G716" s="161"/>
      <c r="H716" s="109"/>
      <c r="I716" s="109"/>
      <c r="J716" s="109"/>
      <c r="K716" s="109"/>
      <c r="L716" s="109"/>
      <c r="M716" s="109"/>
      <c r="N716" s="109"/>
      <c r="O716" s="109"/>
      <c r="P716" s="109"/>
      <c r="Q716" s="109"/>
      <c r="R716" s="109"/>
      <c r="S716" s="109"/>
      <c r="T716" s="109"/>
      <c r="U716" s="109"/>
      <c r="V716" s="109"/>
      <c r="W716" s="109"/>
      <c r="X716" s="109"/>
      <c r="Y716" s="109"/>
      <c r="Z716" s="109"/>
    </row>
    <row r="717" spans="1:26" ht="13.5" customHeight="1">
      <c r="A717" s="109"/>
      <c r="B717" s="109"/>
      <c r="C717" s="109"/>
      <c r="D717" s="109"/>
      <c r="E717" s="109"/>
      <c r="F717" s="109"/>
      <c r="G717" s="161"/>
      <c r="H717" s="109"/>
      <c r="I717" s="109"/>
      <c r="J717" s="109"/>
      <c r="K717" s="109"/>
      <c r="L717" s="109"/>
      <c r="M717" s="109"/>
      <c r="N717" s="109"/>
      <c r="O717" s="109"/>
      <c r="P717" s="109"/>
      <c r="Q717" s="109"/>
      <c r="R717" s="109"/>
      <c r="S717" s="109"/>
      <c r="T717" s="109"/>
      <c r="U717" s="109"/>
      <c r="V717" s="109"/>
      <c r="W717" s="109"/>
      <c r="X717" s="109"/>
      <c r="Y717" s="109"/>
      <c r="Z717" s="109"/>
    </row>
    <row r="718" spans="1:26" ht="13.5" customHeight="1">
      <c r="A718" s="109"/>
      <c r="B718" s="109"/>
      <c r="C718" s="109"/>
      <c r="D718" s="109"/>
      <c r="E718" s="109"/>
      <c r="F718" s="109"/>
      <c r="G718" s="161"/>
      <c r="H718" s="109"/>
      <c r="I718" s="109"/>
      <c r="J718" s="109"/>
      <c r="K718" s="109"/>
      <c r="L718" s="109"/>
      <c r="M718" s="109"/>
      <c r="N718" s="109"/>
      <c r="O718" s="109"/>
      <c r="P718" s="109"/>
      <c r="Q718" s="109"/>
      <c r="R718" s="109"/>
      <c r="S718" s="109"/>
      <c r="T718" s="109"/>
      <c r="U718" s="109"/>
      <c r="V718" s="109"/>
      <c r="W718" s="109"/>
      <c r="X718" s="109"/>
      <c r="Y718" s="109"/>
      <c r="Z718" s="109"/>
    </row>
    <row r="719" spans="1:26" ht="13.5" customHeight="1">
      <c r="A719" s="109"/>
      <c r="B719" s="109"/>
      <c r="C719" s="109"/>
      <c r="D719" s="109"/>
      <c r="E719" s="109"/>
      <c r="F719" s="109"/>
      <c r="G719" s="161"/>
      <c r="H719" s="109"/>
      <c r="I719" s="109"/>
      <c r="J719" s="109"/>
      <c r="K719" s="109"/>
      <c r="L719" s="109"/>
      <c r="M719" s="109"/>
      <c r="N719" s="109"/>
      <c r="O719" s="109"/>
      <c r="P719" s="109"/>
      <c r="Q719" s="109"/>
      <c r="R719" s="109"/>
      <c r="S719" s="109"/>
      <c r="T719" s="109"/>
      <c r="U719" s="109"/>
      <c r="V719" s="109"/>
      <c r="W719" s="109"/>
      <c r="X719" s="109"/>
      <c r="Y719" s="109"/>
      <c r="Z719" s="109"/>
    </row>
    <row r="720" spans="1:26" ht="13.5" customHeight="1">
      <c r="A720" s="109"/>
      <c r="B720" s="109"/>
      <c r="C720" s="109"/>
      <c r="D720" s="109"/>
      <c r="E720" s="109"/>
      <c r="F720" s="109"/>
      <c r="G720" s="161"/>
      <c r="H720" s="109"/>
      <c r="I720" s="109"/>
      <c r="J720" s="109"/>
      <c r="K720" s="109"/>
      <c r="L720" s="109"/>
      <c r="M720" s="109"/>
      <c r="N720" s="109"/>
      <c r="O720" s="109"/>
      <c r="P720" s="109"/>
      <c r="Q720" s="109"/>
      <c r="R720" s="109"/>
      <c r="S720" s="109"/>
      <c r="T720" s="109"/>
      <c r="U720" s="109"/>
      <c r="V720" s="109"/>
      <c r="W720" s="109"/>
      <c r="X720" s="109"/>
      <c r="Y720" s="109"/>
      <c r="Z720" s="109"/>
    </row>
    <row r="721" spans="1:26" ht="13.5" customHeight="1">
      <c r="A721" s="109"/>
      <c r="B721" s="109"/>
      <c r="C721" s="109"/>
      <c r="D721" s="109"/>
      <c r="E721" s="109"/>
      <c r="F721" s="109"/>
      <c r="G721" s="161"/>
      <c r="H721" s="109"/>
      <c r="I721" s="109"/>
      <c r="J721" s="109"/>
      <c r="K721" s="109"/>
      <c r="L721" s="109"/>
      <c r="M721" s="109"/>
      <c r="N721" s="109"/>
      <c r="O721" s="109"/>
      <c r="P721" s="109"/>
      <c r="Q721" s="109"/>
      <c r="R721" s="109"/>
      <c r="S721" s="109"/>
      <c r="T721" s="109"/>
      <c r="U721" s="109"/>
      <c r="V721" s="109"/>
      <c r="W721" s="109"/>
      <c r="X721" s="109"/>
      <c r="Y721" s="109"/>
      <c r="Z721" s="109"/>
    </row>
    <row r="722" spans="1:26" ht="13.5" customHeight="1">
      <c r="A722" s="109"/>
      <c r="B722" s="109"/>
      <c r="C722" s="109"/>
      <c r="D722" s="109"/>
      <c r="E722" s="109"/>
      <c r="F722" s="109"/>
      <c r="G722" s="161"/>
      <c r="H722" s="109"/>
      <c r="I722" s="109"/>
      <c r="J722" s="109"/>
      <c r="K722" s="109"/>
      <c r="L722" s="109"/>
      <c r="M722" s="109"/>
      <c r="N722" s="109"/>
      <c r="O722" s="109"/>
      <c r="P722" s="109"/>
      <c r="Q722" s="109"/>
      <c r="R722" s="109"/>
      <c r="S722" s="109"/>
      <c r="T722" s="109"/>
      <c r="U722" s="109"/>
      <c r="V722" s="109"/>
      <c r="W722" s="109"/>
      <c r="X722" s="109"/>
      <c r="Y722" s="109"/>
      <c r="Z722" s="109"/>
    </row>
    <row r="723" spans="1:26" ht="13.5" customHeight="1">
      <c r="A723" s="109"/>
      <c r="B723" s="109"/>
      <c r="C723" s="109"/>
      <c r="D723" s="109"/>
      <c r="E723" s="109"/>
      <c r="F723" s="109"/>
      <c r="G723" s="161"/>
      <c r="H723" s="109"/>
      <c r="I723" s="109"/>
      <c r="J723" s="109"/>
      <c r="K723" s="109"/>
      <c r="L723" s="109"/>
      <c r="M723" s="109"/>
      <c r="N723" s="109"/>
      <c r="O723" s="109"/>
      <c r="P723" s="109"/>
      <c r="Q723" s="109"/>
      <c r="R723" s="109"/>
      <c r="S723" s="109"/>
      <c r="T723" s="109"/>
      <c r="U723" s="109"/>
      <c r="V723" s="109"/>
      <c r="W723" s="109"/>
      <c r="X723" s="109"/>
      <c r="Y723" s="109"/>
      <c r="Z723" s="109"/>
    </row>
    <row r="724" spans="1:26" ht="13.5" customHeight="1">
      <c r="A724" s="109"/>
      <c r="B724" s="109"/>
      <c r="C724" s="109"/>
      <c r="D724" s="109"/>
      <c r="E724" s="109"/>
      <c r="F724" s="109"/>
      <c r="G724" s="161"/>
      <c r="H724" s="109"/>
      <c r="I724" s="109"/>
      <c r="J724" s="109"/>
      <c r="K724" s="109"/>
      <c r="L724" s="109"/>
      <c r="M724" s="109"/>
      <c r="N724" s="109"/>
      <c r="O724" s="109"/>
      <c r="P724" s="109"/>
      <c r="Q724" s="109"/>
      <c r="R724" s="109"/>
      <c r="S724" s="109"/>
      <c r="T724" s="109"/>
      <c r="U724" s="109"/>
      <c r="V724" s="109"/>
      <c r="W724" s="109"/>
      <c r="X724" s="109"/>
      <c r="Y724" s="109"/>
      <c r="Z724" s="109"/>
    </row>
    <row r="725" spans="1:26" ht="13.5" customHeight="1">
      <c r="A725" s="109"/>
      <c r="B725" s="109"/>
      <c r="C725" s="109"/>
      <c r="D725" s="109"/>
      <c r="E725" s="109"/>
      <c r="F725" s="109"/>
      <c r="G725" s="161"/>
      <c r="H725" s="109"/>
      <c r="I725" s="109"/>
      <c r="J725" s="109"/>
      <c r="K725" s="109"/>
      <c r="L725" s="109"/>
      <c r="M725" s="109"/>
      <c r="N725" s="109"/>
      <c r="O725" s="109"/>
      <c r="P725" s="109"/>
      <c r="Q725" s="109"/>
      <c r="R725" s="109"/>
      <c r="S725" s="109"/>
      <c r="T725" s="109"/>
      <c r="U725" s="109"/>
      <c r="V725" s="109"/>
      <c r="W725" s="109"/>
      <c r="X725" s="109"/>
      <c r="Y725" s="109"/>
      <c r="Z725" s="109"/>
    </row>
    <row r="726" spans="1:26" ht="13.5" customHeight="1">
      <c r="A726" s="109"/>
      <c r="B726" s="109"/>
      <c r="C726" s="109"/>
      <c r="D726" s="109"/>
      <c r="E726" s="109"/>
      <c r="F726" s="109"/>
      <c r="G726" s="161"/>
      <c r="H726" s="109"/>
      <c r="I726" s="109"/>
      <c r="J726" s="109"/>
      <c r="K726" s="109"/>
      <c r="L726" s="109"/>
      <c r="M726" s="109"/>
      <c r="N726" s="109"/>
      <c r="O726" s="109"/>
      <c r="P726" s="109"/>
      <c r="Q726" s="109"/>
      <c r="R726" s="109"/>
      <c r="S726" s="109"/>
      <c r="T726" s="109"/>
      <c r="U726" s="109"/>
      <c r="V726" s="109"/>
      <c r="W726" s="109"/>
      <c r="X726" s="109"/>
      <c r="Y726" s="109"/>
      <c r="Z726" s="109"/>
    </row>
    <row r="727" spans="1:26" ht="13.5" customHeight="1">
      <c r="A727" s="109"/>
      <c r="B727" s="109"/>
      <c r="C727" s="109"/>
      <c r="D727" s="109"/>
      <c r="E727" s="109"/>
      <c r="F727" s="109"/>
      <c r="G727" s="161"/>
      <c r="H727" s="109"/>
      <c r="I727" s="109"/>
      <c r="J727" s="109"/>
      <c r="K727" s="109"/>
      <c r="L727" s="109"/>
      <c r="M727" s="109"/>
      <c r="N727" s="109"/>
      <c r="O727" s="109"/>
      <c r="P727" s="109"/>
      <c r="Q727" s="109"/>
      <c r="R727" s="109"/>
      <c r="S727" s="109"/>
      <c r="T727" s="109"/>
      <c r="U727" s="109"/>
      <c r="V727" s="109"/>
      <c r="W727" s="109"/>
      <c r="X727" s="109"/>
      <c r="Y727" s="109"/>
      <c r="Z727" s="109"/>
    </row>
    <row r="728" spans="1:26" ht="13.5" customHeight="1">
      <c r="A728" s="109"/>
      <c r="B728" s="109"/>
      <c r="C728" s="109"/>
      <c r="D728" s="109"/>
      <c r="E728" s="109"/>
      <c r="F728" s="109"/>
      <c r="G728" s="161"/>
      <c r="H728" s="109"/>
      <c r="I728" s="109"/>
      <c r="J728" s="109"/>
      <c r="K728" s="109"/>
      <c r="L728" s="109"/>
      <c r="M728" s="109"/>
      <c r="N728" s="109"/>
      <c r="O728" s="109"/>
      <c r="P728" s="109"/>
      <c r="Q728" s="109"/>
      <c r="R728" s="109"/>
      <c r="S728" s="109"/>
      <c r="T728" s="109"/>
      <c r="U728" s="109"/>
      <c r="V728" s="109"/>
      <c r="W728" s="109"/>
      <c r="X728" s="109"/>
      <c r="Y728" s="109"/>
      <c r="Z728" s="109"/>
    </row>
    <row r="729" spans="1:26" ht="13.5" customHeight="1">
      <c r="A729" s="109"/>
      <c r="B729" s="109"/>
      <c r="C729" s="109"/>
      <c r="D729" s="109"/>
      <c r="E729" s="109"/>
      <c r="F729" s="109"/>
      <c r="G729" s="161"/>
      <c r="H729" s="109"/>
      <c r="I729" s="109"/>
      <c r="J729" s="109"/>
      <c r="K729" s="109"/>
      <c r="L729" s="109"/>
      <c r="M729" s="109"/>
      <c r="N729" s="109"/>
      <c r="O729" s="109"/>
      <c r="P729" s="109"/>
      <c r="Q729" s="109"/>
      <c r="R729" s="109"/>
      <c r="S729" s="109"/>
      <c r="T729" s="109"/>
      <c r="U729" s="109"/>
      <c r="V729" s="109"/>
      <c r="W729" s="109"/>
      <c r="X729" s="109"/>
      <c r="Y729" s="109"/>
      <c r="Z729" s="109"/>
    </row>
    <row r="730" spans="1:26" ht="13.5" customHeight="1">
      <c r="A730" s="109"/>
      <c r="B730" s="109"/>
      <c r="C730" s="109"/>
      <c r="D730" s="109"/>
      <c r="E730" s="109"/>
      <c r="F730" s="109"/>
      <c r="G730" s="161"/>
      <c r="H730" s="109"/>
      <c r="I730" s="109"/>
      <c r="J730" s="109"/>
      <c r="K730" s="109"/>
      <c r="L730" s="109"/>
      <c r="M730" s="109"/>
      <c r="N730" s="109"/>
      <c r="O730" s="109"/>
      <c r="P730" s="109"/>
      <c r="Q730" s="109"/>
      <c r="R730" s="109"/>
      <c r="S730" s="109"/>
      <c r="T730" s="109"/>
      <c r="U730" s="109"/>
      <c r="V730" s="109"/>
      <c r="W730" s="109"/>
      <c r="X730" s="109"/>
      <c r="Y730" s="109"/>
      <c r="Z730" s="109"/>
    </row>
    <row r="731" spans="1:26" ht="13.5" customHeight="1">
      <c r="A731" s="109"/>
      <c r="B731" s="109"/>
      <c r="C731" s="109"/>
      <c r="D731" s="109"/>
      <c r="E731" s="109"/>
      <c r="F731" s="109"/>
      <c r="G731" s="161"/>
      <c r="H731" s="109"/>
      <c r="I731" s="109"/>
      <c r="J731" s="109"/>
      <c r="K731" s="109"/>
      <c r="L731" s="109"/>
      <c r="M731" s="109"/>
      <c r="N731" s="109"/>
      <c r="O731" s="109"/>
      <c r="P731" s="109"/>
      <c r="Q731" s="109"/>
      <c r="R731" s="109"/>
      <c r="S731" s="109"/>
      <c r="T731" s="109"/>
      <c r="U731" s="109"/>
      <c r="V731" s="109"/>
      <c r="W731" s="109"/>
      <c r="X731" s="109"/>
      <c r="Y731" s="109"/>
      <c r="Z731" s="109"/>
    </row>
    <row r="732" spans="1:26" ht="13.5" customHeight="1">
      <c r="A732" s="109"/>
      <c r="B732" s="109"/>
      <c r="C732" s="109"/>
      <c r="D732" s="109"/>
      <c r="E732" s="109"/>
      <c r="F732" s="109"/>
      <c r="G732" s="161"/>
      <c r="H732" s="109"/>
      <c r="I732" s="109"/>
      <c r="J732" s="109"/>
      <c r="K732" s="109"/>
      <c r="L732" s="109"/>
      <c r="M732" s="109"/>
      <c r="N732" s="109"/>
      <c r="O732" s="109"/>
      <c r="P732" s="109"/>
      <c r="Q732" s="109"/>
      <c r="R732" s="109"/>
      <c r="S732" s="109"/>
      <c r="T732" s="109"/>
      <c r="U732" s="109"/>
      <c r="V732" s="109"/>
      <c r="W732" s="109"/>
      <c r="X732" s="109"/>
      <c r="Y732" s="109"/>
      <c r="Z732" s="109"/>
    </row>
    <row r="733" spans="1:26" ht="13.5" customHeight="1">
      <c r="A733" s="109"/>
      <c r="B733" s="109"/>
      <c r="C733" s="109"/>
      <c r="D733" s="109"/>
      <c r="E733" s="109"/>
      <c r="F733" s="109"/>
      <c r="G733" s="161"/>
      <c r="H733" s="109"/>
      <c r="I733" s="109"/>
      <c r="J733" s="109"/>
      <c r="K733" s="109"/>
      <c r="L733" s="109"/>
      <c r="M733" s="109"/>
      <c r="N733" s="109"/>
      <c r="O733" s="109"/>
      <c r="P733" s="109"/>
      <c r="Q733" s="109"/>
      <c r="R733" s="109"/>
      <c r="S733" s="109"/>
      <c r="T733" s="109"/>
      <c r="U733" s="109"/>
      <c r="V733" s="109"/>
      <c r="W733" s="109"/>
      <c r="X733" s="109"/>
      <c r="Y733" s="109"/>
      <c r="Z733" s="109"/>
    </row>
    <row r="734" spans="1:26" ht="13.5" customHeight="1">
      <c r="A734" s="109"/>
      <c r="B734" s="109"/>
      <c r="C734" s="109"/>
      <c r="D734" s="109"/>
      <c r="E734" s="109"/>
      <c r="F734" s="109"/>
      <c r="G734" s="161"/>
      <c r="H734" s="109"/>
      <c r="I734" s="109"/>
      <c r="J734" s="109"/>
      <c r="K734" s="109"/>
      <c r="L734" s="109"/>
      <c r="M734" s="109"/>
      <c r="N734" s="109"/>
      <c r="O734" s="109"/>
      <c r="P734" s="109"/>
      <c r="Q734" s="109"/>
      <c r="R734" s="109"/>
      <c r="S734" s="109"/>
      <c r="T734" s="109"/>
      <c r="U734" s="109"/>
      <c r="V734" s="109"/>
      <c r="W734" s="109"/>
      <c r="X734" s="109"/>
      <c r="Y734" s="109"/>
      <c r="Z734" s="109"/>
    </row>
    <row r="735" spans="1:26" ht="13.5" customHeight="1">
      <c r="A735" s="109"/>
      <c r="B735" s="109"/>
      <c r="C735" s="109"/>
      <c r="D735" s="109"/>
      <c r="E735" s="109"/>
      <c r="F735" s="109"/>
      <c r="G735" s="161"/>
      <c r="H735" s="109"/>
      <c r="I735" s="109"/>
      <c r="J735" s="109"/>
      <c r="K735" s="109"/>
      <c r="L735" s="109"/>
      <c r="M735" s="109"/>
      <c r="N735" s="109"/>
      <c r="O735" s="109"/>
      <c r="P735" s="109"/>
      <c r="Q735" s="109"/>
      <c r="R735" s="109"/>
      <c r="S735" s="109"/>
      <c r="T735" s="109"/>
      <c r="U735" s="109"/>
      <c r="V735" s="109"/>
      <c r="W735" s="109"/>
      <c r="X735" s="109"/>
      <c r="Y735" s="109"/>
      <c r="Z735" s="109"/>
    </row>
    <row r="736" spans="1:26" ht="13.5" customHeight="1">
      <c r="A736" s="109"/>
      <c r="B736" s="109"/>
      <c r="C736" s="109"/>
      <c r="D736" s="109"/>
      <c r="E736" s="109"/>
      <c r="F736" s="109"/>
      <c r="G736" s="161"/>
      <c r="H736" s="109"/>
      <c r="I736" s="109"/>
      <c r="J736" s="109"/>
      <c r="K736" s="109"/>
      <c r="L736" s="109"/>
      <c r="M736" s="109"/>
      <c r="N736" s="109"/>
      <c r="O736" s="109"/>
      <c r="P736" s="109"/>
      <c r="Q736" s="109"/>
      <c r="R736" s="109"/>
      <c r="S736" s="109"/>
      <c r="T736" s="109"/>
      <c r="U736" s="109"/>
      <c r="V736" s="109"/>
      <c r="W736" s="109"/>
      <c r="X736" s="109"/>
      <c r="Y736" s="109"/>
      <c r="Z736" s="109"/>
    </row>
    <row r="737" spans="1:26" ht="13.5" customHeight="1">
      <c r="A737" s="109"/>
      <c r="B737" s="109"/>
      <c r="C737" s="109"/>
      <c r="D737" s="109"/>
      <c r="E737" s="109"/>
      <c r="F737" s="109"/>
      <c r="G737" s="161"/>
      <c r="H737" s="109"/>
      <c r="I737" s="109"/>
      <c r="J737" s="109"/>
      <c r="K737" s="109"/>
      <c r="L737" s="109"/>
      <c r="M737" s="109"/>
      <c r="N737" s="109"/>
      <c r="O737" s="109"/>
      <c r="P737" s="109"/>
      <c r="Q737" s="109"/>
      <c r="R737" s="109"/>
      <c r="S737" s="109"/>
      <c r="T737" s="109"/>
      <c r="U737" s="109"/>
      <c r="V737" s="109"/>
      <c r="W737" s="109"/>
      <c r="X737" s="109"/>
      <c r="Y737" s="109"/>
      <c r="Z737" s="109"/>
    </row>
    <row r="738" spans="1:26" ht="13.5" customHeight="1">
      <c r="A738" s="109"/>
      <c r="B738" s="109"/>
      <c r="C738" s="109"/>
      <c r="D738" s="109"/>
      <c r="E738" s="109"/>
      <c r="F738" s="109"/>
      <c r="G738" s="161"/>
      <c r="H738" s="109"/>
      <c r="I738" s="109"/>
      <c r="J738" s="109"/>
      <c r="K738" s="109"/>
      <c r="L738" s="109"/>
      <c r="M738" s="109"/>
      <c r="N738" s="109"/>
      <c r="O738" s="109"/>
      <c r="P738" s="109"/>
      <c r="Q738" s="109"/>
      <c r="R738" s="109"/>
      <c r="S738" s="109"/>
      <c r="T738" s="109"/>
      <c r="U738" s="109"/>
      <c r="V738" s="109"/>
      <c r="W738" s="109"/>
      <c r="X738" s="109"/>
      <c r="Y738" s="109"/>
      <c r="Z738" s="109"/>
    </row>
    <row r="739" spans="1:26" ht="13.5" customHeight="1">
      <c r="A739" s="109"/>
      <c r="B739" s="109"/>
      <c r="C739" s="109"/>
      <c r="D739" s="109"/>
      <c r="E739" s="109"/>
      <c r="F739" s="109"/>
      <c r="G739" s="161"/>
      <c r="H739" s="109"/>
      <c r="I739" s="109"/>
      <c r="J739" s="109"/>
      <c r="K739" s="109"/>
      <c r="L739" s="109"/>
      <c r="M739" s="109"/>
      <c r="N739" s="109"/>
      <c r="O739" s="109"/>
      <c r="P739" s="109"/>
      <c r="Q739" s="109"/>
      <c r="R739" s="109"/>
      <c r="S739" s="109"/>
      <c r="T739" s="109"/>
      <c r="U739" s="109"/>
      <c r="V739" s="109"/>
      <c r="W739" s="109"/>
      <c r="X739" s="109"/>
      <c r="Y739" s="109"/>
      <c r="Z739" s="109"/>
    </row>
    <row r="740" spans="1:26" ht="13.5" customHeight="1">
      <c r="A740" s="109"/>
      <c r="B740" s="109"/>
      <c r="C740" s="109"/>
      <c r="D740" s="109"/>
      <c r="E740" s="109"/>
      <c r="F740" s="109"/>
      <c r="G740" s="161"/>
      <c r="H740" s="109"/>
      <c r="I740" s="109"/>
      <c r="J740" s="109"/>
      <c r="K740" s="109"/>
      <c r="L740" s="109"/>
      <c r="M740" s="109"/>
      <c r="N740" s="109"/>
      <c r="O740" s="109"/>
      <c r="P740" s="109"/>
      <c r="Q740" s="109"/>
      <c r="R740" s="109"/>
      <c r="S740" s="109"/>
      <c r="T740" s="109"/>
      <c r="U740" s="109"/>
      <c r="V740" s="109"/>
      <c r="W740" s="109"/>
      <c r="X740" s="109"/>
      <c r="Y740" s="109"/>
      <c r="Z740" s="109"/>
    </row>
    <row r="741" spans="1:26" ht="13.5" customHeight="1">
      <c r="A741" s="109"/>
      <c r="B741" s="109"/>
      <c r="C741" s="109"/>
      <c r="D741" s="109"/>
      <c r="E741" s="109"/>
      <c r="F741" s="109"/>
      <c r="G741" s="161"/>
      <c r="H741" s="109"/>
      <c r="I741" s="109"/>
      <c r="J741" s="109"/>
      <c r="K741" s="109"/>
      <c r="L741" s="109"/>
      <c r="M741" s="109"/>
      <c r="N741" s="109"/>
      <c r="O741" s="109"/>
      <c r="P741" s="109"/>
      <c r="Q741" s="109"/>
      <c r="R741" s="109"/>
      <c r="S741" s="109"/>
      <c r="T741" s="109"/>
      <c r="U741" s="109"/>
      <c r="V741" s="109"/>
      <c r="W741" s="109"/>
      <c r="X741" s="109"/>
      <c r="Y741" s="109"/>
      <c r="Z741" s="109"/>
    </row>
    <row r="742" spans="1:26" ht="13.5" customHeight="1">
      <c r="A742" s="109"/>
      <c r="B742" s="109"/>
      <c r="C742" s="109"/>
      <c r="D742" s="109"/>
      <c r="E742" s="109"/>
      <c r="F742" s="109"/>
      <c r="G742" s="161"/>
      <c r="H742" s="109"/>
      <c r="I742" s="109"/>
      <c r="J742" s="109"/>
      <c r="K742" s="109"/>
      <c r="L742" s="109"/>
      <c r="M742" s="109"/>
      <c r="N742" s="109"/>
      <c r="O742" s="109"/>
      <c r="P742" s="109"/>
      <c r="Q742" s="109"/>
      <c r="R742" s="109"/>
      <c r="S742" s="109"/>
      <c r="T742" s="109"/>
      <c r="U742" s="109"/>
      <c r="V742" s="109"/>
      <c r="W742" s="109"/>
      <c r="X742" s="109"/>
      <c r="Y742" s="109"/>
      <c r="Z742" s="109"/>
    </row>
    <row r="743" spans="1:26" ht="13.5" customHeight="1">
      <c r="A743" s="109"/>
      <c r="B743" s="109"/>
      <c r="C743" s="109"/>
      <c r="D743" s="109"/>
      <c r="E743" s="109"/>
      <c r="F743" s="109"/>
      <c r="G743" s="161"/>
      <c r="H743" s="109"/>
      <c r="I743" s="109"/>
      <c r="J743" s="109"/>
      <c r="K743" s="109"/>
      <c r="L743" s="109"/>
      <c r="M743" s="109"/>
      <c r="N743" s="109"/>
      <c r="O743" s="109"/>
      <c r="P743" s="109"/>
      <c r="Q743" s="109"/>
      <c r="R743" s="109"/>
      <c r="S743" s="109"/>
      <c r="T743" s="109"/>
      <c r="U743" s="109"/>
      <c r="V743" s="109"/>
      <c r="W743" s="109"/>
      <c r="X743" s="109"/>
      <c r="Y743" s="109"/>
      <c r="Z743" s="109"/>
    </row>
    <row r="744" spans="1:26" ht="13.5" customHeight="1">
      <c r="A744" s="109"/>
      <c r="B744" s="109"/>
      <c r="C744" s="109"/>
      <c r="D744" s="109"/>
      <c r="E744" s="109"/>
      <c r="F744" s="109"/>
      <c r="G744" s="161"/>
      <c r="H744" s="109"/>
      <c r="I744" s="109"/>
      <c r="J744" s="109"/>
      <c r="K744" s="109"/>
      <c r="L744" s="109"/>
      <c r="M744" s="109"/>
      <c r="N744" s="109"/>
      <c r="O744" s="109"/>
      <c r="P744" s="109"/>
      <c r="Q744" s="109"/>
      <c r="R744" s="109"/>
      <c r="S744" s="109"/>
      <c r="T744" s="109"/>
      <c r="U744" s="109"/>
      <c r="V744" s="109"/>
      <c r="W744" s="109"/>
      <c r="X744" s="109"/>
      <c r="Y744" s="109"/>
      <c r="Z744" s="109"/>
    </row>
    <row r="745" spans="1:26" ht="13.5" customHeight="1">
      <c r="A745" s="109"/>
      <c r="B745" s="109"/>
      <c r="C745" s="109"/>
      <c r="D745" s="109"/>
      <c r="E745" s="109"/>
      <c r="F745" s="109"/>
      <c r="G745" s="161"/>
      <c r="H745" s="109"/>
      <c r="I745" s="109"/>
      <c r="J745" s="109"/>
      <c r="K745" s="109"/>
      <c r="L745" s="109"/>
      <c r="M745" s="109"/>
      <c r="N745" s="109"/>
      <c r="O745" s="109"/>
      <c r="P745" s="109"/>
      <c r="Q745" s="109"/>
      <c r="R745" s="109"/>
      <c r="S745" s="109"/>
      <c r="T745" s="109"/>
      <c r="U745" s="109"/>
      <c r="V745" s="109"/>
      <c r="W745" s="109"/>
      <c r="X745" s="109"/>
      <c r="Y745" s="109"/>
      <c r="Z745" s="109"/>
    </row>
    <row r="746" spans="1:26" ht="13.5" customHeight="1">
      <c r="A746" s="109"/>
      <c r="B746" s="109"/>
      <c r="C746" s="109"/>
      <c r="D746" s="109"/>
      <c r="E746" s="109"/>
      <c r="F746" s="109"/>
      <c r="G746" s="161"/>
      <c r="H746" s="109"/>
      <c r="I746" s="109"/>
      <c r="J746" s="109"/>
      <c r="K746" s="109"/>
      <c r="L746" s="109"/>
      <c r="M746" s="109"/>
      <c r="N746" s="109"/>
      <c r="O746" s="109"/>
      <c r="P746" s="109"/>
      <c r="Q746" s="109"/>
      <c r="R746" s="109"/>
      <c r="S746" s="109"/>
      <c r="T746" s="109"/>
      <c r="U746" s="109"/>
      <c r="V746" s="109"/>
      <c r="W746" s="109"/>
      <c r="X746" s="109"/>
      <c r="Y746" s="109"/>
      <c r="Z746" s="109"/>
    </row>
    <row r="747" spans="1:26" ht="13.5" customHeight="1">
      <c r="A747" s="109"/>
      <c r="B747" s="109"/>
      <c r="C747" s="109"/>
      <c r="D747" s="109"/>
      <c r="E747" s="109"/>
      <c r="F747" s="109"/>
      <c r="G747" s="161"/>
      <c r="H747" s="109"/>
      <c r="I747" s="109"/>
      <c r="J747" s="109"/>
      <c r="K747" s="109"/>
      <c r="L747" s="109"/>
      <c r="M747" s="109"/>
      <c r="N747" s="109"/>
      <c r="O747" s="109"/>
      <c r="P747" s="109"/>
      <c r="Q747" s="109"/>
      <c r="R747" s="109"/>
      <c r="S747" s="109"/>
      <c r="T747" s="109"/>
      <c r="U747" s="109"/>
      <c r="V747" s="109"/>
      <c r="W747" s="109"/>
      <c r="X747" s="109"/>
      <c r="Y747" s="109"/>
      <c r="Z747" s="109"/>
    </row>
    <row r="748" spans="1:26" ht="13.5" customHeight="1">
      <c r="A748" s="109"/>
      <c r="B748" s="109"/>
      <c r="C748" s="109"/>
      <c r="D748" s="109"/>
      <c r="E748" s="109"/>
      <c r="F748" s="109"/>
      <c r="G748" s="161"/>
      <c r="H748" s="109"/>
      <c r="I748" s="109"/>
      <c r="J748" s="109"/>
      <c r="K748" s="109"/>
      <c r="L748" s="109"/>
      <c r="M748" s="109"/>
      <c r="N748" s="109"/>
      <c r="O748" s="109"/>
      <c r="P748" s="109"/>
      <c r="Q748" s="109"/>
      <c r="R748" s="109"/>
      <c r="S748" s="109"/>
      <c r="T748" s="109"/>
      <c r="U748" s="109"/>
      <c r="V748" s="109"/>
      <c r="W748" s="109"/>
      <c r="X748" s="109"/>
      <c r="Y748" s="109"/>
      <c r="Z748" s="109"/>
    </row>
    <row r="749" spans="1:26" ht="13.5" customHeight="1">
      <c r="A749" s="109"/>
      <c r="B749" s="109"/>
      <c r="C749" s="109"/>
      <c r="D749" s="109"/>
      <c r="E749" s="109"/>
      <c r="F749" s="109"/>
      <c r="G749" s="161"/>
      <c r="H749" s="109"/>
      <c r="I749" s="109"/>
      <c r="J749" s="109"/>
      <c r="K749" s="109"/>
      <c r="L749" s="109"/>
      <c r="M749" s="109"/>
      <c r="N749" s="109"/>
      <c r="O749" s="109"/>
      <c r="P749" s="109"/>
      <c r="Q749" s="109"/>
      <c r="R749" s="109"/>
      <c r="S749" s="109"/>
      <c r="T749" s="109"/>
      <c r="U749" s="109"/>
      <c r="V749" s="109"/>
      <c r="W749" s="109"/>
      <c r="X749" s="109"/>
      <c r="Y749" s="109"/>
      <c r="Z749" s="109"/>
    </row>
    <row r="750" spans="1:26" ht="13.5" customHeight="1">
      <c r="A750" s="109"/>
      <c r="B750" s="109"/>
      <c r="C750" s="109"/>
      <c r="D750" s="109"/>
      <c r="E750" s="109"/>
      <c r="F750" s="109"/>
      <c r="G750" s="161"/>
      <c r="H750" s="109"/>
      <c r="I750" s="109"/>
      <c r="J750" s="109"/>
      <c r="K750" s="109"/>
      <c r="L750" s="109"/>
      <c r="M750" s="109"/>
      <c r="N750" s="109"/>
      <c r="O750" s="109"/>
      <c r="P750" s="109"/>
      <c r="Q750" s="109"/>
      <c r="R750" s="109"/>
      <c r="S750" s="109"/>
      <c r="T750" s="109"/>
      <c r="U750" s="109"/>
      <c r="V750" s="109"/>
      <c r="W750" s="109"/>
      <c r="X750" s="109"/>
      <c r="Y750" s="109"/>
      <c r="Z750" s="109"/>
    </row>
    <row r="751" spans="1:26" ht="13.5" customHeight="1">
      <c r="A751" s="109"/>
      <c r="B751" s="109"/>
      <c r="C751" s="109"/>
      <c r="D751" s="109"/>
      <c r="E751" s="109"/>
      <c r="F751" s="109"/>
      <c r="G751" s="161"/>
      <c r="H751" s="109"/>
      <c r="I751" s="109"/>
      <c r="J751" s="109"/>
      <c r="K751" s="109"/>
      <c r="L751" s="109"/>
      <c r="M751" s="109"/>
      <c r="N751" s="109"/>
      <c r="O751" s="109"/>
      <c r="P751" s="109"/>
      <c r="Q751" s="109"/>
      <c r="R751" s="109"/>
      <c r="S751" s="109"/>
      <c r="T751" s="109"/>
      <c r="U751" s="109"/>
      <c r="V751" s="109"/>
      <c r="W751" s="109"/>
      <c r="X751" s="109"/>
      <c r="Y751" s="109"/>
      <c r="Z751" s="109"/>
    </row>
    <row r="752" spans="1:26" ht="13.5" customHeight="1">
      <c r="A752" s="109"/>
      <c r="B752" s="109"/>
      <c r="C752" s="109"/>
      <c r="D752" s="109"/>
      <c r="E752" s="109"/>
      <c r="F752" s="109"/>
      <c r="G752" s="161"/>
      <c r="H752" s="109"/>
      <c r="I752" s="109"/>
      <c r="J752" s="109"/>
      <c r="K752" s="109"/>
      <c r="L752" s="109"/>
      <c r="M752" s="109"/>
      <c r="N752" s="109"/>
      <c r="O752" s="109"/>
      <c r="P752" s="109"/>
      <c r="Q752" s="109"/>
      <c r="R752" s="109"/>
      <c r="S752" s="109"/>
      <c r="T752" s="109"/>
      <c r="U752" s="109"/>
      <c r="V752" s="109"/>
      <c r="W752" s="109"/>
      <c r="X752" s="109"/>
      <c r="Y752" s="109"/>
      <c r="Z752" s="109"/>
    </row>
    <row r="753" spans="1:26" ht="13.5" customHeight="1">
      <c r="A753" s="109"/>
      <c r="B753" s="109"/>
      <c r="C753" s="109"/>
      <c r="D753" s="109"/>
      <c r="E753" s="109"/>
      <c r="F753" s="109"/>
      <c r="G753" s="161"/>
      <c r="H753" s="109"/>
      <c r="I753" s="109"/>
      <c r="J753" s="109"/>
      <c r="K753" s="109"/>
      <c r="L753" s="109"/>
      <c r="M753" s="109"/>
      <c r="N753" s="109"/>
      <c r="O753" s="109"/>
      <c r="P753" s="109"/>
      <c r="Q753" s="109"/>
      <c r="R753" s="109"/>
      <c r="S753" s="109"/>
      <c r="T753" s="109"/>
      <c r="U753" s="109"/>
      <c r="V753" s="109"/>
      <c r="W753" s="109"/>
      <c r="X753" s="109"/>
      <c r="Y753" s="109"/>
      <c r="Z753" s="109"/>
    </row>
    <row r="754" spans="1:26" ht="13.5" customHeight="1">
      <c r="A754" s="109"/>
      <c r="B754" s="109"/>
      <c r="C754" s="109"/>
      <c r="D754" s="109"/>
      <c r="E754" s="109"/>
      <c r="F754" s="109"/>
      <c r="G754" s="161"/>
      <c r="H754" s="109"/>
      <c r="I754" s="109"/>
      <c r="J754" s="109"/>
      <c r="K754" s="109"/>
      <c r="L754" s="109"/>
      <c r="M754" s="109"/>
      <c r="N754" s="109"/>
      <c r="O754" s="109"/>
      <c r="P754" s="109"/>
      <c r="Q754" s="109"/>
      <c r="R754" s="109"/>
      <c r="S754" s="109"/>
      <c r="T754" s="109"/>
      <c r="U754" s="109"/>
      <c r="V754" s="109"/>
      <c r="W754" s="109"/>
      <c r="X754" s="109"/>
      <c r="Y754" s="109"/>
      <c r="Z754" s="109"/>
    </row>
    <row r="755" spans="1:26" ht="13.5" customHeight="1">
      <c r="A755" s="109"/>
      <c r="B755" s="109"/>
      <c r="C755" s="109"/>
      <c r="D755" s="109"/>
      <c r="E755" s="109"/>
      <c r="F755" s="109"/>
      <c r="G755" s="161"/>
      <c r="H755" s="109"/>
      <c r="I755" s="109"/>
      <c r="J755" s="109"/>
      <c r="K755" s="109"/>
      <c r="L755" s="109"/>
      <c r="M755" s="109"/>
      <c r="N755" s="109"/>
      <c r="O755" s="109"/>
      <c r="P755" s="109"/>
      <c r="Q755" s="109"/>
      <c r="R755" s="109"/>
      <c r="S755" s="109"/>
      <c r="T755" s="109"/>
      <c r="U755" s="109"/>
      <c r="V755" s="109"/>
      <c r="W755" s="109"/>
      <c r="X755" s="109"/>
      <c r="Y755" s="109"/>
      <c r="Z755" s="109"/>
    </row>
    <row r="756" spans="1:26" ht="13.5" customHeight="1">
      <c r="A756" s="109"/>
      <c r="B756" s="109"/>
      <c r="C756" s="109"/>
      <c r="D756" s="109"/>
      <c r="E756" s="109"/>
      <c r="F756" s="109"/>
      <c r="G756" s="161"/>
      <c r="H756" s="109"/>
      <c r="I756" s="109"/>
      <c r="J756" s="109"/>
      <c r="K756" s="109"/>
      <c r="L756" s="109"/>
      <c r="M756" s="109"/>
      <c r="N756" s="109"/>
      <c r="O756" s="109"/>
      <c r="P756" s="109"/>
      <c r="Q756" s="109"/>
      <c r="R756" s="109"/>
      <c r="S756" s="109"/>
      <c r="T756" s="109"/>
      <c r="U756" s="109"/>
      <c r="V756" s="109"/>
      <c r="W756" s="109"/>
      <c r="X756" s="109"/>
      <c r="Y756" s="109"/>
      <c r="Z756" s="109"/>
    </row>
    <row r="757" spans="1:26" ht="13.5" customHeight="1">
      <c r="A757" s="109"/>
      <c r="B757" s="109"/>
      <c r="C757" s="109"/>
      <c r="D757" s="109"/>
      <c r="E757" s="109"/>
      <c r="F757" s="109"/>
      <c r="G757" s="161"/>
      <c r="H757" s="109"/>
      <c r="I757" s="109"/>
      <c r="J757" s="109"/>
      <c r="K757" s="109"/>
      <c r="L757" s="109"/>
      <c r="M757" s="109"/>
      <c r="N757" s="109"/>
      <c r="O757" s="109"/>
      <c r="P757" s="109"/>
      <c r="Q757" s="109"/>
      <c r="R757" s="109"/>
      <c r="S757" s="109"/>
      <c r="T757" s="109"/>
      <c r="U757" s="109"/>
      <c r="V757" s="109"/>
      <c r="W757" s="109"/>
      <c r="X757" s="109"/>
      <c r="Y757" s="109"/>
      <c r="Z757" s="109"/>
    </row>
    <row r="758" spans="1:26" ht="13.5" customHeight="1">
      <c r="A758" s="109"/>
      <c r="B758" s="109"/>
      <c r="C758" s="109"/>
      <c r="D758" s="109"/>
      <c r="E758" s="109"/>
      <c r="F758" s="109"/>
      <c r="G758" s="161"/>
      <c r="H758" s="109"/>
      <c r="I758" s="109"/>
      <c r="J758" s="109"/>
      <c r="K758" s="109"/>
      <c r="L758" s="109"/>
      <c r="M758" s="109"/>
      <c r="N758" s="109"/>
      <c r="O758" s="109"/>
      <c r="P758" s="109"/>
      <c r="Q758" s="109"/>
      <c r="R758" s="109"/>
      <c r="S758" s="109"/>
      <c r="T758" s="109"/>
      <c r="U758" s="109"/>
      <c r="V758" s="109"/>
      <c r="W758" s="109"/>
      <c r="X758" s="109"/>
      <c r="Y758" s="109"/>
      <c r="Z758" s="109"/>
    </row>
    <row r="759" spans="1:26" ht="13.5" customHeight="1">
      <c r="A759" s="109"/>
      <c r="B759" s="109"/>
      <c r="C759" s="109"/>
      <c r="D759" s="109"/>
      <c r="E759" s="109"/>
      <c r="F759" s="109"/>
      <c r="G759" s="161"/>
      <c r="H759" s="109"/>
      <c r="I759" s="109"/>
      <c r="J759" s="109"/>
      <c r="K759" s="109"/>
      <c r="L759" s="109"/>
      <c r="M759" s="109"/>
      <c r="N759" s="109"/>
      <c r="O759" s="109"/>
      <c r="P759" s="109"/>
      <c r="Q759" s="109"/>
      <c r="R759" s="109"/>
      <c r="S759" s="109"/>
      <c r="T759" s="109"/>
      <c r="U759" s="109"/>
      <c r="V759" s="109"/>
      <c r="W759" s="109"/>
      <c r="X759" s="109"/>
      <c r="Y759" s="109"/>
      <c r="Z759" s="109"/>
    </row>
    <row r="760" spans="1:26" ht="13.5" customHeight="1">
      <c r="A760" s="109"/>
      <c r="B760" s="109"/>
      <c r="C760" s="109"/>
      <c r="D760" s="109"/>
      <c r="E760" s="109"/>
      <c r="F760" s="109"/>
      <c r="G760" s="161"/>
      <c r="H760" s="109"/>
      <c r="I760" s="109"/>
      <c r="J760" s="109"/>
      <c r="K760" s="109"/>
      <c r="L760" s="109"/>
      <c r="M760" s="109"/>
      <c r="N760" s="109"/>
      <c r="O760" s="109"/>
      <c r="P760" s="109"/>
      <c r="Q760" s="109"/>
      <c r="R760" s="109"/>
      <c r="S760" s="109"/>
      <c r="T760" s="109"/>
      <c r="U760" s="109"/>
      <c r="V760" s="109"/>
      <c r="W760" s="109"/>
      <c r="X760" s="109"/>
      <c r="Y760" s="109"/>
      <c r="Z760" s="109"/>
    </row>
    <row r="761" spans="1:26" ht="13.5" customHeight="1">
      <c r="A761" s="109"/>
      <c r="B761" s="109"/>
      <c r="C761" s="109"/>
      <c r="D761" s="109"/>
      <c r="E761" s="109"/>
      <c r="F761" s="109"/>
      <c r="G761" s="161"/>
      <c r="H761" s="109"/>
      <c r="I761" s="109"/>
      <c r="J761" s="109"/>
      <c r="K761" s="109"/>
      <c r="L761" s="109"/>
      <c r="M761" s="109"/>
      <c r="N761" s="109"/>
      <c r="O761" s="109"/>
      <c r="P761" s="109"/>
      <c r="Q761" s="109"/>
      <c r="R761" s="109"/>
      <c r="S761" s="109"/>
      <c r="T761" s="109"/>
      <c r="U761" s="109"/>
      <c r="V761" s="109"/>
      <c r="W761" s="109"/>
      <c r="X761" s="109"/>
      <c r="Y761" s="109"/>
      <c r="Z761" s="109"/>
    </row>
    <row r="762" spans="1:26" ht="13.5" customHeight="1">
      <c r="A762" s="109"/>
      <c r="B762" s="109"/>
      <c r="C762" s="109"/>
      <c r="D762" s="109"/>
      <c r="E762" s="109"/>
      <c r="F762" s="109"/>
      <c r="G762" s="161"/>
      <c r="H762" s="109"/>
      <c r="I762" s="109"/>
      <c r="J762" s="109"/>
      <c r="K762" s="109"/>
      <c r="L762" s="109"/>
      <c r="M762" s="109"/>
      <c r="N762" s="109"/>
      <c r="O762" s="109"/>
      <c r="P762" s="109"/>
      <c r="Q762" s="109"/>
      <c r="R762" s="109"/>
      <c r="S762" s="109"/>
      <c r="T762" s="109"/>
      <c r="U762" s="109"/>
      <c r="V762" s="109"/>
      <c r="W762" s="109"/>
      <c r="X762" s="109"/>
      <c r="Y762" s="109"/>
      <c r="Z762" s="109"/>
    </row>
    <row r="763" spans="1:26" ht="13.5" customHeight="1">
      <c r="A763" s="109"/>
      <c r="B763" s="109"/>
      <c r="C763" s="109"/>
      <c r="D763" s="109"/>
      <c r="E763" s="109"/>
      <c r="F763" s="109"/>
      <c r="G763" s="161"/>
      <c r="H763" s="109"/>
      <c r="I763" s="109"/>
      <c r="J763" s="109"/>
      <c r="K763" s="109"/>
      <c r="L763" s="109"/>
      <c r="M763" s="109"/>
      <c r="N763" s="109"/>
      <c r="O763" s="109"/>
      <c r="P763" s="109"/>
      <c r="Q763" s="109"/>
      <c r="R763" s="109"/>
      <c r="S763" s="109"/>
      <c r="T763" s="109"/>
      <c r="U763" s="109"/>
      <c r="V763" s="109"/>
      <c r="W763" s="109"/>
      <c r="X763" s="109"/>
      <c r="Y763" s="109"/>
      <c r="Z763" s="109"/>
    </row>
    <row r="764" spans="1:26" ht="13.5" customHeight="1">
      <c r="A764" s="109"/>
      <c r="B764" s="109"/>
      <c r="C764" s="109"/>
      <c r="D764" s="109"/>
      <c r="E764" s="109"/>
      <c r="F764" s="109"/>
      <c r="G764" s="161"/>
      <c r="H764" s="109"/>
      <c r="I764" s="109"/>
      <c r="J764" s="109"/>
      <c r="K764" s="109"/>
      <c r="L764" s="109"/>
      <c r="M764" s="109"/>
      <c r="N764" s="109"/>
      <c r="O764" s="109"/>
      <c r="P764" s="109"/>
      <c r="Q764" s="109"/>
      <c r="R764" s="109"/>
      <c r="S764" s="109"/>
      <c r="T764" s="109"/>
      <c r="U764" s="109"/>
      <c r="V764" s="109"/>
      <c r="W764" s="109"/>
      <c r="X764" s="109"/>
      <c r="Y764" s="109"/>
      <c r="Z764" s="109"/>
    </row>
    <row r="765" spans="1:26" ht="13.5" customHeight="1">
      <c r="A765" s="109"/>
      <c r="B765" s="109"/>
      <c r="C765" s="109"/>
      <c r="D765" s="109"/>
      <c r="E765" s="109"/>
      <c r="F765" s="109"/>
      <c r="G765" s="161"/>
      <c r="H765" s="109"/>
      <c r="I765" s="109"/>
      <c r="J765" s="109"/>
      <c r="K765" s="109"/>
      <c r="L765" s="109"/>
      <c r="M765" s="109"/>
      <c r="N765" s="109"/>
      <c r="O765" s="109"/>
      <c r="P765" s="109"/>
      <c r="Q765" s="109"/>
      <c r="R765" s="109"/>
      <c r="S765" s="109"/>
      <c r="T765" s="109"/>
      <c r="U765" s="109"/>
      <c r="V765" s="109"/>
      <c r="W765" s="109"/>
      <c r="X765" s="109"/>
      <c r="Y765" s="109"/>
      <c r="Z765" s="109"/>
    </row>
    <row r="766" spans="1:26" ht="13.5" customHeight="1">
      <c r="A766" s="109"/>
      <c r="B766" s="109"/>
      <c r="C766" s="109"/>
      <c r="D766" s="109"/>
      <c r="E766" s="109"/>
      <c r="F766" s="109"/>
      <c r="G766" s="161"/>
      <c r="H766" s="109"/>
      <c r="I766" s="109"/>
      <c r="J766" s="109"/>
      <c r="K766" s="109"/>
      <c r="L766" s="109"/>
      <c r="M766" s="109"/>
      <c r="N766" s="109"/>
      <c r="O766" s="109"/>
      <c r="P766" s="109"/>
      <c r="Q766" s="109"/>
      <c r="R766" s="109"/>
      <c r="S766" s="109"/>
      <c r="T766" s="109"/>
      <c r="U766" s="109"/>
      <c r="V766" s="109"/>
      <c r="W766" s="109"/>
      <c r="X766" s="109"/>
      <c r="Y766" s="109"/>
      <c r="Z766" s="109"/>
    </row>
    <row r="767" spans="1:26" ht="13.5" customHeight="1">
      <c r="A767" s="109"/>
      <c r="B767" s="109"/>
      <c r="C767" s="109"/>
      <c r="D767" s="109"/>
      <c r="E767" s="109"/>
      <c r="F767" s="109"/>
      <c r="G767" s="161"/>
      <c r="H767" s="109"/>
      <c r="I767" s="109"/>
      <c r="J767" s="109"/>
      <c r="K767" s="109"/>
      <c r="L767" s="109"/>
      <c r="M767" s="109"/>
      <c r="N767" s="109"/>
      <c r="O767" s="109"/>
      <c r="P767" s="109"/>
      <c r="Q767" s="109"/>
      <c r="R767" s="109"/>
      <c r="S767" s="109"/>
      <c r="T767" s="109"/>
      <c r="U767" s="109"/>
      <c r="V767" s="109"/>
      <c r="W767" s="109"/>
      <c r="X767" s="109"/>
      <c r="Y767" s="109"/>
      <c r="Z767" s="109"/>
    </row>
    <row r="768" spans="1:26" ht="13.5" customHeight="1">
      <c r="A768" s="109"/>
      <c r="B768" s="109"/>
      <c r="C768" s="109"/>
      <c r="D768" s="109"/>
      <c r="E768" s="109"/>
      <c r="F768" s="109"/>
      <c r="G768" s="161"/>
      <c r="H768" s="109"/>
      <c r="I768" s="109"/>
      <c r="J768" s="109"/>
      <c r="K768" s="109"/>
      <c r="L768" s="109"/>
      <c r="M768" s="109"/>
      <c r="N768" s="109"/>
      <c r="O768" s="109"/>
      <c r="P768" s="109"/>
      <c r="Q768" s="109"/>
      <c r="R768" s="109"/>
      <c r="S768" s="109"/>
      <c r="T768" s="109"/>
      <c r="U768" s="109"/>
      <c r="V768" s="109"/>
      <c r="W768" s="109"/>
      <c r="X768" s="109"/>
      <c r="Y768" s="109"/>
      <c r="Z768" s="109"/>
    </row>
    <row r="769" spans="1:26" ht="13.5" customHeight="1">
      <c r="A769" s="109"/>
      <c r="B769" s="109"/>
      <c r="C769" s="109"/>
      <c r="D769" s="109"/>
      <c r="E769" s="109"/>
      <c r="F769" s="109"/>
      <c r="G769" s="161"/>
      <c r="H769" s="109"/>
      <c r="I769" s="109"/>
      <c r="J769" s="109"/>
      <c r="K769" s="109"/>
      <c r="L769" s="109"/>
      <c r="M769" s="109"/>
      <c r="N769" s="109"/>
      <c r="O769" s="109"/>
      <c r="P769" s="109"/>
      <c r="Q769" s="109"/>
      <c r="R769" s="109"/>
      <c r="S769" s="109"/>
      <c r="T769" s="109"/>
      <c r="U769" s="109"/>
      <c r="V769" s="109"/>
      <c r="W769" s="109"/>
      <c r="X769" s="109"/>
      <c r="Y769" s="109"/>
      <c r="Z769" s="109"/>
    </row>
    <row r="770" spans="1:26" ht="13.5" customHeight="1">
      <c r="A770" s="109"/>
      <c r="B770" s="109"/>
      <c r="C770" s="109"/>
      <c r="D770" s="109"/>
      <c r="E770" s="109"/>
      <c r="F770" s="109"/>
      <c r="G770" s="161"/>
      <c r="H770" s="109"/>
      <c r="I770" s="109"/>
      <c r="J770" s="109"/>
      <c r="K770" s="109"/>
      <c r="L770" s="109"/>
      <c r="M770" s="109"/>
      <c r="N770" s="109"/>
      <c r="O770" s="109"/>
      <c r="P770" s="109"/>
      <c r="Q770" s="109"/>
      <c r="R770" s="109"/>
      <c r="S770" s="109"/>
      <c r="T770" s="109"/>
      <c r="U770" s="109"/>
      <c r="V770" s="109"/>
      <c r="W770" s="109"/>
      <c r="X770" s="109"/>
      <c r="Y770" s="109"/>
      <c r="Z770" s="109"/>
    </row>
    <row r="771" spans="1:26" ht="13.5" customHeight="1">
      <c r="A771" s="109"/>
      <c r="B771" s="109"/>
      <c r="C771" s="109"/>
      <c r="D771" s="109"/>
      <c r="E771" s="109"/>
      <c r="F771" s="109"/>
      <c r="G771" s="161"/>
      <c r="H771" s="109"/>
      <c r="I771" s="109"/>
      <c r="J771" s="109"/>
      <c r="K771" s="109"/>
      <c r="L771" s="109"/>
      <c r="M771" s="109"/>
      <c r="N771" s="109"/>
      <c r="O771" s="109"/>
      <c r="P771" s="109"/>
      <c r="Q771" s="109"/>
      <c r="R771" s="109"/>
      <c r="S771" s="109"/>
      <c r="T771" s="109"/>
      <c r="U771" s="109"/>
      <c r="V771" s="109"/>
      <c r="W771" s="109"/>
      <c r="X771" s="109"/>
      <c r="Y771" s="109"/>
      <c r="Z771" s="109"/>
    </row>
    <row r="772" spans="1:26" ht="13.5" customHeight="1">
      <c r="A772" s="109"/>
      <c r="B772" s="109"/>
      <c r="C772" s="109"/>
      <c r="D772" s="109"/>
      <c r="E772" s="109"/>
      <c r="F772" s="109"/>
      <c r="G772" s="161"/>
      <c r="H772" s="109"/>
      <c r="I772" s="109"/>
      <c r="J772" s="109"/>
      <c r="K772" s="109"/>
      <c r="L772" s="109"/>
      <c r="M772" s="109"/>
      <c r="N772" s="109"/>
      <c r="O772" s="109"/>
      <c r="P772" s="109"/>
      <c r="Q772" s="109"/>
      <c r="R772" s="109"/>
      <c r="S772" s="109"/>
      <c r="T772" s="109"/>
      <c r="U772" s="109"/>
      <c r="V772" s="109"/>
      <c r="W772" s="109"/>
      <c r="X772" s="109"/>
      <c r="Y772" s="109"/>
      <c r="Z772" s="109"/>
    </row>
    <row r="773" spans="1:26" ht="13.5" customHeight="1">
      <c r="A773" s="109"/>
      <c r="B773" s="109"/>
      <c r="C773" s="109"/>
      <c r="D773" s="109"/>
      <c r="E773" s="109"/>
      <c r="F773" s="109"/>
      <c r="G773" s="161"/>
      <c r="H773" s="109"/>
      <c r="I773" s="109"/>
      <c r="J773" s="109"/>
      <c r="K773" s="109"/>
      <c r="L773" s="109"/>
      <c r="M773" s="109"/>
      <c r="N773" s="109"/>
      <c r="O773" s="109"/>
      <c r="P773" s="109"/>
      <c r="Q773" s="109"/>
      <c r="R773" s="109"/>
      <c r="S773" s="109"/>
      <c r="T773" s="109"/>
      <c r="U773" s="109"/>
      <c r="V773" s="109"/>
      <c r="W773" s="109"/>
      <c r="X773" s="109"/>
      <c r="Y773" s="109"/>
      <c r="Z773" s="109"/>
    </row>
    <row r="774" spans="1:26" ht="13.5" customHeight="1">
      <c r="A774" s="109"/>
      <c r="B774" s="109"/>
      <c r="C774" s="109"/>
      <c r="D774" s="109"/>
      <c r="E774" s="109"/>
      <c r="F774" s="109"/>
      <c r="G774" s="161"/>
      <c r="H774" s="109"/>
      <c r="I774" s="109"/>
      <c r="J774" s="109"/>
      <c r="K774" s="109"/>
      <c r="L774" s="109"/>
      <c r="M774" s="109"/>
      <c r="N774" s="109"/>
      <c r="O774" s="109"/>
      <c r="P774" s="109"/>
      <c r="Q774" s="109"/>
      <c r="R774" s="109"/>
      <c r="S774" s="109"/>
      <c r="T774" s="109"/>
      <c r="U774" s="109"/>
      <c r="V774" s="109"/>
      <c r="W774" s="109"/>
      <c r="X774" s="109"/>
      <c r="Y774" s="109"/>
      <c r="Z774" s="109"/>
    </row>
    <row r="775" spans="1:26" ht="13.5" customHeight="1">
      <c r="A775" s="109"/>
      <c r="B775" s="109"/>
      <c r="C775" s="109"/>
      <c r="D775" s="109"/>
      <c r="E775" s="109"/>
      <c r="F775" s="109"/>
      <c r="G775" s="161"/>
      <c r="H775" s="109"/>
      <c r="I775" s="109"/>
      <c r="J775" s="109"/>
      <c r="K775" s="109"/>
      <c r="L775" s="109"/>
      <c r="M775" s="109"/>
      <c r="N775" s="109"/>
      <c r="O775" s="109"/>
      <c r="P775" s="109"/>
      <c r="Q775" s="109"/>
      <c r="R775" s="109"/>
      <c r="S775" s="109"/>
      <c r="T775" s="109"/>
      <c r="U775" s="109"/>
      <c r="V775" s="109"/>
      <c r="W775" s="109"/>
      <c r="X775" s="109"/>
      <c r="Y775" s="109"/>
      <c r="Z775" s="109"/>
    </row>
    <row r="776" spans="1:26" ht="13.5" customHeight="1">
      <c r="A776" s="109"/>
      <c r="B776" s="109"/>
      <c r="C776" s="109"/>
      <c r="D776" s="109"/>
      <c r="E776" s="109"/>
      <c r="F776" s="109"/>
      <c r="G776" s="161"/>
      <c r="H776" s="109"/>
      <c r="I776" s="109"/>
      <c r="J776" s="109"/>
      <c r="K776" s="109"/>
      <c r="L776" s="109"/>
      <c r="M776" s="109"/>
      <c r="N776" s="109"/>
      <c r="O776" s="109"/>
      <c r="P776" s="109"/>
      <c r="Q776" s="109"/>
      <c r="R776" s="109"/>
      <c r="S776" s="109"/>
      <c r="T776" s="109"/>
      <c r="U776" s="109"/>
      <c r="V776" s="109"/>
      <c r="W776" s="109"/>
      <c r="X776" s="109"/>
      <c r="Y776" s="109"/>
      <c r="Z776" s="109"/>
    </row>
    <row r="777" spans="1:26" ht="13.5" customHeight="1">
      <c r="A777" s="109"/>
      <c r="B777" s="109"/>
      <c r="C777" s="109"/>
      <c r="D777" s="109"/>
      <c r="E777" s="109"/>
      <c r="F777" s="109"/>
      <c r="G777" s="161"/>
      <c r="H777" s="109"/>
      <c r="I777" s="109"/>
      <c r="J777" s="109"/>
      <c r="K777" s="109"/>
      <c r="L777" s="109"/>
      <c r="M777" s="109"/>
      <c r="N777" s="109"/>
      <c r="O777" s="109"/>
      <c r="P777" s="109"/>
      <c r="Q777" s="109"/>
      <c r="R777" s="109"/>
      <c r="S777" s="109"/>
      <c r="T777" s="109"/>
      <c r="U777" s="109"/>
      <c r="V777" s="109"/>
      <c r="W777" s="109"/>
      <c r="X777" s="109"/>
      <c r="Y777" s="109"/>
      <c r="Z777" s="109"/>
    </row>
    <row r="778" spans="1:26" ht="13.5" customHeight="1">
      <c r="A778" s="109"/>
      <c r="B778" s="109"/>
      <c r="C778" s="109"/>
      <c r="D778" s="109"/>
      <c r="E778" s="109"/>
      <c r="F778" s="109"/>
      <c r="G778" s="161"/>
      <c r="H778" s="109"/>
      <c r="I778" s="109"/>
      <c r="J778" s="109"/>
      <c r="K778" s="109"/>
      <c r="L778" s="109"/>
      <c r="M778" s="109"/>
      <c r="N778" s="109"/>
      <c r="O778" s="109"/>
      <c r="P778" s="109"/>
      <c r="Q778" s="109"/>
      <c r="R778" s="109"/>
      <c r="S778" s="109"/>
      <c r="T778" s="109"/>
      <c r="U778" s="109"/>
      <c r="V778" s="109"/>
      <c r="W778" s="109"/>
      <c r="X778" s="109"/>
      <c r="Y778" s="109"/>
      <c r="Z778" s="109"/>
    </row>
    <row r="779" spans="1:26" ht="13.5" customHeight="1">
      <c r="A779" s="109"/>
      <c r="B779" s="109"/>
      <c r="C779" s="109"/>
      <c r="D779" s="109"/>
      <c r="E779" s="109"/>
      <c r="F779" s="109"/>
      <c r="G779" s="161"/>
      <c r="H779" s="109"/>
      <c r="I779" s="109"/>
      <c r="J779" s="109"/>
      <c r="K779" s="109"/>
      <c r="L779" s="109"/>
      <c r="M779" s="109"/>
      <c r="N779" s="109"/>
      <c r="O779" s="109"/>
      <c r="P779" s="109"/>
      <c r="Q779" s="109"/>
      <c r="R779" s="109"/>
      <c r="S779" s="109"/>
      <c r="T779" s="109"/>
      <c r="U779" s="109"/>
      <c r="V779" s="109"/>
      <c r="W779" s="109"/>
      <c r="X779" s="109"/>
      <c r="Y779" s="109"/>
      <c r="Z779" s="109"/>
    </row>
    <row r="780" spans="1:26" ht="13.5" customHeight="1">
      <c r="A780" s="109"/>
      <c r="B780" s="109"/>
      <c r="C780" s="109"/>
      <c r="D780" s="109"/>
      <c r="E780" s="109"/>
      <c r="F780" s="109"/>
      <c r="G780" s="161"/>
      <c r="H780" s="109"/>
      <c r="I780" s="109"/>
      <c r="J780" s="109"/>
      <c r="K780" s="109"/>
      <c r="L780" s="109"/>
      <c r="M780" s="109"/>
      <c r="N780" s="109"/>
      <c r="O780" s="109"/>
      <c r="P780" s="109"/>
      <c r="Q780" s="109"/>
      <c r="R780" s="109"/>
      <c r="S780" s="109"/>
      <c r="T780" s="109"/>
      <c r="U780" s="109"/>
      <c r="V780" s="109"/>
      <c r="W780" s="109"/>
      <c r="X780" s="109"/>
      <c r="Y780" s="109"/>
      <c r="Z780" s="109"/>
    </row>
    <row r="781" spans="1:26" ht="13.5" customHeight="1">
      <c r="A781" s="109"/>
      <c r="B781" s="109"/>
      <c r="C781" s="109"/>
      <c r="D781" s="109"/>
      <c r="E781" s="109"/>
      <c r="F781" s="109"/>
      <c r="G781" s="161"/>
      <c r="H781" s="109"/>
      <c r="I781" s="109"/>
      <c r="J781" s="109"/>
      <c r="K781" s="109"/>
      <c r="L781" s="109"/>
      <c r="M781" s="109"/>
      <c r="N781" s="109"/>
      <c r="O781" s="109"/>
      <c r="P781" s="109"/>
      <c r="Q781" s="109"/>
      <c r="R781" s="109"/>
      <c r="S781" s="109"/>
      <c r="T781" s="109"/>
      <c r="U781" s="109"/>
      <c r="V781" s="109"/>
      <c r="W781" s="109"/>
      <c r="X781" s="109"/>
      <c r="Y781" s="109"/>
      <c r="Z781" s="109"/>
    </row>
    <row r="782" spans="1:26" ht="13.5" customHeight="1">
      <c r="A782" s="109"/>
      <c r="B782" s="109"/>
      <c r="C782" s="109"/>
      <c r="D782" s="109"/>
      <c r="E782" s="109"/>
      <c r="F782" s="109"/>
      <c r="G782" s="161"/>
      <c r="H782" s="109"/>
      <c r="I782" s="109"/>
      <c r="J782" s="109"/>
      <c r="K782" s="109"/>
      <c r="L782" s="109"/>
      <c r="M782" s="109"/>
      <c r="N782" s="109"/>
      <c r="O782" s="109"/>
      <c r="P782" s="109"/>
      <c r="Q782" s="109"/>
      <c r="R782" s="109"/>
      <c r="S782" s="109"/>
      <c r="T782" s="109"/>
      <c r="U782" s="109"/>
      <c r="V782" s="109"/>
      <c r="W782" s="109"/>
      <c r="X782" s="109"/>
      <c r="Y782" s="109"/>
      <c r="Z782" s="109"/>
    </row>
    <row r="783" spans="1:26" ht="13.5" customHeight="1">
      <c r="A783" s="109"/>
      <c r="B783" s="109"/>
      <c r="C783" s="109"/>
      <c r="D783" s="109"/>
      <c r="E783" s="109"/>
      <c r="F783" s="109"/>
      <c r="G783" s="161"/>
      <c r="H783" s="109"/>
      <c r="I783" s="109"/>
      <c r="J783" s="109"/>
      <c r="K783" s="109"/>
      <c r="L783" s="109"/>
      <c r="M783" s="109"/>
      <c r="N783" s="109"/>
      <c r="O783" s="109"/>
      <c r="P783" s="109"/>
      <c r="Q783" s="109"/>
      <c r="R783" s="109"/>
      <c r="S783" s="109"/>
      <c r="T783" s="109"/>
      <c r="U783" s="109"/>
      <c r="V783" s="109"/>
      <c r="W783" s="109"/>
      <c r="X783" s="109"/>
      <c r="Y783" s="109"/>
      <c r="Z783" s="109"/>
    </row>
    <row r="784" spans="1:26" ht="13.5" customHeight="1">
      <c r="A784" s="109"/>
      <c r="B784" s="109"/>
      <c r="C784" s="109"/>
      <c r="D784" s="109"/>
      <c r="E784" s="109"/>
      <c r="F784" s="109"/>
      <c r="G784" s="161"/>
      <c r="H784" s="109"/>
      <c r="I784" s="109"/>
      <c r="J784" s="109"/>
      <c r="K784" s="109"/>
      <c r="L784" s="109"/>
      <c r="M784" s="109"/>
      <c r="N784" s="109"/>
      <c r="O784" s="109"/>
      <c r="P784" s="109"/>
      <c r="Q784" s="109"/>
      <c r="R784" s="109"/>
      <c r="S784" s="109"/>
      <c r="T784" s="109"/>
      <c r="U784" s="109"/>
      <c r="V784" s="109"/>
      <c r="W784" s="109"/>
      <c r="X784" s="109"/>
      <c r="Y784" s="109"/>
      <c r="Z784" s="109"/>
    </row>
    <row r="785" spans="1:26" ht="13.5" customHeight="1">
      <c r="A785" s="109"/>
      <c r="B785" s="109"/>
      <c r="C785" s="109"/>
      <c r="D785" s="109"/>
      <c r="E785" s="109"/>
      <c r="F785" s="109"/>
      <c r="G785" s="161"/>
      <c r="H785" s="109"/>
      <c r="I785" s="109"/>
      <c r="J785" s="109"/>
      <c r="K785" s="109"/>
      <c r="L785" s="109"/>
      <c r="M785" s="109"/>
      <c r="N785" s="109"/>
      <c r="O785" s="109"/>
      <c r="P785" s="109"/>
      <c r="Q785" s="109"/>
      <c r="R785" s="109"/>
      <c r="S785" s="109"/>
      <c r="T785" s="109"/>
      <c r="U785" s="109"/>
      <c r="V785" s="109"/>
      <c r="W785" s="109"/>
      <c r="X785" s="109"/>
      <c r="Y785" s="109"/>
      <c r="Z785" s="109"/>
    </row>
    <row r="786" spans="1:26" ht="13.5" customHeight="1">
      <c r="A786" s="109"/>
      <c r="B786" s="109"/>
      <c r="C786" s="109"/>
      <c r="D786" s="109"/>
      <c r="E786" s="109"/>
      <c r="F786" s="109"/>
      <c r="G786" s="161"/>
      <c r="H786" s="109"/>
      <c r="I786" s="109"/>
      <c r="J786" s="109"/>
      <c r="K786" s="109"/>
      <c r="L786" s="109"/>
      <c r="M786" s="109"/>
      <c r="N786" s="109"/>
      <c r="O786" s="109"/>
      <c r="P786" s="109"/>
      <c r="Q786" s="109"/>
      <c r="R786" s="109"/>
      <c r="S786" s="109"/>
      <c r="T786" s="109"/>
      <c r="U786" s="109"/>
      <c r="V786" s="109"/>
      <c r="W786" s="109"/>
      <c r="X786" s="109"/>
      <c r="Y786" s="109"/>
      <c r="Z786" s="109"/>
    </row>
    <row r="787" spans="1:26" ht="13.5" customHeight="1">
      <c r="A787" s="109"/>
      <c r="B787" s="109"/>
      <c r="C787" s="109"/>
      <c r="D787" s="109"/>
      <c r="E787" s="109"/>
      <c r="F787" s="109"/>
      <c r="G787" s="161"/>
      <c r="H787" s="109"/>
      <c r="I787" s="109"/>
      <c r="J787" s="109"/>
      <c r="K787" s="109"/>
      <c r="L787" s="109"/>
      <c r="M787" s="109"/>
      <c r="N787" s="109"/>
      <c r="O787" s="109"/>
      <c r="P787" s="109"/>
      <c r="Q787" s="109"/>
      <c r="R787" s="109"/>
      <c r="S787" s="109"/>
      <c r="T787" s="109"/>
      <c r="U787" s="109"/>
      <c r="V787" s="109"/>
      <c r="W787" s="109"/>
      <c r="X787" s="109"/>
      <c r="Y787" s="109"/>
      <c r="Z787" s="109"/>
    </row>
    <row r="788" spans="1:26" ht="13.5" customHeight="1">
      <c r="A788" s="109"/>
      <c r="B788" s="109"/>
      <c r="C788" s="109"/>
      <c r="D788" s="109"/>
      <c r="E788" s="109"/>
      <c r="F788" s="109"/>
      <c r="G788" s="161"/>
      <c r="H788" s="109"/>
      <c r="I788" s="109"/>
      <c r="J788" s="109"/>
      <c r="K788" s="109"/>
      <c r="L788" s="109"/>
      <c r="M788" s="109"/>
      <c r="N788" s="109"/>
      <c r="O788" s="109"/>
      <c r="P788" s="109"/>
      <c r="Q788" s="109"/>
      <c r="R788" s="109"/>
      <c r="S788" s="109"/>
      <c r="T788" s="109"/>
      <c r="U788" s="109"/>
      <c r="V788" s="109"/>
      <c r="W788" s="109"/>
      <c r="X788" s="109"/>
      <c r="Y788" s="109"/>
      <c r="Z788" s="109"/>
    </row>
    <row r="789" spans="1:26" ht="13.5" customHeight="1">
      <c r="A789" s="109"/>
      <c r="B789" s="109"/>
      <c r="C789" s="109"/>
      <c r="D789" s="109"/>
      <c r="E789" s="109"/>
      <c r="F789" s="109"/>
      <c r="G789" s="161"/>
      <c r="H789" s="109"/>
      <c r="I789" s="109"/>
      <c r="J789" s="109"/>
      <c r="K789" s="109"/>
      <c r="L789" s="109"/>
      <c r="M789" s="109"/>
      <c r="N789" s="109"/>
      <c r="O789" s="109"/>
      <c r="P789" s="109"/>
      <c r="Q789" s="109"/>
      <c r="R789" s="109"/>
      <c r="S789" s="109"/>
      <c r="T789" s="109"/>
      <c r="U789" s="109"/>
      <c r="V789" s="109"/>
      <c r="W789" s="109"/>
      <c r="X789" s="109"/>
      <c r="Y789" s="109"/>
      <c r="Z789" s="109"/>
    </row>
    <row r="790" spans="1:26" ht="13.5" customHeight="1">
      <c r="A790" s="109"/>
      <c r="B790" s="109"/>
      <c r="C790" s="109"/>
      <c r="D790" s="109"/>
      <c r="E790" s="109"/>
      <c r="F790" s="109"/>
      <c r="G790" s="161"/>
      <c r="H790" s="109"/>
      <c r="I790" s="109"/>
      <c r="J790" s="109"/>
      <c r="K790" s="109"/>
      <c r="L790" s="109"/>
      <c r="M790" s="109"/>
      <c r="N790" s="109"/>
      <c r="O790" s="109"/>
      <c r="P790" s="109"/>
      <c r="Q790" s="109"/>
      <c r="R790" s="109"/>
      <c r="S790" s="109"/>
      <c r="T790" s="109"/>
      <c r="U790" s="109"/>
      <c r="V790" s="109"/>
      <c r="W790" s="109"/>
      <c r="X790" s="109"/>
      <c r="Y790" s="109"/>
      <c r="Z790" s="109"/>
    </row>
    <row r="791" spans="1:26" ht="13.5" customHeight="1">
      <c r="A791" s="109"/>
      <c r="B791" s="109"/>
      <c r="C791" s="109"/>
      <c r="D791" s="109"/>
      <c r="E791" s="109"/>
      <c r="F791" s="109"/>
      <c r="G791" s="161"/>
      <c r="H791" s="109"/>
      <c r="I791" s="109"/>
      <c r="J791" s="109"/>
      <c r="K791" s="109"/>
      <c r="L791" s="109"/>
      <c r="M791" s="109"/>
      <c r="N791" s="109"/>
      <c r="O791" s="109"/>
      <c r="P791" s="109"/>
      <c r="Q791" s="109"/>
      <c r="R791" s="109"/>
      <c r="S791" s="109"/>
      <c r="T791" s="109"/>
      <c r="U791" s="109"/>
      <c r="V791" s="109"/>
      <c r="W791" s="109"/>
      <c r="X791" s="109"/>
      <c r="Y791" s="109"/>
      <c r="Z791" s="109"/>
    </row>
    <row r="792" spans="1:26" ht="13.5" customHeight="1">
      <c r="A792" s="109"/>
      <c r="B792" s="109"/>
      <c r="C792" s="109"/>
      <c r="D792" s="109"/>
      <c r="E792" s="109"/>
      <c r="F792" s="109"/>
      <c r="G792" s="161"/>
      <c r="H792" s="109"/>
      <c r="I792" s="109"/>
      <c r="J792" s="109"/>
      <c r="K792" s="109"/>
      <c r="L792" s="109"/>
      <c r="M792" s="109"/>
      <c r="N792" s="109"/>
      <c r="O792" s="109"/>
      <c r="P792" s="109"/>
      <c r="Q792" s="109"/>
      <c r="R792" s="109"/>
      <c r="S792" s="109"/>
      <c r="T792" s="109"/>
      <c r="U792" s="109"/>
      <c r="V792" s="109"/>
      <c r="W792" s="109"/>
      <c r="X792" s="109"/>
      <c r="Y792" s="109"/>
      <c r="Z792" s="109"/>
    </row>
    <row r="793" spans="1:26" ht="13.5" customHeight="1">
      <c r="A793" s="109"/>
      <c r="B793" s="109"/>
      <c r="C793" s="109"/>
      <c r="D793" s="109"/>
      <c r="E793" s="109"/>
      <c r="F793" s="109"/>
      <c r="G793" s="161"/>
      <c r="H793" s="109"/>
      <c r="I793" s="109"/>
      <c r="J793" s="109"/>
      <c r="K793" s="109"/>
      <c r="L793" s="109"/>
      <c r="M793" s="109"/>
      <c r="N793" s="109"/>
      <c r="O793" s="109"/>
      <c r="P793" s="109"/>
      <c r="Q793" s="109"/>
      <c r="R793" s="109"/>
      <c r="S793" s="109"/>
      <c r="T793" s="109"/>
      <c r="U793" s="109"/>
      <c r="V793" s="109"/>
      <c r="W793" s="109"/>
      <c r="X793" s="109"/>
      <c r="Y793" s="109"/>
      <c r="Z793" s="109"/>
    </row>
    <row r="794" spans="1:26" ht="13.5" customHeight="1">
      <c r="A794" s="109"/>
      <c r="B794" s="109"/>
      <c r="C794" s="109"/>
      <c r="D794" s="109"/>
      <c r="E794" s="109"/>
      <c r="F794" s="109"/>
      <c r="G794" s="161"/>
      <c r="H794" s="109"/>
      <c r="I794" s="109"/>
      <c r="J794" s="109"/>
      <c r="K794" s="109"/>
      <c r="L794" s="109"/>
      <c r="M794" s="109"/>
      <c r="N794" s="109"/>
      <c r="O794" s="109"/>
      <c r="P794" s="109"/>
      <c r="Q794" s="109"/>
      <c r="R794" s="109"/>
      <c r="S794" s="109"/>
      <c r="T794" s="109"/>
      <c r="U794" s="109"/>
      <c r="V794" s="109"/>
      <c r="W794" s="109"/>
      <c r="X794" s="109"/>
      <c r="Y794" s="109"/>
      <c r="Z794" s="109"/>
    </row>
    <row r="795" spans="1:26" ht="13.5" customHeight="1">
      <c r="A795" s="109"/>
      <c r="B795" s="109"/>
      <c r="C795" s="109"/>
      <c r="D795" s="109"/>
      <c r="E795" s="109"/>
      <c r="F795" s="109"/>
      <c r="G795" s="161"/>
      <c r="H795" s="109"/>
      <c r="I795" s="109"/>
      <c r="J795" s="109"/>
      <c r="K795" s="109"/>
      <c r="L795" s="109"/>
      <c r="M795" s="109"/>
      <c r="N795" s="109"/>
      <c r="O795" s="109"/>
      <c r="P795" s="109"/>
      <c r="Q795" s="109"/>
      <c r="R795" s="109"/>
      <c r="S795" s="109"/>
      <c r="T795" s="109"/>
      <c r="U795" s="109"/>
      <c r="V795" s="109"/>
      <c r="W795" s="109"/>
      <c r="X795" s="109"/>
      <c r="Y795" s="109"/>
      <c r="Z795" s="109"/>
    </row>
    <row r="796" spans="1:26" ht="13.5" customHeight="1">
      <c r="A796" s="109"/>
      <c r="B796" s="109"/>
      <c r="C796" s="109"/>
      <c r="D796" s="109"/>
      <c r="E796" s="109"/>
      <c r="F796" s="109"/>
      <c r="G796" s="161"/>
      <c r="H796" s="109"/>
      <c r="I796" s="109"/>
      <c r="J796" s="109"/>
      <c r="K796" s="109"/>
      <c r="L796" s="109"/>
      <c r="M796" s="109"/>
      <c r="N796" s="109"/>
      <c r="O796" s="109"/>
      <c r="P796" s="109"/>
      <c r="Q796" s="109"/>
      <c r="R796" s="109"/>
      <c r="S796" s="109"/>
      <c r="T796" s="109"/>
      <c r="U796" s="109"/>
      <c r="V796" s="109"/>
      <c r="W796" s="109"/>
      <c r="X796" s="109"/>
      <c r="Y796" s="109"/>
      <c r="Z796" s="109"/>
    </row>
    <row r="797" spans="1:26" ht="13.5" customHeight="1">
      <c r="A797" s="109"/>
      <c r="B797" s="109"/>
      <c r="C797" s="109"/>
      <c r="D797" s="109"/>
      <c r="E797" s="109"/>
      <c r="F797" s="109"/>
      <c r="G797" s="161"/>
      <c r="H797" s="109"/>
      <c r="I797" s="109"/>
      <c r="J797" s="109"/>
      <c r="K797" s="109"/>
      <c r="L797" s="109"/>
      <c r="M797" s="109"/>
      <c r="N797" s="109"/>
      <c r="O797" s="109"/>
      <c r="P797" s="109"/>
      <c r="Q797" s="109"/>
      <c r="R797" s="109"/>
      <c r="S797" s="109"/>
      <c r="T797" s="109"/>
      <c r="U797" s="109"/>
      <c r="V797" s="109"/>
      <c r="W797" s="109"/>
      <c r="X797" s="109"/>
      <c r="Y797" s="109"/>
      <c r="Z797" s="109"/>
    </row>
    <row r="798" spans="1:26" ht="13.5" customHeight="1">
      <c r="A798" s="109"/>
      <c r="B798" s="109"/>
      <c r="C798" s="109"/>
      <c r="D798" s="109"/>
      <c r="E798" s="109"/>
      <c r="F798" s="109"/>
      <c r="G798" s="161"/>
      <c r="H798" s="109"/>
      <c r="I798" s="109"/>
      <c r="J798" s="109"/>
      <c r="K798" s="109"/>
      <c r="L798" s="109"/>
      <c r="M798" s="109"/>
      <c r="N798" s="109"/>
      <c r="O798" s="109"/>
      <c r="P798" s="109"/>
      <c r="Q798" s="109"/>
      <c r="R798" s="109"/>
      <c r="S798" s="109"/>
      <c r="T798" s="109"/>
      <c r="U798" s="109"/>
      <c r="V798" s="109"/>
      <c r="W798" s="109"/>
      <c r="X798" s="109"/>
      <c r="Y798" s="109"/>
      <c r="Z798" s="109"/>
    </row>
    <row r="799" spans="1:26" ht="13.5" customHeight="1">
      <c r="A799" s="109"/>
      <c r="B799" s="109"/>
      <c r="C799" s="109"/>
      <c r="D799" s="109"/>
      <c r="E799" s="109"/>
      <c r="F799" s="109"/>
      <c r="G799" s="161"/>
      <c r="H799" s="109"/>
      <c r="I799" s="109"/>
      <c r="J799" s="109"/>
      <c r="K799" s="109"/>
      <c r="L799" s="109"/>
      <c r="M799" s="109"/>
      <c r="N799" s="109"/>
      <c r="O799" s="109"/>
      <c r="P799" s="109"/>
      <c r="Q799" s="109"/>
      <c r="R799" s="109"/>
      <c r="S799" s="109"/>
      <c r="T799" s="109"/>
      <c r="U799" s="109"/>
      <c r="V799" s="109"/>
      <c r="W799" s="109"/>
      <c r="X799" s="109"/>
      <c r="Y799" s="109"/>
      <c r="Z799" s="109"/>
    </row>
    <row r="800" spans="1:26" ht="13.5" customHeight="1">
      <c r="A800" s="109"/>
      <c r="B800" s="109"/>
      <c r="C800" s="109"/>
      <c r="D800" s="109"/>
      <c r="E800" s="109"/>
      <c r="F800" s="109"/>
      <c r="G800" s="161"/>
      <c r="H800" s="109"/>
      <c r="I800" s="109"/>
      <c r="J800" s="109"/>
      <c r="K800" s="109"/>
      <c r="L800" s="109"/>
      <c r="M800" s="109"/>
      <c r="N800" s="109"/>
      <c r="O800" s="109"/>
      <c r="P800" s="109"/>
      <c r="Q800" s="109"/>
      <c r="R800" s="109"/>
      <c r="S800" s="109"/>
      <c r="T800" s="109"/>
      <c r="U800" s="109"/>
      <c r="V800" s="109"/>
      <c r="W800" s="109"/>
      <c r="X800" s="109"/>
      <c r="Y800" s="109"/>
      <c r="Z800" s="109"/>
    </row>
    <row r="801" spans="1:26" ht="13.5" customHeight="1">
      <c r="A801" s="109"/>
      <c r="B801" s="109"/>
      <c r="C801" s="109"/>
      <c r="D801" s="109"/>
      <c r="E801" s="109"/>
      <c r="F801" s="109"/>
      <c r="G801" s="161"/>
      <c r="H801" s="109"/>
      <c r="I801" s="109"/>
      <c r="J801" s="109"/>
      <c r="K801" s="109"/>
      <c r="L801" s="109"/>
      <c r="M801" s="109"/>
      <c r="N801" s="109"/>
      <c r="O801" s="109"/>
      <c r="P801" s="109"/>
      <c r="Q801" s="109"/>
      <c r="R801" s="109"/>
      <c r="S801" s="109"/>
      <c r="T801" s="109"/>
      <c r="U801" s="109"/>
      <c r="V801" s="109"/>
      <c r="W801" s="109"/>
      <c r="X801" s="109"/>
      <c r="Y801" s="109"/>
      <c r="Z801" s="109"/>
    </row>
    <row r="802" spans="1:26" ht="13.5" customHeight="1">
      <c r="A802" s="109"/>
      <c r="B802" s="109"/>
      <c r="C802" s="109"/>
      <c r="D802" s="109"/>
      <c r="E802" s="109"/>
      <c r="F802" s="109"/>
      <c r="G802" s="161"/>
      <c r="H802" s="109"/>
      <c r="I802" s="109"/>
      <c r="J802" s="109"/>
      <c r="K802" s="109"/>
      <c r="L802" s="109"/>
      <c r="M802" s="109"/>
      <c r="N802" s="109"/>
      <c r="O802" s="109"/>
      <c r="P802" s="109"/>
      <c r="Q802" s="109"/>
      <c r="R802" s="109"/>
      <c r="S802" s="109"/>
      <c r="T802" s="109"/>
      <c r="U802" s="109"/>
      <c r="V802" s="109"/>
      <c r="W802" s="109"/>
      <c r="X802" s="109"/>
      <c r="Y802" s="109"/>
      <c r="Z802" s="109"/>
    </row>
    <row r="803" spans="1:26" ht="13.5" customHeight="1">
      <c r="A803" s="109"/>
      <c r="B803" s="109"/>
      <c r="C803" s="109"/>
      <c r="D803" s="109"/>
      <c r="E803" s="109"/>
      <c r="F803" s="109"/>
      <c r="G803" s="161"/>
      <c r="H803" s="109"/>
      <c r="I803" s="109"/>
      <c r="J803" s="109"/>
      <c r="K803" s="109"/>
      <c r="L803" s="109"/>
      <c r="M803" s="109"/>
      <c r="N803" s="109"/>
      <c r="O803" s="109"/>
      <c r="P803" s="109"/>
      <c r="Q803" s="109"/>
      <c r="R803" s="109"/>
      <c r="S803" s="109"/>
      <c r="T803" s="109"/>
      <c r="U803" s="109"/>
      <c r="V803" s="109"/>
      <c r="W803" s="109"/>
      <c r="X803" s="109"/>
      <c r="Y803" s="109"/>
      <c r="Z803" s="109"/>
    </row>
    <row r="804" spans="1:26" ht="13.5" customHeight="1">
      <c r="A804" s="109"/>
      <c r="B804" s="109"/>
      <c r="C804" s="109"/>
      <c r="D804" s="109"/>
      <c r="E804" s="109"/>
      <c r="F804" s="109"/>
      <c r="G804" s="161"/>
      <c r="H804" s="109"/>
      <c r="I804" s="109"/>
      <c r="J804" s="109"/>
      <c r="K804" s="109"/>
      <c r="L804" s="109"/>
      <c r="M804" s="109"/>
      <c r="N804" s="109"/>
      <c r="O804" s="109"/>
      <c r="P804" s="109"/>
      <c r="Q804" s="109"/>
      <c r="R804" s="109"/>
      <c r="S804" s="109"/>
      <c r="T804" s="109"/>
      <c r="U804" s="109"/>
      <c r="V804" s="109"/>
      <c r="W804" s="109"/>
      <c r="X804" s="109"/>
      <c r="Y804" s="109"/>
      <c r="Z804" s="109"/>
    </row>
    <row r="805" spans="1:26" ht="13.5" customHeight="1">
      <c r="A805" s="109"/>
      <c r="B805" s="109"/>
      <c r="C805" s="109"/>
      <c r="D805" s="109"/>
      <c r="E805" s="109"/>
      <c r="F805" s="109"/>
      <c r="G805" s="161"/>
      <c r="H805" s="109"/>
      <c r="I805" s="109"/>
      <c r="J805" s="109"/>
      <c r="K805" s="109"/>
      <c r="L805" s="109"/>
      <c r="M805" s="109"/>
      <c r="N805" s="109"/>
      <c r="O805" s="109"/>
      <c r="P805" s="109"/>
      <c r="Q805" s="109"/>
      <c r="R805" s="109"/>
      <c r="S805" s="109"/>
      <c r="T805" s="109"/>
      <c r="U805" s="109"/>
      <c r="V805" s="109"/>
      <c r="W805" s="109"/>
      <c r="X805" s="109"/>
      <c r="Y805" s="109"/>
      <c r="Z805" s="109"/>
    </row>
    <row r="806" spans="1:26" ht="13.5" customHeight="1">
      <c r="A806" s="109"/>
      <c r="B806" s="109"/>
      <c r="C806" s="109"/>
      <c r="D806" s="109"/>
      <c r="E806" s="109"/>
      <c r="F806" s="109"/>
      <c r="G806" s="161"/>
      <c r="H806" s="109"/>
      <c r="I806" s="109"/>
      <c r="J806" s="109"/>
      <c r="K806" s="109"/>
      <c r="L806" s="109"/>
      <c r="M806" s="109"/>
      <c r="N806" s="109"/>
      <c r="O806" s="109"/>
      <c r="P806" s="109"/>
      <c r="Q806" s="109"/>
      <c r="R806" s="109"/>
      <c r="S806" s="109"/>
      <c r="T806" s="109"/>
      <c r="U806" s="109"/>
      <c r="V806" s="109"/>
      <c r="W806" s="109"/>
      <c r="X806" s="109"/>
      <c r="Y806" s="109"/>
      <c r="Z806" s="109"/>
    </row>
    <row r="807" spans="1:26" ht="13.5" customHeight="1">
      <c r="A807" s="109"/>
      <c r="B807" s="109"/>
      <c r="C807" s="109"/>
      <c r="D807" s="109"/>
      <c r="E807" s="109"/>
      <c r="F807" s="109"/>
      <c r="G807" s="161"/>
      <c r="H807" s="109"/>
      <c r="I807" s="109"/>
      <c r="J807" s="109"/>
      <c r="K807" s="109"/>
      <c r="L807" s="109"/>
      <c r="M807" s="109"/>
      <c r="N807" s="109"/>
      <c r="O807" s="109"/>
      <c r="P807" s="109"/>
      <c r="Q807" s="109"/>
      <c r="R807" s="109"/>
      <c r="S807" s="109"/>
      <c r="T807" s="109"/>
      <c r="U807" s="109"/>
      <c r="V807" s="109"/>
      <c r="W807" s="109"/>
      <c r="X807" s="109"/>
      <c r="Y807" s="109"/>
      <c r="Z807" s="109"/>
    </row>
    <row r="808" spans="1:26" ht="13.5" customHeight="1">
      <c r="A808" s="109"/>
      <c r="B808" s="109"/>
      <c r="C808" s="109"/>
      <c r="D808" s="109"/>
      <c r="E808" s="109"/>
      <c r="F808" s="109"/>
      <c r="G808" s="161"/>
      <c r="H808" s="109"/>
      <c r="I808" s="109"/>
      <c r="J808" s="109"/>
      <c r="K808" s="109"/>
      <c r="L808" s="109"/>
      <c r="M808" s="109"/>
      <c r="N808" s="109"/>
      <c r="O808" s="109"/>
      <c r="P808" s="109"/>
      <c r="Q808" s="109"/>
      <c r="R808" s="109"/>
      <c r="S808" s="109"/>
      <c r="T808" s="109"/>
      <c r="U808" s="109"/>
      <c r="V808" s="109"/>
      <c r="W808" s="109"/>
      <c r="X808" s="109"/>
      <c r="Y808" s="109"/>
      <c r="Z808" s="109"/>
    </row>
    <row r="809" spans="1:26" ht="13.5" customHeight="1">
      <c r="A809" s="109"/>
      <c r="B809" s="109"/>
      <c r="C809" s="109"/>
      <c r="D809" s="109"/>
      <c r="E809" s="109"/>
      <c r="F809" s="109"/>
      <c r="G809" s="161"/>
      <c r="H809" s="109"/>
      <c r="I809" s="109"/>
      <c r="J809" s="109"/>
      <c r="K809" s="109"/>
      <c r="L809" s="109"/>
      <c r="M809" s="109"/>
      <c r="N809" s="109"/>
      <c r="O809" s="109"/>
      <c r="P809" s="109"/>
      <c r="Q809" s="109"/>
      <c r="R809" s="109"/>
      <c r="S809" s="109"/>
      <c r="T809" s="109"/>
      <c r="U809" s="109"/>
      <c r="V809" s="109"/>
      <c r="W809" s="109"/>
      <c r="X809" s="109"/>
      <c r="Y809" s="109"/>
      <c r="Z809" s="109"/>
    </row>
    <row r="810" spans="1:26" ht="13.5" customHeight="1">
      <c r="A810" s="109"/>
      <c r="B810" s="109"/>
      <c r="C810" s="109"/>
      <c r="D810" s="109"/>
      <c r="E810" s="109"/>
      <c r="F810" s="109"/>
      <c r="G810" s="161"/>
      <c r="H810" s="109"/>
      <c r="I810" s="109"/>
      <c r="J810" s="109"/>
      <c r="K810" s="109"/>
      <c r="L810" s="109"/>
      <c r="M810" s="109"/>
      <c r="N810" s="109"/>
      <c r="O810" s="109"/>
      <c r="P810" s="109"/>
      <c r="Q810" s="109"/>
      <c r="R810" s="109"/>
      <c r="S810" s="109"/>
      <c r="T810" s="109"/>
      <c r="U810" s="109"/>
      <c r="V810" s="109"/>
      <c r="W810" s="109"/>
      <c r="X810" s="109"/>
      <c r="Y810" s="109"/>
      <c r="Z810" s="109"/>
    </row>
    <row r="811" spans="1:26" ht="13.5" customHeight="1">
      <c r="A811" s="109"/>
      <c r="B811" s="109"/>
      <c r="C811" s="109"/>
      <c r="D811" s="109"/>
      <c r="E811" s="109"/>
      <c r="F811" s="109"/>
      <c r="G811" s="161"/>
      <c r="H811" s="109"/>
      <c r="I811" s="109"/>
      <c r="J811" s="109"/>
      <c r="K811" s="109"/>
      <c r="L811" s="109"/>
      <c r="M811" s="109"/>
      <c r="N811" s="109"/>
      <c r="O811" s="109"/>
      <c r="P811" s="109"/>
      <c r="Q811" s="109"/>
      <c r="R811" s="109"/>
      <c r="S811" s="109"/>
      <c r="T811" s="109"/>
      <c r="U811" s="109"/>
      <c r="V811" s="109"/>
      <c r="W811" s="109"/>
      <c r="X811" s="109"/>
      <c r="Y811" s="109"/>
      <c r="Z811" s="109"/>
    </row>
    <row r="812" spans="1:26" ht="13.5" customHeight="1">
      <c r="A812" s="109"/>
      <c r="B812" s="109"/>
      <c r="C812" s="109"/>
      <c r="D812" s="109"/>
      <c r="E812" s="109"/>
      <c r="F812" s="109"/>
      <c r="G812" s="161"/>
      <c r="H812" s="109"/>
      <c r="I812" s="109"/>
      <c r="J812" s="109"/>
      <c r="K812" s="109"/>
      <c r="L812" s="109"/>
      <c r="M812" s="109"/>
      <c r="N812" s="109"/>
      <c r="O812" s="109"/>
      <c r="P812" s="109"/>
      <c r="Q812" s="109"/>
      <c r="R812" s="109"/>
      <c r="S812" s="109"/>
      <c r="T812" s="109"/>
      <c r="U812" s="109"/>
      <c r="V812" s="109"/>
      <c r="W812" s="109"/>
      <c r="X812" s="109"/>
      <c r="Y812" s="109"/>
      <c r="Z812" s="109"/>
    </row>
    <row r="813" spans="1:26" ht="13.5" customHeight="1">
      <c r="A813" s="109"/>
      <c r="B813" s="109"/>
      <c r="C813" s="109"/>
      <c r="D813" s="109"/>
      <c r="E813" s="109"/>
      <c r="F813" s="109"/>
      <c r="G813" s="161"/>
      <c r="H813" s="109"/>
      <c r="I813" s="109"/>
      <c r="J813" s="109"/>
      <c r="K813" s="109"/>
      <c r="L813" s="109"/>
      <c r="M813" s="109"/>
      <c r="N813" s="109"/>
      <c r="O813" s="109"/>
      <c r="P813" s="109"/>
      <c r="Q813" s="109"/>
      <c r="R813" s="109"/>
      <c r="S813" s="109"/>
      <c r="T813" s="109"/>
      <c r="U813" s="109"/>
      <c r="V813" s="109"/>
      <c r="W813" s="109"/>
      <c r="X813" s="109"/>
      <c r="Y813" s="109"/>
      <c r="Z813" s="109"/>
    </row>
    <row r="814" spans="1:26" ht="13.5" customHeight="1">
      <c r="A814" s="109"/>
      <c r="B814" s="109"/>
      <c r="C814" s="109"/>
      <c r="D814" s="109"/>
      <c r="E814" s="109"/>
      <c r="F814" s="109"/>
      <c r="G814" s="161"/>
      <c r="H814" s="109"/>
      <c r="I814" s="109"/>
      <c r="J814" s="109"/>
      <c r="K814" s="109"/>
      <c r="L814" s="109"/>
      <c r="M814" s="109"/>
      <c r="N814" s="109"/>
      <c r="O814" s="109"/>
      <c r="P814" s="109"/>
      <c r="Q814" s="109"/>
      <c r="R814" s="109"/>
      <c r="S814" s="109"/>
      <c r="T814" s="109"/>
      <c r="U814" s="109"/>
      <c r="V814" s="109"/>
      <c r="W814" s="109"/>
      <c r="X814" s="109"/>
      <c r="Y814" s="109"/>
      <c r="Z814" s="109"/>
    </row>
    <row r="815" spans="1:26" ht="13.5" customHeight="1">
      <c r="A815" s="109"/>
      <c r="B815" s="109"/>
      <c r="C815" s="109"/>
      <c r="D815" s="109"/>
      <c r="E815" s="109"/>
      <c r="F815" s="109"/>
      <c r="G815" s="161"/>
      <c r="H815" s="109"/>
      <c r="I815" s="109"/>
      <c r="J815" s="109"/>
      <c r="K815" s="109"/>
      <c r="L815" s="109"/>
      <c r="M815" s="109"/>
      <c r="N815" s="109"/>
      <c r="O815" s="109"/>
      <c r="P815" s="109"/>
      <c r="Q815" s="109"/>
      <c r="R815" s="109"/>
      <c r="S815" s="109"/>
      <c r="T815" s="109"/>
      <c r="U815" s="109"/>
      <c r="V815" s="109"/>
      <c r="W815" s="109"/>
      <c r="X815" s="109"/>
      <c r="Y815" s="109"/>
      <c r="Z815" s="109"/>
    </row>
    <row r="816" spans="1:26" ht="13.5" customHeight="1">
      <c r="A816" s="109"/>
      <c r="B816" s="109"/>
      <c r="C816" s="109"/>
      <c r="D816" s="109"/>
      <c r="E816" s="109"/>
      <c r="F816" s="109"/>
      <c r="G816" s="161"/>
      <c r="H816" s="109"/>
      <c r="I816" s="109"/>
      <c r="J816" s="109"/>
      <c r="K816" s="109"/>
      <c r="L816" s="109"/>
      <c r="M816" s="109"/>
      <c r="N816" s="109"/>
      <c r="O816" s="109"/>
      <c r="P816" s="109"/>
      <c r="Q816" s="109"/>
      <c r="R816" s="109"/>
      <c r="S816" s="109"/>
      <c r="T816" s="109"/>
      <c r="U816" s="109"/>
      <c r="V816" s="109"/>
      <c r="W816" s="109"/>
      <c r="X816" s="109"/>
      <c r="Y816" s="109"/>
      <c r="Z816" s="109"/>
    </row>
    <row r="817" spans="1:26" ht="13.5" customHeight="1">
      <c r="A817" s="109"/>
      <c r="B817" s="109"/>
      <c r="C817" s="109"/>
      <c r="D817" s="109"/>
      <c r="E817" s="109"/>
      <c r="F817" s="109"/>
      <c r="G817" s="161"/>
      <c r="H817" s="109"/>
      <c r="I817" s="109"/>
      <c r="J817" s="109"/>
      <c r="K817" s="109"/>
      <c r="L817" s="109"/>
      <c r="M817" s="109"/>
      <c r="N817" s="109"/>
      <c r="O817" s="109"/>
      <c r="P817" s="109"/>
      <c r="Q817" s="109"/>
      <c r="R817" s="109"/>
      <c r="S817" s="109"/>
      <c r="T817" s="109"/>
      <c r="U817" s="109"/>
      <c r="V817" s="109"/>
      <c r="W817" s="109"/>
      <c r="X817" s="109"/>
      <c r="Y817" s="109"/>
      <c r="Z817" s="109"/>
    </row>
    <row r="818" spans="1:26" ht="13.5" customHeight="1">
      <c r="A818" s="109"/>
      <c r="B818" s="109"/>
      <c r="C818" s="109"/>
      <c r="D818" s="109"/>
      <c r="E818" s="109"/>
      <c r="F818" s="109"/>
      <c r="G818" s="161"/>
      <c r="H818" s="109"/>
      <c r="I818" s="109"/>
      <c r="J818" s="109"/>
      <c r="K818" s="109"/>
      <c r="L818" s="109"/>
      <c r="M818" s="109"/>
      <c r="N818" s="109"/>
      <c r="O818" s="109"/>
      <c r="P818" s="109"/>
      <c r="Q818" s="109"/>
      <c r="R818" s="109"/>
      <c r="S818" s="109"/>
      <c r="T818" s="109"/>
      <c r="U818" s="109"/>
      <c r="V818" s="109"/>
      <c r="W818" s="109"/>
      <c r="X818" s="109"/>
      <c r="Y818" s="109"/>
      <c r="Z818" s="109"/>
    </row>
    <row r="819" spans="1:26" ht="13.5" customHeight="1">
      <c r="A819" s="109"/>
      <c r="B819" s="109"/>
      <c r="C819" s="109"/>
      <c r="D819" s="109"/>
      <c r="E819" s="109"/>
      <c r="F819" s="109"/>
      <c r="G819" s="161"/>
      <c r="H819" s="109"/>
      <c r="I819" s="109"/>
      <c r="J819" s="109"/>
      <c r="K819" s="109"/>
      <c r="L819" s="109"/>
      <c r="M819" s="109"/>
      <c r="N819" s="109"/>
      <c r="O819" s="109"/>
      <c r="P819" s="109"/>
      <c r="Q819" s="109"/>
      <c r="R819" s="109"/>
      <c r="S819" s="109"/>
      <c r="T819" s="109"/>
      <c r="U819" s="109"/>
      <c r="V819" s="109"/>
      <c r="W819" s="109"/>
      <c r="X819" s="109"/>
      <c r="Y819" s="109"/>
      <c r="Z819" s="109"/>
    </row>
    <row r="820" spans="1:26" ht="13.5" customHeight="1">
      <c r="A820" s="109"/>
      <c r="B820" s="109"/>
      <c r="C820" s="109"/>
      <c r="D820" s="109"/>
      <c r="E820" s="109"/>
      <c r="F820" s="109"/>
      <c r="G820" s="161"/>
      <c r="H820" s="109"/>
      <c r="I820" s="109"/>
      <c r="J820" s="109"/>
      <c r="K820" s="109"/>
      <c r="L820" s="109"/>
      <c r="M820" s="109"/>
      <c r="N820" s="109"/>
      <c r="O820" s="109"/>
      <c r="P820" s="109"/>
      <c r="Q820" s="109"/>
      <c r="R820" s="109"/>
      <c r="S820" s="109"/>
      <c r="T820" s="109"/>
      <c r="U820" s="109"/>
      <c r="V820" s="109"/>
      <c r="W820" s="109"/>
      <c r="X820" s="109"/>
      <c r="Y820" s="109"/>
      <c r="Z820" s="109"/>
    </row>
    <row r="821" spans="1:26" ht="13.5" customHeight="1">
      <c r="A821" s="109"/>
      <c r="B821" s="109"/>
      <c r="C821" s="109"/>
      <c r="D821" s="109"/>
      <c r="E821" s="109"/>
      <c r="F821" s="109"/>
      <c r="G821" s="161"/>
      <c r="H821" s="109"/>
      <c r="I821" s="109"/>
      <c r="J821" s="109"/>
      <c r="K821" s="109"/>
      <c r="L821" s="109"/>
      <c r="M821" s="109"/>
      <c r="N821" s="109"/>
      <c r="O821" s="109"/>
      <c r="P821" s="109"/>
      <c r="Q821" s="109"/>
      <c r="R821" s="109"/>
      <c r="S821" s="109"/>
      <c r="T821" s="109"/>
      <c r="U821" s="109"/>
      <c r="V821" s="109"/>
      <c r="W821" s="109"/>
      <c r="X821" s="109"/>
      <c r="Y821" s="109"/>
      <c r="Z821" s="109"/>
    </row>
    <row r="822" spans="1:26" ht="13.5" customHeight="1">
      <c r="A822" s="109"/>
      <c r="B822" s="109"/>
      <c r="C822" s="109"/>
      <c r="D822" s="109"/>
      <c r="E822" s="109"/>
      <c r="F822" s="109"/>
      <c r="G822" s="161"/>
      <c r="H822" s="109"/>
      <c r="I822" s="109"/>
      <c r="J822" s="109"/>
      <c r="K822" s="109"/>
      <c r="L822" s="109"/>
      <c r="M822" s="109"/>
      <c r="N822" s="109"/>
      <c r="O822" s="109"/>
      <c r="P822" s="109"/>
      <c r="Q822" s="109"/>
      <c r="R822" s="109"/>
      <c r="S822" s="109"/>
      <c r="T822" s="109"/>
      <c r="U822" s="109"/>
      <c r="V822" s="109"/>
      <c r="W822" s="109"/>
      <c r="X822" s="109"/>
      <c r="Y822" s="109"/>
      <c r="Z822" s="109"/>
    </row>
    <row r="823" spans="1:26" ht="13.5" customHeight="1">
      <c r="A823" s="109"/>
      <c r="B823" s="109"/>
      <c r="C823" s="109"/>
      <c r="D823" s="109"/>
      <c r="E823" s="109"/>
      <c r="F823" s="109"/>
      <c r="G823" s="161"/>
      <c r="H823" s="109"/>
      <c r="I823" s="109"/>
      <c r="J823" s="109"/>
      <c r="K823" s="109"/>
      <c r="L823" s="109"/>
      <c r="M823" s="109"/>
      <c r="N823" s="109"/>
      <c r="O823" s="109"/>
      <c r="P823" s="109"/>
      <c r="Q823" s="109"/>
      <c r="R823" s="109"/>
      <c r="S823" s="109"/>
      <c r="T823" s="109"/>
      <c r="U823" s="109"/>
      <c r="V823" s="109"/>
      <c r="W823" s="109"/>
      <c r="X823" s="109"/>
      <c r="Y823" s="109"/>
      <c r="Z823" s="109"/>
    </row>
    <row r="824" spans="1:26" ht="13.5" customHeight="1">
      <c r="A824" s="109"/>
      <c r="B824" s="109"/>
      <c r="C824" s="109"/>
      <c r="D824" s="109"/>
      <c r="E824" s="109"/>
      <c r="F824" s="109"/>
      <c r="G824" s="161"/>
      <c r="H824" s="109"/>
      <c r="I824" s="109"/>
      <c r="J824" s="109"/>
      <c r="K824" s="109"/>
      <c r="L824" s="109"/>
      <c r="M824" s="109"/>
      <c r="N824" s="109"/>
      <c r="O824" s="109"/>
      <c r="P824" s="109"/>
      <c r="Q824" s="109"/>
      <c r="R824" s="109"/>
      <c r="S824" s="109"/>
      <c r="T824" s="109"/>
      <c r="U824" s="109"/>
      <c r="V824" s="109"/>
      <c r="W824" s="109"/>
      <c r="X824" s="109"/>
      <c r="Y824" s="109"/>
      <c r="Z824" s="109"/>
    </row>
    <row r="825" spans="1:26" ht="13.5" customHeight="1">
      <c r="A825" s="109"/>
      <c r="B825" s="109"/>
      <c r="C825" s="109"/>
      <c r="D825" s="109"/>
      <c r="E825" s="109"/>
      <c r="F825" s="109"/>
      <c r="G825" s="161"/>
      <c r="H825" s="109"/>
      <c r="I825" s="109"/>
      <c r="J825" s="109"/>
      <c r="K825" s="109"/>
      <c r="L825" s="109"/>
      <c r="M825" s="109"/>
      <c r="N825" s="109"/>
      <c r="O825" s="109"/>
      <c r="P825" s="109"/>
      <c r="Q825" s="109"/>
      <c r="R825" s="109"/>
      <c r="S825" s="109"/>
      <c r="T825" s="109"/>
      <c r="U825" s="109"/>
      <c r="V825" s="109"/>
      <c r="W825" s="109"/>
      <c r="X825" s="109"/>
      <c r="Y825" s="109"/>
      <c r="Z825" s="109"/>
    </row>
    <row r="826" spans="1:26" ht="13.5" customHeight="1">
      <c r="A826" s="109"/>
      <c r="B826" s="109"/>
      <c r="C826" s="109"/>
      <c r="D826" s="109"/>
      <c r="E826" s="109"/>
      <c r="F826" s="109"/>
      <c r="G826" s="161"/>
      <c r="H826" s="109"/>
      <c r="I826" s="109"/>
      <c r="J826" s="109"/>
      <c r="K826" s="109"/>
      <c r="L826" s="109"/>
      <c r="M826" s="109"/>
      <c r="N826" s="109"/>
      <c r="O826" s="109"/>
      <c r="P826" s="109"/>
      <c r="Q826" s="109"/>
      <c r="R826" s="109"/>
      <c r="S826" s="109"/>
      <c r="T826" s="109"/>
      <c r="U826" s="109"/>
      <c r="V826" s="109"/>
      <c r="W826" s="109"/>
      <c r="X826" s="109"/>
      <c r="Y826" s="109"/>
      <c r="Z826" s="109"/>
    </row>
    <row r="827" spans="1:26" ht="13.5" customHeight="1">
      <c r="A827" s="109"/>
      <c r="B827" s="109"/>
      <c r="C827" s="109"/>
      <c r="D827" s="109"/>
      <c r="E827" s="109"/>
      <c r="F827" s="109"/>
      <c r="G827" s="161"/>
      <c r="H827" s="109"/>
      <c r="I827" s="109"/>
      <c r="J827" s="109"/>
      <c r="K827" s="109"/>
      <c r="L827" s="109"/>
      <c r="M827" s="109"/>
      <c r="N827" s="109"/>
      <c r="O827" s="109"/>
      <c r="P827" s="109"/>
      <c r="Q827" s="109"/>
      <c r="R827" s="109"/>
      <c r="S827" s="109"/>
      <c r="T827" s="109"/>
      <c r="U827" s="109"/>
      <c r="V827" s="109"/>
      <c r="W827" s="109"/>
      <c r="X827" s="109"/>
      <c r="Y827" s="109"/>
      <c r="Z827" s="109"/>
    </row>
    <row r="828" spans="1:26" ht="13.5" customHeight="1">
      <c r="A828" s="109"/>
      <c r="B828" s="109"/>
      <c r="C828" s="109"/>
      <c r="D828" s="109"/>
      <c r="E828" s="109"/>
      <c r="F828" s="109"/>
      <c r="G828" s="161"/>
      <c r="H828" s="109"/>
      <c r="I828" s="109"/>
      <c r="J828" s="109"/>
      <c r="K828" s="109"/>
      <c r="L828" s="109"/>
      <c r="M828" s="109"/>
      <c r="N828" s="109"/>
      <c r="O828" s="109"/>
      <c r="P828" s="109"/>
      <c r="Q828" s="109"/>
      <c r="R828" s="109"/>
      <c r="S828" s="109"/>
      <c r="T828" s="109"/>
      <c r="U828" s="109"/>
      <c r="V828" s="109"/>
      <c r="W828" s="109"/>
      <c r="X828" s="109"/>
      <c r="Y828" s="109"/>
      <c r="Z828" s="109"/>
    </row>
    <row r="829" spans="1:26" ht="13.5" customHeight="1">
      <c r="A829" s="109"/>
      <c r="B829" s="109"/>
      <c r="C829" s="109"/>
      <c r="D829" s="109"/>
      <c r="E829" s="109"/>
      <c r="F829" s="109"/>
      <c r="G829" s="161"/>
      <c r="H829" s="109"/>
      <c r="I829" s="109"/>
      <c r="J829" s="109"/>
      <c r="K829" s="109"/>
      <c r="L829" s="109"/>
      <c r="M829" s="109"/>
      <c r="N829" s="109"/>
      <c r="O829" s="109"/>
      <c r="P829" s="109"/>
      <c r="Q829" s="109"/>
      <c r="R829" s="109"/>
      <c r="S829" s="109"/>
      <c r="T829" s="109"/>
      <c r="U829" s="109"/>
      <c r="V829" s="109"/>
      <c r="W829" s="109"/>
      <c r="X829" s="109"/>
      <c r="Y829" s="109"/>
      <c r="Z829" s="109"/>
    </row>
    <row r="830" spans="1:26" ht="13.5" customHeight="1">
      <c r="A830" s="109"/>
      <c r="B830" s="109"/>
      <c r="C830" s="109"/>
      <c r="D830" s="109"/>
      <c r="E830" s="109"/>
      <c r="F830" s="109"/>
      <c r="G830" s="161"/>
      <c r="H830" s="109"/>
      <c r="I830" s="109"/>
      <c r="J830" s="109"/>
      <c r="K830" s="109"/>
      <c r="L830" s="109"/>
      <c r="M830" s="109"/>
      <c r="N830" s="109"/>
      <c r="O830" s="109"/>
      <c r="P830" s="109"/>
      <c r="Q830" s="109"/>
      <c r="R830" s="109"/>
      <c r="S830" s="109"/>
      <c r="T830" s="109"/>
      <c r="U830" s="109"/>
      <c r="V830" s="109"/>
      <c r="W830" s="109"/>
      <c r="X830" s="109"/>
      <c r="Y830" s="109"/>
      <c r="Z830" s="109"/>
    </row>
    <row r="831" spans="1:26" ht="13.5" customHeight="1">
      <c r="A831" s="109"/>
      <c r="B831" s="109"/>
      <c r="C831" s="109"/>
      <c r="D831" s="109"/>
      <c r="E831" s="109"/>
      <c r="F831" s="109"/>
      <c r="G831" s="161"/>
      <c r="H831" s="109"/>
      <c r="I831" s="109"/>
      <c r="J831" s="109"/>
      <c r="K831" s="109"/>
      <c r="L831" s="109"/>
      <c r="M831" s="109"/>
      <c r="N831" s="109"/>
      <c r="O831" s="109"/>
      <c r="P831" s="109"/>
      <c r="Q831" s="109"/>
      <c r="R831" s="109"/>
      <c r="S831" s="109"/>
      <c r="T831" s="109"/>
      <c r="U831" s="109"/>
      <c r="V831" s="109"/>
      <c r="W831" s="109"/>
      <c r="X831" s="109"/>
      <c r="Y831" s="109"/>
      <c r="Z831" s="109"/>
    </row>
    <row r="832" spans="1:26" ht="13.5" customHeight="1">
      <c r="A832" s="109"/>
      <c r="B832" s="109"/>
      <c r="C832" s="109"/>
      <c r="D832" s="109"/>
      <c r="E832" s="109"/>
      <c r="F832" s="109"/>
      <c r="G832" s="161"/>
      <c r="H832" s="109"/>
      <c r="I832" s="109"/>
      <c r="J832" s="109"/>
      <c r="K832" s="109"/>
      <c r="L832" s="109"/>
      <c r="M832" s="109"/>
      <c r="N832" s="109"/>
      <c r="O832" s="109"/>
      <c r="P832" s="109"/>
      <c r="Q832" s="109"/>
      <c r="R832" s="109"/>
      <c r="S832" s="109"/>
      <c r="T832" s="109"/>
      <c r="U832" s="109"/>
      <c r="V832" s="109"/>
      <c r="W832" s="109"/>
      <c r="X832" s="109"/>
      <c r="Y832" s="109"/>
      <c r="Z832" s="109"/>
    </row>
    <row r="833" spans="1:26" ht="13.5" customHeight="1">
      <c r="A833" s="109"/>
      <c r="B833" s="109"/>
      <c r="C833" s="109"/>
      <c r="D833" s="109"/>
      <c r="E833" s="109"/>
      <c r="F833" s="109"/>
      <c r="G833" s="161"/>
      <c r="H833" s="109"/>
      <c r="I833" s="109"/>
      <c r="J833" s="109"/>
      <c r="K833" s="109"/>
      <c r="L833" s="109"/>
      <c r="M833" s="109"/>
      <c r="N833" s="109"/>
      <c r="O833" s="109"/>
      <c r="P833" s="109"/>
      <c r="Q833" s="109"/>
      <c r="R833" s="109"/>
      <c r="S833" s="109"/>
      <c r="T833" s="109"/>
      <c r="U833" s="109"/>
      <c r="V833" s="109"/>
      <c r="W833" s="109"/>
      <c r="X833" s="109"/>
      <c r="Y833" s="109"/>
      <c r="Z833" s="109"/>
    </row>
    <row r="834" spans="1:26" ht="13.5" customHeight="1">
      <c r="A834" s="109"/>
      <c r="B834" s="109"/>
      <c r="C834" s="109"/>
      <c r="D834" s="109"/>
      <c r="E834" s="109"/>
      <c r="F834" s="109"/>
      <c r="G834" s="161"/>
      <c r="H834" s="109"/>
      <c r="I834" s="109"/>
      <c r="J834" s="109"/>
      <c r="K834" s="109"/>
      <c r="L834" s="109"/>
      <c r="M834" s="109"/>
      <c r="N834" s="109"/>
      <c r="O834" s="109"/>
      <c r="P834" s="109"/>
      <c r="Q834" s="109"/>
      <c r="R834" s="109"/>
      <c r="S834" s="109"/>
      <c r="T834" s="109"/>
      <c r="U834" s="109"/>
      <c r="V834" s="109"/>
      <c r="W834" s="109"/>
      <c r="X834" s="109"/>
      <c r="Y834" s="109"/>
      <c r="Z834" s="109"/>
    </row>
    <row r="835" spans="1:26" ht="13.5" customHeight="1">
      <c r="A835" s="109"/>
      <c r="B835" s="109"/>
      <c r="C835" s="109"/>
      <c r="D835" s="109"/>
      <c r="E835" s="109"/>
      <c r="F835" s="109"/>
      <c r="G835" s="161"/>
      <c r="H835" s="109"/>
      <c r="I835" s="109"/>
      <c r="J835" s="109"/>
      <c r="K835" s="109"/>
      <c r="L835" s="109"/>
      <c r="M835" s="109"/>
      <c r="N835" s="109"/>
      <c r="O835" s="109"/>
      <c r="P835" s="109"/>
      <c r="Q835" s="109"/>
      <c r="R835" s="109"/>
      <c r="S835" s="109"/>
      <c r="T835" s="109"/>
      <c r="U835" s="109"/>
      <c r="V835" s="109"/>
      <c r="W835" s="109"/>
      <c r="X835" s="109"/>
      <c r="Y835" s="109"/>
      <c r="Z835" s="109"/>
    </row>
    <row r="836" spans="1:26" ht="13.5" customHeight="1">
      <c r="A836" s="109"/>
      <c r="B836" s="109"/>
      <c r="C836" s="109"/>
      <c r="D836" s="109"/>
      <c r="E836" s="109"/>
      <c r="F836" s="109"/>
      <c r="G836" s="161"/>
      <c r="H836" s="109"/>
      <c r="I836" s="109"/>
      <c r="J836" s="109"/>
      <c r="K836" s="109"/>
      <c r="L836" s="109"/>
      <c r="M836" s="109"/>
      <c r="N836" s="109"/>
      <c r="O836" s="109"/>
      <c r="P836" s="109"/>
      <c r="Q836" s="109"/>
      <c r="R836" s="109"/>
      <c r="S836" s="109"/>
      <c r="T836" s="109"/>
      <c r="U836" s="109"/>
      <c r="V836" s="109"/>
      <c r="W836" s="109"/>
      <c r="X836" s="109"/>
      <c r="Y836" s="109"/>
      <c r="Z836" s="109"/>
    </row>
    <row r="837" spans="1:26" ht="13.5" customHeight="1">
      <c r="A837" s="109"/>
      <c r="B837" s="109"/>
      <c r="C837" s="109"/>
      <c r="D837" s="109"/>
      <c r="E837" s="109"/>
      <c r="F837" s="109"/>
      <c r="G837" s="161"/>
      <c r="H837" s="109"/>
      <c r="I837" s="109"/>
      <c r="J837" s="109"/>
      <c r="K837" s="109"/>
      <c r="L837" s="109"/>
      <c r="M837" s="109"/>
      <c r="N837" s="109"/>
      <c r="O837" s="109"/>
      <c r="P837" s="109"/>
      <c r="Q837" s="109"/>
      <c r="R837" s="109"/>
      <c r="S837" s="109"/>
      <c r="T837" s="109"/>
      <c r="U837" s="109"/>
      <c r="V837" s="109"/>
      <c r="W837" s="109"/>
      <c r="X837" s="109"/>
      <c r="Y837" s="109"/>
      <c r="Z837" s="109"/>
    </row>
    <row r="838" spans="1:26" ht="13.5" customHeight="1">
      <c r="A838" s="109"/>
      <c r="B838" s="109"/>
      <c r="C838" s="109"/>
      <c r="D838" s="109"/>
      <c r="E838" s="109"/>
      <c r="F838" s="109"/>
      <c r="G838" s="161"/>
      <c r="H838" s="109"/>
      <c r="I838" s="109"/>
      <c r="J838" s="109"/>
      <c r="K838" s="109"/>
      <c r="L838" s="109"/>
      <c r="M838" s="109"/>
      <c r="N838" s="109"/>
      <c r="O838" s="109"/>
      <c r="P838" s="109"/>
      <c r="Q838" s="109"/>
      <c r="R838" s="109"/>
      <c r="S838" s="109"/>
      <c r="T838" s="109"/>
      <c r="U838" s="109"/>
      <c r="V838" s="109"/>
      <c r="W838" s="109"/>
      <c r="X838" s="109"/>
      <c r="Y838" s="109"/>
      <c r="Z838" s="109"/>
    </row>
    <row r="839" spans="1:26" ht="13.5" customHeight="1">
      <c r="A839" s="109"/>
      <c r="B839" s="109"/>
      <c r="C839" s="109"/>
      <c r="D839" s="109"/>
      <c r="E839" s="109"/>
      <c r="F839" s="109"/>
      <c r="G839" s="161"/>
      <c r="H839" s="109"/>
      <c r="I839" s="109"/>
      <c r="J839" s="109"/>
      <c r="K839" s="109"/>
      <c r="L839" s="109"/>
      <c r="M839" s="109"/>
      <c r="N839" s="109"/>
      <c r="O839" s="109"/>
      <c r="P839" s="109"/>
      <c r="Q839" s="109"/>
      <c r="R839" s="109"/>
      <c r="S839" s="109"/>
      <c r="T839" s="109"/>
      <c r="U839" s="109"/>
      <c r="V839" s="109"/>
      <c r="W839" s="109"/>
      <c r="X839" s="109"/>
      <c r="Y839" s="109"/>
      <c r="Z839" s="109"/>
    </row>
    <row r="840" spans="1:26" ht="13.5" customHeight="1">
      <c r="A840" s="109"/>
      <c r="B840" s="109"/>
      <c r="C840" s="109"/>
      <c r="D840" s="109"/>
      <c r="E840" s="109"/>
      <c r="F840" s="109"/>
      <c r="G840" s="161"/>
      <c r="H840" s="109"/>
      <c r="I840" s="109"/>
      <c r="J840" s="109"/>
      <c r="K840" s="109"/>
      <c r="L840" s="109"/>
      <c r="M840" s="109"/>
      <c r="N840" s="109"/>
      <c r="O840" s="109"/>
      <c r="P840" s="109"/>
      <c r="Q840" s="109"/>
      <c r="R840" s="109"/>
      <c r="S840" s="109"/>
      <c r="T840" s="109"/>
      <c r="U840" s="109"/>
      <c r="V840" s="109"/>
      <c r="W840" s="109"/>
      <c r="X840" s="109"/>
      <c r="Y840" s="109"/>
      <c r="Z840" s="109"/>
    </row>
    <row r="841" spans="1:26" ht="13.5" customHeight="1">
      <c r="A841" s="109"/>
      <c r="B841" s="109"/>
      <c r="C841" s="109"/>
      <c r="D841" s="109"/>
      <c r="E841" s="109"/>
      <c r="F841" s="109"/>
      <c r="G841" s="161"/>
      <c r="H841" s="109"/>
      <c r="I841" s="109"/>
      <c r="J841" s="109"/>
      <c r="K841" s="109"/>
      <c r="L841" s="109"/>
      <c r="M841" s="109"/>
      <c r="N841" s="109"/>
      <c r="O841" s="109"/>
      <c r="P841" s="109"/>
      <c r="Q841" s="109"/>
      <c r="R841" s="109"/>
      <c r="S841" s="109"/>
      <c r="T841" s="109"/>
      <c r="U841" s="109"/>
      <c r="V841" s="109"/>
      <c r="W841" s="109"/>
      <c r="X841" s="109"/>
      <c r="Y841" s="109"/>
      <c r="Z841" s="109"/>
    </row>
    <row r="842" spans="1:26" ht="13.5" customHeight="1">
      <c r="A842" s="109"/>
      <c r="B842" s="109"/>
      <c r="C842" s="109"/>
      <c r="D842" s="109"/>
      <c r="E842" s="109"/>
      <c r="F842" s="109"/>
      <c r="G842" s="161"/>
      <c r="H842" s="109"/>
      <c r="I842" s="109"/>
      <c r="J842" s="109"/>
      <c r="K842" s="109"/>
      <c r="L842" s="109"/>
      <c r="M842" s="109"/>
      <c r="N842" s="109"/>
      <c r="O842" s="109"/>
      <c r="P842" s="109"/>
      <c r="Q842" s="109"/>
      <c r="R842" s="109"/>
      <c r="S842" s="109"/>
      <c r="T842" s="109"/>
      <c r="U842" s="109"/>
      <c r="V842" s="109"/>
      <c r="W842" s="109"/>
      <c r="X842" s="109"/>
      <c r="Y842" s="109"/>
      <c r="Z842" s="109"/>
    </row>
    <row r="843" spans="1:26" ht="13.5" customHeight="1">
      <c r="A843" s="109"/>
      <c r="B843" s="109"/>
      <c r="C843" s="109"/>
      <c r="D843" s="109"/>
      <c r="E843" s="109"/>
      <c r="F843" s="109"/>
      <c r="G843" s="161"/>
      <c r="H843" s="109"/>
      <c r="I843" s="109"/>
      <c r="J843" s="109"/>
      <c r="K843" s="109"/>
      <c r="L843" s="109"/>
      <c r="M843" s="109"/>
      <c r="N843" s="109"/>
      <c r="O843" s="109"/>
      <c r="P843" s="109"/>
      <c r="Q843" s="109"/>
      <c r="R843" s="109"/>
      <c r="S843" s="109"/>
      <c r="T843" s="109"/>
      <c r="U843" s="109"/>
      <c r="V843" s="109"/>
      <c r="W843" s="109"/>
      <c r="X843" s="109"/>
      <c r="Y843" s="109"/>
      <c r="Z843" s="109"/>
    </row>
    <row r="844" spans="1:26" ht="13.5" customHeight="1">
      <c r="A844" s="109"/>
      <c r="B844" s="109"/>
      <c r="C844" s="109"/>
      <c r="D844" s="109"/>
      <c r="E844" s="109"/>
      <c r="F844" s="109"/>
      <c r="G844" s="161"/>
      <c r="H844" s="109"/>
      <c r="I844" s="109"/>
      <c r="J844" s="109"/>
      <c r="K844" s="109"/>
      <c r="L844" s="109"/>
      <c r="M844" s="109"/>
      <c r="N844" s="109"/>
      <c r="O844" s="109"/>
      <c r="P844" s="109"/>
      <c r="Q844" s="109"/>
      <c r="R844" s="109"/>
      <c r="S844" s="109"/>
      <c r="T844" s="109"/>
      <c r="U844" s="109"/>
      <c r="V844" s="109"/>
      <c r="W844" s="109"/>
      <c r="X844" s="109"/>
      <c r="Y844" s="109"/>
      <c r="Z844" s="109"/>
    </row>
    <row r="845" spans="1:26" ht="13.5" customHeight="1">
      <c r="A845" s="109"/>
      <c r="B845" s="109"/>
      <c r="C845" s="109"/>
      <c r="D845" s="109"/>
      <c r="E845" s="109"/>
      <c r="F845" s="109"/>
      <c r="G845" s="161"/>
      <c r="H845" s="109"/>
      <c r="I845" s="109"/>
      <c r="J845" s="109"/>
      <c r="K845" s="109"/>
      <c r="L845" s="109"/>
      <c r="M845" s="109"/>
      <c r="N845" s="109"/>
      <c r="O845" s="109"/>
      <c r="P845" s="109"/>
      <c r="Q845" s="109"/>
      <c r="R845" s="109"/>
      <c r="S845" s="109"/>
      <c r="T845" s="109"/>
      <c r="U845" s="109"/>
      <c r="V845" s="109"/>
      <c r="W845" s="109"/>
      <c r="X845" s="109"/>
      <c r="Y845" s="109"/>
      <c r="Z845" s="109"/>
    </row>
    <row r="846" spans="1:26" ht="13.5" customHeight="1">
      <c r="A846" s="109"/>
      <c r="B846" s="109"/>
      <c r="C846" s="109"/>
      <c r="D846" s="109"/>
      <c r="E846" s="109"/>
      <c r="F846" s="109"/>
      <c r="G846" s="161"/>
      <c r="H846" s="109"/>
      <c r="I846" s="109"/>
      <c r="J846" s="109"/>
      <c r="K846" s="109"/>
      <c r="L846" s="109"/>
      <c r="M846" s="109"/>
      <c r="N846" s="109"/>
      <c r="O846" s="109"/>
      <c r="P846" s="109"/>
      <c r="Q846" s="109"/>
      <c r="R846" s="109"/>
      <c r="S846" s="109"/>
      <c r="T846" s="109"/>
      <c r="U846" s="109"/>
      <c r="V846" s="109"/>
      <c r="W846" s="109"/>
      <c r="X846" s="109"/>
      <c r="Y846" s="109"/>
      <c r="Z846" s="109"/>
    </row>
    <row r="847" spans="1:26" ht="13.5" customHeight="1">
      <c r="A847" s="109"/>
      <c r="B847" s="109"/>
      <c r="C847" s="109"/>
      <c r="D847" s="109"/>
      <c r="E847" s="109"/>
      <c r="F847" s="109"/>
      <c r="G847" s="161"/>
      <c r="H847" s="109"/>
      <c r="I847" s="109"/>
      <c r="J847" s="109"/>
      <c r="K847" s="109"/>
      <c r="L847" s="109"/>
      <c r="M847" s="109"/>
      <c r="N847" s="109"/>
      <c r="O847" s="109"/>
      <c r="P847" s="109"/>
      <c r="Q847" s="109"/>
      <c r="R847" s="109"/>
      <c r="S847" s="109"/>
      <c r="T847" s="109"/>
      <c r="U847" s="109"/>
      <c r="V847" s="109"/>
      <c r="W847" s="109"/>
      <c r="X847" s="109"/>
      <c r="Y847" s="109"/>
      <c r="Z847" s="109"/>
    </row>
    <row r="848" spans="1:26" ht="13.5" customHeight="1">
      <c r="A848" s="109"/>
      <c r="B848" s="109"/>
      <c r="C848" s="109"/>
      <c r="D848" s="109"/>
      <c r="E848" s="109"/>
      <c r="F848" s="109"/>
      <c r="G848" s="161"/>
      <c r="H848" s="109"/>
      <c r="I848" s="109"/>
      <c r="J848" s="109"/>
      <c r="K848" s="109"/>
      <c r="L848" s="109"/>
      <c r="M848" s="109"/>
      <c r="N848" s="109"/>
      <c r="O848" s="109"/>
      <c r="P848" s="109"/>
      <c r="Q848" s="109"/>
      <c r="R848" s="109"/>
      <c r="S848" s="109"/>
      <c r="T848" s="109"/>
      <c r="U848" s="109"/>
      <c r="V848" s="109"/>
      <c r="W848" s="109"/>
      <c r="X848" s="109"/>
      <c r="Y848" s="109"/>
      <c r="Z848" s="109"/>
    </row>
    <row r="849" spans="1:26" ht="13.5" customHeight="1">
      <c r="A849" s="109"/>
      <c r="B849" s="109"/>
      <c r="C849" s="109"/>
      <c r="D849" s="109"/>
      <c r="E849" s="109"/>
      <c r="F849" s="109"/>
      <c r="G849" s="161"/>
      <c r="H849" s="109"/>
      <c r="I849" s="109"/>
      <c r="J849" s="109"/>
      <c r="K849" s="109"/>
      <c r="L849" s="109"/>
      <c r="M849" s="109"/>
      <c r="N849" s="109"/>
      <c r="O849" s="109"/>
      <c r="P849" s="109"/>
      <c r="Q849" s="109"/>
      <c r="R849" s="109"/>
      <c r="S849" s="109"/>
      <c r="T849" s="109"/>
      <c r="U849" s="109"/>
      <c r="V849" s="109"/>
      <c r="W849" s="109"/>
      <c r="X849" s="109"/>
      <c r="Y849" s="109"/>
      <c r="Z849" s="109"/>
    </row>
    <row r="850" spans="1:26" ht="13.5" customHeight="1">
      <c r="A850" s="109"/>
      <c r="B850" s="109"/>
      <c r="C850" s="109"/>
      <c r="D850" s="109"/>
      <c r="E850" s="109"/>
      <c r="F850" s="109"/>
      <c r="G850" s="161"/>
      <c r="H850" s="109"/>
      <c r="I850" s="109"/>
      <c r="J850" s="109"/>
      <c r="K850" s="109"/>
      <c r="L850" s="109"/>
      <c r="M850" s="109"/>
      <c r="N850" s="109"/>
      <c r="O850" s="109"/>
      <c r="P850" s="109"/>
      <c r="Q850" s="109"/>
      <c r="R850" s="109"/>
      <c r="S850" s="109"/>
      <c r="T850" s="109"/>
      <c r="U850" s="109"/>
      <c r="V850" s="109"/>
      <c r="W850" s="109"/>
      <c r="X850" s="109"/>
      <c r="Y850" s="109"/>
      <c r="Z850" s="109"/>
    </row>
    <row r="851" spans="1:26" ht="13.5" customHeight="1">
      <c r="A851" s="109"/>
      <c r="B851" s="109"/>
      <c r="C851" s="109"/>
      <c r="D851" s="109"/>
      <c r="E851" s="109"/>
      <c r="F851" s="109"/>
      <c r="G851" s="161"/>
      <c r="H851" s="109"/>
      <c r="I851" s="109"/>
      <c r="J851" s="109"/>
      <c r="K851" s="109"/>
      <c r="L851" s="109"/>
      <c r="M851" s="109"/>
      <c r="N851" s="109"/>
      <c r="O851" s="109"/>
      <c r="P851" s="109"/>
      <c r="Q851" s="109"/>
      <c r="R851" s="109"/>
      <c r="S851" s="109"/>
      <c r="T851" s="109"/>
      <c r="U851" s="109"/>
      <c r="V851" s="109"/>
      <c r="W851" s="109"/>
      <c r="X851" s="109"/>
      <c r="Y851" s="109"/>
      <c r="Z851" s="109"/>
    </row>
    <row r="852" spans="1:26" ht="13.5" customHeight="1">
      <c r="A852" s="109"/>
      <c r="B852" s="109"/>
      <c r="C852" s="109"/>
      <c r="D852" s="109"/>
      <c r="E852" s="109"/>
      <c r="F852" s="109"/>
      <c r="G852" s="161"/>
      <c r="H852" s="109"/>
      <c r="I852" s="109"/>
      <c r="J852" s="109"/>
      <c r="K852" s="109"/>
      <c r="L852" s="109"/>
      <c r="M852" s="109"/>
      <c r="N852" s="109"/>
      <c r="O852" s="109"/>
      <c r="P852" s="109"/>
      <c r="Q852" s="109"/>
      <c r="R852" s="109"/>
      <c r="S852" s="109"/>
      <c r="T852" s="109"/>
      <c r="U852" s="109"/>
      <c r="V852" s="109"/>
      <c r="W852" s="109"/>
      <c r="X852" s="109"/>
      <c r="Y852" s="109"/>
      <c r="Z852" s="109"/>
    </row>
    <row r="853" spans="1:26" ht="13.5" customHeight="1">
      <c r="A853" s="109"/>
      <c r="B853" s="109"/>
      <c r="C853" s="109"/>
      <c r="D853" s="109"/>
      <c r="E853" s="109"/>
      <c r="F853" s="109"/>
      <c r="G853" s="161"/>
      <c r="H853" s="109"/>
      <c r="I853" s="109"/>
      <c r="J853" s="109"/>
      <c r="K853" s="109"/>
      <c r="L853" s="109"/>
      <c r="M853" s="109"/>
      <c r="N853" s="109"/>
      <c r="O853" s="109"/>
      <c r="P853" s="109"/>
      <c r="Q853" s="109"/>
      <c r="R853" s="109"/>
      <c r="S853" s="109"/>
      <c r="T853" s="109"/>
      <c r="U853" s="109"/>
      <c r="V853" s="109"/>
      <c r="W853" s="109"/>
      <c r="X853" s="109"/>
      <c r="Y853" s="109"/>
      <c r="Z853" s="109"/>
    </row>
    <row r="854" spans="1:26" ht="13.5" customHeight="1">
      <c r="A854" s="109"/>
      <c r="B854" s="109"/>
      <c r="C854" s="109"/>
      <c r="D854" s="109"/>
      <c r="E854" s="109"/>
      <c r="F854" s="109"/>
      <c r="G854" s="161"/>
      <c r="H854" s="109"/>
      <c r="I854" s="109"/>
      <c r="J854" s="109"/>
      <c r="K854" s="109"/>
      <c r="L854" s="109"/>
      <c r="M854" s="109"/>
      <c r="N854" s="109"/>
      <c r="O854" s="109"/>
      <c r="P854" s="109"/>
      <c r="Q854" s="109"/>
      <c r="R854" s="109"/>
      <c r="S854" s="109"/>
      <c r="T854" s="109"/>
      <c r="U854" s="109"/>
      <c r="V854" s="109"/>
      <c r="W854" s="109"/>
      <c r="X854" s="109"/>
      <c r="Y854" s="109"/>
      <c r="Z854" s="109"/>
    </row>
    <row r="855" spans="1:26" ht="13.5" customHeight="1">
      <c r="A855" s="109"/>
      <c r="B855" s="109"/>
      <c r="C855" s="109"/>
      <c r="D855" s="109"/>
      <c r="E855" s="109"/>
      <c r="F855" s="109"/>
      <c r="G855" s="161"/>
      <c r="H855" s="109"/>
      <c r="I855" s="109"/>
      <c r="J855" s="109"/>
      <c r="K855" s="109"/>
      <c r="L855" s="109"/>
      <c r="M855" s="109"/>
      <c r="N855" s="109"/>
      <c r="O855" s="109"/>
      <c r="P855" s="109"/>
      <c r="Q855" s="109"/>
      <c r="R855" s="109"/>
      <c r="S855" s="109"/>
      <c r="T855" s="109"/>
      <c r="U855" s="109"/>
      <c r="V855" s="109"/>
      <c r="W855" s="109"/>
      <c r="X855" s="109"/>
      <c r="Y855" s="109"/>
      <c r="Z855" s="109"/>
    </row>
    <row r="856" spans="1:26" ht="13.5" customHeight="1">
      <c r="A856" s="109"/>
      <c r="B856" s="109"/>
      <c r="C856" s="109"/>
      <c r="D856" s="109"/>
      <c r="E856" s="109"/>
      <c r="F856" s="109"/>
      <c r="G856" s="161"/>
      <c r="H856" s="109"/>
      <c r="I856" s="109"/>
      <c r="J856" s="109"/>
      <c r="K856" s="109"/>
      <c r="L856" s="109"/>
      <c r="M856" s="109"/>
      <c r="N856" s="109"/>
      <c r="O856" s="109"/>
      <c r="P856" s="109"/>
      <c r="Q856" s="109"/>
      <c r="R856" s="109"/>
      <c r="S856" s="109"/>
      <c r="T856" s="109"/>
      <c r="U856" s="109"/>
      <c r="V856" s="109"/>
      <c r="W856" s="109"/>
      <c r="X856" s="109"/>
      <c r="Y856" s="109"/>
      <c r="Z856" s="109"/>
    </row>
    <row r="857" spans="1:26" ht="13.5" customHeight="1">
      <c r="A857" s="109"/>
      <c r="B857" s="109"/>
      <c r="C857" s="109"/>
      <c r="D857" s="109"/>
      <c r="E857" s="109"/>
      <c r="F857" s="109"/>
      <c r="G857" s="161"/>
      <c r="H857" s="109"/>
      <c r="I857" s="109"/>
      <c r="J857" s="109"/>
      <c r="K857" s="109"/>
      <c r="L857" s="109"/>
      <c r="M857" s="109"/>
      <c r="N857" s="109"/>
      <c r="O857" s="109"/>
      <c r="P857" s="109"/>
      <c r="Q857" s="109"/>
      <c r="R857" s="109"/>
      <c r="S857" s="109"/>
      <c r="T857" s="109"/>
      <c r="U857" s="109"/>
      <c r="V857" s="109"/>
      <c r="W857" s="109"/>
      <c r="X857" s="109"/>
      <c r="Y857" s="109"/>
      <c r="Z857" s="109"/>
    </row>
    <row r="858" spans="1:26" ht="13.5" customHeight="1">
      <c r="A858" s="109"/>
      <c r="B858" s="109"/>
      <c r="C858" s="109"/>
      <c r="D858" s="109"/>
      <c r="E858" s="109"/>
      <c r="F858" s="109"/>
      <c r="G858" s="161"/>
      <c r="H858" s="109"/>
      <c r="I858" s="109"/>
      <c r="J858" s="109"/>
      <c r="K858" s="109"/>
      <c r="L858" s="109"/>
      <c r="M858" s="109"/>
      <c r="N858" s="109"/>
      <c r="O858" s="109"/>
      <c r="P858" s="109"/>
      <c r="Q858" s="109"/>
      <c r="R858" s="109"/>
      <c r="S858" s="109"/>
      <c r="T858" s="109"/>
      <c r="U858" s="109"/>
      <c r="V858" s="109"/>
      <c r="W858" s="109"/>
      <c r="X858" s="109"/>
      <c r="Y858" s="109"/>
      <c r="Z858" s="109"/>
    </row>
    <row r="859" spans="1:26" ht="13.5" customHeight="1">
      <c r="A859" s="109"/>
      <c r="B859" s="109"/>
      <c r="C859" s="109"/>
      <c r="D859" s="109"/>
      <c r="E859" s="109"/>
      <c r="F859" s="109"/>
      <c r="G859" s="161"/>
      <c r="H859" s="109"/>
      <c r="I859" s="109"/>
      <c r="J859" s="109"/>
      <c r="K859" s="109"/>
      <c r="L859" s="109"/>
      <c r="M859" s="109"/>
      <c r="N859" s="109"/>
      <c r="O859" s="109"/>
      <c r="P859" s="109"/>
      <c r="Q859" s="109"/>
      <c r="R859" s="109"/>
      <c r="S859" s="109"/>
      <c r="T859" s="109"/>
      <c r="U859" s="109"/>
      <c r="V859" s="109"/>
      <c r="W859" s="109"/>
      <c r="X859" s="109"/>
      <c r="Y859" s="109"/>
      <c r="Z859" s="109"/>
    </row>
    <row r="860" spans="1:26" ht="13.5" customHeight="1">
      <c r="A860" s="109"/>
      <c r="B860" s="109"/>
      <c r="C860" s="109"/>
      <c r="D860" s="109"/>
      <c r="E860" s="109"/>
      <c r="F860" s="109"/>
      <c r="G860" s="161"/>
      <c r="H860" s="109"/>
      <c r="I860" s="109"/>
      <c r="J860" s="109"/>
      <c r="K860" s="109"/>
      <c r="L860" s="109"/>
      <c r="M860" s="109"/>
      <c r="N860" s="109"/>
      <c r="O860" s="109"/>
      <c r="P860" s="109"/>
      <c r="Q860" s="109"/>
      <c r="R860" s="109"/>
      <c r="S860" s="109"/>
      <c r="T860" s="109"/>
      <c r="U860" s="109"/>
      <c r="V860" s="109"/>
      <c r="W860" s="109"/>
      <c r="X860" s="109"/>
      <c r="Y860" s="109"/>
      <c r="Z860" s="109"/>
    </row>
    <row r="861" spans="1:26" ht="13.5" customHeight="1">
      <c r="A861" s="109"/>
      <c r="B861" s="109"/>
      <c r="C861" s="109"/>
      <c r="D861" s="109"/>
      <c r="E861" s="109"/>
      <c r="F861" s="109"/>
      <c r="G861" s="161"/>
      <c r="H861" s="109"/>
      <c r="I861" s="109"/>
      <c r="J861" s="109"/>
      <c r="K861" s="109"/>
      <c r="L861" s="109"/>
      <c r="M861" s="109"/>
      <c r="N861" s="109"/>
      <c r="O861" s="109"/>
      <c r="P861" s="109"/>
      <c r="Q861" s="109"/>
      <c r="R861" s="109"/>
      <c r="S861" s="109"/>
      <c r="T861" s="109"/>
      <c r="U861" s="109"/>
      <c r="V861" s="109"/>
      <c r="W861" s="109"/>
      <c r="X861" s="109"/>
      <c r="Y861" s="109"/>
      <c r="Z861" s="109"/>
    </row>
    <row r="862" spans="1:26" ht="13.5" customHeight="1">
      <c r="A862" s="109"/>
      <c r="B862" s="109"/>
      <c r="C862" s="109"/>
      <c r="D862" s="109"/>
      <c r="E862" s="109"/>
      <c r="F862" s="109"/>
      <c r="G862" s="161"/>
      <c r="H862" s="109"/>
      <c r="I862" s="109"/>
      <c r="J862" s="109"/>
      <c r="K862" s="109"/>
      <c r="L862" s="109"/>
      <c r="M862" s="109"/>
      <c r="N862" s="109"/>
      <c r="O862" s="109"/>
      <c r="P862" s="109"/>
      <c r="Q862" s="109"/>
      <c r="R862" s="109"/>
      <c r="S862" s="109"/>
      <c r="T862" s="109"/>
      <c r="U862" s="109"/>
      <c r="V862" s="109"/>
      <c r="W862" s="109"/>
      <c r="X862" s="109"/>
      <c r="Y862" s="109"/>
      <c r="Z862" s="109"/>
    </row>
    <row r="863" spans="1:26" ht="13.5" customHeight="1">
      <c r="A863" s="109"/>
      <c r="B863" s="109"/>
      <c r="C863" s="109"/>
      <c r="D863" s="109"/>
      <c r="E863" s="109"/>
      <c r="F863" s="109"/>
      <c r="G863" s="161"/>
      <c r="H863" s="109"/>
      <c r="I863" s="109"/>
      <c r="J863" s="109"/>
      <c r="K863" s="109"/>
      <c r="L863" s="109"/>
      <c r="M863" s="109"/>
      <c r="N863" s="109"/>
      <c r="O863" s="109"/>
      <c r="P863" s="109"/>
      <c r="Q863" s="109"/>
      <c r="R863" s="109"/>
      <c r="S863" s="109"/>
      <c r="T863" s="109"/>
      <c r="U863" s="109"/>
      <c r="V863" s="109"/>
      <c r="W863" s="109"/>
      <c r="X863" s="109"/>
      <c r="Y863" s="109"/>
      <c r="Z863" s="109"/>
    </row>
    <row r="864" spans="1:26" ht="13.5" customHeight="1">
      <c r="A864" s="109"/>
      <c r="B864" s="109"/>
      <c r="C864" s="109"/>
      <c r="D864" s="109"/>
      <c r="E864" s="109"/>
      <c r="F864" s="109"/>
      <c r="G864" s="161"/>
      <c r="H864" s="109"/>
      <c r="I864" s="109"/>
      <c r="J864" s="109"/>
      <c r="K864" s="109"/>
      <c r="L864" s="109"/>
      <c r="M864" s="109"/>
      <c r="N864" s="109"/>
      <c r="O864" s="109"/>
      <c r="P864" s="109"/>
      <c r="Q864" s="109"/>
      <c r="R864" s="109"/>
      <c r="S864" s="109"/>
      <c r="T864" s="109"/>
      <c r="U864" s="109"/>
      <c r="V864" s="109"/>
      <c r="W864" s="109"/>
      <c r="X864" s="109"/>
      <c r="Y864" s="109"/>
      <c r="Z864" s="109"/>
    </row>
    <row r="865" spans="1:26" ht="13.5" customHeight="1">
      <c r="A865" s="109"/>
      <c r="B865" s="109"/>
      <c r="C865" s="109"/>
      <c r="D865" s="109"/>
      <c r="E865" s="109"/>
      <c r="F865" s="109"/>
      <c r="G865" s="161"/>
      <c r="H865" s="109"/>
      <c r="I865" s="109"/>
      <c r="J865" s="109"/>
      <c r="K865" s="109"/>
      <c r="L865" s="109"/>
      <c r="M865" s="109"/>
      <c r="N865" s="109"/>
      <c r="O865" s="109"/>
      <c r="P865" s="109"/>
      <c r="Q865" s="109"/>
      <c r="R865" s="109"/>
      <c r="S865" s="109"/>
      <c r="T865" s="109"/>
      <c r="U865" s="109"/>
      <c r="V865" s="109"/>
      <c r="W865" s="109"/>
      <c r="X865" s="109"/>
      <c r="Y865" s="109"/>
      <c r="Z865" s="109"/>
    </row>
    <row r="866" spans="1:26" ht="13.5" customHeight="1">
      <c r="A866" s="109"/>
      <c r="B866" s="109"/>
      <c r="C866" s="109"/>
      <c r="D866" s="109"/>
      <c r="E866" s="109"/>
      <c r="F866" s="109"/>
      <c r="G866" s="161"/>
      <c r="H866" s="109"/>
      <c r="I866" s="109"/>
      <c r="J866" s="109"/>
      <c r="K866" s="109"/>
      <c r="L866" s="109"/>
      <c r="M866" s="109"/>
      <c r="N866" s="109"/>
      <c r="O866" s="109"/>
      <c r="P866" s="109"/>
      <c r="Q866" s="109"/>
      <c r="R866" s="109"/>
      <c r="S866" s="109"/>
      <c r="T866" s="109"/>
      <c r="U866" s="109"/>
      <c r="V866" s="109"/>
      <c r="W866" s="109"/>
      <c r="X866" s="109"/>
      <c r="Y866" s="109"/>
      <c r="Z866" s="109"/>
    </row>
    <row r="867" spans="1:26" ht="13.5" customHeight="1">
      <c r="A867" s="109"/>
      <c r="B867" s="109"/>
      <c r="C867" s="109"/>
      <c r="D867" s="109"/>
      <c r="E867" s="109"/>
      <c r="F867" s="109"/>
      <c r="G867" s="161"/>
      <c r="H867" s="109"/>
      <c r="I867" s="109"/>
      <c r="J867" s="109"/>
      <c r="K867" s="109"/>
      <c r="L867" s="109"/>
      <c r="M867" s="109"/>
      <c r="N867" s="109"/>
      <c r="O867" s="109"/>
      <c r="P867" s="109"/>
      <c r="Q867" s="109"/>
      <c r="R867" s="109"/>
      <c r="S867" s="109"/>
      <c r="T867" s="109"/>
      <c r="U867" s="109"/>
      <c r="V867" s="109"/>
      <c r="W867" s="109"/>
      <c r="X867" s="109"/>
      <c r="Y867" s="109"/>
      <c r="Z867" s="109"/>
    </row>
    <row r="868" spans="1:26" ht="13.5" customHeight="1">
      <c r="A868" s="109"/>
      <c r="B868" s="109"/>
      <c r="C868" s="109"/>
      <c r="D868" s="109"/>
      <c r="E868" s="109"/>
      <c r="F868" s="109"/>
      <c r="G868" s="161"/>
      <c r="H868" s="109"/>
      <c r="I868" s="109"/>
      <c r="J868" s="109"/>
      <c r="K868" s="109"/>
      <c r="L868" s="109"/>
      <c r="M868" s="109"/>
      <c r="N868" s="109"/>
      <c r="O868" s="109"/>
      <c r="P868" s="109"/>
      <c r="Q868" s="109"/>
      <c r="R868" s="109"/>
      <c r="S868" s="109"/>
      <c r="T868" s="109"/>
      <c r="U868" s="109"/>
      <c r="V868" s="109"/>
      <c r="W868" s="109"/>
      <c r="X868" s="109"/>
      <c r="Y868" s="109"/>
      <c r="Z868" s="109"/>
    </row>
    <row r="869" spans="1:26" ht="13.5" customHeight="1">
      <c r="A869" s="109"/>
      <c r="B869" s="109"/>
      <c r="C869" s="109"/>
      <c r="D869" s="109"/>
      <c r="E869" s="109"/>
      <c r="F869" s="109"/>
      <c r="G869" s="161"/>
      <c r="H869" s="109"/>
      <c r="I869" s="109"/>
      <c r="J869" s="109"/>
      <c r="K869" s="109"/>
      <c r="L869" s="109"/>
      <c r="M869" s="109"/>
      <c r="N869" s="109"/>
      <c r="O869" s="109"/>
      <c r="P869" s="109"/>
      <c r="Q869" s="109"/>
      <c r="R869" s="109"/>
      <c r="S869" s="109"/>
      <c r="T869" s="109"/>
      <c r="U869" s="109"/>
      <c r="V869" s="109"/>
      <c r="W869" s="109"/>
      <c r="X869" s="109"/>
      <c r="Y869" s="109"/>
      <c r="Z869" s="109"/>
    </row>
    <row r="870" spans="1:26" ht="13.5" customHeight="1">
      <c r="A870" s="109"/>
      <c r="B870" s="109"/>
      <c r="C870" s="109"/>
      <c r="D870" s="109"/>
      <c r="E870" s="109"/>
      <c r="F870" s="109"/>
      <c r="G870" s="161"/>
      <c r="H870" s="109"/>
      <c r="I870" s="109"/>
      <c r="J870" s="109"/>
      <c r="K870" s="109"/>
      <c r="L870" s="109"/>
      <c r="M870" s="109"/>
      <c r="N870" s="109"/>
      <c r="O870" s="109"/>
      <c r="P870" s="109"/>
      <c r="Q870" s="109"/>
      <c r="R870" s="109"/>
      <c r="S870" s="109"/>
      <c r="T870" s="109"/>
      <c r="U870" s="109"/>
      <c r="V870" s="109"/>
      <c r="W870" s="109"/>
      <c r="X870" s="109"/>
      <c r="Y870" s="109"/>
      <c r="Z870" s="109"/>
    </row>
    <row r="871" spans="1:26" ht="13.5" customHeight="1">
      <c r="A871" s="109"/>
      <c r="B871" s="109"/>
      <c r="C871" s="109"/>
      <c r="D871" s="109"/>
      <c r="E871" s="109"/>
      <c r="F871" s="109"/>
      <c r="G871" s="161"/>
      <c r="H871" s="109"/>
      <c r="I871" s="109"/>
      <c r="J871" s="109"/>
      <c r="K871" s="109"/>
      <c r="L871" s="109"/>
      <c r="M871" s="109"/>
      <c r="N871" s="109"/>
      <c r="O871" s="109"/>
      <c r="P871" s="109"/>
      <c r="Q871" s="109"/>
      <c r="R871" s="109"/>
      <c r="S871" s="109"/>
      <c r="T871" s="109"/>
      <c r="U871" s="109"/>
      <c r="V871" s="109"/>
      <c r="W871" s="109"/>
      <c r="X871" s="109"/>
      <c r="Y871" s="109"/>
      <c r="Z871" s="109"/>
    </row>
    <row r="872" spans="1:26" ht="13.5" customHeight="1">
      <c r="A872" s="109"/>
      <c r="B872" s="109"/>
      <c r="C872" s="109"/>
      <c r="D872" s="109"/>
      <c r="E872" s="109"/>
      <c r="F872" s="109"/>
      <c r="G872" s="161"/>
      <c r="H872" s="109"/>
      <c r="I872" s="109"/>
      <c r="J872" s="109"/>
      <c r="K872" s="109"/>
      <c r="L872" s="109"/>
      <c r="M872" s="109"/>
      <c r="N872" s="109"/>
      <c r="O872" s="109"/>
      <c r="P872" s="109"/>
      <c r="Q872" s="109"/>
      <c r="R872" s="109"/>
      <c r="S872" s="109"/>
      <c r="T872" s="109"/>
      <c r="U872" s="109"/>
      <c r="V872" s="109"/>
      <c r="W872" s="109"/>
      <c r="X872" s="109"/>
      <c r="Y872" s="109"/>
      <c r="Z872" s="109"/>
    </row>
    <row r="873" spans="1:26" ht="13.5" customHeight="1">
      <c r="A873" s="109"/>
      <c r="B873" s="109"/>
      <c r="C873" s="109"/>
      <c r="D873" s="109"/>
      <c r="E873" s="109"/>
      <c r="F873" s="109"/>
      <c r="G873" s="161"/>
      <c r="H873" s="109"/>
      <c r="I873" s="109"/>
      <c r="J873" s="109"/>
      <c r="K873" s="109"/>
      <c r="L873" s="109"/>
      <c r="M873" s="109"/>
      <c r="N873" s="109"/>
      <c r="O873" s="109"/>
      <c r="P873" s="109"/>
      <c r="Q873" s="109"/>
      <c r="R873" s="109"/>
      <c r="S873" s="109"/>
      <c r="T873" s="109"/>
      <c r="U873" s="109"/>
      <c r="V873" s="109"/>
      <c r="W873" s="109"/>
      <c r="X873" s="109"/>
      <c r="Y873" s="109"/>
      <c r="Z873" s="109"/>
    </row>
    <row r="874" spans="1:26" ht="13.5" customHeight="1">
      <c r="A874" s="109"/>
      <c r="B874" s="109"/>
      <c r="C874" s="109"/>
      <c r="D874" s="109"/>
      <c r="E874" s="109"/>
      <c r="F874" s="109"/>
      <c r="G874" s="161"/>
      <c r="H874" s="109"/>
      <c r="I874" s="109"/>
      <c r="J874" s="109"/>
      <c r="K874" s="109"/>
      <c r="L874" s="109"/>
      <c r="M874" s="109"/>
      <c r="N874" s="109"/>
      <c r="O874" s="109"/>
      <c r="P874" s="109"/>
      <c r="Q874" s="109"/>
      <c r="R874" s="109"/>
      <c r="S874" s="109"/>
      <c r="T874" s="109"/>
      <c r="U874" s="109"/>
      <c r="V874" s="109"/>
      <c r="W874" s="109"/>
      <c r="X874" s="109"/>
      <c r="Y874" s="109"/>
      <c r="Z874" s="109"/>
    </row>
    <row r="875" spans="1:26" ht="13.5" customHeight="1">
      <c r="A875" s="109"/>
      <c r="B875" s="109"/>
      <c r="C875" s="109"/>
      <c r="D875" s="109"/>
      <c r="E875" s="109"/>
      <c r="F875" s="109"/>
      <c r="G875" s="161"/>
      <c r="H875" s="109"/>
      <c r="I875" s="109"/>
      <c r="J875" s="109"/>
      <c r="K875" s="109"/>
      <c r="L875" s="109"/>
      <c r="M875" s="109"/>
      <c r="N875" s="109"/>
      <c r="O875" s="109"/>
      <c r="P875" s="109"/>
      <c r="Q875" s="109"/>
      <c r="R875" s="109"/>
      <c r="S875" s="109"/>
      <c r="T875" s="109"/>
      <c r="U875" s="109"/>
      <c r="V875" s="109"/>
      <c r="W875" s="109"/>
      <c r="X875" s="109"/>
      <c r="Y875" s="109"/>
      <c r="Z875" s="109"/>
    </row>
    <row r="876" spans="1:26" ht="13.5" customHeight="1">
      <c r="A876" s="109"/>
      <c r="B876" s="109"/>
      <c r="C876" s="109"/>
      <c r="D876" s="109"/>
      <c r="E876" s="109"/>
      <c r="F876" s="109"/>
      <c r="G876" s="161"/>
      <c r="H876" s="109"/>
      <c r="I876" s="109"/>
      <c r="J876" s="109"/>
      <c r="K876" s="109"/>
      <c r="L876" s="109"/>
      <c r="M876" s="109"/>
      <c r="N876" s="109"/>
      <c r="O876" s="109"/>
      <c r="P876" s="109"/>
      <c r="Q876" s="109"/>
      <c r="R876" s="109"/>
      <c r="S876" s="109"/>
      <c r="T876" s="109"/>
      <c r="U876" s="109"/>
      <c r="V876" s="109"/>
      <c r="W876" s="109"/>
      <c r="X876" s="109"/>
      <c r="Y876" s="109"/>
      <c r="Z876" s="109"/>
    </row>
    <row r="877" spans="1:26" ht="13.5" customHeight="1">
      <c r="A877" s="109"/>
      <c r="B877" s="109"/>
      <c r="C877" s="109"/>
      <c r="D877" s="109"/>
      <c r="E877" s="109"/>
      <c r="F877" s="109"/>
      <c r="G877" s="161"/>
      <c r="H877" s="109"/>
      <c r="I877" s="109"/>
      <c r="J877" s="109"/>
      <c r="K877" s="109"/>
      <c r="L877" s="109"/>
      <c r="M877" s="109"/>
      <c r="N877" s="109"/>
      <c r="O877" s="109"/>
      <c r="P877" s="109"/>
      <c r="Q877" s="109"/>
      <c r="R877" s="109"/>
      <c r="S877" s="109"/>
      <c r="T877" s="109"/>
      <c r="U877" s="109"/>
      <c r="V877" s="109"/>
      <c r="W877" s="109"/>
      <c r="X877" s="109"/>
      <c r="Y877" s="109"/>
      <c r="Z877" s="109"/>
    </row>
    <row r="878" spans="1:26" ht="13.5" customHeight="1">
      <c r="A878" s="109"/>
      <c r="B878" s="109"/>
      <c r="C878" s="109"/>
      <c r="D878" s="109"/>
      <c r="E878" s="109"/>
      <c r="F878" s="109"/>
      <c r="G878" s="161"/>
      <c r="H878" s="109"/>
      <c r="I878" s="109"/>
      <c r="J878" s="109"/>
      <c r="K878" s="109"/>
      <c r="L878" s="109"/>
      <c r="M878" s="109"/>
      <c r="N878" s="109"/>
      <c r="O878" s="109"/>
      <c r="P878" s="109"/>
      <c r="Q878" s="109"/>
      <c r="R878" s="109"/>
      <c r="S878" s="109"/>
      <c r="T878" s="109"/>
      <c r="U878" s="109"/>
      <c r="V878" s="109"/>
      <c r="W878" s="109"/>
      <c r="X878" s="109"/>
      <c r="Y878" s="109"/>
      <c r="Z878" s="109"/>
    </row>
    <row r="879" spans="1:26" ht="13.5" customHeight="1">
      <c r="A879" s="109"/>
      <c r="B879" s="109"/>
      <c r="C879" s="109"/>
      <c r="D879" s="109"/>
      <c r="E879" s="109"/>
      <c r="F879" s="109"/>
      <c r="G879" s="161"/>
      <c r="H879" s="109"/>
      <c r="I879" s="109"/>
      <c r="J879" s="109"/>
      <c r="K879" s="109"/>
      <c r="L879" s="109"/>
      <c r="M879" s="109"/>
      <c r="N879" s="109"/>
      <c r="O879" s="109"/>
      <c r="P879" s="109"/>
      <c r="Q879" s="109"/>
      <c r="R879" s="109"/>
      <c r="S879" s="109"/>
      <c r="T879" s="109"/>
      <c r="U879" s="109"/>
      <c r="V879" s="109"/>
      <c r="W879" s="109"/>
      <c r="X879" s="109"/>
      <c r="Y879" s="109"/>
      <c r="Z879" s="109"/>
    </row>
    <row r="880" spans="1:26" ht="13.5" customHeight="1">
      <c r="A880" s="109"/>
      <c r="B880" s="109"/>
      <c r="C880" s="109"/>
      <c r="D880" s="109"/>
      <c r="E880" s="109"/>
      <c r="F880" s="109"/>
      <c r="G880" s="161"/>
      <c r="H880" s="109"/>
      <c r="I880" s="109"/>
      <c r="J880" s="109"/>
      <c r="K880" s="109"/>
      <c r="L880" s="109"/>
      <c r="M880" s="109"/>
      <c r="N880" s="109"/>
      <c r="O880" s="109"/>
      <c r="P880" s="109"/>
      <c r="Q880" s="109"/>
      <c r="R880" s="109"/>
      <c r="S880" s="109"/>
      <c r="T880" s="109"/>
      <c r="U880" s="109"/>
      <c r="V880" s="109"/>
      <c r="W880" s="109"/>
      <c r="X880" s="109"/>
      <c r="Y880" s="109"/>
      <c r="Z880" s="109"/>
    </row>
    <row r="881" spans="1:26" ht="13.5" customHeight="1">
      <c r="A881" s="109"/>
      <c r="B881" s="109"/>
      <c r="C881" s="109"/>
      <c r="D881" s="109"/>
      <c r="E881" s="109"/>
      <c r="F881" s="109"/>
      <c r="G881" s="161"/>
      <c r="H881" s="109"/>
      <c r="I881" s="109"/>
      <c r="J881" s="109"/>
      <c r="K881" s="109"/>
      <c r="L881" s="109"/>
      <c r="M881" s="109"/>
      <c r="N881" s="109"/>
      <c r="O881" s="109"/>
      <c r="P881" s="109"/>
      <c r="Q881" s="109"/>
      <c r="R881" s="109"/>
      <c r="S881" s="109"/>
      <c r="T881" s="109"/>
      <c r="U881" s="109"/>
      <c r="V881" s="109"/>
      <c r="W881" s="109"/>
      <c r="X881" s="109"/>
      <c r="Y881" s="109"/>
      <c r="Z881" s="109"/>
    </row>
    <row r="882" spans="1:26" ht="13.5" customHeight="1">
      <c r="A882" s="109"/>
      <c r="B882" s="109"/>
      <c r="C882" s="109"/>
      <c r="D882" s="109"/>
      <c r="E882" s="109"/>
      <c r="F882" s="109"/>
      <c r="G882" s="161"/>
      <c r="H882" s="109"/>
      <c r="I882" s="109"/>
      <c r="J882" s="109"/>
      <c r="K882" s="109"/>
      <c r="L882" s="109"/>
      <c r="M882" s="109"/>
      <c r="N882" s="109"/>
      <c r="O882" s="109"/>
      <c r="P882" s="109"/>
      <c r="Q882" s="109"/>
      <c r="R882" s="109"/>
      <c r="S882" s="109"/>
      <c r="T882" s="109"/>
      <c r="U882" s="109"/>
      <c r="V882" s="109"/>
      <c r="W882" s="109"/>
      <c r="X882" s="109"/>
      <c r="Y882" s="109"/>
      <c r="Z882" s="109"/>
    </row>
    <row r="883" spans="1:26" ht="13.5" customHeight="1">
      <c r="A883" s="109"/>
      <c r="B883" s="109"/>
      <c r="C883" s="109"/>
      <c r="D883" s="109"/>
      <c r="E883" s="109"/>
      <c r="F883" s="109"/>
      <c r="G883" s="161"/>
      <c r="H883" s="109"/>
      <c r="I883" s="109"/>
      <c r="J883" s="109"/>
      <c r="K883" s="109"/>
      <c r="L883" s="109"/>
      <c r="M883" s="109"/>
      <c r="N883" s="109"/>
      <c r="O883" s="109"/>
      <c r="P883" s="109"/>
      <c r="Q883" s="109"/>
      <c r="R883" s="109"/>
      <c r="S883" s="109"/>
      <c r="T883" s="109"/>
      <c r="U883" s="109"/>
      <c r="V883" s="109"/>
      <c r="W883" s="109"/>
      <c r="X883" s="109"/>
      <c r="Y883" s="109"/>
      <c r="Z883" s="109"/>
    </row>
    <row r="884" spans="1:26" ht="13.5" customHeight="1">
      <c r="A884" s="109"/>
      <c r="B884" s="109"/>
      <c r="C884" s="109"/>
      <c r="D884" s="109"/>
      <c r="E884" s="109"/>
      <c r="F884" s="109"/>
      <c r="G884" s="161"/>
      <c r="H884" s="109"/>
      <c r="I884" s="109"/>
      <c r="J884" s="109"/>
      <c r="K884" s="109"/>
      <c r="L884" s="109"/>
      <c r="M884" s="109"/>
      <c r="N884" s="109"/>
      <c r="O884" s="109"/>
      <c r="P884" s="109"/>
      <c r="Q884" s="109"/>
      <c r="R884" s="109"/>
      <c r="S884" s="109"/>
      <c r="T884" s="109"/>
      <c r="U884" s="109"/>
      <c r="V884" s="109"/>
      <c r="W884" s="109"/>
      <c r="X884" s="109"/>
      <c r="Y884" s="109"/>
      <c r="Z884" s="109"/>
    </row>
    <row r="885" spans="1:26" ht="13.5" customHeight="1">
      <c r="A885" s="109"/>
      <c r="B885" s="109"/>
      <c r="C885" s="109"/>
      <c r="D885" s="109"/>
      <c r="E885" s="109"/>
      <c r="F885" s="109"/>
      <c r="G885" s="161"/>
      <c r="H885" s="109"/>
      <c r="I885" s="109"/>
      <c r="J885" s="109"/>
      <c r="K885" s="109"/>
      <c r="L885" s="109"/>
      <c r="M885" s="109"/>
      <c r="N885" s="109"/>
      <c r="O885" s="109"/>
      <c r="P885" s="109"/>
      <c r="Q885" s="109"/>
      <c r="R885" s="109"/>
      <c r="S885" s="109"/>
      <c r="T885" s="109"/>
      <c r="U885" s="109"/>
      <c r="V885" s="109"/>
      <c r="W885" s="109"/>
      <c r="X885" s="109"/>
      <c r="Y885" s="109"/>
      <c r="Z885" s="109"/>
    </row>
    <row r="886" spans="1:26" ht="13.5" customHeight="1">
      <c r="A886" s="109"/>
      <c r="B886" s="109"/>
      <c r="C886" s="109"/>
      <c r="D886" s="109"/>
      <c r="E886" s="109"/>
      <c r="F886" s="109"/>
      <c r="G886" s="161"/>
      <c r="H886" s="109"/>
      <c r="I886" s="109"/>
      <c r="J886" s="109"/>
      <c r="K886" s="109"/>
      <c r="L886" s="109"/>
      <c r="M886" s="109"/>
      <c r="N886" s="109"/>
      <c r="O886" s="109"/>
      <c r="P886" s="109"/>
      <c r="Q886" s="109"/>
      <c r="R886" s="109"/>
      <c r="S886" s="109"/>
      <c r="T886" s="109"/>
      <c r="U886" s="109"/>
      <c r="V886" s="109"/>
      <c r="W886" s="109"/>
      <c r="X886" s="109"/>
      <c r="Y886" s="109"/>
      <c r="Z886" s="109"/>
    </row>
    <row r="887" spans="1:26" ht="13.5" customHeight="1">
      <c r="A887" s="109"/>
      <c r="B887" s="109"/>
      <c r="C887" s="109"/>
      <c r="D887" s="109"/>
      <c r="E887" s="109"/>
      <c r="F887" s="109"/>
      <c r="G887" s="161"/>
      <c r="H887" s="109"/>
      <c r="I887" s="109"/>
      <c r="J887" s="109"/>
      <c r="K887" s="109"/>
      <c r="L887" s="109"/>
      <c r="M887" s="109"/>
      <c r="N887" s="109"/>
      <c r="O887" s="109"/>
      <c r="P887" s="109"/>
      <c r="Q887" s="109"/>
      <c r="R887" s="109"/>
      <c r="S887" s="109"/>
      <c r="T887" s="109"/>
      <c r="U887" s="109"/>
      <c r="V887" s="109"/>
      <c r="W887" s="109"/>
      <c r="X887" s="109"/>
      <c r="Y887" s="109"/>
      <c r="Z887" s="109"/>
    </row>
    <row r="888" spans="1:26" ht="13.5" customHeight="1">
      <c r="A888" s="109"/>
      <c r="B888" s="109"/>
      <c r="C888" s="109"/>
      <c r="D888" s="109"/>
      <c r="E888" s="109"/>
      <c r="F888" s="109"/>
      <c r="G888" s="161"/>
      <c r="H888" s="109"/>
      <c r="I888" s="109"/>
      <c r="J888" s="109"/>
      <c r="K888" s="109"/>
      <c r="L888" s="109"/>
      <c r="M888" s="109"/>
      <c r="N888" s="109"/>
      <c r="O888" s="109"/>
      <c r="P888" s="109"/>
      <c r="Q888" s="109"/>
      <c r="R888" s="109"/>
      <c r="S888" s="109"/>
      <c r="T888" s="109"/>
      <c r="U888" s="109"/>
      <c r="V888" s="109"/>
      <c r="W888" s="109"/>
      <c r="X888" s="109"/>
      <c r="Y888" s="109"/>
      <c r="Z888" s="109"/>
    </row>
    <row r="889" spans="1:26" ht="13.5" customHeight="1">
      <c r="A889" s="109"/>
      <c r="B889" s="109"/>
      <c r="C889" s="109"/>
      <c r="D889" s="109"/>
      <c r="E889" s="109"/>
      <c r="F889" s="109"/>
      <c r="G889" s="161"/>
      <c r="H889" s="109"/>
      <c r="I889" s="109"/>
      <c r="J889" s="109"/>
      <c r="K889" s="109"/>
      <c r="L889" s="109"/>
      <c r="M889" s="109"/>
      <c r="N889" s="109"/>
      <c r="O889" s="109"/>
      <c r="P889" s="109"/>
      <c r="Q889" s="109"/>
      <c r="R889" s="109"/>
      <c r="S889" s="109"/>
      <c r="T889" s="109"/>
      <c r="U889" s="109"/>
      <c r="V889" s="109"/>
      <c r="W889" s="109"/>
      <c r="X889" s="109"/>
      <c r="Y889" s="109"/>
      <c r="Z889" s="109"/>
    </row>
    <row r="890" spans="1:26" ht="13.5" customHeight="1">
      <c r="A890" s="109"/>
      <c r="B890" s="109"/>
      <c r="C890" s="109"/>
      <c r="D890" s="109"/>
      <c r="E890" s="109"/>
      <c r="F890" s="109"/>
      <c r="G890" s="161"/>
      <c r="H890" s="109"/>
      <c r="I890" s="109"/>
      <c r="J890" s="109"/>
      <c r="K890" s="109"/>
      <c r="L890" s="109"/>
      <c r="M890" s="109"/>
      <c r="N890" s="109"/>
      <c r="O890" s="109"/>
      <c r="P890" s="109"/>
      <c r="Q890" s="109"/>
      <c r="R890" s="109"/>
      <c r="S890" s="109"/>
      <c r="T890" s="109"/>
      <c r="U890" s="109"/>
      <c r="V890" s="109"/>
      <c r="W890" s="109"/>
      <c r="X890" s="109"/>
      <c r="Y890" s="109"/>
      <c r="Z890" s="109"/>
    </row>
    <row r="891" spans="1:26" ht="13.5" customHeight="1">
      <c r="A891" s="109"/>
      <c r="B891" s="109"/>
      <c r="C891" s="109"/>
      <c r="D891" s="109"/>
      <c r="E891" s="109"/>
      <c r="F891" s="109"/>
      <c r="G891" s="161"/>
      <c r="H891" s="109"/>
      <c r="I891" s="109"/>
      <c r="J891" s="109"/>
      <c r="K891" s="109"/>
      <c r="L891" s="109"/>
      <c r="M891" s="109"/>
      <c r="N891" s="109"/>
      <c r="O891" s="109"/>
      <c r="P891" s="109"/>
      <c r="Q891" s="109"/>
      <c r="R891" s="109"/>
      <c r="S891" s="109"/>
      <c r="T891" s="109"/>
      <c r="U891" s="109"/>
      <c r="V891" s="109"/>
      <c r="W891" s="109"/>
      <c r="X891" s="109"/>
      <c r="Y891" s="109"/>
      <c r="Z891" s="109"/>
    </row>
    <row r="892" spans="1:26" ht="13.5" customHeight="1">
      <c r="A892" s="109"/>
      <c r="B892" s="109"/>
      <c r="C892" s="109"/>
      <c r="D892" s="109"/>
      <c r="E892" s="109"/>
      <c r="F892" s="109"/>
      <c r="G892" s="161"/>
      <c r="H892" s="109"/>
      <c r="I892" s="109"/>
      <c r="J892" s="109"/>
      <c r="K892" s="109"/>
      <c r="L892" s="109"/>
      <c r="M892" s="109"/>
      <c r="N892" s="109"/>
      <c r="O892" s="109"/>
      <c r="P892" s="109"/>
      <c r="Q892" s="109"/>
      <c r="R892" s="109"/>
      <c r="S892" s="109"/>
      <c r="T892" s="109"/>
      <c r="U892" s="109"/>
      <c r="V892" s="109"/>
      <c r="W892" s="109"/>
      <c r="X892" s="109"/>
      <c r="Y892" s="109"/>
      <c r="Z892" s="109"/>
    </row>
    <row r="893" spans="1:26" ht="13.5" customHeight="1">
      <c r="A893" s="109"/>
      <c r="B893" s="109"/>
      <c r="C893" s="109"/>
      <c r="D893" s="109"/>
      <c r="E893" s="109"/>
      <c r="F893" s="109"/>
      <c r="G893" s="161"/>
      <c r="H893" s="109"/>
      <c r="I893" s="109"/>
      <c r="J893" s="109"/>
      <c r="K893" s="109"/>
      <c r="L893" s="109"/>
      <c r="M893" s="109"/>
      <c r="N893" s="109"/>
      <c r="O893" s="109"/>
      <c r="P893" s="109"/>
      <c r="Q893" s="109"/>
      <c r="R893" s="109"/>
      <c r="S893" s="109"/>
      <c r="T893" s="109"/>
      <c r="U893" s="109"/>
      <c r="V893" s="109"/>
      <c r="W893" s="109"/>
      <c r="X893" s="109"/>
      <c r="Y893" s="109"/>
      <c r="Z893" s="109"/>
    </row>
    <row r="894" spans="1:26" ht="13.5" customHeight="1">
      <c r="A894" s="109"/>
      <c r="B894" s="109"/>
      <c r="C894" s="109"/>
      <c r="D894" s="109"/>
      <c r="E894" s="109"/>
      <c r="F894" s="109"/>
      <c r="G894" s="161"/>
      <c r="H894" s="109"/>
      <c r="I894" s="109"/>
      <c r="J894" s="109"/>
      <c r="K894" s="109"/>
      <c r="L894" s="109"/>
      <c r="M894" s="109"/>
      <c r="N894" s="109"/>
      <c r="O894" s="109"/>
      <c r="P894" s="109"/>
      <c r="Q894" s="109"/>
      <c r="R894" s="109"/>
      <c r="S894" s="109"/>
      <c r="T894" s="109"/>
      <c r="U894" s="109"/>
      <c r="V894" s="109"/>
      <c r="W894" s="109"/>
      <c r="X894" s="109"/>
      <c r="Y894" s="109"/>
      <c r="Z894" s="109"/>
    </row>
    <row r="895" spans="1:26" ht="13.5" customHeight="1">
      <c r="A895" s="109"/>
      <c r="B895" s="109"/>
      <c r="C895" s="109"/>
      <c r="D895" s="109"/>
      <c r="E895" s="109"/>
      <c r="F895" s="109"/>
      <c r="G895" s="161"/>
      <c r="H895" s="109"/>
      <c r="I895" s="109"/>
      <c r="J895" s="109"/>
      <c r="K895" s="109"/>
      <c r="L895" s="109"/>
      <c r="M895" s="109"/>
      <c r="N895" s="109"/>
      <c r="O895" s="109"/>
      <c r="P895" s="109"/>
      <c r="Q895" s="109"/>
      <c r="R895" s="109"/>
      <c r="S895" s="109"/>
      <c r="T895" s="109"/>
      <c r="U895" s="109"/>
      <c r="V895" s="109"/>
      <c r="W895" s="109"/>
      <c r="X895" s="109"/>
      <c r="Y895" s="109"/>
      <c r="Z895" s="109"/>
    </row>
    <row r="896" spans="1:26" ht="13.5" customHeight="1">
      <c r="A896" s="109"/>
      <c r="B896" s="109"/>
      <c r="C896" s="109"/>
      <c r="D896" s="109"/>
      <c r="E896" s="109"/>
      <c r="F896" s="109"/>
      <c r="G896" s="161"/>
      <c r="H896" s="109"/>
      <c r="I896" s="109"/>
      <c r="J896" s="109"/>
      <c r="K896" s="109"/>
      <c r="L896" s="109"/>
      <c r="M896" s="109"/>
      <c r="N896" s="109"/>
      <c r="O896" s="109"/>
      <c r="P896" s="109"/>
      <c r="Q896" s="109"/>
      <c r="R896" s="109"/>
      <c r="S896" s="109"/>
      <c r="T896" s="109"/>
      <c r="U896" s="109"/>
      <c r="V896" s="109"/>
      <c r="W896" s="109"/>
      <c r="X896" s="109"/>
      <c r="Y896" s="109"/>
      <c r="Z896" s="109"/>
    </row>
    <row r="897" spans="1:26" ht="13.5" customHeight="1">
      <c r="A897" s="109"/>
      <c r="B897" s="109"/>
      <c r="C897" s="109"/>
      <c r="D897" s="109"/>
      <c r="E897" s="109"/>
      <c r="F897" s="109"/>
      <c r="G897" s="161"/>
      <c r="H897" s="109"/>
      <c r="I897" s="109"/>
      <c r="J897" s="109"/>
      <c r="K897" s="109"/>
      <c r="L897" s="109"/>
      <c r="M897" s="109"/>
      <c r="N897" s="109"/>
      <c r="O897" s="109"/>
      <c r="P897" s="109"/>
      <c r="Q897" s="109"/>
      <c r="R897" s="109"/>
      <c r="S897" s="109"/>
      <c r="T897" s="109"/>
      <c r="U897" s="109"/>
      <c r="V897" s="109"/>
      <c r="W897" s="109"/>
      <c r="X897" s="109"/>
      <c r="Y897" s="109"/>
      <c r="Z897" s="109"/>
    </row>
    <row r="898" spans="1:26" ht="13.5" customHeight="1">
      <c r="A898" s="109"/>
      <c r="B898" s="109"/>
      <c r="C898" s="109"/>
      <c r="D898" s="109"/>
      <c r="E898" s="109"/>
      <c r="F898" s="109"/>
      <c r="G898" s="161"/>
      <c r="H898" s="109"/>
      <c r="I898" s="109"/>
      <c r="J898" s="109"/>
      <c r="K898" s="109"/>
      <c r="L898" s="109"/>
      <c r="M898" s="109"/>
      <c r="N898" s="109"/>
      <c r="O898" s="109"/>
      <c r="P898" s="109"/>
      <c r="Q898" s="109"/>
      <c r="R898" s="109"/>
      <c r="S898" s="109"/>
      <c r="T898" s="109"/>
      <c r="U898" s="109"/>
      <c r="V898" s="109"/>
      <c r="W898" s="109"/>
      <c r="X898" s="109"/>
      <c r="Y898" s="109"/>
      <c r="Z898" s="109"/>
    </row>
    <row r="899" spans="1:26" ht="13.5" customHeight="1">
      <c r="A899" s="109"/>
      <c r="B899" s="109"/>
      <c r="C899" s="109"/>
      <c r="D899" s="109"/>
      <c r="E899" s="109"/>
      <c r="F899" s="109"/>
      <c r="G899" s="161"/>
      <c r="H899" s="109"/>
      <c r="I899" s="109"/>
      <c r="J899" s="109"/>
      <c r="K899" s="109"/>
      <c r="L899" s="109"/>
      <c r="M899" s="109"/>
      <c r="N899" s="109"/>
      <c r="O899" s="109"/>
      <c r="P899" s="109"/>
      <c r="Q899" s="109"/>
      <c r="R899" s="109"/>
      <c r="S899" s="109"/>
      <c r="T899" s="109"/>
      <c r="U899" s="109"/>
      <c r="V899" s="109"/>
      <c r="W899" s="109"/>
      <c r="X899" s="109"/>
      <c r="Y899" s="109"/>
      <c r="Z899" s="109"/>
    </row>
    <row r="900" spans="1:26" ht="13.5" customHeight="1">
      <c r="A900" s="109"/>
      <c r="B900" s="109"/>
      <c r="C900" s="109"/>
      <c r="D900" s="109"/>
      <c r="E900" s="109"/>
      <c r="F900" s="109"/>
      <c r="G900" s="161"/>
      <c r="H900" s="109"/>
      <c r="I900" s="109"/>
      <c r="J900" s="109"/>
      <c r="K900" s="109"/>
      <c r="L900" s="109"/>
      <c r="M900" s="109"/>
      <c r="N900" s="109"/>
      <c r="O900" s="109"/>
      <c r="P900" s="109"/>
      <c r="Q900" s="109"/>
      <c r="R900" s="109"/>
      <c r="S900" s="109"/>
      <c r="T900" s="109"/>
      <c r="U900" s="109"/>
      <c r="V900" s="109"/>
      <c r="W900" s="109"/>
      <c r="X900" s="109"/>
      <c r="Y900" s="109"/>
      <c r="Z900" s="109"/>
    </row>
    <row r="901" spans="1:26" ht="13.5" customHeight="1">
      <c r="A901" s="109"/>
      <c r="B901" s="109"/>
      <c r="C901" s="109"/>
      <c r="D901" s="109"/>
      <c r="E901" s="109"/>
      <c r="F901" s="109"/>
      <c r="G901" s="161"/>
      <c r="H901" s="109"/>
      <c r="I901" s="109"/>
      <c r="J901" s="109"/>
      <c r="K901" s="109"/>
      <c r="L901" s="109"/>
      <c r="M901" s="109"/>
      <c r="N901" s="109"/>
      <c r="O901" s="109"/>
      <c r="P901" s="109"/>
      <c r="Q901" s="109"/>
      <c r="R901" s="109"/>
      <c r="S901" s="109"/>
      <c r="T901" s="109"/>
      <c r="U901" s="109"/>
      <c r="V901" s="109"/>
      <c r="W901" s="109"/>
      <c r="X901" s="109"/>
      <c r="Y901" s="109"/>
      <c r="Z901" s="109"/>
    </row>
    <row r="902" spans="1:26" ht="13.5" customHeight="1">
      <c r="A902" s="109"/>
      <c r="B902" s="109"/>
      <c r="C902" s="109"/>
      <c r="D902" s="109"/>
      <c r="E902" s="109"/>
      <c r="F902" s="109"/>
      <c r="G902" s="161"/>
      <c r="H902" s="109"/>
      <c r="I902" s="109"/>
      <c r="J902" s="109"/>
      <c r="K902" s="109"/>
      <c r="L902" s="109"/>
      <c r="M902" s="109"/>
      <c r="N902" s="109"/>
      <c r="O902" s="109"/>
      <c r="P902" s="109"/>
      <c r="Q902" s="109"/>
      <c r="R902" s="109"/>
      <c r="S902" s="109"/>
      <c r="T902" s="109"/>
      <c r="U902" s="109"/>
      <c r="V902" s="109"/>
      <c r="W902" s="109"/>
      <c r="X902" s="109"/>
      <c r="Y902" s="109"/>
      <c r="Z902" s="109"/>
    </row>
    <row r="903" spans="1:26" ht="13.5" customHeight="1">
      <c r="A903" s="109"/>
      <c r="B903" s="109"/>
      <c r="C903" s="109"/>
      <c r="D903" s="109"/>
      <c r="E903" s="109"/>
      <c r="F903" s="109"/>
      <c r="G903" s="161"/>
      <c r="H903" s="109"/>
      <c r="I903" s="109"/>
      <c r="J903" s="109"/>
      <c r="K903" s="109"/>
      <c r="L903" s="109"/>
      <c r="M903" s="109"/>
      <c r="N903" s="109"/>
      <c r="O903" s="109"/>
      <c r="P903" s="109"/>
      <c r="Q903" s="109"/>
      <c r="R903" s="109"/>
      <c r="S903" s="109"/>
      <c r="T903" s="109"/>
      <c r="U903" s="109"/>
      <c r="V903" s="109"/>
      <c r="W903" s="109"/>
      <c r="X903" s="109"/>
      <c r="Y903" s="109"/>
      <c r="Z903" s="109"/>
    </row>
    <row r="904" spans="1:26" ht="13.5" customHeight="1">
      <c r="A904" s="109"/>
      <c r="B904" s="109"/>
      <c r="C904" s="109"/>
      <c r="D904" s="109"/>
      <c r="E904" s="109"/>
      <c r="F904" s="109"/>
      <c r="G904" s="161"/>
      <c r="H904" s="109"/>
      <c r="I904" s="109"/>
      <c r="J904" s="109"/>
      <c r="K904" s="109"/>
      <c r="L904" s="109"/>
      <c r="M904" s="109"/>
      <c r="N904" s="109"/>
      <c r="O904" s="109"/>
      <c r="P904" s="109"/>
      <c r="Q904" s="109"/>
      <c r="R904" s="109"/>
      <c r="S904" s="109"/>
      <c r="T904" s="109"/>
      <c r="U904" s="109"/>
      <c r="V904" s="109"/>
      <c r="W904" s="109"/>
      <c r="X904" s="109"/>
      <c r="Y904" s="109"/>
      <c r="Z904" s="109"/>
    </row>
    <row r="905" spans="1:26" ht="13.5" customHeight="1">
      <c r="A905" s="109"/>
      <c r="B905" s="109"/>
      <c r="C905" s="109"/>
      <c r="D905" s="109"/>
      <c r="E905" s="109"/>
      <c r="F905" s="109"/>
      <c r="G905" s="161"/>
      <c r="H905" s="109"/>
      <c r="I905" s="109"/>
      <c r="J905" s="109"/>
      <c r="K905" s="109"/>
      <c r="L905" s="109"/>
      <c r="M905" s="109"/>
      <c r="N905" s="109"/>
      <c r="O905" s="109"/>
      <c r="P905" s="109"/>
      <c r="Q905" s="109"/>
      <c r="R905" s="109"/>
      <c r="S905" s="109"/>
      <c r="T905" s="109"/>
      <c r="U905" s="109"/>
      <c r="V905" s="109"/>
      <c r="W905" s="109"/>
      <c r="X905" s="109"/>
      <c r="Y905" s="109"/>
      <c r="Z905" s="109"/>
    </row>
    <row r="906" spans="1:26" ht="13.5" customHeight="1">
      <c r="A906" s="109"/>
      <c r="B906" s="109"/>
      <c r="C906" s="109"/>
      <c r="D906" s="109"/>
      <c r="E906" s="109"/>
      <c r="F906" s="109"/>
      <c r="G906" s="161"/>
      <c r="H906" s="109"/>
      <c r="I906" s="109"/>
      <c r="J906" s="109"/>
      <c r="K906" s="109"/>
      <c r="L906" s="109"/>
      <c r="M906" s="109"/>
      <c r="N906" s="109"/>
      <c r="O906" s="109"/>
      <c r="P906" s="109"/>
      <c r="Q906" s="109"/>
      <c r="R906" s="109"/>
      <c r="S906" s="109"/>
      <c r="T906" s="109"/>
      <c r="U906" s="109"/>
      <c r="V906" s="109"/>
      <c r="W906" s="109"/>
      <c r="X906" s="109"/>
      <c r="Y906" s="109"/>
      <c r="Z906" s="109"/>
    </row>
    <row r="907" spans="1:26" ht="13.5" customHeight="1">
      <c r="A907" s="109"/>
      <c r="B907" s="109"/>
      <c r="C907" s="109"/>
      <c r="D907" s="109"/>
      <c r="E907" s="109"/>
      <c r="F907" s="109"/>
      <c r="G907" s="161"/>
      <c r="H907" s="109"/>
      <c r="I907" s="109"/>
      <c r="J907" s="109"/>
      <c r="K907" s="109"/>
      <c r="L907" s="109"/>
      <c r="M907" s="109"/>
      <c r="N907" s="109"/>
      <c r="O907" s="109"/>
      <c r="P907" s="109"/>
      <c r="Q907" s="109"/>
      <c r="R907" s="109"/>
      <c r="S907" s="109"/>
      <c r="T907" s="109"/>
      <c r="U907" s="109"/>
      <c r="V907" s="109"/>
      <c r="W907" s="109"/>
      <c r="X907" s="109"/>
      <c r="Y907" s="109"/>
      <c r="Z907" s="109"/>
    </row>
    <row r="908" spans="1:26" ht="13.5" customHeight="1">
      <c r="A908" s="109"/>
      <c r="B908" s="109"/>
      <c r="C908" s="109"/>
      <c r="D908" s="109"/>
      <c r="E908" s="109"/>
      <c r="F908" s="109"/>
      <c r="G908" s="161"/>
      <c r="H908" s="109"/>
      <c r="I908" s="109"/>
      <c r="J908" s="109"/>
      <c r="K908" s="109"/>
      <c r="L908" s="109"/>
      <c r="M908" s="109"/>
      <c r="N908" s="109"/>
      <c r="O908" s="109"/>
      <c r="P908" s="109"/>
      <c r="Q908" s="109"/>
      <c r="R908" s="109"/>
      <c r="S908" s="109"/>
      <c r="T908" s="109"/>
      <c r="U908" s="109"/>
      <c r="V908" s="109"/>
      <c r="W908" s="109"/>
      <c r="X908" s="109"/>
      <c r="Y908" s="109"/>
      <c r="Z908" s="109"/>
    </row>
    <row r="909" spans="1:26" ht="13.5" customHeight="1">
      <c r="A909" s="109"/>
      <c r="B909" s="109"/>
      <c r="C909" s="109"/>
      <c r="D909" s="109"/>
      <c r="E909" s="109"/>
      <c r="F909" s="109"/>
      <c r="G909" s="161"/>
      <c r="H909" s="109"/>
      <c r="I909" s="109"/>
      <c r="J909" s="109"/>
      <c r="K909" s="109"/>
      <c r="L909" s="109"/>
      <c r="M909" s="109"/>
      <c r="N909" s="109"/>
      <c r="O909" s="109"/>
      <c r="P909" s="109"/>
      <c r="Q909" s="109"/>
      <c r="R909" s="109"/>
      <c r="S909" s="109"/>
      <c r="T909" s="109"/>
      <c r="U909" s="109"/>
      <c r="V909" s="109"/>
      <c r="W909" s="109"/>
      <c r="X909" s="109"/>
      <c r="Y909" s="109"/>
      <c r="Z909" s="109"/>
    </row>
    <row r="910" spans="1:26" ht="13.5" customHeight="1">
      <c r="A910" s="109"/>
      <c r="B910" s="109"/>
      <c r="C910" s="109"/>
      <c r="D910" s="109"/>
      <c r="E910" s="109"/>
      <c r="F910" s="109"/>
      <c r="G910" s="161"/>
      <c r="H910" s="109"/>
      <c r="I910" s="109"/>
      <c r="J910" s="109"/>
      <c r="K910" s="109"/>
      <c r="L910" s="109"/>
      <c r="M910" s="109"/>
      <c r="N910" s="109"/>
      <c r="O910" s="109"/>
      <c r="P910" s="109"/>
      <c r="Q910" s="109"/>
      <c r="R910" s="109"/>
      <c r="S910" s="109"/>
      <c r="T910" s="109"/>
      <c r="U910" s="109"/>
      <c r="V910" s="109"/>
      <c r="W910" s="109"/>
      <c r="X910" s="109"/>
      <c r="Y910" s="109"/>
      <c r="Z910" s="109"/>
    </row>
    <row r="911" spans="1:26" ht="13.5" customHeight="1">
      <c r="A911" s="109"/>
      <c r="B911" s="109"/>
      <c r="C911" s="109"/>
      <c r="D911" s="109"/>
      <c r="E911" s="109"/>
      <c r="F911" s="109"/>
      <c r="G911" s="161"/>
      <c r="H911" s="109"/>
      <c r="I911" s="109"/>
      <c r="J911" s="109"/>
      <c r="K911" s="109"/>
      <c r="L911" s="109"/>
      <c r="M911" s="109"/>
      <c r="N911" s="109"/>
      <c r="O911" s="109"/>
      <c r="P911" s="109"/>
      <c r="Q911" s="109"/>
      <c r="R911" s="109"/>
      <c r="S911" s="109"/>
      <c r="T911" s="109"/>
      <c r="U911" s="109"/>
      <c r="V911" s="109"/>
      <c r="W911" s="109"/>
      <c r="X911" s="109"/>
      <c r="Y911" s="109"/>
      <c r="Z911" s="109"/>
    </row>
    <row r="912" spans="1:26" ht="13.5" customHeight="1">
      <c r="A912" s="109"/>
      <c r="B912" s="109"/>
      <c r="C912" s="109"/>
      <c r="D912" s="109"/>
      <c r="E912" s="109"/>
      <c r="F912" s="109"/>
      <c r="G912" s="161"/>
      <c r="H912" s="109"/>
      <c r="I912" s="109"/>
      <c r="J912" s="109"/>
      <c r="K912" s="109"/>
      <c r="L912" s="109"/>
      <c r="M912" s="109"/>
      <c r="N912" s="109"/>
      <c r="O912" s="109"/>
      <c r="P912" s="109"/>
      <c r="Q912" s="109"/>
      <c r="R912" s="109"/>
      <c r="S912" s="109"/>
      <c r="T912" s="109"/>
      <c r="U912" s="109"/>
      <c r="V912" s="109"/>
      <c r="W912" s="109"/>
      <c r="X912" s="109"/>
      <c r="Y912" s="109"/>
      <c r="Z912" s="109"/>
    </row>
    <row r="913" spans="1:26" ht="13.5" customHeight="1">
      <c r="A913" s="109"/>
      <c r="B913" s="109"/>
      <c r="C913" s="109"/>
      <c r="D913" s="109"/>
      <c r="E913" s="109"/>
      <c r="F913" s="109"/>
      <c r="G913" s="161"/>
      <c r="H913" s="109"/>
      <c r="I913" s="109"/>
      <c r="J913" s="109"/>
      <c r="K913" s="109"/>
      <c r="L913" s="109"/>
      <c r="M913" s="109"/>
      <c r="N913" s="109"/>
      <c r="O913" s="109"/>
      <c r="P913" s="109"/>
      <c r="Q913" s="109"/>
      <c r="R913" s="109"/>
      <c r="S913" s="109"/>
      <c r="T913" s="109"/>
      <c r="U913" s="109"/>
      <c r="V913" s="109"/>
      <c r="W913" s="109"/>
      <c r="X913" s="109"/>
      <c r="Y913" s="109"/>
      <c r="Z913" s="109"/>
    </row>
    <row r="914" spans="1:26" ht="13.5" customHeight="1">
      <c r="A914" s="109"/>
      <c r="B914" s="109"/>
      <c r="C914" s="109"/>
      <c r="D914" s="109"/>
      <c r="E914" s="109"/>
      <c r="F914" s="109"/>
      <c r="G914" s="161"/>
      <c r="H914" s="109"/>
      <c r="I914" s="109"/>
      <c r="J914" s="109"/>
      <c r="K914" s="109"/>
      <c r="L914" s="109"/>
      <c r="M914" s="109"/>
      <c r="N914" s="109"/>
      <c r="O914" s="109"/>
      <c r="P914" s="109"/>
      <c r="Q914" s="109"/>
      <c r="R914" s="109"/>
      <c r="S914" s="109"/>
      <c r="T914" s="109"/>
      <c r="U914" s="109"/>
      <c r="V914" s="109"/>
      <c r="W914" s="109"/>
      <c r="X914" s="109"/>
      <c r="Y914" s="109"/>
      <c r="Z914" s="109"/>
    </row>
    <row r="915" spans="1:26" ht="13.5" customHeight="1">
      <c r="A915" s="109"/>
      <c r="B915" s="109"/>
      <c r="C915" s="109"/>
      <c r="D915" s="109"/>
      <c r="E915" s="109"/>
      <c r="F915" s="109"/>
      <c r="G915" s="161"/>
      <c r="H915" s="109"/>
      <c r="I915" s="109"/>
      <c r="J915" s="109"/>
      <c r="K915" s="109"/>
      <c r="L915" s="109"/>
      <c r="M915" s="109"/>
      <c r="N915" s="109"/>
      <c r="O915" s="109"/>
      <c r="P915" s="109"/>
      <c r="Q915" s="109"/>
      <c r="R915" s="109"/>
      <c r="S915" s="109"/>
      <c r="T915" s="109"/>
      <c r="U915" s="109"/>
      <c r="V915" s="109"/>
      <c r="W915" s="109"/>
      <c r="X915" s="109"/>
      <c r="Y915" s="109"/>
      <c r="Z915" s="109"/>
    </row>
    <row r="916" spans="1:26" ht="13.5" customHeight="1">
      <c r="A916" s="109"/>
      <c r="B916" s="109"/>
      <c r="C916" s="109"/>
      <c r="D916" s="109"/>
      <c r="E916" s="109"/>
      <c r="F916" s="109"/>
      <c r="G916" s="161"/>
      <c r="H916" s="109"/>
      <c r="I916" s="109"/>
      <c r="J916" s="109"/>
      <c r="K916" s="109"/>
      <c r="L916" s="109"/>
      <c r="M916" s="109"/>
      <c r="N916" s="109"/>
      <c r="O916" s="109"/>
      <c r="P916" s="109"/>
      <c r="Q916" s="109"/>
      <c r="R916" s="109"/>
      <c r="S916" s="109"/>
      <c r="T916" s="109"/>
      <c r="U916" s="109"/>
      <c r="V916" s="109"/>
      <c r="W916" s="109"/>
      <c r="X916" s="109"/>
      <c r="Y916" s="109"/>
      <c r="Z916" s="109"/>
    </row>
    <row r="917" spans="1:26" ht="13.5" customHeight="1">
      <c r="A917" s="109"/>
      <c r="B917" s="109"/>
      <c r="C917" s="109"/>
      <c r="D917" s="109"/>
      <c r="E917" s="109"/>
      <c r="F917" s="109"/>
      <c r="G917" s="161"/>
      <c r="H917" s="109"/>
      <c r="I917" s="109"/>
      <c r="J917" s="109"/>
      <c r="K917" s="109"/>
      <c r="L917" s="109"/>
      <c r="M917" s="109"/>
      <c r="N917" s="109"/>
      <c r="O917" s="109"/>
      <c r="P917" s="109"/>
      <c r="Q917" s="109"/>
      <c r="R917" s="109"/>
      <c r="S917" s="109"/>
      <c r="T917" s="109"/>
      <c r="U917" s="109"/>
      <c r="V917" s="109"/>
      <c r="W917" s="109"/>
      <c r="X917" s="109"/>
      <c r="Y917" s="109"/>
      <c r="Z917" s="109"/>
    </row>
    <row r="918" spans="1:26" ht="13.5" customHeight="1">
      <c r="A918" s="109"/>
      <c r="B918" s="109"/>
      <c r="C918" s="109"/>
      <c r="D918" s="109"/>
      <c r="E918" s="109"/>
      <c r="F918" s="109"/>
      <c r="G918" s="161"/>
      <c r="H918" s="109"/>
      <c r="I918" s="109"/>
      <c r="J918" s="109"/>
      <c r="K918" s="109"/>
      <c r="L918" s="109"/>
      <c r="M918" s="109"/>
      <c r="N918" s="109"/>
      <c r="O918" s="109"/>
      <c r="P918" s="109"/>
      <c r="Q918" s="109"/>
      <c r="R918" s="109"/>
      <c r="S918" s="109"/>
      <c r="T918" s="109"/>
      <c r="U918" s="109"/>
      <c r="V918" s="109"/>
      <c r="W918" s="109"/>
      <c r="X918" s="109"/>
      <c r="Y918" s="109"/>
      <c r="Z918" s="109"/>
    </row>
    <row r="919" spans="1:26" ht="13.5" customHeight="1">
      <c r="A919" s="109"/>
      <c r="B919" s="109"/>
      <c r="C919" s="109"/>
      <c r="D919" s="109"/>
      <c r="E919" s="109"/>
      <c r="F919" s="109"/>
      <c r="G919" s="161"/>
      <c r="H919" s="109"/>
      <c r="I919" s="109"/>
      <c r="J919" s="109"/>
      <c r="K919" s="109"/>
      <c r="L919" s="109"/>
      <c r="M919" s="109"/>
      <c r="N919" s="109"/>
      <c r="O919" s="109"/>
      <c r="P919" s="109"/>
      <c r="Q919" s="109"/>
      <c r="R919" s="109"/>
      <c r="S919" s="109"/>
      <c r="T919" s="109"/>
      <c r="U919" s="109"/>
      <c r="V919" s="109"/>
      <c r="W919" s="109"/>
      <c r="X919" s="109"/>
      <c r="Y919" s="109"/>
      <c r="Z919" s="109"/>
    </row>
    <row r="920" spans="1:26" ht="13.5" customHeight="1">
      <c r="A920" s="109"/>
      <c r="B920" s="109"/>
      <c r="C920" s="109"/>
      <c r="D920" s="109"/>
      <c r="E920" s="109"/>
      <c r="F920" s="109"/>
      <c r="G920" s="161"/>
      <c r="H920" s="109"/>
      <c r="I920" s="109"/>
      <c r="J920" s="109"/>
      <c r="K920" s="109"/>
      <c r="L920" s="109"/>
      <c r="M920" s="109"/>
      <c r="N920" s="109"/>
      <c r="O920" s="109"/>
      <c r="P920" s="109"/>
      <c r="Q920" s="109"/>
      <c r="R920" s="109"/>
      <c r="S920" s="109"/>
      <c r="T920" s="109"/>
      <c r="U920" s="109"/>
      <c r="V920" s="109"/>
      <c r="W920" s="109"/>
      <c r="X920" s="109"/>
      <c r="Y920" s="109"/>
      <c r="Z920" s="109"/>
    </row>
    <row r="921" spans="1:26" ht="13.5" customHeight="1">
      <c r="A921" s="109"/>
      <c r="B921" s="109"/>
      <c r="C921" s="109"/>
      <c r="D921" s="109"/>
      <c r="E921" s="109"/>
      <c r="F921" s="109"/>
      <c r="G921" s="161"/>
      <c r="H921" s="109"/>
      <c r="I921" s="109"/>
      <c r="J921" s="109"/>
      <c r="K921" s="109"/>
      <c r="L921" s="109"/>
      <c r="M921" s="109"/>
      <c r="N921" s="109"/>
      <c r="O921" s="109"/>
      <c r="P921" s="109"/>
      <c r="Q921" s="109"/>
      <c r="R921" s="109"/>
      <c r="S921" s="109"/>
      <c r="T921" s="109"/>
      <c r="U921" s="109"/>
      <c r="V921" s="109"/>
      <c r="W921" s="109"/>
      <c r="X921" s="109"/>
      <c r="Y921" s="109"/>
      <c r="Z921" s="109"/>
    </row>
    <row r="922" spans="1:26" ht="13.5" customHeight="1">
      <c r="A922" s="109"/>
      <c r="B922" s="109"/>
      <c r="C922" s="109"/>
      <c r="D922" s="109"/>
      <c r="E922" s="109"/>
      <c r="F922" s="109"/>
      <c r="G922" s="161"/>
      <c r="H922" s="109"/>
      <c r="I922" s="109"/>
      <c r="J922" s="109"/>
      <c r="K922" s="109"/>
      <c r="L922" s="109"/>
      <c r="M922" s="109"/>
      <c r="N922" s="109"/>
      <c r="O922" s="109"/>
      <c r="P922" s="109"/>
      <c r="Q922" s="109"/>
      <c r="R922" s="109"/>
      <c r="S922" s="109"/>
      <c r="T922" s="109"/>
      <c r="U922" s="109"/>
      <c r="V922" s="109"/>
      <c r="W922" s="109"/>
      <c r="X922" s="109"/>
      <c r="Y922" s="109"/>
      <c r="Z922" s="109"/>
    </row>
    <row r="923" spans="1:26" ht="13.5" customHeight="1">
      <c r="A923" s="109"/>
      <c r="B923" s="109"/>
      <c r="C923" s="109"/>
      <c r="D923" s="109"/>
      <c r="E923" s="109"/>
      <c r="F923" s="109"/>
      <c r="G923" s="161"/>
      <c r="H923" s="109"/>
      <c r="I923" s="109"/>
      <c r="J923" s="109"/>
      <c r="K923" s="109"/>
      <c r="L923" s="109"/>
      <c r="M923" s="109"/>
      <c r="N923" s="109"/>
      <c r="O923" s="109"/>
      <c r="P923" s="109"/>
      <c r="Q923" s="109"/>
      <c r="R923" s="109"/>
      <c r="S923" s="109"/>
      <c r="T923" s="109"/>
      <c r="U923" s="109"/>
      <c r="V923" s="109"/>
      <c r="W923" s="109"/>
      <c r="X923" s="109"/>
      <c r="Y923" s="109"/>
      <c r="Z923" s="109"/>
    </row>
    <row r="924" spans="1:26" ht="13.5" customHeight="1">
      <c r="A924" s="109"/>
      <c r="B924" s="109"/>
      <c r="C924" s="109"/>
      <c r="D924" s="109"/>
      <c r="E924" s="109"/>
      <c r="F924" s="109"/>
      <c r="G924" s="161"/>
      <c r="H924" s="109"/>
      <c r="I924" s="109"/>
      <c r="J924" s="109"/>
      <c r="K924" s="109"/>
      <c r="L924" s="109"/>
      <c r="M924" s="109"/>
      <c r="N924" s="109"/>
      <c r="O924" s="109"/>
      <c r="P924" s="109"/>
      <c r="Q924" s="109"/>
      <c r="R924" s="109"/>
      <c r="S924" s="109"/>
      <c r="T924" s="109"/>
      <c r="U924" s="109"/>
      <c r="V924" s="109"/>
      <c r="W924" s="109"/>
      <c r="X924" s="109"/>
      <c r="Y924" s="109"/>
      <c r="Z924" s="109"/>
    </row>
    <row r="925" spans="1:26" ht="13.5" customHeight="1">
      <c r="A925" s="109"/>
      <c r="B925" s="109"/>
      <c r="C925" s="109"/>
      <c r="D925" s="109"/>
      <c r="E925" s="109"/>
      <c r="F925" s="109"/>
      <c r="G925" s="161"/>
      <c r="H925" s="109"/>
      <c r="I925" s="109"/>
      <c r="J925" s="109"/>
      <c r="K925" s="109"/>
      <c r="L925" s="109"/>
      <c r="M925" s="109"/>
      <c r="N925" s="109"/>
      <c r="O925" s="109"/>
      <c r="P925" s="109"/>
      <c r="Q925" s="109"/>
      <c r="R925" s="109"/>
      <c r="S925" s="109"/>
      <c r="T925" s="109"/>
      <c r="U925" s="109"/>
      <c r="V925" s="109"/>
      <c r="W925" s="109"/>
      <c r="X925" s="109"/>
      <c r="Y925" s="109"/>
      <c r="Z925" s="109"/>
    </row>
    <row r="926" spans="1:26" ht="13.5" customHeight="1">
      <c r="A926" s="109"/>
      <c r="B926" s="109"/>
      <c r="C926" s="109"/>
      <c r="D926" s="109"/>
      <c r="E926" s="109"/>
      <c r="F926" s="109"/>
      <c r="G926" s="161"/>
      <c r="H926" s="109"/>
      <c r="I926" s="109"/>
      <c r="J926" s="109"/>
      <c r="K926" s="109"/>
      <c r="L926" s="109"/>
      <c r="M926" s="109"/>
      <c r="N926" s="109"/>
      <c r="O926" s="109"/>
      <c r="P926" s="109"/>
      <c r="Q926" s="109"/>
      <c r="R926" s="109"/>
      <c r="S926" s="109"/>
      <c r="T926" s="109"/>
      <c r="U926" s="109"/>
      <c r="V926" s="109"/>
      <c r="W926" s="109"/>
      <c r="X926" s="109"/>
      <c r="Y926" s="109"/>
      <c r="Z926" s="109"/>
    </row>
    <row r="927" spans="1:26" ht="13.5" customHeight="1">
      <c r="A927" s="109"/>
      <c r="B927" s="109"/>
      <c r="C927" s="109"/>
      <c r="D927" s="109"/>
      <c r="E927" s="109"/>
      <c r="F927" s="109"/>
      <c r="G927" s="161"/>
      <c r="H927" s="109"/>
      <c r="I927" s="109"/>
      <c r="J927" s="109"/>
      <c r="K927" s="109"/>
      <c r="L927" s="109"/>
      <c r="M927" s="109"/>
      <c r="N927" s="109"/>
      <c r="O927" s="109"/>
      <c r="P927" s="109"/>
      <c r="Q927" s="109"/>
      <c r="R927" s="109"/>
      <c r="S927" s="109"/>
      <c r="T927" s="109"/>
      <c r="U927" s="109"/>
      <c r="V927" s="109"/>
      <c r="W927" s="109"/>
      <c r="X927" s="109"/>
      <c r="Y927" s="109"/>
      <c r="Z927" s="109"/>
    </row>
    <row r="928" spans="1:26" ht="13.5" customHeight="1">
      <c r="A928" s="109"/>
      <c r="B928" s="109"/>
      <c r="C928" s="109"/>
      <c r="D928" s="109"/>
      <c r="E928" s="109"/>
      <c r="F928" s="109"/>
      <c r="G928" s="161"/>
      <c r="H928" s="109"/>
      <c r="I928" s="109"/>
      <c r="J928" s="109"/>
      <c r="K928" s="109"/>
      <c r="L928" s="109"/>
      <c r="M928" s="109"/>
      <c r="N928" s="109"/>
      <c r="O928" s="109"/>
      <c r="P928" s="109"/>
      <c r="Q928" s="109"/>
      <c r="R928" s="109"/>
      <c r="S928" s="109"/>
      <c r="T928" s="109"/>
      <c r="U928" s="109"/>
      <c r="V928" s="109"/>
      <c r="W928" s="109"/>
      <c r="X928" s="109"/>
      <c r="Y928" s="109"/>
      <c r="Z928" s="109"/>
    </row>
    <row r="929" spans="1:26" ht="13.5" customHeight="1">
      <c r="A929" s="109"/>
      <c r="B929" s="109"/>
      <c r="C929" s="109"/>
      <c r="D929" s="109"/>
      <c r="E929" s="109"/>
      <c r="F929" s="109"/>
      <c r="G929" s="161"/>
      <c r="H929" s="109"/>
      <c r="I929" s="109"/>
      <c r="J929" s="109"/>
      <c r="K929" s="109"/>
      <c r="L929" s="109"/>
      <c r="M929" s="109"/>
      <c r="N929" s="109"/>
      <c r="O929" s="109"/>
      <c r="P929" s="109"/>
      <c r="Q929" s="109"/>
      <c r="R929" s="109"/>
      <c r="S929" s="109"/>
      <c r="T929" s="109"/>
      <c r="U929" s="109"/>
      <c r="V929" s="109"/>
      <c r="W929" s="109"/>
      <c r="X929" s="109"/>
      <c r="Y929" s="109"/>
      <c r="Z929" s="109"/>
    </row>
    <row r="930" spans="1:26" ht="13.5" customHeight="1">
      <c r="A930" s="109"/>
      <c r="B930" s="109"/>
      <c r="C930" s="109"/>
      <c r="D930" s="109"/>
      <c r="E930" s="109"/>
      <c r="F930" s="109"/>
      <c r="G930" s="161"/>
      <c r="H930" s="109"/>
      <c r="I930" s="109"/>
      <c r="J930" s="109"/>
      <c r="K930" s="109"/>
      <c r="L930" s="109"/>
      <c r="M930" s="109"/>
      <c r="N930" s="109"/>
      <c r="O930" s="109"/>
      <c r="P930" s="109"/>
      <c r="Q930" s="109"/>
      <c r="R930" s="109"/>
      <c r="S930" s="109"/>
      <c r="T930" s="109"/>
      <c r="U930" s="109"/>
      <c r="V930" s="109"/>
      <c r="W930" s="109"/>
      <c r="X930" s="109"/>
      <c r="Y930" s="109"/>
      <c r="Z930" s="109"/>
    </row>
    <row r="931" spans="1:26" ht="13.5" customHeight="1">
      <c r="A931" s="109"/>
      <c r="B931" s="109"/>
      <c r="C931" s="109"/>
      <c r="D931" s="109"/>
      <c r="E931" s="109"/>
      <c r="F931" s="109"/>
      <c r="G931" s="161"/>
      <c r="H931" s="109"/>
      <c r="I931" s="109"/>
      <c r="J931" s="109"/>
      <c r="K931" s="109"/>
      <c r="L931" s="109"/>
      <c r="M931" s="109"/>
      <c r="N931" s="109"/>
      <c r="O931" s="109"/>
      <c r="P931" s="109"/>
      <c r="Q931" s="109"/>
      <c r="R931" s="109"/>
      <c r="S931" s="109"/>
      <c r="T931" s="109"/>
      <c r="U931" s="109"/>
      <c r="V931" s="109"/>
      <c r="W931" s="109"/>
      <c r="X931" s="109"/>
      <c r="Y931" s="109"/>
      <c r="Z931" s="109"/>
    </row>
    <row r="932" spans="1:26" ht="13.5" customHeight="1">
      <c r="A932" s="109"/>
      <c r="B932" s="109"/>
      <c r="C932" s="109"/>
      <c r="D932" s="109"/>
      <c r="E932" s="109"/>
      <c r="F932" s="109"/>
      <c r="G932" s="161"/>
      <c r="H932" s="109"/>
      <c r="I932" s="109"/>
      <c r="J932" s="109"/>
      <c r="K932" s="109"/>
      <c r="L932" s="109"/>
      <c r="M932" s="109"/>
      <c r="N932" s="109"/>
      <c r="O932" s="109"/>
      <c r="P932" s="109"/>
      <c r="Q932" s="109"/>
      <c r="R932" s="109"/>
      <c r="S932" s="109"/>
      <c r="T932" s="109"/>
      <c r="U932" s="109"/>
      <c r="V932" s="109"/>
      <c r="W932" s="109"/>
      <c r="X932" s="109"/>
      <c r="Y932" s="109"/>
      <c r="Z932" s="109"/>
    </row>
    <row r="933" spans="1:26" ht="13.5" customHeight="1">
      <c r="A933" s="109"/>
      <c r="B933" s="109"/>
      <c r="C933" s="109"/>
      <c r="D933" s="109"/>
      <c r="E933" s="109"/>
      <c r="F933" s="109"/>
      <c r="G933" s="161"/>
      <c r="H933" s="109"/>
      <c r="I933" s="109"/>
      <c r="J933" s="109"/>
      <c r="K933" s="109"/>
      <c r="L933" s="109"/>
      <c r="M933" s="109"/>
      <c r="N933" s="109"/>
      <c r="O933" s="109"/>
      <c r="P933" s="109"/>
      <c r="Q933" s="109"/>
      <c r="R933" s="109"/>
      <c r="S933" s="109"/>
      <c r="T933" s="109"/>
      <c r="U933" s="109"/>
      <c r="V933" s="109"/>
      <c r="W933" s="109"/>
      <c r="X933" s="109"/>
      <c r="Y933" s="109"/>
      <c r="Z933" s="109"/>
    </row>
    <row r="934" spans="1:26" ht="13.5" customHeight="1">
      <c r="A934" s="109"/>
      <c r="B934" s="109"/>
      <c r="C934" s="109"/>
      <c r="D934" s="109"/>
      <c r="E934" s="109"/>
      <c r="F934" s="109"/>
      <c r="G934" s="161"/>
      <c r="H934" s="109"/>
      <c r="I934" s="109"/>
      <c r="J934" s="109"/>
      <c r="K934" s="109"/>
      <c r="L934" s="109"/>
      <c r="M934" s="109"/>
      <c r="N934" s="109"/>
      <c r="O934" s="109"/>
      <c r="P934" s="109"/>
      <c r="Q934" s="109"/>
      <c r="R934" s="109"/>
      <c r="S934" s="109"/>
      <c r="T934" s="109"/>
      <c r="U934" s="109"/>
      <c r="V934" s="109"/>
      <c r="W934" s="109"/>
      <c r="X934" s="109"/>
      <c r="Y934" s="109"/>
      <c r="Z934" s="109"/>
    </row>
    <row r="935" spans="1:26" ht="13.5" customHeight="1">
      <c r="A935" s="109"/>
      <c r="B935" s="109"/>
      <c r="C935" s="109"/>
      <c r="D935" s="109"/>
      <c r="E935" s="109"/>
      <c r="F935" s="109"/>
      <c r="G935" s="161"/>
      <c r="H935" s="109"/>
      <c r="I935" s="109"/>
      <c r="J935" s="109"/>
      <c r="K935" s="109"/>
      <c r="L935" s="109"/>
      <c r="M935" s="109"/>
      <c r="N935" s="109"/>
      <c r="O935" s="109"/>
      <c r="P935" s="109"/>
      <c r="Q935" s="109"/>
      <c r="R935" s="109"/>
      <c r="S935" s="109"/>
      <c r="T935" s="109"/>
      <c r="U935" s="109"/>
      <c r="V935" s="109"/>
      <c r="W935" s="109"/>
      <c r="X935" s="109"/>
      <c r="Y935" s="109"/>
      <c r="Z935" s="109"/>
    </row>
    <row r="936" spans="1:26" ht="13.5" customHeight="1">
      <c r="A936" s="109"/>
      <c r="B936" s="109"/>
      <c r="C936" s="109"/>
      <c r="D936" s="109"/>
      <c r="E936" s="109"/>
      <c r="F936" s="109"/>
      <c r="G936" s="161"/>
      <c r="H936" s="109"/>
      <c r="I936" s="109"/>
      <c r="J936" s="109"/>
      <c r="K936" s="109"/>
      <c r="L936" s="109"/>
      <c r="M936" s="109"/>
      <c r="N936" s="109"/>
      <c r="O936" s="109"/>
      <c r="P936" s="109"/>
      <c r="Q936" s="109"/>
      <c r="R936" s="109"/>
      <c r="S936" s="109"/>
      <c r="T936" s="109"/>
      <c r="U936" s="109"/>
      <c r="V936" s="109"/>
      <c r="W936" s="109"/>
      <c r="X936" s="109"/>
      <c r="Y936" s="109"/>
      <c r="Z936" s="109"/>
    </row>
    <row r="937" spans="1:26" ht="13.5" customHeight="1">
      <c r="A937" s="109"/>
      <c r="B937" s="109"/>
      <c r="C937" s="109"/>
      <c r="D937" s="109"/>
      <c r="E937" s="109"/>
      <c r="F937" s="109"/>
      <c r="G937" s="161"/>
      <c r="H937" s="109"/>
      <c r="I937" s="109"/>
      <c r="J937" s="109"/>
      <c r="K937" s="109"/>
      <c r="L937" s="109"/>
      <c r="M937" s="109"/>
      <c r="N937" s="109"/>
      <c r="O937" s="109"/>
      <c r="P937" s="109"/>
      <c r="Q937" s="109"/>
      <c r="R937" s="109"/>
      <c r="S937" s="109"/>
      <c r="T937" s="109"/>
      <c r="U937" s="109"/>
      <c r="V937" s="109"/>
      <c r="W937" s="109"/>
      <c r="X937" s="109"/>
      <c r="Y937" s="109"/>
      <c r="Z937" s="109"/>
    </row>
    <row r="938" spans="1:26" ht="13.5" customHeight="1">
      <c r="A938" s="109"/>
      <c r="B938" s="109"/>
      <c r="C938" s="109"/>
      <c r="D938" s="109"/>
      <c r="E938" s="109"/>
      <c r="F938" s="109"/>
      <c r="G938" s="161"/>
      <c r="H938" s="109"/>
      <c r="I938" s="109"/>
      <c r="J938" s="109"/>
      <c r="K938" s="109"/>
      <c r="L938" s="109"/>
      <c r="M938" s="109"/>
      <c r="N938" s="109"/>
      <c r="O938" s="109"/>
      <c r="P938" s="109"/>
      <c r="Q938" s="109"/>
      <c r="R938" s="109"/>
      <c r="S938" s="109"/>
      <c r="T938" s="109"/>
      <c r="U938" s="109"/>
      <c r="V938" s="109"/>
      <c r="W938" s="109"/>
      <c r="X938" s="109"/>
      <c r="Y938" s="109"/>
      <c r="Z938" s="109"/>
    </row>
    <row r="939" spans="1:26" ht="13.5" customHeight="1">
      <c r="A939" s="109"/>
      <c r="B939" s="109"/>
      <c r="C939" s="109"/>
      <c r="D939" s="109"/>
      <c r="E939" s="109"/>
      <c r="F939" s="109"/>
      <c r="G939" s="161"/>
      <c r="H939" s="109"/>
      <c r="I939" s="109"/>
      <c r="J939" s="109"/>
      <c r="K939" s="109"/>
      <c r="L939" s="109"/>
      <c r="M939" s="109"/>
      <c r="N939" s="109"/>
      <c r="O939" s="109"/>
      <c r="P939" s="109"/>
      <c r="Q939" s="109"/>
      <c r="R939" s="109"/>
      <c r="S939" s="109"/>
      <c r="T939" s="109"/>
      <c r="U939" s="109"/>
      <c r="V939" s="109"/>
      <c r="W939" s="109"/>
      <c r="X939" s="109"/>
      <c r="Y939" s="109"/>
      <c r="Z939" s="109"/>
    </row>
    <row r="940" spans="1:26" ht="13.5" customHeight="1">
      <c r="A940" s="109"/>
      <c r="B940" s="109"/>
      <c r="C940" s="109"/>
      <c r="D940" s="109"/>
      <c r="E940" s="109"/>
      <c r="F940" s="109"/>
      <c r="G940" s="161"/>
      <c r="H940" s="109"/>
      <c r="I940" s="109"/>
      <c r="J940" s="109"/>
      <c r="K940" s="109"/>
      <c r="L940" s="109"/>
      <c r="M940" s="109"/>
      <c r="N940" s="109"/>
      <c r="O940" s="109"/>
      <c r="P940" s="109"/>
      <c r="Q940" s="109"/>
      <c r="R940" s="109"/>
      <c r="S940" s="109"/>
      <c r="T940" s="109"/>
      <c r="U940" s="109"/>
      <c r="V940" s="109"/>
      <c r="W940" s="109"/>
      <c r="X940" s="109"/>
      <c r="Y940" s="109"/>
      <c r="Z940" s="109"/>
    </row>
    <row r="941" spans="1:26" ht="13.5" customHeight="1">
      <c r="A941" s="109"/>
      <c r="B941" s="109"/>
      <c r="C941" s="109"/>
      <c r="D941" s="109"/>
      <c r="E941" s="109"/>
      <c r="F941" s="109"/>
      <c r="G941" s="161"/>
      <c r="H941" s="109"/>
      <c r="I941" s="109"/>
      <c r="J941" s="109"/>
      <c r="K941" s="109"/>
      <c r="L941" s="109"/>
      <c r="M941" s="109"/>
      <c r="N941" s="109"/>
      <c r="O941" s="109"/>
      <c r="P941" s="109"/>
      <c r="Q941" s="109"/>
      <c r="R941" s="109"/>
      <c r="S941" s="109"/>
      <c r="T941" s="109"/>
      <c r="U941" s="109"/>
      <c r="V941" s="109"/>
      <c r="W941" s="109"/>
      <c r="X941" s="109"/>
      <c r="Y941" s="109"/>
      <c r="Z941" s="109"/>
    </row>
    <row r="942" spans="1:26" ht="13.5" customHeight="1">
      <c r="A942" s="109"/>
      <c r="B942" s="109"/>
      <c r="C942" s="109"/>
      <c r="D942" s="109"/>
      <c r="E942" s="109"/>
      <c r="F942" s="109"/>
      <c r="G942" s="161"/>
      <c r="H942" s="109"/>
      <c r="I942" s="109"/>
      <c r="J942" s="109"/>
      <c r="K942" s="109"/>
      <c r="L942" s="109"/>
      <c r="M942" s="109"/>
      <c r="N942" s="109"/>
      <c r="O942" s="109"/>
      <c r="P942" s="109"/>
      <c r="Q942" s="109"/>
      <c r="R942" s="109"/>
      <c r="S942" s="109"/>
      <c r="T942" s="109"/>
      <c r="U942" s="109"/>
      <c r="V942" s="109"/>
      <c r="W942" s="109"/>
      <c r="X942" s="109"/>
      <c r="Y942" s="109"/>
      <c r="Z942" s="109"/>
    </row>
    <row r="943" spans="1:26" ht="13.5" customHeight="1">
      <c r="A943" s="109"/>
      <c r="B943" s="109"/>
      <c r="C943" s="109"/>
      <c r="D943" s="109"/>
      <c r="E943" s="109"/>
      <c r="F943" s="109"/>
      <c r="G943" s="161"/>
      <c r="H943" s="109"/>
      <c r="I943" s="109"/>
      <c r="J943" s="109"/>
      <c r="K943" s="109"/>
      <c r="L943" s="109"/>
      <c r="M943" s="109"/>
      <c r="N943" s="109"/>
      <c r="O943" s="109"/>
      <c r="P943" s="109"/>
      <c r="Q943" s="109"/>
      <c r="R943" s="109"/>
      <c r="S943" s="109"/>
      <c r="T943" s="109"/>
      <c r="U943" s="109"/>
      <c r="V943" s="109"/>
      <c r="W943" s="109"/>
      <c r="X943" s="109"/>
      <c r="Y943" s="109"/>
      <c r="Z943" s="109"/>
    </row>
    <row r="944" spans="1:26" ht="13.5" customHeight="1">
      <c r="A944" s="109"/>
      <c r="B944" s="109"/>
      <c r="C944" s="109"/>
      <c r="D944" s="109"/>
      <c r="E944" s="109"/>
      <c r="F944" s="109"/>
      <c r="G944" s="161"/>
      <c r="H944" s="109"/>
      <c r="I944" s="109"/>
      <c r="J944" s="109"/>
      <c r="K944" s="109"/>
      <c r="L944" s="109"/>
      <c r="M944" s="109"/>
      <c r="N944" s="109"/>
      <c r="O944" s="109"/>
      <c r="P944" s="109"/>
      <c r="Q944" s="109"/>
      <c r="R944" s="109"/>
      <c r="S944" s="109"/>
      <c r="T944" s="109"/>
      <c r="U944" s="109"/>
      <c r="V944" s="109"/>
      <c r="W944" s="109"/>
      <c r="X944" s="109"/>
      <c r="Y944" s="109"/>
      <c r="Z944" s="109"/>
    </row>
    <row r="945" spans="1:26" ht="13.5" customHeight="1">
      <c r="A945" s="109"/>
      <c r="B945" s="109"/>
      <c r="C945" s="109"/>
      <c r="D945" s="109"/>
      <c r="E945" s="109"/>
      <c r="F945" s="109"/>
      <c r="G945" s="161"/>
      <c r="H945" s="109"/>
      <c r="I945" s="109"/>
      <c r="J945" s="109"/>
      <c r="K945" s="109"/>
      <c r="L945" s="109"/>
      <c r="M945" s="109"/>
      <c r="N945" s="109"/>
      <c r="O945" s="109"/>
      <c r="P945" s="109"/>
      <c r="Q945" s="109"/>
      <c r="R945" s="109"/>
      <c r="S945" s="109"/>
      <c r="T945" s="109"/>
      <c r="U945" s="109"/>
      <c r="V945" s="109"/>
      <c r="W945" s="109"/>
      <c r="X945" s="109"/>
      <c r="Y945" s="109"/>
      <c r="Z945" s="109"/>
    </row>
    <row r="946" spans="1:26" ht="13.5" customHeight="1">
      <c r="A946" s="109"/>
      <c r="B946" s="109"/>
      <c r="C946" s="109"/>
      <c r="D946" s="109"/>
      <c r="E946" s="109"/>
      <c r="F946" s="109"/>
      <c r="G946" s="161"/>
      <c r="H946" s="109"/>
      <c r="I946" s="109"/>
      <c r="J946" s="109"/>
      <c r="K946" s="109"/>
      <c r="L946" s="109"/>
      <c r="M946" s="109"/>
      <c r="N946" s="109"/>
      <c r="O946" s="109"/>
      <c r="P946" s="109"/>
      <c r="Q946" s="109"/>
      <c r="R946" s="109"/>
      <c r="S946" s="109"/>
      <c r="T946" s="109"/>
      <c r="U946" s="109"/>
      <c r="V946" s="109"/>
      <c r="W946" s="109"/>
      <c r="X946" s="109"/>
      <c r="Y946" s="109"/>
      <c r="Z946" s="109"/>
    </row>
    <row r="947" spans="1:26" ht="13.5" customHeight="1">
      <c r="A947" s="109"/>
      <c r="B947" s="109"/>
      <c r="C947" s="109"/>
      <c r="D947" s="109"/>
      <c r="E947" s="109"/>
      <c r="F947" s="109"/>
      <c r="G947" s="161"/>
      <c r="H947" s="109"/>
      <c r="I947" s="109"/>
      <c r="J947" s="109"/>
      <c r="K947" s="109"/>
      <c r="L947" s="109"/>
      <c r="M947" s="109"/>
      <c r="N947" s="109"/>
      <c r="O947" s="109"/>
      <c r="P947" s="109"/>
      <c r="Q947" s="109"/>
      <c r="R947" s="109"/>
      <c r="S947" s="109"/>
      <c r="T947" s="109"/>
      <c r="U947" s="109"/>
      <c r="V947" s="109"/>
      <c r="W947" s="109"/>
      <c r="X947" s="109"/>
      <c r="Y947" s="109"/>
      <c r="Z947" s="109"/>
    </row>
    <row r="948" spans="1:26" ht="13.5" customHeight="1">
      <c r="A948" s="109"/>
      <c r="B948" s="109"/>
      <c r="C948" s="109"/>
      <c r="D948" s="109"/>
      <c r="E948" s="109"/>
      <c r="F948" s="109"/>
      <c r="G948" s="161"/>
      <c r="H948" s="109"/>
      <c r="I948" s="109"/>
      <c r="J948" s="109"/>
      <c r="K948" s="109"/>
      <c r="L948" s="109"/>
      <c r="M948" s="109"/>
      <c r="N948" s="109"/>
      <c r="O948" s="109"/>
      <c r="P948" s="109"/>
      <c r="Q948" s="109"/>
      <c r="R948" s="109"/>
      <c r="S948" s="109"/>
      <c r="T948" s="109"/>
      <c r="U948" s="109"/>
      <c r="V948" s="109"/>
      <c r="W948" s="109"/>
      <c r="X948" s="109"/>
      <c r="Y948" s="109"/>
      <c r="Z948" s="109"/>
    </row>
    <row r="949" spans="1:26" ht="13.5" customHeight="1">
      <c r="A949" s="109"/>
      <c r="B949" s="109"/>
      <c r="C949" s="109"/>
      <c r="D949" s="109"/>
      <c r="E949" s="109"/>
      <c r="F949" s="109"/>
      <c r="G949" s="161"/>
      <c r="H949" s="109"/>
      <c r="I949" s="109"/>
      <c r="J949" s="109"/>
      <c r="K949" s="109"/>
      <c r="L949" s="109"/>
      <c r="M949" s="109"/>
      <c r="N949" s="109"/>
      <c r="O949" s="109"/>
      <c r="P949" s="109"/>
      <c r="Q949" s="109"/>
      <c r="R949" s="109"/>
      <c r="S949" s="109"/>
      <c r="T949" s="109"/>
      <c r="U949" s="109"/>
      <c r="V949" s="109"/>
      <c r="W949" s="109"/>
      <c r="X949" s="109"/>
      <c r="Y949" s="109"/>
      <c r="Z949" s="109"/>
    </row>
    <row r="950" spans="1:26" ht="13.5" customHeight="1">
      <c r="A950" s="109"/>
      <c r="B950" s="109"/>
      <c r="C950" s="109"/>
      <c r="D950" s="109"/>
      <c r="E950" s="109"/>
      <c r="F950" s="109"/>
      <c r="G950" s="161"/>
      <c r="H950" s="109"/>
      <c r="I950" s="109"/>
      <c r="J950" s="109"/>
      <c r="K950" s="109"/>
      <c r="L950" s="109"/>
      <c r="M950" s="109"/>
      <c r="N950" s="109"/>
      <c r="O950" s="109"/>
      <c r="P950" s="109"/>
      <c r="Q950" s="109"/>
      <c r="R950" s="109"/>
      <c r="S950" s="109"/>
      <c r="T950" s="109"/>
      <c r="U950" s="109"/>
      <c r="V950" s="109"/>
      <c r="W950" s="109"/>
      <c r="X950" s="109"/>
      <c r="Y950" s="109"/>
      <c r="Z950" s="109"/>
    </row>
    <row r="951" spans="1:26" ht="13.5" customHeight="1">
      <c r="A951" s="109"/>
      <c r="B951" s="109"/>
      <c r="C951" s="109"/>
      <c r="D951" s="109"/>
      <c r="E951" s="109"/>
      <c r="F951" s="109"/>
      <c r="G951" s="161"/>
      <c r="H951" s="109"/>
      <c r="I951" s="109"/>
      <c r="J951" s="109"/>
      <c r="K951" s="109"/>
      <c r="L951" s="109"/>
      <c r="M951" s="109"/>
      <c r="N951" s="109"/>
      <c r="O951" s="109"/>
      <c r="P951" s="109"/>
      <c r="Q951" s="109"/>
      <c r="R951" s="109"/>
      <c r="S951" s="109"/>
      <c r="T951" s="109"/>
      <c r="U951" s="109"/>
      <c r="V951" s="109"/>
      <c r="W951" s="109"/>
      <c r="X951" s="109"/>
      <c r="Y951" s="109"/>
      <c r="Z951" s="109"/>
    </row>
    <row r="952" spans="1:26" ht="13.5" customHeight="1">
      <c r="A952" s="109"/>
      <c r="B952" s="109"/>
      <c r="C952" s="109"/>
      <c r="D952" s="109"/>
      <c r="E952" s="109"/>
      <c r="F952" s="109"/>
      <c r="G952" s="161"/>
      <c r="H952" s="109"/>
      <c r="I952" s="109"/>
      <c r="J952" s="109"/>
      <c r="K952" s="109"/>
      <c r="L952" s="109"/>
      <c r="M952" s="109"/>
      <c r="N952" s="109"/>
      <c r="O952" s="109"/>
      <c r="P952" s="109"/>
      <c r="Q952" s="109"/>
      <c r="R952" s="109"/>
      <c r="S952" s="109"/>
      <c r="T952" s="109"/>
      <c r="U952" s="109"/>
      <c r="V952" s="109"/>
      <c r="W952" s="109"/>
      <c r="X952" s="109"/>
      <c r="Y952" s="109"/>
      <c r="Z952" s="109"/>
    </row>
    <row r="953" spans="1:26" ht="13.5" customHeight="1">
      <c r="A953" s="109"/>
      <c r="B953" s="109"/>
      <c r="C953" s="109"/>
      <c r="D953" s="109"/>
      <c r="E953" s="109"/>
      <c r="F953" s="109"/>
      <c r="G953" s="161"/>
      <c r="H953" s="109"/>
      <c r="I953" s="109"/>
      <c r="J953" s="109"/>
      <c r="K953" s="109"/>
      <c r="L953" s="109"/>
      <c r="M953" s="109"/>
      <c r="N953" s="109"/>
      <c r="O953" s="109"/>
      <c r="P953" s="109"/>
      <c r="Q953" s="109"/>
      <c r="R953" s="109"/>
      <c r="S953" s="109"/>
      <c r="T953" s="109"/>
      <c r="U953" s="109"/>
      <c r="V953" s="109"/>
      <c r="W953" s="109"/>
      <c r="X953" s="109"/>
      <c r="Y953" s="109"/>
      <c r="Z953" s="109"/>
    </row>
    <row r="954" spans="1:26" ht="13.5" customHeight="1">
      <c r="A954" s="109"/>
      <c r="B954" s="109"/>
      <c r="C954" s="109"/>
      <c r="D954" s="109"/>
      <c r="E954" s="109"/>
      <c r="F954" s="109"/>
      <c r="G954" s="161"/>
      <c r="H954" s="109"/>
      <c r="I954" s="109"/>
      <c r="J954" s="109"/>
      <c r="K954" s="109"/>
      <c r="L954" s="109"/>
      <c r="M954" s="109"/>
      <c r="N954" s="109"/>
      <c r="O954" s="109"/>
      <c r="P954" s="109"/>
      <c r="Q954" s="109"/>
      <c r="R954" s="109"/>
      <c r="S954" s="109"/>
      <c r="T954" s="109"/>
      <c r="U954" s="109"/>
      <c r="V954" s="109"/>
      <c r="W954" s="109"/>
      <c r="X954" s="109"/>
      <c r="Y954" s="109"/>
      <c r="Z954" s="109"/>
    </row>
    <row r="955" spans="1:26" ht="13.5" customHeight="1">
      <c r="A955" s="109"/>
      <c r="B955" s="109"/>
      <c r="C955" s="109"/>
      <c r="D955" s="109"/>
      <c r="E955" s="109"/>
      <c r="F955" s="109"/>
      <c r="G955" s="161"/>
      <c r="H955" s="109"/>
      <c r="I955" s="109"/>
      <c r="J955" s="109"/>
      <c r="K955" s="109"/>
      <c r="L955" s="109"/>
      <c r="M955" s="109"/>
      <c r="N955" s="109"/>
      <c r="O955" s="109"/>
      <c r="P955" s="109"/>
      <c r="Q955" s="109"/>
      <c r="R955" s="109"/>
      <c r="S955" s="109"/>
      <c r="T955" s="109"/>
      <c r="U955" s="109"/>
      <c r="V955" s="109"/>
      <c r="W955" s="109"/>
      <c r="X955" s="109"/>
      <c r="Y955" s="109"/>
      <c r="Z955" s="109"/>
    </row>
    <row r="956" spans="1:26" ht="13.5" customHeight="1">
      <c r="A956" s="109"/>
      <c r="B956" s="109"/>
      <c r="C956" s="109"/>
      <c r="D956" s="109"/>
      <c r="E956" s="109"/>
      <c r="F956" s="109"/>
      <c r="G956" s="161"/>
      <c r="H956" s="109"/>
      <c r="I956" s="109"/>
      <c r="J956" s="109"/>
      <c r="K956" s="109"/>
      <c r="L956" s="109"/>
      <c r="M956" s="109"/>
      <c r="N956" s="109"/>
      <c r="O956" s="109"/>
      <c r="P956" s="109"/>
      <c r="Q956" s="109"/>
      <c r="R956" s="109"/>
      <c r="S956" s="109"/>
      <c r="T956" s="109"/>
      <c r="U956" s="109"/>
      <c r="V956" s="109"/>
      <c r="W956" s="109"/>
      <c r="X956" s="109"/>
      <c r="Y956" s="109"/>
      <c r="Z956" s="109"/>
    </row>
    <row r="957" spans="1:26" ht="13.5" customHeight="1">
      <c r="A957" s="109"/>
      <c r="B957" s="109"/>
      <c r="C957" s="109"/>
      <c r="D957" s="109"/>
      <c r="E957" s="109"/>
      <c r="F957" s="109"/>
      <c r="G957" s="161"/>
      <c r="H957" s="109"/>
      <c r="I957" s="109"/>
      <c r="J957" s="109"/>
      <c r="K957" s="109"/>
      <c r="L957" s="109"/>
      <c r="M957" s="109"/>
      <c r="N957" s="109"/>
      <c r="O957" s="109"/>
      <c r="P957" s="109"/>
      <c r="Q957" s="109"/>
      <c r="R957" s="109"/>
      <c r="S957" s="109"/>
      <c r="T957" s="109"/>
      <c r="U957" s="109"/>
      <c r="V957" s="109"/>
      <c r="W957" s="109"/>
      <c r="X957" s="109"/>
      <c r="Y957" s="109"/>
      <c r="Z957" s="109"/>
    </row>
    <row r="958" spans="1:26" ht="13.5" customHeight="1">
      <c r="A958" s="109"/>
      <c r="B958" s="109"/>
      <c r="C958" s="109"/>
      <c r="D958" s="109"/>
      <c r="E958" s="109"/>
      <c r="F958" s="109"/>
      <c r="G958" s="161"/>
      <c r="H958" s="109"/>
      <c r="I958" s="109"/>
      <c r="J958" s="109"/>
      <c r="K958" s="109"/>
      <c r="L958" s="109"/>
      <c r="M958" s="109"/>
      <c r="N958" s="109"/>
      <c r="O958" s="109"/>
      <c r="P958" s="109"/>
      <c r="Q958" s="109"/>
      <c r="R958" s="109"/>
      <c r="S958" s="109"/>
      <c r="T958" s="109"/>
      <c r="U958" s="109"/>
      <c r="V958" s="109"/>
      <c r="W958" s="109"/>
      <c r="X958" s="109"/>
      <c r="Y958" s="109"/>
      <c r="Z958" s="109"/>
    </row>
    <row r="959" spans="1:26" ht="13.5" customHeight="1">
      <c r="A959" s="109"/>
      <c r="B959" s="109"/>
      <c r="C959" s="109"/>
      <c r="D959" s="109"/>
      <c r="E959" s="109"/>
      <c r="F959" s="109"/>
      <c r="G959" s="161"/>
      <c r="H959" s="109"/>
      <c r="I959" s="109"/>
      <c r="J959" s="109"/>
      <c r="K959" s="109"/>
      <c r="L959" s="109"/>
      <c r="M959" s="109"/>
      <c r="N959" s="109"/>
      <c r="O959" s="109"/>
      <c r="P959" s="109"/>
      <c r="Q959" s="109"/>
      <c r="R959" s="109"/>
      <c r="S959" s="109"/>
      <c r="T959" s="109"/>
      <c r="U959" s="109"/>
      <c r="V959" s="109"/>
      <c r="W959" s="109"/>
      <c r="X959" s="109"/>
      <c r="Y959" s="109"/>
      <c r="Z959" s="109"/>
    </row>
    <row r="960" spans="1:26" ht="13.5" customHeight="1">
      <c r="A960" s="109"/>
      <c r="B960" s="109"/>
      <c r="C960" s="109"/>
      <c r="D960" s="109"/>
      <c r="E960" s="109"/>
      <c r="F960" s="109"/>
      <c r="G960" s="161"/>
      <c r="H960" s="109"/>
      <c r="I960" s="109"/>
      <c r="J960" s="109"/>
      <c r="K960" s="109"/>
      <c r="L960" s="109"/>
      <c r="M960" s="109"/>
      <c r="N960" s="109"/>
      <c r="O960" s="109"/>
      <c r="P960" s="109"/>
      <c r="Q960" s="109"/>
      <c r="R960" s="109"/>
      <c r="S960" s="109"/>
      <c r="T960" s="109"/>
      <c r="U960" s="109"/>
      <c r="V960" s="109"/>
      <c r="W960" s="109"/>
      <c r="X960" s="109"/>
      <c r="Y960" s="109"/>
      <c r="Z960" s="109"/>
    </row>
    <row r="961" spans="1:26" ht="13.5" customHeight="1">
      <c r="A961" s="109"/>
      <c r="B961" s="109"/>
      <c r="C961" s="109"/>
      <c r="D961" s="109"/>
      <c r="E961" s="109"/>
      <c r="F961" s="109"/>
      <c r="G961" s="161"/>
      <c r="H961" s="109"/>
      <c r="I961" s="109"/>
      <c r="J961" s="109"/>
      <c r="K961" s="109"/>
      <c r="L961" s="109"/>
      <c r="M961" s="109"/>
      <c r="N961" s="109"/>
      <c r="O961" s="109"/>
      <c r="P961" s="109"/>
      <c r="Q961" s="109"/>
      <c r="R961" s="109"/>
      <c r="S961" s="109"/>
      <c r="T961" s="109"/>
      <c r="U961" s="109"/>
      <c r="V961" s="109"/>
      <c r="W961" s="109"/>
      <c r="X961" s="109"/>
      <c r="Y961" s="109"/>
      <c r="Z961" s="109"/>
    </row>
    <row r="962" spans="1:26" ht="13.5" customHeight="1">
      <c r="A962" s="109"/>
      <c r="B962" s="109"/>
      <c r="C962" s="109"/>
      <c r="D962" s="109"/>
      <c r="E962" s="109"/>
      <c r="F962" s="109"/>
      <c r="G962" s="161"/>
      <c r="H962" s="109"/>
      <c r="I962" s="109"/>
      <c r="J962" s="109"/>
      <c r="K962" s="109"/>
      <c r="L962" s="109"/>
      <c r="M962" s="109"/>
      <c r="N962" s="109"/>
      <c r="O962" s="109"/>
      <c r="P962" s="109"/>
      <c r="Q962" s="109"/>
      <c r="R962" s="109"/>
      <c r="S962" s="109"/>
      <c r="T962" s="109"/>
      <c r="U962" s="109"/>
      <c r="V962" s="109"/>
      <c r="W962" s="109"/>
      <c r="X962" s="109"/>
      <c r="Y962" s="109"/>
      <c r="Z962" s="109"/>
    </row>
    <row r="963" spans="1:26" ht="13.5" customHeight="1">
      <c r="A963" s="109"/>
      <c r="B963" s="109"/>
      <c r="C963" s="109"/>
      <c r="D963" s="109"/>
      <c r="E963" s="109"/>
      <c r="F963" s="109"/>
      <c r="G963" s="161"/>
      <c r="H963" s="109"/>
      <c r="I963" s="109"/>
      <c r="J963" s="109"/>
      <c r="K963" s="109"/>
      <c r="L963" s="109"/>
      <c r="M963" s="109"/>
      <c r="N963" s="109"/>
      <c r="O963" s="109"/>
      <c r="P963" s="109"/>
      <c r="Q963" s="109"/>
      <c r="R963" s="109"/>
      <c r="S963" s="109"/>
      <c r="T963" s="109"/>
      <c r="U963" s="109"/>
      <c r="V963" s="109"/>
      <c r="W963" s="109"/>
      <c r="X963" s="109"/>
      <c r="Y963" s="109"/>
      <c r="Z963" s="109"/>
    </row>
    <row r="964" spans="1:26" ht="13.5" customHeight="1">
      <c r="A964" s="109"/>
      <c r="B964" s="109"/>
      <c r="C964" s="109"/>
      <c r="D964" s="109"/>
      <c r="E964" s="109"/>
      <c r="F964" s="109"/>
      <c r="G964" s="161"/>
      <c r="H964" s="109"/>
      <c r="I964" s="109"/>
      <c r="J964" s="109"/>
      <c r="K964" s="109"/>
      <c r="L964" s="109"/>
      <c r="M964" s="109"/>
      <c r="N964" s="109"/>
      <c r="O964" s="109"/>
      <c r="P964" s="109"/>
      <c r="Q964" s="109"/>
      <c r="R964" s="109"/>
      <c r="S964" s="109"/>
      <c r="T964" s="109"/>
      <c r="U964" s="109"/>
      <c r="V964" s="109"/>
      <c r="W964" s="109"/>
      <c r="X964" s="109"/>
      <c r="Y964" s="109"/>
      <c r="Z964" s="109"/>
    </row>
    <row r="965" spans="1:26" ht="13.5" customHeight="1">
      <c r="A965" s="109"/>
      <c r="B965" s="109"/>
      <c r="C965" s="109"/>
      <c r="D965" s="109"/>
      <c r="E965" s="109"/>
      <c r="F965" s="109"/>
      <c r="G965" s="161"/>
      <c r="H965" s="109"/>
      <c r="I965" s="109"/>
      <c r="J965" s="109"/>
      <c r="K965" s="109"/>
      <c r="L965" s="109"/>
      <c r="M965" s="109"/>
      <c r="N965" s="109"/>
      <c r="O965" s="109"/>
      <c r="P965" s="109"/>
      <c r="Q965" s="109"/>
      <c r="R965" s="109"/>
      <c r="S965" s="109"/>
      <c r="T965" s="109"/>
      <c r="U965" s="109"/>
      <c r="V965" s="109"/>
      <c r="W965" s="109"/>
      <c r="X965" s="109"/>
      <c r="Y965" s="109"/>
      <c r="Z965" s="109"/>
    </row>
    <row r="966" spans="1:26" ht="13.5" customHeight="1">
      <c r="A966" s="109"/>
      <c r="B966" s="109"/>
      <c r="C966" s="109"/>
      <c r="D966" s="109"/>
      <c r="E966" s="109"/>
      <c r="F966" s="109"/>
      <c r="G966" s="161"/>
      <c r="H966" s="109"/>
      <c r="I966" s="109"/>
      <c r="J966" s="109"/>
      <c r="K966" s="109"/>
      <c r="L966" s="109"/>
      <c r="M966" s="109"/>
      <c r="N966" s="109"/>
      <c r="O966" s="109"/>
      <c r="P966" s="109"/>
      <c r="Q966" s="109"/>
      <c r="R966" s="109"/>
      <c r="S966" s="109"/>
      <c r="T966" s="109"/>
      <c r="U966" s="109"/>
      <c r="V966" s="109"/>
      <c r="W966" s="109"/>
      <c r="X966" s="109"/>
      <c r="Y966" s="109"/>
      <c r="Z966" s="109"/>
    </row>
    <row r="967" spans="1:26" ht="13.5" customHeight="1">
      <c r="A967" s="109"/>
      <c r="B967" s="109"/>
      <c r="C967" s="109"/>
      <c r="D967" s="109"/>
      <c r="E967" s="109"/>
      <c r="F967" s="109"/>
      <c r="G967" s="161"/>
      <c r="H967" s="109"/>
      <c r="I967" s="109"/>
      <c r="J967" s="109"/>
      <c r="K967" s="109"/>
      <c r="L967" s="109"/>
      <c r="M967" s="109"/>
      <c r="N967" s="109"/>
      <c r="O967" s="109"/>
      <c r="P967" s="109"/>
      <c r="Q967" s="109"/>
      <c r="R967" s="109"/>
      <c r="S967" s="109"/>
      <c r="T967" s="109"/>
      <c r="U967" s="109"/>
      <c r="V967" s="109"/>
      <c r="W967" s="109"/>
      <c r="X967" s="109"/>
      <c r="Y967" s="109"/>
      <c r="Z967" s="109"/>
    </row>
    <row r="968" spans="1:26" ht="13.5" customHeight="1">
      <c r="A968" s="109"/>
      <c r="B968" s="109"/>
      <c r="C968" s="109"/>
      <c r="D968" s="109"/>
      <c r="E968" s="109"/>
      <c r="F968" s="109"/>
      <c r="G968" s="161"/>
      <c r="H968" s="109"/>
      <c r="I968" s="109"/>
      <c r="J968" s="109"/>
      <c r="K968" s="109"/>
      <c r="L968" s="109"/>
      <c r="M968" s="109"/>
      <c r="N968" s="109"/>
      <c r="O968" s="109"/>
      <c r="P968" s="109"/>
      <c r="Q968" s="109"/>
      <c r="R968" s="109"/>
      <c r="S968" s="109"/>
      <c r="T968" s="109"/>
      <c r="U968" s="109"/>
      <c r="V968" s="109"/>
      <c r="W968" s="109"/>
      <c r="X968" s="109"/>
      <c r="Y968" s="109"/>
      <c r="Z968" s="109"/>
    </row>
    <row r="969" spans="1:26" ht="13.5" customHeight="1">
      <c r="A969" s="109"/>
      <c r="B969" s="109"/>
      <c r="C969" s="109"/>
      <c r="D969" s="109"/>
      <c r="E969" s="109"/>
      <c r="F969" s="109"/>
      <c r="G969" s="161"/>
      <c r="H969" s="109"/>
      <c r="I969" s="109"/>
      <c r="J969" s="109"/>
      <c r="K969" s="109"/>
      <c r="L969" s="109"/>
      <c r="M969" s="109"/>
      <c r="N969" s="109"/>
      <c r="O969" s="109"/>
      <c r="P969" s="109"/>
      <c r="Q969" s="109"/>
      <c r="R969" s="109"/>
      <c r="S969" s="109"/>
      <c r="T969" s="109"/>
      <c r="U969" s="109"/>
      <c r="V969" s="109"/>
      <c r="W969" s="109"/>
      <c r="X969" s="109"/>
      <c r="Y969" s="109"/>
      <c r="Z969" s="109"/>
    </row>
    <row r="970" spans="1:26" ht="13.5" customHeight="1">
      <c r="A970" s="109"/>
      <c r="B970" s="109"/>
      <c r="C970" s="109"/>
      <c r="D970" s="109"/>
      <c r="E970" s="109"/>
      <c r="F970" s="109"/>
      <c r="G970" s="161"/>
      <c r="H970" s="109"/>
      <c r="I970" s="109"/>
      <c r="J970" s="109"/>
      <c r="K970" s="109"/>
      <c r="L970" s="109"/>
      <c r="M970" s="109"/>
      <c r="N970" s="109"/>
      <c r="O970" s="109"/>
      <c r="P970" s="109"/>
      <c r="Q970" s="109"/>
      <c r="R970" s="109"/>
      <c r="S970" s="109"/>
      <c r="T970" s="109"/>
      <c r="U970" s="109"/>
      <c r="V970" s="109"/>
      <c r="W970" s="109"/>
      <c r="X970" s="109"/>
      <c r="Y970" s="109"/>
      <c r="Z970" s="109"/>
    </row>
    <row r="971" spans="1:26" ht="13.5" customHeight="1">
      <c r="A971" s="109"/>
      <c r="B971" s="109"/>
      <c r="C971" s="109"/>
      <c r="D971" s="109"/>
      <c r="E971" s="109"/>
      <c r="F971" s="109"/>
      <c r="G971" s="161"/>
      <c r="H971" s="109"/>
      <c r="I971" s="109"/>
      <c r="J971" s="109"/>
      <c r="K971" s="109"/>
      <c r="L971" s="109"/>
      <c r="M971" s="109"/>
      <c r="N971" s="109"/>
      <c r="O971" s="109"/>
      <c r="P971" s="109"/>
      <c r="Q971" s="109"/>
      <c r="R971" s="109"/>
      <c r="S971" s="109"/>
      <c r="T971" s="109"/>
      <c r="U971" s="109"/>
      <c r="V971" s="109"/>
      <c r="W971" s="109"/>
      <c r="X971" s="109"/>
      <c r="Y971" s="109"/>
      <c r="Z971" s="109"/>
    </row>
    <row r="972" spans="1:26" ht="13.5" customHeight="1">
      <c r="A972" s="109"/>
      <c r="B972" s="109"/>
      <c r="C972" s="109"/>
      <c r="D972" s="109"/>
      <c r="E972" s="109"/>
      <c r="F972" s="109"/>
      <c r="G972" s="161"/>
      <c r="H972" s="109"/>
      <c r="I972" s="109"/>
      <c r="J972" s="109"/>
      <c r="K972" s="109"/>
      <c r="L972" s="109"/>
      <c r="M972" s="109"/>
      <c r="N972" s="109"/>
      <c r="O972" s="109"/>
      <c r="P972" s="109"/>
      <c r="Q972" s="109"/>
      <c r="R972" s="109"/>
      <c r="S972" s="109"/>
      <c r="T972" s="109"/>
      <c r="U972" s="109"/>
      <c r="V972" s="109"/>
      <c r="W972" s="109"/>
      <c r="X972" s="109"/>
      <c r="Y972" s="109"/>
      <c r="Z972" s="109"/>
    </row>
    <row r="973" spans="1:26" ht="13.5" customHeight="1">
      <c r="A973" s="109"/>
      <c r="B973" s="109"/>
      <c r="C973" s="109"/>
      <c r="D973" s="109"/>
      <c r="E973" s="109"/>
      <c r="F973" s="109"/>
      <c r="G973" s="161"/>
      <c r="H973" s="109"/>
      <c r="I973" s="109"/>
      <c r="J973" s="109"/>
      <c r="K973" s="109"/>
      <c r="L973" s="109"/>
      <c r="M973" s="109"/>
      <c r="N973" s="109"/>
      <c r="O973" s="109"/>
      <c r="P973" s="109"/>
      <c r="Q973" s="109"/>
      <c r="R973" s="109"/>
      <c r="S973" s="109"/>
      <c r="T973" s="109"/>
      <c r="U973" s="109"/>
      <c r="V973" s="109"/>
      <c r="W973" s="109"/>
      <c r="X973" s="109"/>
      <c r="Y973" s="109"/>
      <c r="Z973" s="109"/>
    </row>
    <row r="974" spans="1:26" ht="13.5" customHeight="1">
      <c r="A974" s="109"/>
      <c r="B974" s="109"/>
      <c r="C974" s="109"/>
      <c r="D974" s="109"/>
      <c r="E974" s="109"/>
      <c r="F974" s="109"/>
      <c r="G974" s="161"/>
      <c r="H974" s="109"/>
      <c r="I974" s="109"/>
      <c r="J974" s="109"/>
      <c r="K974" s="109"/>
      <c r="L974" s="109"/>
      <c r="M974" s="109"/>
      <c r="N974" s="109"/>
      <c r="O974" s="109"/>
      <c r="P974" s="109"/>
      <c r="Q974" s="109"/>
      <c r="R974" s="109"/>
      <c r="S974" s="109"/>
      <c r="T974" s="109"/>
      <c r="U974" s="109"/>
      <c r="V974" s="109"/>
      <c r="W974" s="109"/>
      <c r="X974" s="109"/>
      <c r="Y974" s="109"/>
      <c r="Z974" s="109"/>
    </row>
    <row r="975" spans="1:26" ht="13.5" customHeight="1">
      <c r="A975" s="109"/>
      <c r="B975" s="109"/>
      <c r="C975" s="109"/>
      <c r="D975" s="109"/>
      <c r="E975" s="109"/>
      <c r="F975" s="109"/>
      <c r="G975" s="161"/>
      <c r="H975" s="109"/>
      <c r="I975" s="109"/>
      <c r="J975" s="109"/>
      <c r="K975" s="109"/>
      <c r="L975" s="109"/>
      <c r="M975" s="109"/>
      <c r="N975" s="109"/>
      <c r="O975" s="109"/>
      <c r="P975" s="109"/>
      <c r="Q975" s="109"/>
      <c r="R975" s="109"/>
      <c r="S975" s="109"/>
      <c r="T975" s="109"/>
      <c r="U975" s="109"/>
      <c r="V975" s="109"/>
      <c r="W975" s="109"/>
      <c r="X975" s="109"/>
      <c r="Y975" s="109"/>
      <c r="Z975" s="109"/>
    </row>
    <row r="976" spans="1:26" ht="13.5" customHeight="1">
      <c r="A976" s="109"/>
      <c r="B976" s="109"/>
      <c r="C976" s="109"/>
      <c r="D976" s="109"/>
      <c r="E976" s="109"/>
      <c r="F976" s="109"/>
      <c r="G976" s="161"/>
      <c r="H976" s="109"/>
      <c r="I976" s="109"/>
      <c r="J976" s="109"/>
      <c r="K976" s="109"/>
      <c r="L976" s="109"/>
      <c r="M976" s="109"/>
      <c r="N976" s="109"/>
      <c r="O976" s="109"/>
      <c r="P976" s="109"/>
      <c r="Q976" s="109"/>
      <c r="R976" s="109"/>
      <c r="S976" s="109"/>
      <c r="T976" s="109"/>
      <c r="U976" s="109"/>
      <c r="V976" s="109"/>
      <c r="W976" s="109"/>
      <c r="X976" s="109"/>
      <c r="Y976" s="109"/>
      <c r="Z976" s="109"/>
    </row>
    <row r="977" spans="1:26" ht="13.5" customHeight="1">
      <c r="A977" s="109"/>
      <c r="B977" s="109"/>
      <c r="C977" s="109"/>
      <c r="D977" s="109"/>
      <c r="E977" s="109"/>
      <c r="F977" s="109"/>
      <c r="G977" s="161"/>
      <c r="H977" s="109"/>
      <c r="I977" s="109"/>
      <c r="J977" s="109"/>
      <c r="K977" s="109"/>
      <c r="L977" s="109"/>
      <c r="M977" s="109"/>
      <c r="N977" s="109"/>
      <c r="O977" s="109"/>
      <c r="P977" s="109"/>
      <c r="Q977" s="109"/>
      <c r="R977" s="109"/>
      <c r="S977" s="109"/>
      <c r="T977" s="109"/>
      <c r="U977" s="109"/>
      <c r="V977" s="109"/>
      <c r="W977" s="109"/>
      <c r="X977" s="109"/>
      <c r="Y977" s="109"/>
      <c r="Z977" s="109"/>
    </row>
    <row r="978" spans="1:26" ht="13.5" customHeight="1">
      <c r="A978" s="109"/>
      <c r="B978" s="109"/>
      <c r="C978" s="109"/>
      <c r="D978" s="109"/>
      <c r="E978" s="109"/>
      <c r="F978" s="109"/>
      <c r="G978" s="161"/>
      <c r="H978" s="109"/>
      <c r="I978" s="109"/>
      <c r="J978" s="109"/>
      <c r="K978" s="109"/>
      <c r="L978" s="109"/>
      <c r="M978" s="109"/>
      <c r="N978" s="109"/>
      <c r="O978" s="109"/>
      <c r="P978" s="109"/>
      <c r="Q978" s="109"/>
      <c r="R978" s="109"/>
      <c r="S978" s="109"/>
      <c r="T978" s="109"/>
      <c r="U978" s="109"/>
      <c r="V978" s="109"/>
      <c r="W978" s="109"/>
      <c r="X978" s="109"/>
      <c r="Y978" s="109"/>
      <c r="Z978" s="109"/>
    </row>
    <row r="979" spans="1:26" ht="13.5" customHeight="1">
      <c r="A979" s="109"/>
      <c r="B979" s="109"/>
      <c r="C979" s="109"/>
      <c r="D979" s="109"/>
      <c r="E979" s="109"/>
      <c r="F979" s="109"/>
      <c r="G979" s="161"/>
      <c r="H979" s="109"/>
      <c r="I979" s="109"/>
      <c r="J979" s="109"/>
      <c r="K979" s="109"/>
      <c r="L979" s="109"/>
      <c r="M979" s="109"/>
      <c r="N979" s="109"/>
      <c r="O979" s="109"/>
      <c r="P979" s="109"/>
      <c r="Q979" s="109"/>
      <c r="R979" s="109"/>
      <c r="S979" s="109"/>
      <c r="T979" s="109"/>
      <c r="U979" s="109"/>
      <c r="V979" s="109"/>
      <c r="W979" s="109"/>
      <c r="X979" s="109"/>
      <c r="Y979" s="109"/>
      <c r="Z979" s="109"/>
    </row>
    <row r="980" spans="1:26" ht="13.5" customHeight="1">
      <c r="A980" s="109"/>
      <c r="B980" s="109"/>
      <c r="C980" s="109"/>
      <c r="D980" s="109"/>
      <c r="E980" s="109"/>
      <c r="F980" s="109"/>
      <c r="G980" s="161"/>
      <c r="H980" s="109"/>
      <c r="I980" s="109"/>
      <c r="J980" s="109"/>
      <c r="K980" s="109"/>
      <c r="L980" s="109"/>
      <c r="M980" s="109"/>
      <c r="N980" s="109"/>
      <c r="O980" s="109"/>
      <c r="P980" s="109"/>
      <c r="Q980" s="109"/>
      <c r="R980" s="109"/>
      <c r="S980" s="109"/>
      <c r="T980" s="109"/>
      <c r="U980" s="109"/>
      <c r="V980" s="109"/>
      <c r="W980" s="109"/>
      <c r="X980" s="109"/>
      <c r="Y980" s="109"/>
      <c r="Z980" s="109"/>
    </row>
    <row r="981" spans="1:26" ht="13.5" customHeight="1">
      <c r="A981" s="109"/>
      <c r="B981" s="109"/>
      <c r="C981" s="109"/>
      <c r="D981" s="109"/>
      <c r="E981" s="109"/>
      <c r="F981" s="109"/>
      <c r="G981" s="161"/>
      <c r="H981" s="109"/>
      <c r="I981" s="109"/>
      <c r="J981" s="109"/>
      <c r="K981" s="109"/>
      <c r="L981" s="109"/>
      <c r="M981" s="109"/>
      <c r="N981" s="109"/>
      <c r="O981" s="109"/>
      <c r="P981" s="109"/>
      <c r="Q981" s="109"/>
      <c r="R981" s="109"/>
      <c r="S981" s="109"/>
      <c r="T981" s="109"/>
      <c r="U981" s="109"/>
      <c r="V981" s="109"/>
      <c r="W981" s="109"/>
      <c r="X981" s="109"/>
      <c r="Y981" s="109"/>
      <c r="Z981" s="109"/>
    </row>
    <row r="982" spans="1:26" ht="13.5" customHeight="1">
      <c r="A982" s="109"/>
      <c r="B982" s="109"/>
      <c r="C982" s="109"/>
      <c r="D982" s="109"/>
      <c r="E982" s="109"/>
      <c r="F982" s="109"/>
      <c r="G982" s="161"/>
      <c r="H982" s="109"/>
      <c r="I982" s="109"/>
      <c r="J982" s="109"/>
      <c r="K982" s="109"/>
      <c r="L982" s="109"/>
      <c r="M982" s="109"/>
      <c r="N982" s="109"/>
      <c r="O982" s="109"/>
      <c r="P982" s="109"/>
      <c r="Q982" s="109"/>
      <c r="R982" s="109"/>
      <c r="S982" s="109"/>
      <c r="T982" s="109"/>
      <c r="U982" s="109"/>
      <c r="V982" s="109"/>
      <c r="W982" s="109"/>
      <c r="X982" s="109"/>
      <c r="Y982" s="109"/>
      <c r="Z982" s="109"/>
    </row>
    <row r="983" spans="1:26" ht="13.5" customHeight="1">
      <c r="A983" s="109"/>
      <c r="B983" s="109"/>
      <c r="C983" s="109"/>
      <c r="D983" s="109"/>
      <c r="E983" s="109"/>
      <c r="F983" s="109"/>
      <c r="G983" s="161"/>
      <c r="H983" s="109"/>
      <c r="I983" s="109"/>
      <c r="J983" s="109"/>
      <c r="K983" s="109"/>
      <c r="L983" s="109"/>
      <c r="M983" s="109"/>
      <c r="N983" s="109"/>
      <c r="O983" s="109"/>
      <c r="P983" s="109"/>
      <c r="Q983" s="109"/>
      <c r="R983" s="109"/>
      <c r="S983" s="109"/>
      <c r="T983" s="109"/>
      <c r="U983" s="109"/>
      <c r="V983" s="109"/>
      <c r="W983" s="109"/>
      <c r="X983" s="109"/>
      <c r="Y983" s="109"/>
      <c r="Z983" s="109"/>
    </row>
    <row r="984" spans="1:26" ht="13.5" customHeight="1">
      <c r="A984" s="109"/>
      <c r="B984" s="109"/>
      <c r="C984" s="109"/>
      <c r="D984" s="109"/>
      <c r="E984" s="109"/>
      <c r="F984" s="109"/>
      <c r="G984" s="161"/>
      <c r="H984" s="109"/>
      <c r="I984" s="109"/>
      <c r="J984" s="109"/>
      <c r="K984" s="109"/>
      <c r="L984" s="109"/>
      <c r="M984" s="109"/>
      <c r="N984" s="109"/>
      <c r="O984" s="109"/>
      <c r="P984" s="109"/>
      <c r="Q984" s="109"/>
      <c r="R984" s="109"/>
      <c r="S984" s="109"/>
      <c r="T984" s="109"/>
      <c r="U984" s="109"/>
      <c r="V984" s="109"/>
      <c r="W984" s="109"/>
      <c r="X984" s="109"/>
      <c r="Y984" s="109"/>
      <c r="Z984" s="109"/>
    </row>
    <row r="985" spans="1:26" ht="13.5" customHeight="1">
      <c r="A985" s="109"/>
      <c r="B985" s="109"/>
      <c r="C985" s="109"/>
      <c r="D985" s="109"/>
      <c r="E985" s="109"/>
      <c r="F985" s="109"/>
      <c r="G985" s="161"/>
      <c r="H985" s="109"/>
      <c r="I985" s="109"/>
      <c r="J985" s="109"/>
      <c r="K985" s="109"/>
      <c r="L985" s="109"/>
      <c r="M985" s="109"/>
      <c r="N985" s="109"/>
      <c r="O985" s="109"/>
      <c r="P985" s="109"/>
      <c r="Q985" s="109"/>
      <c r="R985" s="109"/>
      <c r="S985" s="109"/>
      <c r="T985" s="109"/>
      <c r="U985" s="109"/>
      <c r="V985" s="109"/>
      <c r="W985" s="109"/>
      <c r="X985" s="109"/>
      <c r="Y985" s="109"/>
      <c r="Z985" s="109"/>
    </row>
    <row r="986" spans="1:26" ht="13.5" customHeight="1">
      <c r="A986" s="109"/>
      <c r="B986" s="109"/>
      <c r="C986" s="109"/>
      <c r="D986" s="109"/>
      <c r="E986" s="109"/>
      <c r="F986" s="109"/>
      <c r="G986" s="161"/>
      <c r="H986" s="109"/>
      <c r="I986" s="109"/>
      <c r="J986" s="109"/>
      <c r="K986" s="109"/>
      <c r="L986" s="109"/>
      <c r="M986" s="109"/>
      <c r="N986" s="109"/>
      <c r="O986" s="109"/>
      <c r="P986" s="109"/>
      <c r="Q986" s="109"/>
      <c r="R986" s="109"/>
      <c r="S986" s="109"/>
      <c r="T986" s="109"/>
      <c r="U986" s="109"/>
      <c r="V986" s="109"/>
      <c r="W986" s="109"/>
      <c r="X986" s="109"/>
      <c r="Y986" s="109"/>
      <c r="Z986" s="109"/>
    </row>
    <row r="987" spans="1:26" ht="13.5" customHeight="1">
      <c r="A987" s="109"/>
      <c r="B987" s="109"/>
      <c r="C987" s="109"/>
      <c r="D987" s="109"/>
      <c r="E987" s="109"/>
      <c r="F987" s="109"/>
      <c r="G987" s="161"/>
      <c r="H987" s="109"/>
      <c r="I987" s="109"/>
      <c r="J987" s="109"/>
      <c r="K987" s="109"/>
      <c r="L987" s="109"/>
      <c r="M987" s="109"/>
      <c r="N987" s="109"/>
      <c r="O987" s="109"/>
      <c r="P987" s="109"/>
      <c r="Q987" s="109"/>
      <c r="R987" s="109"/>
      <c r="S987" s="109"/>
      <c r="T987" s="109"/>
      <c r="U987" s="109"/>
      <c r="V987" s="109"/>
      <c r="W987" s="109"/>
      <c r="X987" s="109"/>
      <c r="Y987" s="109"/>
      <c r="Z987" s="109"/>
    </row>
    <row r="988" spans="1:26" ht="13.5" customHeight="1">
      <c r="A988" s="109"/>
      <c r="B988" s="109"/>
      <c r="C988" s="109"/>
      <c r="D988" s="109"/>
      <c r="E988" s="109"/>
      <c r="F988" s="109"/>
      <c r="G988" s="161"/>
      <c r="H988" s="109"/>
      <c r="I988" s="109"/>
      <c r="J988" s="109"/>
      <c r="K988" s="109"/>
      <c r="L988" s="109"/>
      <c r="M988" s="109"/>
      <c r="N988" s="109"/>
      <c r="O988" s="109"/>
      <c r="P988" s="109"/>
      <c r="Q988" s="109"/>
      <c r="R988" s="109"/>
      <c r="S988" s="109"/>
      <c r="T988" s="109"/>
      <c r="U988" s="109"/>
      <c r="V988" s="109"/>
      <c r="W988" s="109"/>
      <c r="X988" s="109"/>
      <c r="Y988" s="109"/>
      <c r="Z988" s="109"/>
    </row>
    <row r="989" spans="1:26" ht="13.5" customHeight="1">
      <c r="A989" s="109"/>
      <c r="B989" s="109"/>
      <c r="C989" s="109"/>
      <c r="D989" s="109"/>
      <c r="E989" s="109"/>
      <c r="F989" s="109"/>
      <c r="G989" s="161"/>
      <c r="H989" s="109"/>
      <c r="I989" s="109"/>
      <c r="J989" s="109"/>
      <c r="K989" s="109"/>
      <c r="L989" s="109"/>
      <c r="M989" s="109"/>
      <c r="N989" s="109"/>
      <c r="O989" s="109"/>
      <c r="P989" s="109"/>
      <c r="Q989" s="109"/>
      <c r="R989" s="109"/>
      <c r="S989" s="109"/>
      <c r="T989" s="109"/>
      <c r="U989" s="109"/>
      <c r="V989" s="109"/>
      <c r="W989" s="109"/>
      <c r="X989" s="109"/>
      <c r="Y989" s="109"/>
      <c r="Z989" s="109"/>
    </row>
    <row r="990" spans="1:26" ht="13.5" customHeight="1">
      <c r="A990" s="109"/>
      <c r="B990" s="109"/>
      <c r="C990" s="109"/>
      <c r="D990" s="109"/>
      <c r="E990" s="109"/>
      <c r="F990" s="109"/>
      <c r="G990" s="161"/>
      <c r="H990" s="109"/>
      <c r="I990" s="109"/>
      <c r="J990" s="109"/>
      <c r="K990" s="109"/>
      <c r="L990" s="109"/>
      <c r="M990" s="109"/>
      <c r="N990" s="109"/>
      <c r="O990" s="109"/>
      <c r="P990" s="109"/>
      <c r="Q990" s="109"/>
      <c r="R990" s="109"/>
      <c r="S990" s="109"/>
      <c r="T990" s="109"/>
      <c r="U990" s="109"/>
      <c r="V990" s="109"/>
      <c r="W990" s="109"/>
      <c r="X990" s="109"/>
      <c r="Y990" s="109"/>
      <c r="Z990" s="109"/>
    </row>
    <row r="991" spans="1:26" ht="13.5" customHeight="1">
      <c r="A991" s="109"/>
      <c r="B991" s="109"/>
      <c r="C991" s="109"/>
      <c r="D991" s="109"/>
      <c r="E991" s="109"/>
      <c r="F991" s="109"/>
      <c r="G991" s="161"/>
      <c r="H991" s="109"/>
      <c r="I991" s="109"/>
      <c r="J991" s="109"/>
      <c r="K991" s="109"/>
      <c r="L991" s="109"/>
      <c r="M991" s="109"/>
      <c r="N991" s="109"/>
      <c r="O991" s="109"/>
      <c r="P991" s="109"/>
      <c r="Q991" s="109"/>
      <c r="R991" s="109"/>
      <c r="S991" s="109"/>
      <c r="T991" s="109"/>
      <c r="U991" s="109"/>
      <c r="V991" s="109"/>
      <c r="W991" s="109"/>
      <c r="X991" s="109"/>
      <c r="Y991" s="109"/>
      <c r="Z991" s="109"/>
    </row>
    <row r="992" spans="1:26" ht="13.5" customHeight="1">
      <c r="A992" s="109"/>
      <c r="B992" s="109"/>
      <c r="C992" s="109"/>
      <c r="D992" s="109"/>
      <c r="E992" s="109"/>
      <c r="F992" s="109"/>
      <c r="G992" s="161"/>
      <c r="H992" s="109"/>
      <c r="I992" s="109"/>
      <c r="J992" s="109"/>
      <c r="K992" s="109"/>
      <c r="L992" s="109"/>
      <c r="M992" s="109"/>
      <c r="N992" s="109"/>
      <c r="O992" s="109"/>
      <c r="P992" s="109"/>
      <c r="Q992" s="109"/>
      <c r="R992" s="109"/>
      <c r="S992" s="109"/>
      <c r="T992" s="109"/>
      <c r="U992" s="109"/>
      <c r="V992" s="109"/>
      <c r="W992" s="109"/>
      <c r="X992" s="109"/>
      <c r="Y992" s="109"/>
      <c r="Z992" s="109"/>
    </row>
    <row r="993" spans="1:26" ht="13.5" customHeight="1">
      <c r="A993" s="109"/>
      <c r="B993" s="109"/>
      <c r="C993" s="109"/>
      <c r="D993" s="109"/>
      <c r="E993" s="109"/>
      <c r="F993" s="109"/>
      <c r="G993" s="161"/>
      <c r="H993" s="109"/>
      <c r="I993" s="109"/>
      <c r="J993" s="109"/>
      <c r="K993" s="109"/>
      <c r="L993" s="109"/>
      <c r="M993" s="109"/>
      <c r="N993" s="109"/>
      <c r="O993" s="109"/>
      <c r="P993" s="109"/>
      <c r="Q993" s="109"/>
      <c r="R993" s="109"/>
      <c r="S993" s="109"/>
      <c r="T993" s="109"/>
      <c r="U993" s="109"/>
      <c r="V993" s="109"/>
      <c r="W993" s="109"/>
      <c r="X993" s="109"/>
      <c r="Y993" s="109"/>
      <c r="Z993" s="109"/>
    </row>
    <row r="994" spans="1:26" ht="13.5" customHeight="1">
      <c r="A994" s="109"/>
      <c r="B994" s="109"/>
      <c r="C994" s="109"/>
      <c r="D994" s="109"/>
      <c r="E994" s="109"/>
      <c r="F994" s="109"/>
      <c r="G994" s="161"/>
      <c r="H994" s="109"/>
      <c r="I994" s="109"/>
      <c r="J994" s="109"/>
      <c r="K994" s="109"/>
      <c r="L994" s="109"/>
      <c r="M994" s="109"/>
      <c r="N994" s="109"/>
      <c r="O994" s="109"/>
      <c r="P994" s="109"/>
      <c r="Q994" s="109"/>
      <c r="R994" s="109"/>
      <c r="S994" s="109"/>
      <c r="T994" s="109"/>
      <c r="U994" s="109"/>
      <c r="V994" s="109"/>
      <c r="W994" s="109"/>
      <c r="X994" s="109"/>
      <c r="Y994" s="109"/>
      <c r="Z994" s="109"/>
    </row>
    <row r="995" spans="1:26" ht="13.5" customHeight="1">
      <c r="A995" s="109"/>
      <c r="B995" s="109"/>
      <c r="C995" s="109"/>
      <c r="D995" s="109"/>
      <c r="E995" s="109"/>
      <c r="F995" s="109"/>
      <c r="G995" s="161"/>
      <c r="H995" s="109"/>
      <c r="I995" s="109"/>
      <c r="J995" s="109"/>
      <c r="K995" s="109"/>
      <c r="L995" s="109"/>
      <c r="M995" s="109"/>
      <c r="N995" s="109"/>
      <c r="O995" s="109"/>
      <c r="P995" s="109"/>
      <c r="Q995" s="109"/>
      <c r="R995" s="109"/>
      <c r="S995" s="109"/>
      <c r="T995" s="109"/>
      <c r="U995" s="109"/>
      <c r="V995" s="109"/>
      <c r="W995" s="109"/>
      <c r="X995" s="109"/>
      <c r="Y995" s="109"/>
      <c r="Z995" s="109"/>
    </row>
    <row r="996" spans="1:26" ht="13.5" customHeight="1">
      <c r="A996" s="109"/>
      <c r="B996" s="109"/>
      <c r="C996" s="109"/>
      <c r="D996" s="109"/>
      <c r="E996" s="109"/>
      <c r="F996" s="109"/>
      <c r="G996" s="161"/>
      <c r="H996" s="109"/>
      <c r="I996" s="109"/>
      <c r="J996" s="109"/>
      <c r="K996" s="109"/>
      <c r="L996" s="109"/>
      <c r="M996" s="109"/>
      <c r="N996" s="109"/>
      <c r="O996" s="109"/>
      <c r="P996" s="109"/>
      <c r="Q996" s="109"/>
      <c r="R996" s="109"/>
      <c r="S996" s="109"/>
      <c r="T996" s="109"/>
      <c r="U996" s="109"/>
      <c r="V996" s="109"/>
      <c r="W996" s="109"/>
      <c r="X996" s="109"/>
      <c r="Y996" s="109"/>
      <c r="Z996" s="109"/>
    </row>
    <row r="997" spans="1:26" ht="13.5" customHeight="1">
      <c r="A997" s="109"/>
      <c r="B997" s="109"/>
      <c r="C997" s="109"/>
      <c r="D997" s="109"/>
      <c r="E997" s="109"/>
      <c r="F997" s="109"/>
      <c r="G997" s="161"/>
      <c r="H997" s="109"/>
      <c r="I997" s="109"/>
      <c r="J997" s="109"/>
      <c r="K997" s="109"/>
      <c r="L997" s="109"/>
      <c r="M997" s="109"/>
      <c r="N997" s="109"/>
      <c r="O997" s="109"/>
      <c r="P997" s="109"/>
      <c r="Q997" s="109"/>
      <c r="R997" s="109"/>
      <c r="S997" s="109"/>
      <c r="T997" s="109"/>
      <c r="U997" s="109"/>
      <c r="V997" s="109"/>
      <c r="W997" s="109"/>
      <c r="X997" s="109"/>
      <c r="Y997" s="109"/>
      <c r="Z997" s="109"/>
    </row>
    <row r="998" spans="1:26" ht="13.5" customHeight="1">
      <c r="A998" s="109"/>
      <c r="B998" s="109"/>
      <c r="C998" s="109"/>
      <c r="D998" s="109"/>
      <c r="E998" s="109"/>
      <c r="F998" s="109"/>
      <c r="G998" s="161"/>
      <c r="H998" s="109"/>
      <c r="I998" s="109"/>
      <c r="J998" s="109"/>
      <c r="K998" s="109"/>
      <c r="L998" s="109"/>
      <c r="M998" s="109"/>
      <c r="N998" s="109"/>
      <c r="O998" s="109"/>
      <c r="P998" s="109"/>
      <c r="Q998" s="109"/>
      <c r="R998" s="109"/>
      <c r="S998" s="109"/>
      <c r="T998" s="109"/>
      <c r="U998" s="109"/>
      <c r="V998" s="109"/>
      <c r="W998" s="109"/>
      <c r="X998" s="109"/>
      <c r="Y998" s="109"/>
      <c r="Z998" s="109"/>
    </row>
    <row r="999" spans="1:26" ht="13.5" customHeight="1">
      <c r="A999" s="109"/>
      <c r="B999" s="109"/>
      <c r="C999" s="109"/>
      <c r="D999" s="109"/>
      <c r="E999" s="109"/>
      <c r="F999" s="109"/>
      <c r="G999" s="161"/>
      <c r="H999" s="109"/>
      <c r="I999" s="109"/>
      <c r="J999" s="109"/>
      <c r="K999" s="109"/>
      <c r="L999" s="109"/>
      <c r="M999" s="109"/>
      <c r="N999" s="109"/>
      <c r="O999" s="109"/>
      <c r="P999" s="109"/>
      <c r="Q999" s="109"/>
      <c r="R999" s="109"/>
      <c r="S999" s="109"/>
      <c r="T999" s="109"/>
      <c r="U999" s="109"/>
      <c r="V999" s="109"/>
      <c r="W999" s="109"/>
      <c r="X999" s="109"/>
      <c r="Y999" s="109"/>
      <c r="Z999" s="109"/>
    </row>
    <row r="1000" spans="1:26" ht="13.5" customHeight="1">
      <c r="A1000" s="109"/>
      <c r="B1000" s="109"/>
      <c r="C1000" s="109"/>
      <c r="D1000" s="109"/>
      <c r="E1000" s="109"/>
      <c r="F1000" s="109"/>
      <c r="G1000" s="161"/>
      <c r="H1000" s="109"/>
      <c r="I1000" s="109"/>
      <c r="J1000" s="109"/>
      <c r="K1000" s="109"/>
      <c r="L1000" s="109"/>
      <c r="M1000" s="109"/>
      <c r="N1000" s="109"/>
      <c r="O1000" s="109"/>
      <c r="P1000" s="109"/>
      <c r="Q1000" s="109"/>
      <c r="R1000" s="109"/>
      <c r="S1000" s="109"/>
      <c r="T1000" s="109"/>
      <c r="U1000" s="109"/>
      <c r="V1000" s="109"/>
      <c r="W1000" s="109"/>
      <c r="X1000" s="109"/>
      <c r="Y1000" s="109"/>
      <c r="Z1000" s="109"/>
    </row>
  </sheetData>
  <pageMargins left="0.75" right="0.75" top="1" bottom="1" header="0" footer="0"/>
  <pageSetup orientation="landscape"/>
  <rowBreaks count="5" manualBreakCount="5">
    <brk id="192" man="1"/>
    <brk id="53" man="1"/>
    <brk id="154" man="1"/>
    <brk id="92" man="1"/>
    <brk id="254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CB5AB-0464-4830-BFE3-F1B8010A366A}">
  <sheetPr>
    <tabColor rgb="FFFF6600"/>
  </sheetPr>
  <dimension ref="A1:Z1007"/>
  <sheetViews>
    <sheetView workbookViewId="0"/>
  </sheetViews>
  <sheetFormatPr defaultColWidth="12.5" defaultRowHeight="15" customHeight="1"/>
  <cols>
    <col min="1" max="1" width="25.296875" style="107" customWidth="1"/>
    <col min="2" max="2" width="36.296875" style="107" customWidth="1"/>
    <col min="3" max="3" width="23.796875" style="107" customWidth="1"/>
    <col min="4" max="5" width="31" style="107" customWidth="1"/>
    <col min="6" max="6" width="34.19921875" style="107" bestFit="1" customWidth="1"/>
    <col min="7" max="7" width="5.296875" style="107" customWidth="1"/>
    <col min="8" max="8" width="28.19921875" style="107" customWidth="1"/>
    <col min="9" max="11" width="5.296875" style="107" customWidth="1"/>
    <col min="12" max="12" width="6" style="107" customWidth="1"/>
    <col min="13" max="13" width="10.296875" style="107" customWidth="1"/>
    <col min="14" max="14" width="8.796875" style="107" customWidth="1"/>
    <col min="15" max="15" width="10.69921875" style="107" customWidth="1"/>
    <col min="16" max="26" width="12.796875" style="107" customWidth="1"/>
    <col min="27" max="16384" width="12.5" style="107"/>
  </cols>
  <sheetData>
    <row r="1" spans="1:26" ht="13.5" customHeight="1" thickTop="1" thickBot="1">
      <c r="A1" s="105" t="s">
        <v>61</v>
      </c>
      <c r="B1" s="2" t="s">
        <v>62</v>
      </c>
      <c r="C1" s="2" t="s">
        <v>63</v>
      </c>
      <c r="D1" s="147" t="s">
        <v>64</v>
      </c>
      <c r="E1" s="109"/>
      <c r="F1" s="109"/>
      <c r="G1" s="148"/>
      <c r="H1" s="148"/>
      <c r="I1" s="148"/>
      <c r="J1" s="148"/>
      <c r="K1" s="148"/>
      <c r="L1" s="148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 spans="1:26" ht="13.5" customHeight="1" thickBot="1">
      <c r="A2" s="108">
        <v>46221</v>
      </c>
      <c r="B2" s="106"/>
      <c r="C2" s="109"/>
      <c r="D2" s="149" t="s">
        <v>1241</v>
      </c>
      <c r="E2" s="109"/>
      <c r="F2" s="106"/>
      <c r="G2" s="110"/>
      <c r="H2" s="106"/>
      <c r="I2" s="106"/>
      <c r="J2" s="106"/>
      <c r="K2" s="106"/>
      <c r="L2" s="106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</row>
    <row r="3" spans="1:26" ht="13.5" customHeight="1" thickBot="1">
      <c r="A3" s="109"/>
      <c r="B3" s="106"/>
      <c r="C3" s="106"/>
      <c r="D3" s="150" t="s">
        <v>72</v>
      </c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</row>
    <row r="4" spans="1:26" ht="13.5" customHeight="1">
      <c r="A4" s="189" t="s">
        <v>85</v>
      </c>
      <c r="B4" s="189" t="s">
        <v>86</v>
      </c>
      <c r="C4" s="189" t="s">
        <v>87</v>
      </c>
      <c r="D4" s="189" t="s">
        <v>88</v>
      </c>
      <c r="E4" s="189" t="s">
        <v>89</v>
      </c>
      <c r="F4" s="189" t="s">
        <v>90</v>
      </c>
      <c r="G4" s="110"/>
      <c r="H4" s="152" t="s">
        <v>227</v>
      </c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</row>
    <row r="5" spans="1:26" ht="13.5" customHeight="1">
      <c r="A5" s="126" t="s">
        <v>1299</v>
      </c>
      <c r="B5" s="126" t="s">
        <v>1300</v>
      </c>
      <c r="C5" s="126" t="s">
        <v>1301</v>
      </c>
      <c r="D5" s="126" t="s">
        <v>1302</v>
      </c>
      <c r="E5" s="126" t="s">
        <v>1303</v>
      </c>
      <c r="F5" s="126" t="s">
        <v>1304</v>
      </c>
      <c r="G5" s="110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</row>
    <row r="6" spans="1:26" ht="13.5" customHeight="1">
      <c r="A6" s="122" t="s">
        <v>1305</v>
      </c>
      <c r="B6" s="122" t="s">
        <v>1306</v>
      </c>
      <c r="C6" s="122" t="s">
        <v>1307</v>
      </c>
      <c r="D6" s="122" t="s">
        <v>1308</v>
      </c>
      <c r="E6" s="122" t="s">
        <v>1309</v>
      </c>
      <c r="F6" s="122" t="s">
        <v>1310</v>
      </c>
      <c r="G6" s="110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</row>
    <row r="7" spans="1:26" ht="13.5" customHeight="1">
      <c r="A7" s="122" t="s">
        <v>1311</v>
      </c>
      <c r="B7" s="122" t="s">
        <v>1312</v>
      </c>
      <c r="C7" s="122" t="s">
        <v>1313</v>
      </c>
      <c r="D7" s="122" t="s">
        <v>1314</v>
      </c>
      <c r="E7" s="122" t="s">
        <v>1315</v>
      </c>
      <c r="F7" s="122" t="s">
        <v>1316</v>
      </c>
      <c r="G7" s="110"/>
      <c r="H7" s="109"/>
      <c r="I7" s="109"/>
      <c r="J7" s="109"/>
      <c r="K7" s="109"/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</row>
    <row r="8" spans="1:26" ht="13.5" customHeight="1">
      <c r="A8" s="122" t="s">
        <v>1317</v>
      </c>
      <c r="B8" s="122" t="s">
        <v>1318</v>
      </c>
      <c r="C8" s="122" t="s">
        <v>1319</v>
      </c>
      <c r="D8" s="122" t="s">
        <v>1320</v>
      </c>
      <c r="E8" s="122" t="s">
        <v>1321</v>
      </c>
      <c r="F8" s="122" t="s">
        <v>1322</v>
      </c>
      <c r="G8" s="110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</row>
    <row r="9" spans="1:26" ht="13.5" customHeight="1">
      <c r="A9" s="106"/>
      <c r="B9" s="106"/>
      <c r="C9" s="106"/>
      <c r="D9" s="106"/>
      <c r="E9" s="106"/>
      <c r="F9" s="106"/>
      <c r="G9" s="110"/>
      <c r="H9" s="109"/>
      <c r="I9" s="109"/>
      <c r="J9" s="109"/>
      <c r="K9" s="109"/>
      <c r="L9" s="109"/>
      <c r="M9" s="109"/>
      <c r="N9" s="109"/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</row>
    <row r="10" spans="1:26" ht="13.5" customHeight="1">
      <c r="A10" s="189" t="s">
        <v>246</v>
      </c>
      <c r="B10" s="189" t="s">
        <v>247</v>
      </c>
      <c r="C10" s="189" t="s">
        <v>248</v>
      </c>
      <c r="D10" s="189" t="s">
        <v>249</v>
      </c>
      <c r="E10" s="189" t="s">
        <v>250</v>
      </c>
      <c r="F10" s="189" t="s">
        <v>251</v>
      </c>
      <c r="G10" s="110"/>
      <c r="H10" s="109"/>
      <c r="I10" s="109"/>
      <c r="J10" s="106"/>
      <c r="K10" s="109"/>
      <c r="L10" s="109"/>
      <c r="M10" s="109"/>
      <c r="N10" s="109"/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</row>
    <row r="11" spans="1:26" ht="13.5" customHeight="1">
      <c r="A11" s="122" t="s">
        <v>1323</v>
      </c>
      <c r="B11" s="122" t="s">
        <v>1324</v>
      </c>
      <c r="C11" s="122" t="s">
        <v>1325</v>
      </c>
      <c r="D11" s="122" t="s">
        <v>1326</v>
      </c>
      <c r="E11" s="122" t="s">
        <v>1327</v>
      </c>
      <c r="F11" s="122" t="s">
        <v>1328</v>
      </c>
      <c r="G11" s="110"/>
      <c r="H11" s="109"/>
      <c r="I11" s="109"/>
      <c r="J11" s="106"/>
      <c r="K11" s="109"/>
      <c r="L11" s="109"/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</row>
    <row r="12" spans="1:26" ht="13.5" customHeight="1">
      <c r="A12" s="122" t="s">
        <v>1329</v>
      </c>
      <c r="B12" s="122" t="s">
        <v>1330</v>
      </c>
      <c r="C12" s="122" t="s">
        <v>1331</v>
      </c>
      <c r="D12" s="122" t="s">
        <v>1332</v>
      </c>
      <c r="E12" s="122" t="s">
        <v>1333</v>
      </c>
      <c r="F12" s="122" t="s">
        <v>1334</v>
      </c>
      <c r="G12" s="110"/>
      <c r="H12" s="109"/>
      <c r="I12" s="109"/>
      <c r="J12" s="106"/>
      <c r="K12" s="109"/>
      <c r="L12" s="109"/>
      <c r="M12" s="109"/>
      <c r="N12" s="109"/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</row>
    <row r="13" spans="1:26" ht="13.5" customHeight="1">
      <c r="A13" s="122" t="s">
        <v>1335</v>
      </c>
      <c r="B13" s="122" t="s">
        <v>1336</v>
      </c>
      <c r="C13" s="122" t="s">
        <v>1337</v>
      </c>
      <c r="D13" s="122" t="s">
        <v>1338</v>
      </c>
      <c r="E13" s="122" t="s">
        <v>1339</v>
      </c>
      <c r="F13" s="122" t="s">
        <v>1340</v>
      </c>
      <c r="G13" s="110"/>
      <c r="H13" s="109"/>
      <c r="I13" s="109"/>
      <c r="J13" s="106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</row>
    <row r="14" spans="1:26" ht="13.5" customHeight="1">
      <c r="A14" s="122" t="s">
        <v>1341</v>
      </c>
      <c r="B14" s="122" t="s">
        <v>1342</v>
      </c>
      <c r="C14" s="122" t="s">
        <v>1343</v>
      </c>
      <c r="D14" s="122" t="s">
        <v>1344</v>
      </c>
      <c r="E14" s="122" t="s">
        <v>1345</v>
      </c>
      <c r="F14" s="122" t="s">
        <v>1346</v>
      </c>
      <c r="G14" s="110"/>
      <c r="H14" s="109"/>
      <c r="I14" s="109"/>
      <c r="J14" s="106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</row>
    <row r="15" spans="1:26" ht="13.5" customHeight="1" thickBot="1">
      <c r="A15" s="109"/>
      <c r="B15" s="109"/>
      <c r="C15" s="109"/>
      <c r="D15" s="109"/>
      <c r="E15" s="109"/>
      <c r="F15" s="109"/>
      <c r="G15" s="109"/>
      <c r="H15" s="109"/>
      <c r="I15" s="109"/>
      <c r="J15" s="109"/>
      <c r="K15" s="109"/>
      <c r="L15" s="109" t="s">
        <v>1347</v>
      </c>
      <c r="M15" s="109"/>
      <c r="N15" s="109"/>
      <c r="O15" s="109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</row>
    <row r="16" spans="1:26" ht="13.5" customHeight="1" thickBot="1">
      <c r="A16" s="109"/>
      <c r="B16" s="106"/>
      <c r="C16" s="106"/>
      <c r="D16" s="153" t="str">
        <f>'CHICLETS MASTER S1'!$AM$3</f>
        <v>WOOLLETT NEAR RIGHT</v>
      </c>
      <c r="E16" s="106"/>
      <c r="F16" s="106"/>
      <c r="G16" s="110"/>
      <c r="H16" s="106"/>
      <c r="I16" s="106"/>
      <c r="J16" s="106"/>
      <c r="K16" s="106"/>
      <c r="L16" s="106"/>
      <c r="M16" s="109"/>
      <c r="N16" s="109"/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</row>
    <row r="17" spans="1:26" ht="13.5" customHeight="1">
      <c r="A17" s="189" t="s">
        <v>110</v>
      </c>
      <c r="B17" s="190" t="s">
        <v>111</v>
      </c>
      <c r="C17" s="190" t="s">
        <v>112</v>
      </c>
      <c r="D17" s="190" t="s">
        <v>113</v>
      </c>
      <c r="E17" s="190" t="s">
        <v>114</v>
      </c>
      <c r="F17" s="190" t="s">
        <v>115</v>
      </c>
      <c r="G17" s="190" t="s">
        <v>116</v>
      </c>
      <c r="H17" s="190" t="s">
        <v>117</v>
      </c>
      <c r="I17" s="190" t="s">
        <v>116</v>
      </c>
      <c r="J17" s="190" t="s">
        <v>118</v>
      </c>
      <c r="K17" s="190" t="s">
        <v>119</v>
      </c>
      <c r="L17" s="190" t="s">
        <v>120</v>
      </c>
      <c r="M17" s="109"/>
      <c r="N17" s="109"/>
      <c r="O17" s="109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</row>
    <row r="18" spans="1:26" ht="13.5" customHeight="1">
      <c r="A18" s="155">
        <f t="shared" ref="A18:A29" si="0">$A$2</f>
        <v>46221</v>
      </c>
      <c r="B18" s="156">
        <f>'CHICLETS MASTER S1'!AL4</f>
        <v>0.29166666666666669</v>
      </c>
      <c r="C18" s="122" t="s">
        <v>163</v>
      </c>
      <c r="D18" s="122" t="str">
        <f t="shared" ref="D18:D29" si="1">$D$16</f>
        <v>WOOLLETT NEAR RIGHT</v>
      </c>
      <c r="E18" s="122">
        <v>1</v>
      </c>
      <c r="F18" s="122" t="str">
        <f t="shared" ref="F18:F19" si="2">C5</f>
        <v>3-CLUB DAYGO</v>
      </c>
      <c r="G18" s="157"/>
      <c r="H18" s="122" t="str">
        <f>C8</f>
        <v>46-COLORADO</v>
      </c>
      <c r="I18" s="122"/>
      <c r="J18" s="122">
        <v>25</v>
      </c>
      <c r="K18" s="122">
        <v>29</v>
      </c>
      <c r="L18" s="122" t="str">
        <f t="shared" ref="L18:L29" si="3">IF(E18="","",$L$15&amp;"-"&amp;TEXT(E18,"000"))</f>
        <v>16G-001</v>
      </c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</row>
    <row r="19" spans="1:26" ht="13.5" customHeight="1">
      <c r="A19" s="155">
        <f t="shared" si="0"/>
        <v>46221</v>
      </c>
      <c r="B19" s="156">
        <f>'CHICLETS MASTER S1'!AL5</f>
        <v>0.3263888888888889</v>
      </c>
      <c r="C19" s="122" t="s">
        <v>163</v>
      </c>
      <c r="D19" s="122" t="str">
        <f t="shared" si="1"/>
        <v>WOOLLETT NEAR RIGHT</v>
      </c>
      <c r="E19" s="122">
        <v>5</v>
      </c>
      <c r="F19" s="122" t="str">
        <f t="shared" si="2"/>
        <v>22-SHAQ BLUE</v>
      </c>
      <c r="G19" s="157"/>
      <c r="H19" s="122" t="str">
        <f>C7</f>
        <v>27-NORCAL BLACK</v>
      </c>
      <c r="I19" s="157"/>
      <c r="J19" s="122">
        <v>25</v>
      </c>
      <c r="K19" s="122">
        <v>29</v>
      </c>
      <c r="L19" s="122" t="str">
        <f t="shared" si="3"/>
        <v>16G-005</v>
      </c>
      <c r="M19" s="109"/>
      <c r="N19" s="109"/>
      <c r="O19" s="109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</row>
    <row r="20" spans="1:26" ht="13.5" customHeight="1">
      <c r="A20" s="155">
        <f t="shared" si="0"/>
        <v>46221</v>
      </c>
      <c r="B20" s="156">
        <f>'CHICLETS MASTER S1'!AL6</f>
        <v>0.36111111111111099</v>
      </c>
      <c r="C20" s="122" t="s">
        <v>163</v>
      </c>
      <c r="D20" s="122" t="str">
        <f t="shared" si="1"/>
        <v>WOOLLETT NEAR RIGHT</v>
      </c>
      <c r="E20" s="122">
        <v>9</v>
      </c>
      <c r="F20" s="122" t="str">
        <f t="shared" ref="F20:F21" si="4">A5</f>
        <v>1-MISSION</v>
      </c>
      <c r="G20" s="157"/>
      <c r="H20" s="122" t="str">
        <f>A8</f>
        <v>48-THIRD COAST</v>
      </c>
      <c r="I20" s="122"/>
      <c r="J20" s="122">
        <v>33</v>
      </c>
      <c r="K20" s="122">
        <v>37</v>
      </c>
      <c r="L20" s="122" t="str">
        <f t="shared" si="3"/>
        <v>16G-009</v>
      </c>
      <c r="M20" s="109"/>
      <c r="N20" s="109"/>
      <c r="O20" s="109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</row>
    <row r="21" spans="1:26" ht="13.5" customHeight="1">
      <c r="A21" s="155">
        <f t="shared" si="0"/>
        <v>46221</v>
      </c>
      <c r="B21" s="156">
        <f>'CHICLETS MASTER S1'!AL7</f>
        <v>0.39583333333333398</v>
      </c>
      <c r="C21" s="122" t="s">
        <v>163</v>
      </c>
      <c r="D21" s="122" t="str">
        <f t="shared" si="1"/>
        <v>WOOLLETT NEAR RIGHT</v>
      </c>
      <c r="E21" s="122">
        <v>13</v>
      </c>
      <c r="F21" s="122" t="str">
        <f t="shared" si="4"/>
        <v>24-PALOS VERDES BLACK</v>
      </c>
      <c r="G21" s="157"/>
      <c r="H21" s="122" t="str">
        <f>A7</f>
        <v>25-CLOVIS</v>
      </c>
      <c r="I21" s="122"/>
      <c r="J21" s="122">
        <v>33</v>
      </c>
      <c r="K21" s="122">
        <v>37</v>
      </c>
      <c r="L21" s="122" t="str">
        <f t="shared" si="3"/>
        <v>16G-013</v>
      </c>
      <c r="M21" s="109"/>
      <c r="N21" s="109"/>
      <c r="O21" s="109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</row>
    <row r="22" spans="1:26" ht="13.5" customHeight="1">
      <c r="A22" s="155">
        <f t="shared" si="0"/>
        <v>46221</v>
      </c>
      <c r="B22" s="156">
        <f>'CHICLETS MASTER S1'!AL8</f>
        <v>0.43055555555555602</v>
      </c>
      <c r="C22" s="122" t="s">
        <v>163</v>
      </c>
      <c r="D22" s="122" t="str">
        <f t="shared" si="1"/>
        <v>WOOLLETT NEAR RIGHT</v>
      </c>
      <c r="E22" s="122">
        <v>17</v>
      </c>
      <c r="F22" s="122" t="str">
        <f t="shared" ref="F22:F23" si="5">B5</f>
        <v>2-SANTA BARBARA WPC A</v>
      </c>
      <c r="G22" s="157"/>
      <c r="H22" s="122" t="str">
        <f>B8</f>
        <v>47-BROOKLYN HUSTLE</v>
      </c>
      <c r="I22" s="122"/>
      <c r="J22" s="122">
        <v>41</v>
      </c>
      <c r="K22" s="122">
        <v>45</v>
      </c>
      <c r="L22" s="122" t="str">
        <f t="shared" si="3"/>
        <v>16G-017</v>
      </c>
      <c r="M22" s="109"/>
      <c r="N22" s="109"/>
      <c r="O22" s="109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</row>
    <row r="23" spans="1:26" ht="13.5" customHeight="1">
      <c r="A23" s="155">
        <f t="shared" si="0"/>
        <v>46221</v>
      </c>
      <c r="B23" s="156">
        <f>'CHICLETS MASTER S1'!AL9</f>
        <v>0.46527777777777801</v>
      </c>
      <c r="C23" s="122" t="s">
        <v>163</v>
      </c>
      <c r="D23" s="122" t="str">
        <f t="shared" si="1"/>
        <v>WOOLLETT NEAR RIGHT</v>
      </c>
      <c r="E23" s="122">
        <v>21</v>
      </c>
      <c r="F23" s="122" t="str">
        <f t="shared" si="5"/>
        <v>23-STANFORD A</v>
      </c>
      <c r="G23" s="157"/>
      <c r="H23" s="122" t="str">
        <f>B7</f>
        <v>26-DIABLO ALLIANCE A</v>
      </c>
      <c r="I23" s="122"/>
      <c r="J23" s="122">
        <v>41</v>
      </c>
      <c r="K23" s="122">
        <v>45</v>
      </c>
      <c r="L23" s="122" t="str">
        <f t="shared" si="3"/>
        <v>16G-021</v>
      </c>
      <c r="M23" s="109"/>
      <c r="N23" s="109"/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</row>
    <row r="24" spans="1:26" ht="13.5" customHeight="1">
      <c r="A24" s="155">
        <f t="shared" si="0"/>
        <v>46221</v>
      </c>
      <c r="B24" s="156">
        <f>'CHICLETS MASTER S1'!AL10</f>
        <v>0.5</v>
      </c>
      <c r="C24" s="122" t="s">
        <v>163</v>
      </c>
      <c r="D24" s="122" t="str">
        <f t="shared" si="1"/>
        <v>WOOLLETT NEAR RIGHT</v>
      </c>
      <c r="E24" s="122">
        <v>25</v>
      </c>
      <c r="F24" s="122" t="str">
        <f>IF(G18 = "", "W1", IF(G18 &gt; I18, _xlfn.CONCAT("W1-", RIGHT(F18, LEN(F18) - FIND("-", F18))), _xlfn.CONCAT("W1-", RIGHT(H18, LEN(H18) - FIND("-", H18)))))</f>
        <v>W1</v>
      </c>
      <c r="G24" s="122"/>
      <c r="H24" s="122" t="str">
        <f>IF(G19 = "", "W5", IF(G19 &gt; I19, _xlfn.CONCAT("W5-", RIGHT(F19, LEN(F19) - FIND("-", F19))), _xlfn.CONCAT("W5-", RIGHT(H19, LEN(H19) - FIND("-", H19)))))</f>
        <v>W5</v>
      </c>
      <c r="I24" s="122"/>
      <c r="J24" s="122" t="s">
        <v>174</v>
      </c>
      <c r="K24" s="122">
        <v>50</v>
      </c>
      <c r="L24" s="122" t="str">
        <f t="shared" si="3"/>
        <v>16G-025</v>
      </c>
      <c r="M24" s="109"/>
      <c r="N24" s="109"/>
      <c r="O24" s="109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</row>
    <row r="25" spans="1:26" ht="13.5" customHeight="1">
      <c r="A25" s="155">
        <f t="shared" si="0"/>
        <v>46221</v>
      </c>
      <c r="B25" s="156">
        <f>'CHICLETS MASTER S1'!AL11</f>
        <v>0.53472222222222199</v>
      </c>
      <c r="C25" s="122" t="s">
        <v>163</v>
      </c>
      <c r="D25" s="122" t="str">
        <f t="shared" si="1"/>
        <v>WOOLLETT NEAR RIGHT</v>
      </c>
      <c r="E25" s="122">
        <v>29</v>
      </c>
      <c r="F25" s="122" t="str">
        <f>IF(G18 = "", "L1", IF(G18 &lt; I18, _xlfn.CONCAT("L1-", RIGHT(F18, LEN(F18) - FIND("-", F18))), _xlfn.CONCAT("L1-", RIGHT(H18, LEN(H18) - FIND("-", H18)))))</f>
        <v>L1</v>
      </c>
      <c r="G25" s="122"/>
      <c r="H25" s="122" t="str">
        <f>IF(G19 = "", "L5", IF(G19 &lt; I19, _xlfn.CONCAT("L5-", RIGHT(F19, LEN(F19) - FIND("-", F19))), _xlfn.CONCAT("L5-", RIGHT(H19, LEN(H19) - FIND("-", H19)))))</f>
        <v>L5</v>
      </c>
      <c r="I25" s="122"/>
      <c r="J25" s="122">
        <v>49</v>
      </c>
      <c r="K25" s="122" t="s">
        <v>654</v>
      </c>
      <c r="L25" s="122" t="str">
        <f t="shared" si="3"/>
        <v>16G-029</v>
      </c>
      <c r="M25" s="109"/>
      <c r="N25" s="109"/>
      <c r="O25" s="109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</row>
    <row r="26" spans="1:26" ht="13.5" customHeight="1">
      <c r="A26" s="155">
        <f t="shared" si="0"/>
        <v>46221</v>
      </c>
      <c r="B26" s="156">
        <f>'CHICLETS MASTER S1'!AL12</f>
        <v>0.56944444444444497</v>
      </c>
      <c r="C26" s="122" t="s">
        <v>163</v>
      </c>
      <c r="D26" s="122" t="str">
        <f t="shared" si="1"/>
        <v>WOOLLETT NEAR RIGHT</v>
      </c>
      <c r="E26" s="122">
        <v>33</v>
      </c>
      <c r="F26" s="122" t="str">
        <f>IF(G20 = "", "W9", IF(G20 &gt; I20, _xlfn.CONCAT("W9-", RIGHT(F20, LEN(F20) - FIND("-", F20))), _xlfn.CONCAT("W9-", RIGHT(H20, LEN(H20) - FIND("-", H20)))))</f>
        <v>W9</v>
      </c>
      <c r="G26" s="122"/>
      <c r="H26" s="122" t="str">
        <f>IF(G21 = "", "W13", IF(G21 &gt; I21, _xlfn.CONCAT("W13-", RIGHT(F21, LEN(F21) - FIND("-", F21))), _xlfn.CONCAT("W13-", RIGHT(H21, LEN(H21) - FIND("-", H21)))))</f>
        <v>W13</v>
      </c>
      <c r="I26" s="122"/>
      <c r="J26" s="122" t="s">
        <v>164</v>
      </c>
      <c r="K26" s="122">
        <v>57</v>
      </c>
      <c r="L26" s="122" t="str">
        <f t="shared" si="3"/>
        <v>16G-033</v>
      </c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</row>
    <row r="27" spans="1:26" ht="13.5" customHeight="1">
      <c r="A27" s="155">
        <f t="shared" si="0"/>
        <v>46221</v>
      </c>
      <c r="B27" s="156">
        <f>'CHICLETS MASTER S1'!AL13</f>
        <v>0.60416666666666696</v>
      </c>
      <c r="C27" s="122" t="s">
        <v>163</v>
      </c>
      <c r="D27" s="122" t="str">
        <f t="shared" si="1"/>
        <v>WOOLLETT NEAR RIGHT</v>
      </c>
      <c r="E27" s="122">
        <v>37</v>
      </c>
      <c r="F27" s="122" t="str">
        <f>IF(G20 = "", "L9", IF(G20 &lt; I20, _xlfn.CONCAT("L9-", RIGHT(F20, LEN(F20) - FIND("-", F20))), _xlfn.CONCAT("L9-", RIGHT(H20, LEN(H20) - FIND("-", H20)))))</f>
        <v>L9</v>
      </c>
      <c r="G27" s="122"/>
      <c r="H27" s="122" t="str">
        <f>IF(G21 = "", "L13", IF(G21 &lt; I21, _xlfn.CONCAT("L13-", RIGHT(F21, LEN(F21) - FIND("-", F21))), _xlfn.CONCAT("L13-", RIGHT(H21, LEN(H21) - FIND("-", H21)))))</f>
        <v>L13</v>
      </c>
      <c r="I27" s="122"/>
      <c r="J27" s="122">
        <v>53</v>
      </c>
      <c r="K27" s="122" t="s">
        <v>1291</v>
      </c>
      <c r="L27" s="122" t="str">
        <f t="shared" si="3"/>
        <v>16G-037</v>
      </c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</row>
    <row r="28" spans="1:26" ht="13.5" customHeight="1">
      <c r="A28" s="155">
        <f t="shared" si="0"/>
        <v>46221</v>
      </c>
      <c r="B28" s="156">
        <f>'CHICLETS MASTER S1'!AL14</f>
        <v>0.63888888888888895</v>
      </c>
      <c r="C28" s="122" t="s">
        <v>163</v>
      </c>
      <c r="D28" s="122" t="str">
        <f t="shared" si="1"/>
        <v>WOOLLETT NEAR RIGHT</v>
      </c>
      <c r="E28" s="122">
        <v>41</v>
      </c>
      <c r="F28" s="122" t="str">
        <f>IF(G22 = "", "W17", IF(G22 &gt; I22, _xlfn.CONCAT("W17-", RIGHT(F22, LEN(F22) - FIND("-", F22))), _xlfn.CONCAT("W17-", RIGHT(H22, LEN(H22) - FIND("-", H22)))))</f>
        <v>W17</v>
      </c>
      <c r="G28" s="157"/>
      <c r="H28" s="122" t="str">
        <f>IF(G23 = "", "W21", IF(G23 &gt; I23, _xlfn.CONCAT("W21-", RIGHT(F23, LEN(F23) - FIND("-", F23))), _xlfn.CONCAT("W21-", RIGHT(H23, LEN(H23) - FIND("-", H23)))))</f>
        <v>W21</v>
      </c>
      <c r="I28" s="122"/>
      <c r="J28" s="122" t="s">
        <v>165</v>
      </c>
      <c r="K28" s="122">
        <v>53</v>
      </c>
      <c r="L28" s="122" t="str">
        <f t="shared" si="3"/>
        <v>16G-041</v>
      </c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</row>
    <row r="29" spans="1:26" ht="13.5" customHeight="1">
      <c r="A29" s="155">
        <f t="shared" si="0"/>
        <v>46221</v>
      </c>
      <c r="B29" s="156">
        <f>'CHICLETS MASTER S1'!AL15</f>
        <v>0.67361111111111105</v>
      </c>
      <c r="C29" s="122" t="s">
        <v>163</v>
      </c>
      <c r="D29" s="122" t="str">
        <f t="shared" si="1"/>
        <v>WOOLLETT NEAR RIGHT</v>
      </c>
      <c r="E29" s="122">
        <v>45</v>
      </c>
      <c r="F29" s="122" t="str">
        <f>IF(G22 = "", "L17", IF(G22 &lt; I22, _xlfn.CONCAT("L17-", RIGHT(F22, LEN(F22) - FIND("-", F22))), _xlfn.CONCAT("L17-", RIGHT(H22, LEN(H22) - FIND("-", H22)))))</f>
        <v>L17</v>
      </c>
      <c r="G29" s="157"/>
      <c r="H29" s="122" t="str">
        <f>IF(G23 = "", "L21", IF(G23 &lt; I23, _xlfn.CONCAT("L21-", RIGHT(F23, LEN(F23) - FIND("-", F23))), _xlfn.CONCAT("L21-", RIGHT(H23, LEN(H23) - FIND("-", H23)))))</f>
        <v>L21</v>
      </c>
      <c r="I29" s="122"/>
      <c r="J29" s="122">
        <v>57</v>
      </c>
      <c r="K29" s="122" t="s">
        <v>660</v>
      </c>
      <c r="L29" s="122" t="str">
        <f t="shared" si="3"/>
        <v>16G-045</v>
      </c>
      <c r="M29" s="109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</row>
    <row r="30" spans="1:26" ht="13.5" customHeight="1">
      <c r="A30" s="158"/>
      <c r="B30" s="106" t="s">
        <v>204</v>
      </c>
      <c r="C30" s="106"/>
      <c r="D30" s="106"/>
      <c r="E30" s="106"/>
      <c r="F30" s="106"/>
      <c r="G30" s="110"/>
      <c r="H30" s="106"/>
      <c r="I30" s="106"/>
      <c r="J30" s="106"/>
      <c r="K30" s="106"/>
      <c r="L30" s="106"/>
      <c r="M30" s="109"/>
      <c r="N30" s="109"/>
      <c r="O30" s="109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</row>
    <row r="31" spans="1:26" ht="13.5" customHeight="1">
      <c r="A31" s="155">
        <f t="shared" ref="A31:A33" si="6">$A$2</f>
        <v>46221</v>
      </c>
      <c r="B31" s="156">
        <f>'CHICLETS MASTER S1'!AL17</f>
        <v>0.74305555555555602</v>
      </c>
      <c r="C31" s="122" t="s">
        <v>275</v>
      </c>
      <c r="D31" s="122" t="str">
        <f t="shared" ref="D31:D33" si="7">$D$16</f>
        <v>WOOLLETT NEAR RIGHT</v>
      </c>
      <c r="E31" s="122">
        <v>49</v>
      </c>
      <c r="F31" s="152" t="str">
        <f>IF(G43 = "", "L26", IF(G43 &lt; I43, _xlfn.CONCAT("L26-", RIGHT(F43, LEN(F43) - FIND("-", F43))), _xlfn.CONCAT("L26-", RIGHT(H43, LEN(H43) - FIND("-", H43)))))</f>
        <v>L26</v>
      </c>
      <c r="G31" s="122"/>
      <c r="H31" s="122" t="str">
        <f>IF(G25 = "", "W29", IF(G25 &gt; I25, _xlfn.CONCAT("W29-", RIGHT(F25, LEN(F25) - FIND("-", F25))), _xlfn.CONCAT("W29-", RIGHT(H25, LEN(H25) - FIND("-", H25)))))</f>
        <v>W29</v>
      </c>
      <c r="I31" s="122"/>
      <c r="J31" s="122" t="s">
        <v>142</v>
      </c>
      <c r="K31" s="122" t="s">
        <v>289</v>
      </c>
      <c r="L31" s="122" t="str">
        <f t="shared" ref="L31:L33" si="8">IF(E31="","",$L$15&amp;"-"&amp;TEXT(E31,"000"))</f>
        <v>16G-049</v>
      </c>
      <c r="M31" s="109"/>
      <c r="N31" s="109"/>
      <c r="O31" s="109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</row>
    <row r="32" spans="1:26" ht="13.5" customHeight="1">
      <c r="A32" s="155">
        <f t="shared" si="6"/>
        <v>46221</v>
      </c>
      <c r="B32" s="156">
        <f>'CHICLETS MASTER S1'!AL18</f>
        <v>0.77777777777777801</v>
      </c>
      <c r="C32" s="122" t="s">
        <v>275</v>
      </c>
      <c r="D32" s="122" t="str">
        <f t="shared" si="7"/>
        <v>WOOLLETT NEAR RIGHT</v>
      </c>
      <c r="E32" s="122">
        <v>53</v>
      </c>
      <c r="F32" s="122" t="str">
        <f>IF(G28 = "", "L41", IF(G28 &lt; I28, _xlfn.CONCAT("L41-", RIGHT(F28, LEN(F28) - FIND("-", F28))), _xlfn.CONCAT("L41-", RIGHT(H28, LEN(H28) - FIND("-", H28)))))</f>
        <v>L41</v>
      </c>
      <c r="G32" s="122"/>
      <c r="H32" s="122" t="str">
        <f>IF(G27 = "", "W37", IF(G27 &gt; I27, _xlfn.CONCAT("W37-", RIGHT(F27, LEN(F27) - FIND("-", F27))), _xlfn.CONCAT("W37-", RIGHT(H27, LEN(H27) - FIND("-", H27)))))</f>
        <v>W37</v>
      </c>
      <c r="I32" s="122"/>
      <c r="J32" s="122" t="s">
        <v>282</v>
      </c>
      <c r="K32" s="122" t="s">
        <v>283</v>
      </c>
      <c r="L32" s="122" t="str">
        <f t="shared" si="8"/>
        <v>16G-053</v>
      </c>
      <c r="M32" s="109"/>
      <c r="N32" s="109"/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</row>
    <row r="33" spans="1:26" ht="13.5" customHeight="1">
      <c r="A33" s="155">
        <f t="shared" si="6"/>
        <v>46221</v>
      </c>
      <c r="B33" s="156">
        <f>'CHICLETS MASTER S1'!AL19</f>
        <v>0.8125</v>
      </c>
      <c r="C33" s="122" t="s">
        <v>275</v>
      </c>
      <c r="D33" s="122" t="str">
        <f t="shared" si="7"/>
        <v>WOOLLETT NEAR RIGHT</v>
      </c>
      <c r="E33" s="122">
        <v>57</v>
      </c>
      <c r="F33" s="122" t="str">
        <f>IF(G26 = "", "L33", IF(G26 &lt; I26, _xlfn.CONCAT("L33-", RIGHT(F26, LEN(F26) - FIND("-", F26))), _xlfn.CONCAT("L33-", RIGHT(H26, LEN(H26) - FIND("-", H26)))))</f>
        <v>L33</v>
      </c>
      <c r="G33" s="122"/>
      <c r="H33" s="122" t="str">
        <f>IF(G29 = "", "W45", IF(G29 &gt; I29, _xlfn.CONCAT("W45-", RIGHT(F29, LEN(F29) - FIND("-", F29))), _xlfn.CONCAT("W45-", RIGHT(H29, LEN(H29) - FIND("-", H29)))))</f>
        <v>W45</v>
      </c>
      <c r="I33" s="122"/>
      <c r="J33" s="122" t="s">
        <v>278</v>
      </c>
      <c r="K33" s="122" t="s">
        <v>279</v>
      </c>
      <c r="L33" s="122" t="str">
        <f t="shared" si="8"/>
        <v>16G-057</v>
      </c>
      <c r="M33" s="109"/>
      <c r="N33" s="109"/>
      <c r="O33" s="109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</row>
    <row r="34" spans="1:26" ht="13.5" customHeight="1" thickBot="1">
      <c r="A34" s="159"/>
      <c r="B34" s="160"/>
      <c r="C34" s="106"/>
      <c r="D34" s="106"/>
      <c r="E34" s="106"/>
      <c r="F34" s="109"/>
      <c r="G34" s="161"/>
      <c r="H34" s="109"/>
      <c r="I34" s="106"/>
      <c r="J34" s="106"/>
      <c r="K34" s="106"/>
      <c r="L34" s="106"/>
      <c r="M34" s="109"/>
      <c r="N34" s="109"/>
      <c r="O34" s="109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</row>
    <row r="35" spans="1:26" ht="13.5" customHeight="1" thickBot="1">
      <c r="A35" s="109"/>
      <c r="B35" s="160"/>
      <c r="C35" s="106"/>
      <c r="D35" s="119" t="str">
        <f>'CHICLETS MASTER S1'!$AN$3</f>
        <v>LONG BEACH CC 1</v>
      </c>
      <c r="E35" s="106"/>
      <c r="F35" s="109"/>
      <c r="G35" s="161"/>
      <c r="H35" s="109"/>
      <c r="I35" s="106"/>
      <c r="J35" s="106"/>
      <c r="K35" s="106"/>
      <c r="L35" s="106"/>
      <c r="M35" s="109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</row>
    <row r="36" spans="1:26" ht="13.5" customHeight="1">
      <c r="A36" s="189" t="s">
        <v>110</v>
      </c>
      <c r="B36" s="190" t="s">
        <v>111</v>
      </c>
      <c r="C36" s="190" t="s">
        <v>112</v>
      </c>
      <c r="D36" s="190" t="s">
        <v>113</v>
      </c>
      <c r="E36" s="190" t="s">
        <v>114</v>
      </c>
      <c r="F36" s="190" t="s">
        <v>115</v>
      </c>
      <c r="G36" s="190" t="s">
        <v>116</v>
      </c>
      <c r="H36" s="190" t="s">
        <v>117</v>
      </c>
      <c r="I36" s="190" t="s">
        <v>116</v>
      </c>
      <c r="J36" s="190" t="s">
        <v>118</v>
      </c>
      <c r="K36" s="190" t="s">
        <v>119</v>
      </c>
      <c r="L36" s="190" t="s">
        <v>120</v>
      </c>
      <c r="M36" s="109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09"/>
    </row>
    <row r="37" spans="1:26" ht="13.5" customHeight="1">
      <c r="A37" s="155">
        <f t="shared" ref="A37:A48" si="9">$A$2</f>
        <v>46221</v>
      </c>
      <c r="B37" s="156">
        <f>'CHICLETS MASTER S1'!AL4</f>
        <v>0.29166666666666669</v>
      </c>
      <c r="C37" s="122" t="s">
        <v>163</v>
      </c>
      <c r="D37" s="122" t="str">
        <f t="shared" ref="D37:D48" si="10">$D$35</f>
        <v>LONG BEACH CC 1</v>
      </c>
      <c r="E37" s="122">
        <v>2</v>
      </c>
      <c r="F37" s="122" t="str">
        <f t="shared" ref="F37:F38" si="11">D5</f>
        <v>4-LAMORINDA A</v>
      </c>
      <c r="G37" s="157"/>
      <c r="H37" s="122" t="str">
        <f>D8</f>
        <v>45-SEASIDE</v>
      </c>
      <c r="I37" s="122"/>
      <c r="J37" s="122">
        <v>26</v>
      </c>
      <c r="K37" s="122">
        <v>30</v>
      </c>
      <c r="L37" s="122" t="str">
        <f t="shared" ref="L37:L48" si="12">IF(E37="","",$L$15&amp;"-"&amp;TEXT(E37,"000"))</f>
        <v>16G-002</v>
      </c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</row>
    <row r="38" spans="1:26" ht="13.5" customHeight="1">
      <c r="A38" s="155">
        <f t="shared" si="9"/>
        <v>46221</v>
      </c>
      <c r="B38" s="156">
        <f>'CHICLETS MASTER S1'!AL5</f>
        <v>0.3263888888888889</v>
      </c>
      <c r="C38" s="122" t="s">
        <v>163</v>
      </c>
      <c r="D38" s="122" t="str">
        <f t="shared" si="10"/>
        <v>LONG BEACH CC 1</v>
      </c>
      <c r="E38" s="122">
        <v>6</v>
      </c>
      <c r="F38" s="122" t="str">
        <f t="shared" si="11"/>
        <v>21-SANTA BARBARA WPC B</v>
      </c>
      <c r="G38" s="157"/>
      <c r="H38" s="122" t="str">
        <f>D7</f>
        <v>28-NORCO</v>
      </c>
      <c r="I38" s="122"/>
      <c r="J38" s="122">
        <v>26</v>
      </c>
      <c r="K38" s="122">
        <v>30</v>
      </c>
      <c r="L38" s="122" t="str">
        <f t="shared" si="12"/>
        <v>16G-006</v>
      </c>
      <c r="M38" s="109"/>
      <c r="N38" s="109"/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09"/>
      <c r="Z38" s="109"/>
    </row>
    <row r="39" spans="1:26" ht="13.5" customHeight="1">
      <c r="A39" s="155">
        <f t="shared" si="9"/>
        <v>46221</v>
      </c>
      <c r="B39" s="156">
        <f>'CHICLETS MASTER S1'!AL6</f>
        <v>0.36111111111111099</v>
      </c>
      <c r="C39" s="122" t="s">
        <v>163</v>
      </c>
      <c r="D39" s="122" t="str">
        <f t="shared" si="10"/>
        <v>LONG BEACH CC 1</v>
      </c>
      <c r="E39" s="122">
        <v>10</v>
      </c>
      <c r="F39" s="122" t="str">
        <f t="shared" ref="F39:F40" si="13">E5</f>
        <v>5-ARROYO GRANDE</v>
      </c>
      <c r="G39" s="157"/>
      <c r="H39" s="122" t="str">
        <f>E8</f>
        <v>44-GREAT LAKES AQUATICS</v>
      </c>
      <c r="I39" s="122"/>
      <c r="J39" s="122">
        <v>34</v>
      </c>
      <c r="K39" s="122">
        <v>38</v>
      </c>
      <c r="L39" s="122" t="str">
        <f t="shared" si="12"/>
        <v>16G-010</v>
      </c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</row>
    <row r="40" spans="1:26" ht="13.5" customHeight="1">
      <c r="A40" s="155">
        <f t="shared" si="9"/>
        <v>46221</v>
      </c>
      <c r="B40" s="156">
        <f>'CHICLETS MASTER S1'!AL7</f>
        <v>0.39583333333333398</v>
      </c>
      <c r="C40" s="122" t="s">
        <v>163</v>
      </c>
      <c r="D40" s="122" t="str">
        <f t="shared" si="10"/>
        <v>LONG BEACH CC 1</v>
      </c>
      <c r="E40" s="122">
        <v>14</v>
      </c>
      <c r="F40" s="122" t="str">
        <f t="shared" si="13"/>
        <v>20-CHAWP WHITE</v>
      </c>
      <c r="G40" s="157"/>
      <c r="H40" s="122" t="str">
        <f>E7</f>
        <v>29-TEMPLE CITY</v>
      </c>
      <c r="I40" s="122"/>
      <c r="J40" s="122">
        <v>34</v>
      </c>
      <c r="K40" s="122">
        <v>38</v>
      </c>
      <c r="L40" s="122" t="str">
        <f t="shared" si="12"/>
        <v>16G-014</v>
      </c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</row>
    <row r="41" spans="1:26" ht="13.5" customHeight="1">
      <c r="A41" s="155">
        <f t="shared" si="9"/>
        <v>46221</v>
      </c>
      <c r="B41" s="156">
        <f>'CHICLETS MASTER S1'!AL8</f>
        <v>0.43055555555555602</v>
      </c>
      <c r="C41" s="122" t="s">
        <v>163</v>
      </c>
      <c r="D41" s="122" t="str">
        <f t="shared" si="10"/>
        <v>LONG BEACH CC 1</v>
      </c>
      <c r="E41" s="122">
        <v>18</v>
      </c>
      <c r="F41" s="122" t="str">
        <f t="shared" ref="F41:F42" si="14">F5</f>
        <v>6-NEWPORT BEACH</v>
      </c>
      <c r="G41" s="157"/>
      <c r="H41" s="122" t="str">
        <f>F8</f>
        <v>43-NIPC</v>
      </c>
      <c r="I41" s="122"/>
      <c r="J41" s="122">
        <v>42</v>
      </c>
      <c r="K41" s="122">
        <v>46</v>
      </c>
      <c r="L41" s="122" t="str">
        <f t="shared" si="12"/>
        <v>16G-018</v>
      </c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</row>
    <row r="42" spans="1:26" ht="13.5" customHeight="1">
      <c r="A42" s="155">
        <f t="shared" si="9"/>
        <v>46221</v>
      </c>
      <c r="B42" s="156">
        <f>'CHICLETS MASTER S1'!AL9</f>
        <v>0.46527777777777801</v>
      </c>
      <c r="C42" s="122" t="s">
        <v>163</v>
      </c>
      <c r="D42" s="122" t="str">
        <f t="shared" si="10"/>
        <v>LONG BEACH CC 1</v>
      </c>
      <c r="E42" s="122">
        <v>22</v>
      </c>
      <c r="F42" s="122" t="str">
        <f t="shared" si="14"/>
        <v>19-GREENWICH</v>
      </c>
      <c r="G42" s="157"/>
      <c r="H42" s="122" t="str">
        <f>F7</f>
        <v>30-LOWPO</v>
      </c>
      <c r="I42" s="122"/>
      <c r="J42" s="122">
        <v>42</v>
      </c>
      <c r="K42" s="122">
        <v>46</v>
      </c>
      <c r="L42" s="122" t="str">
        <f t="shared" si="12"/>
        <v>16G-022</v>
      </c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</row>
    <row r="43" spans="1:26" ht="13.5" customHeight="1">
      <c r="A43" s="155">
        <f t="shared" si="9"/>
        <v>46221</v>
      </c>
      <c r="B43" s="156">
        <f>'CHICLETS MASTER S1'!AL10</f>
        <v>0.5</v>
      </c>
      <c r="C43" s="122" t="s">
        <v>163</v>
      </c>
      <c r="D43" s="122" t="str">
        <f t="shared" si="10"/>
        <v>LONG BEACH CC 1</v>
      </c>
      <c r="E43" s="122">
        <v>26</v>
      </c>
      <c r="F43" s="122" t="str">
        <f>IF(G37 = "", "W2", IF(G37 &gt; I37, _xlfn.CONCAT("W2-", RIGHT(F37, LEN(F37) - FIND("-", F37))), _xlfn.CONCAT("W2-", RIGHT(H37, LEN(H37) - FIND("-", H37)))))</f>
        <v>W2</v>
      </c>
      <c r="G43" s="122"/>
      <c r="H43" s="122" t="str">
        <f>IF(G38 = "", "W6", IF(G38 &gt; I38, _xlfn.CONCAT("W6-", RIGHT(F38, LEN(F38) - FIND("-", F38))), _xlfn.CONCAT("W6-", RIGHT(H38, LEN(H38) - FIND("-", H38)))))</f>
        <v>W6</v>
      </c>
      <c r="I43" s="122"/>
      <c r="J43" s="122" t="s">
        <v>175</v>
      </c>
      <c r="K43" s="122">
        <v>49</v>
      </c>
      <c r="L43" s="122" t="str">
        <f t="shared" si="12"/>
        <v>16G-026</v>
      </c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109"/>
      <c r="Y43" s="109"/>
      <c r="Z43" s="109"/>
    </row>
    <row r="44" spans="1:26" ht="13.5" customHeight="1">
      <c r="A44" s="155">
        <f t="shared" si="9"/>
        <v>46221</v>
      </c>
      <c r="B44" s="156">
        <f>'CHICLETS MASTER S1'!AL11</f>
        <v>0.53472222222222199</v>
      </c>
      <c r="C44" s="122" t="s">
        <v>163</v>
      </c>
      <c r="D44" s="122" t="str">
        <f t="shared" si="10"/>
        <v>LONG BEACH CC 1</v>
      </c>
      <c r="E44" s="122">
        <v>30</v>
      </c>
      <c r="F44" s="122" t="str">
        <f>IF(G37 = "", "L2", IF(G37 &lt; I37, _xlfn.CONCAT("L2-", RIGHT(F37, LEN(F37) - FIND("-", F37))), _xlfn.CONCAT("L2-", RIGHT(H37, LEN(H37) - FIND("-", H37)))))</f>
        <v>L2</v>
      </c>
      <c r="G44" s="122"/>
      <c r="H44" s="122" t="str">
        <f>IF(G38 = "", "L6", IF(G38 &lt; I38, _xlfn.CONCAT("L6-", RIGHT(F38, LEN(F38) - FIND("-", F38))), _xlfn.CONCAT("L6-", RIGHT(H38, LEN(H38) - FIND("-", H38)))))</f>
        <v>L6</v>
      </c>
      <c r="I44" s="122"/>
      <c r="J44" s="122">
        <v>50</v>
      </c>
      <c r="K44" s="122" t="s">
        <v>705</v>
      </c>
      <c r="L44" s="122" t="str">
        <f t="shared" si="12"/>
        <v>16G-030</v>
      </c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</row>
    <row r="45" spans="1:26" ht="13.5" customHeight="1">
      <c r="A45" s="155">
        <f t="shared" si="9"/>
        <v>46221</v>
      </c>
      <c r="B45" s="156">
        <f>'CHICLETS MASTER S1'!AL12</f>
        <v>0.56944444444444497</v>
      </c>
      <c r="C45" s="122" t="s">
        <v>163</v>
      </c>
      <c r="D45" s="122" t="str">
        <f t="shared" si="10"/>
        <v>LONG BEACH CC 1</v>
      </c>
      <c r="E45" s="122">
        <v>34</v>
      </c>
      <c r="F45" s="122" t="str">
        <f>IF(G39 = "", "W10", IF(G39 &gt; I39, _xlfn.CONCAT("W10-", RIGHT(F39, LEN(F39) - FIND("-", F39))), _xlfn.CONCAT("W10-", RIGHT(H39, LEN(H39) - FIND("-", H39)))))</f>
        <v>W10</v>
      </c>
      <c r="G45" s="157"/>
      <c r="H45" s="122" t="str">
        <f>IF(G40 = "", "W14", IF(G40 &gt; I40, _xlfn.CONCAT("W14-", RIGHT(F40, LEN(F40) - FIND("-", F40))), _xlfn.CONCAT("W14-", RIGHT(H40, LEN(H40) - FIND("-", H40)))))</f>
        <v>W14</v>
      </c>
      <c r="I45" s="122"/>
      <c r="J45" s="122" t="s">
        <v>177</v>
      </c>
      <c r="K45" s="122">
        <v>58</v>
      </c>
      <c r="L45" s="122" t="str">
        <f t="shared" si="12"/>
        <v>16G-034</v>
      </c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</row>
    <row r="46" spans="1:26" ht="13.5" customHeight="1">
      <c r="A46" s="155">
        <f t="shared" si="9"/>
        <v>46221</v>
      </c>
      <c r="B46" s="156">
        <f>'CHICLETS MASTER S1'!AL13</f>
        <v>0.60416666666666696</v>
      </c>
      <c r="C46" s="122" t="s">
        <v>163</v>
      </c>
      <c r="D46" s="122" t="str">
        <f t="shared" si="10"/>
        <v>LONG BEACH CC 1</v>
      </c>
      <c r="E46" s="122">
        <v>38</v>
      </c>
      <c r="F46" s="122" t="str">
        <f>IF(G39 = "", "L10", IF(G39 &lt; I39, _xlfn.CONCAT("L10-", RIGHT(F39, LEN(F39) - FIND("-", F39))), _xlfn.CONCAT("L10-", RIGHT(H39, LEN(H39) - FIND("-", H39)))))</f>
        <v>L10</v>
      </c>
      <c r="G46" s="157"/>
      <c r="H46" s="122" t="str">
        <f>IF(G40 = "", "L14", IF(G40 &lt; I40, _xlfn.CONCAT("L14-", RIGHT(F40, LEN(F40) - FIND("-", F40))), _xlfn.CONCAT("L14-", RIGHT(H40, LEN(H40) - FIND("-", H40)))))</f>
        <v>L14</v>
      </c>
      <c r="I46" s="122"/>
      <c r="J46" s="122">
        <v>54</v>
      </c>
      <c r="K46" s="122" t="s">
        <v>710</v>
      </c>
      <c r="L46" s="122" t="str">
        <f t="shared" si="12"/>
        <v>16G-038</v>
      </c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</row>
    <row r="47" spans="1:26" ht="13.5" customHeight="1">
      <c r="A47" s="155">
        <f t="shared" si="9"/>
        <v>46221</v>
      </c>
      <c r="B47" s="156">
        <f>'CHICLETS MASTER S1'!AL14</f>
        <v>0.63888888888888895</v>
      </c>
      <c r="C47" s="122" t="s">
        <v>163</v>
      </c>
      <c r="D47" s="122" t="str">
        <f t="shared" si="10"/>
        <v>LONG BEACH CC 1</v>
      </c>
      <c r="E47" s="122">
        <v>42</v>
      </c>
      <c r="F47" s="122" t="str">
        <f>IF(G41 = "", "W18", IF(G41 &gt; I41, _xlfn.CONCAT("W18-", RIGHT(F41, LEN(F41) - FIND("-", F41))), _xlfn.CONCAT("W18-", RIGHT(H41, LEN(H41) - FIND("-", H41)))))</f>
        <v>W18</v>
      </c>
      <c r="G47" s="157"/>
      <c r="H47" s="122" t="str">
        <f>IF(G42 = "", "W22", IF(G42 &gt; I42, _xlfn.CONCAT("W22-", RIGHT(F42, LEN(F42) - FIND("-", F42))), _xlfn.CONCAT("W22-", RIGHT(H42, LEN(H42) - FIND("-", H42)))))</f>
        <v>W22</v>
      </c>
      <c r="I47" s="122"/>
      <c r="J47" s="122" t="s">
        <v>176</v>
      </c>
      <c r="K47" s="122">
        <v>54</v>
      </c>
      <c r="L47" s="122" t="str">
        <f t="shared" si="12"/>
        <v>16G-042</v>
      </c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</row>
    <row r="48" spans="1:26" ht="13.5" customHeight="1">
      <c r="A48" s="155">
        <f t="shared" si="9"/>
        <v>46221</v>
      </c>
      <c r="B48" s="156">
        <f>'CHICLETS MASTER S1'!AL15</f>
        <v>0.67361111111111105</v>
      </c>
      <c r="C48" s="122" t="s">
        <v>163</v>
      </c>
      <c r="D48" s="122" t="str">
        <f t="shared" si="10"/>
        <v>LONG BEACH CC 1</v>
      </c>
      <c r="E48" s="122">
        <v>46</v>
      </c>
      <c r="F48" s="122" t="str">
        <f>IF(G41 = "", "L18", IF(G41 &lt; I41, _xlfn.CONCAT("L18-", RIGHT(F41, LEN(F41) - FIND("-", F41))), _xlfn.CONCAT("L18-", RIGHT(H41, LEN(H41) - FIND("-", H41)))))</f>
        <v>L18</v>
      </c>
      <c r="G48" s="157"/>
      <c r="H48" s="122" t="str">
        <f>IF(G42 = "", "L22", IF(G42 &lt; I42, _xlfn.CONCAT("L22-", RIGHT(F42, LEN(F42) - FIND("-", F42))), _xlfn.CONCAT("L22-", RIGHT(H42, LEN(H42) - FIND("-", H42)))))</f>
        <v>L22</v>
      </c>
      <c r="I48" s="122"/>
      <c r="J48" s="122">
        <v>58</v>
      </c>
      <c r="K48" s="122" t="s">
        <v>689</v>
      </c>
      <c r="L48" s="122" t="str">
        <f t="shared" si="12"/>
        <v>16G-046</v>
      </c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</row>
    <row r="49" spans="1:26" ht="13.5" customHeight="1">
      <c r="A49" s="158"/>
      <c r="B49" s="106" t="s">
        <v>204</v>
      </c>
      <c r="C49" s="106"/>
      <c r="D49" s="106"/>
      <c r="E49" s="106"/>
      <c r="F49" s="106"/>
      <c r="G49" s="110"/>
      <c r="H49" s="106"/>
      <c r="I49" s="106"/>
      <c r="J49" s="106"/>
      <c r="K49" s="106"/>
      <c r="L49" s="106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</row>
    <row r="50" spans="1:26" ht="13.5" customHeight="1">
      <c r="A50" s="155">
        <f t="shared" ref="A50:A52" si="15">$A$2</f>
        <v>46221</v>
      </c>
      <c r="B50" s="156">
        <f>'CHICLETS MASTER S1'!AL17</f>
        <v>0.74305555555555602</v>
      </c>
      <c r="C50" s="122" t="s">
        <v>275</v>
      </c>
      <c r="D50" s="122" t="str">
        <f t="shared" ref="D50:D52" si="16">$D$35</f>
        <v>LONG BEACH CC 1</v>
      </c>
      <c r="E50" s="122">
        <v>50</v>
      </c>
      <c r="F50" s="162" t="str">
        <f>IF(G24 = "", "L25", IF(G24 &lt; I24, _xlfn.CONCAT("L25-", RIGHT(F24, LEN(F24) - FIND("-", F24))), _xlfn.CONCAT("L25-", RIGHT(H24, LEN(H24) - FIND("-", H24)))))</f>
        <v>L25</v>
      </c>
      <c r="G50" s="122"/>
      <c r="H50" s="122" t="str">
        <f>IF(G44 = "", "W30", IF(G44 &gt; I44, _xlfn.CONCAT("W30-", RIGHT(F44, LEN(F44) - FIND("-", F44))), _xlfn.CONCAT("W30-", RIGHT(H44, LEN(H44) - FIND("-", H44)))))</f>
        <v>W30</v>
      </c>
      <c r="I50" s="122"/>
      <c r="J50" s="122" t="s">
        <v>138</v>
      </c>
      <c r="K50" s="122" t="s">
        <v>286</v>
      </c>
      <c r="L50" s="122" t="str">
        <f t="shared" ref="L50:L52" si="17">IF(E50="","",$L$15&amp;"-"&amp;TEXT(E50,"000"))</f>
        <v>16G-050</v>
      </c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</row>
    <row r="51" spans="1:26" ht="13.5" customHeight="1">
      <c r="A51" s="155">
        <f t="shared" si="15"/>
        <v>46221</v>
      </c>
      <c r="B51" s="156">
        <f>'CHICLETS MASTER S1'!AL18</f>
        <v>0.77777777777777801</v>
      </c>
      <c r="C51" s="122" t="s">
        <v>275</v>
      </c>
      <c r="D51" s="122" t="str">
        <f t="shared" si="16"/>
        <v>LONG BEACH CC 1</v>
      </c>
      <c r="E51" s="122">
        <v>54</v>
      </c>
      <c r="F51" s="122" t="str">
        <f>IF(G47 = "", "L42", IF(G47 &lt; I47, _xlfn.CONCAT("L42-", RIGHT(F47, LEN(F47) - FIND("-", F47))), _xlfn.CONCAT("L42-", RIGHT(H47, LEN(H47) - FIND("-", H47)))))</f>
        <v>L42</v>
      </c>
      <c r="G51" s="122"/>
      <c r="H51" s="122" t="str">
        <f>IF(G46 = "", "W38", IF(G46 &gt; I46, _xlfn.CONCAT("W38-", RIGHT(F46, LEN(F46) - FIND("-", F46))), _xlfn.CONCAT("W38-", RIGHT(H46, LEN(H46) - FIND("-", H46)))))</f>
        <v>W38</v>
      </c>
      <c r="I51" s="122"/>
      <c r="J51" s="122" t="s">
        <v>134</v>
      </c>
      <c r="K51" s="122" t="s">
        <v>304</v>
      </c>
      <c r="L51" s="122" t="str">
        <f t="shared" si="17"/>
        <v>16G-054</v>
      </c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</row>
    <row r="52" spans="1:26" ht="13.5" customHeight="1">
      <c r="A52" s="155">
        <f t="shared" si="15"/>
        <v>46221</v>
      </c>
      <c r="B52" s="156">
        <f>'CHICLETS MASTER S1'!AL19</f>
        <v>0.8125</v>
      </c>
      <c r="C52" s="122" t="s">
        <v>275</v>
      </c>
      <c r="D52" s="122" t="str">
        <f t="shared" si="16"/>
        <v>LONG BEACH CC 1</v>
      </c>
      <c r="E52" s="122">
        <v>58</v>
      </c>
      <c r="F52" s="122" t="str">
        <f>IF(G45 = "", "L34", IF(G45 &lt; I45, _xlfn.CONCAT("L34-", RIGHT(F45, LEN(F45) - FIND("-", F45))), _xlfn.CONCAT("L34-", RIGHT(H45, LEN(H45) - FIND("-", H45)))))</f>
        <v>L34</v>
      </c>
      <c r="G52" s="122"/>
      <c r="H52" s="122" t="str">
        <f>IF(G48 = "", "W46", IF(G48 &gt; I48, _xlfn.CONCAT("W46-", RIGHT(F48, LEN(F48) - FIND("-", F48))), _xlfn.CONCAT("W46-", RIGHT(H48, LEN(H48) - FIND("-", H48)))))</f>
        <v>W46</v>
      </c>
      <c r="I52" s="122"/>
      <c r="J52" s="122" t="s">
        <v>146</v>
      </c>
      <c r="K52" s="122" t="s">
        <v>307</v>
      </c>
      <c r="L52" s="122" t="str">
        <f t="shared" si="17"/>
        <v>16G-058</v>
      </c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Z52" s="109"/>
    </row>
    <row r="53" spans="1:26" ht="13.5" customHeight="1" thickBot="1">
      <c r="A53" s="109"/>
      <c r="B53" s="109"/>
      <c r="C53" s="109"/>
      <c r="D53" s="109"/>
      <c r="E53" s="109"/>
      <c r="F53" s="109"/>
      <c r="G53" s="161"/>
      <c r="H53" s="109"/>
      <c r="I53" s="109"/>
      <c r="J53" s="109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109"/>
      <c r="Y53" s="109"/>
      <c r="Z53" s="109"/>
    </row>
    <row r="54" spans="1:26" ht="13.5" customHeight="1" thickBot="1">
      <c r="A54" s="109"/>
      <c r="B54" s="106"/>
      <c r="C54" s="106"/>
      <c r="D54" s="153" t="str">
        <f>'CHICLETS MASTER S1'!$AO$3</f>
        <v>YORBA LINDA HS</v>
      </c>
      <c r="E54" s="163"/>
      <c r="F54" s="109"/>
      <c r="G54" s="161"/>
      <c r="H54" s="109"/>
      <c r="I54" s="106"/>
      <c r="J54" s="106"/>
      <c r="K54" s="106"/>
      <c r="L54" s="106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/>
    </row>
    <row r="55" spans="1:26" ht="13.5" customHeight="1">
      <c r="A55" s="189" t="s">
        <v>110</v>
      </c>
      <c r="B55" s="190" t="s">
        <v>111</v>
      </c>
      <c r="C55" s="190" t="s">
        <v>112</v>
      </c>
      <c r="D55" s="190" t="s">
        <v>113</v>
      </c>
      <c r="E55" s="190" t="s">
        <v>114</v>
      </c>
      <c r="F55" s="190" t="s">
        <v>115</v>
      </c>
      <c r="G55" s="190" t="s">
        <v>116</v>
      </c>
      <c r="H55" s="190" t="s">
        <v>117</v>
      </c>
      <c r="I55" s="190" t="s">
        <v>116</v>
      </c>
      <c r="J55" s="190" t="s">
        <v>118</v>
      </c>
      <c r="K55" s="190" t="s">
        <v>119</v>
      </c>
      <c r="L55" s="190" t="s">
        <v>120</v>
      </c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109"/>
      <c r="Y55" s="109"/>
      <c r="Z55" s="109"/>
    </row>
    <row r="56" spans="1:26" ht="13.5" customHeight="1">
      <c r="A56" s="155">
        <f t="shared" ref="A56:A67" si="18">$A$2</f>
        <v>46221</v>
      </c>
      <c r="B56" s="156">
        <f>'CHICLETS MASTER S1'!AL4</f>
        <v>0.29166666666666669</v>
      </c>
      <c r="C56" s="122" t="s">
        <v>163</v>
      </c>
      <c r="D56" s="122" t="str">
        <f t="shared" ref="D56:D67" si="19">$D$54</f>
        <v>YORBA LINDA HS</v>
      </c>
      <c r="E56" s="122">
        <v>3</v>
      </c>
      <c r="F56" s="122" t="str">
        <f t="shared" ref="F56:F57" si="20">C11</f>
        <v>9-LA JOLLA UNITED</v>
      </c>
      <c r="G56" s="157"/>
      <c r="H56" s="122" t="str">
        <f>C14</f>
        <v>40-VIPER PIGEON HTOWN</v>
      </c>
      <c r="I56" s="122"/>
      <c r="J56" s="122">
        <v>27</v>
      </c>
      <c r="K56" s="122">
        <v>31</v>
      </c>
      <c r="L56" s="122" t="str">
        <f t="shared" ref="L56:L67" si="21">IF(E56="","",$L$15&amp;"-"&amp;TEXT(E56,"000"))</f>
        <v>16G-003</v>
      </c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09"/>
      <c r="Y56" s="109"/>
      <c r="Z56" s="109"/>
    </row>
    <row r="57" spans="1:26" ht="13.5" customHeight="1">
      <c r="A57" s="155">
        <f t="shared" si="18"/>
        <v>46221</v>
      </c>
      <c r="B57" s="156">
        <f>'CHICLETS MASTER S1'!AL5</f>
        <v>0.3263888888888889</v>
      </c>
      <c r="C57" s="122" t="s">
        <v>163</v>
      </c>
      <c r="D57" s="122" t="str">
        <f t="shared" si="19"/>
        <v>YORBA LINDA HS</v>
      </c>
      <c r="E57" s="122">
        <v>7</v>
      </c>
      <c r="F57" s="122" t="str">
        <f t="shared" si="20"/>
        <v>16-CIU</v>
      </c>
      <c r="G57" s="157"/>
      <c r="H57" s="122" t="str">
        <f>C13</f>
        <v>33-ELMHURST</v>
      </c>
      <c r="I57" s="122"/>
      <c r="J57" s="122">
        <v>27</v>
      </c>
      <c r="K57" s="122">
        <v>31</v>
      </c>
      <c r="L57" s="122" t="str">
        <f t="shared" si="21"/>
        <v>16G-007</v>
      </c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  <c r="Z57" s="109"/>
    </row>
    <row r="58" spans="1:26" ht="13.5" customHeight="1">
      <c r="A58" s="155">
        <f t="shared" si="18"/>
        <v>46221</v>
      </c>
      <c r="B58" s="156">
        <f>'CHICLETS MASTER S1'!AL6</f>
        <v>0.36111111111111099</v>
      </c>
      <c r="C58" s="122" t="s">
        <v>163</v>
      </c>
      <c r="D58" s="122" t="str">
        <f t="shared" si="19"/>
        <v>YORBA LINDA HS</v>
      </c>
      <c r="E58" s="122">
        <v>11</v>
      </c>
      <c r="F58" s="122" t="str">
        <f t="shared" ref="F58:F59" si="22">A11</f>
        <v>7-SOUTH COAST RED</v>
      </c>
      <c r="G58" s="157"/>
      <c r="H58" s="122" t="str">
        <f>A14</f>
        <v>42-VISALIA UNITED</v>
      </c>
      <c r="I58" s="122"/>
      <c r="J58" s="122">
        <v>35</v>
      </c>
      <c r="K58" s="122">
        <v>39</v>
      </c>
      <c r="L58" s="122" t="str">
        <f t="shared" si="21"/>
        <v>16G-011</v>
      </c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109"/>
      <c r="Y58" s="109"/>
      <c r="Z58" s="109"/>
    </row>
    <row r="59" spans="1:26" ht="13.5" customHeight="1">
      <c r="A59" s="155">
        <f t="shared" si="18"/>
        <v>46221</v>
      </c>
      <c r="B59" s="156">
        <f>'CHICLETS MASTER S1'!AL7</f>
        <v>0.39583333333333398</v>
      </c>
      <c r="C59" s="122" t="s">
        <v>163</v>
      </c>
      <c r="D59" s="122" t="str">
        <f t="shared" si="19"/>
        <v>YORBA LINDA HS</v>
      </c>
      <c r="E59" s="122">
        <v>15</v>
      </c>
      <c r="F59" s="122" t="str">
        <f t="shared" si="22"/>
        <v>18-MERIDIAN</v>
      </c>
      <c r="G59" s="157"/>
      <c r="H59" s="122" t="str">
        <f>A13</f>
        <v>31-OLYMPUS</v>
      </c>
      <c r="I59" s="122"/>
      <c r="J59" s="122">
        <v>35</v>
      </c>
      <c r="K59" s="122">
        <v>39</v>
      </c>
      <c r="L59" s="122" t="str">
        <f t="shared" si="21"/>
        <v>16G-015</v>
      </c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  <c r="Y59" s="109"/>
      <c r="Z59" s="109"/>
    </row>
    <row r="60" spans="1:26" ht="13.5" customHeight="1">
      <c r="A60" s="155">
        <f t="shared" si="18"/>
        <v>46221</v>
      </c>
      <c r="B60" s="156">
        <f>'CHICLETS MASTER S1'!AL8</f>
        <v>0.43055555555555602</v>
      </c>
      <c r="C60" s="122" t="s">
        <v>163</v>
      </c>
      <c r="D60" s="122" t="str">
        <f t="shared" si="19"/>
        <v>YORBA LINDA HS</v>
      </c>
      <c r="E60" s="122">
        <v>19</v>
      </c>
      <c r="F60" s="122" t="str">
        <f t="shared" ref="F60:F61" si="23">B11</f>
        <v>8-680 RED</v>
      </c>
      <c r="G60" s="157"/>
      <c r="H60" s="122" t="str">
        <f>B14</f>
        <v>41-VIPER PIGEON HILL COUNTRY</v>
      </c>
      <c r="I60" s="122"/>
      <c r="J60" s="122">
        <v>43</v>
      </c>
      <c r="K60" s="122">
        <v>47</v>
      </c>
      <c r="L60" s="122" t="str">
        <f t="shared" si="21"/>
        <v>16G-019</v>
      </c>
      <c r="M60" s="109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109"/>
      <c r="Y60" s="109"/>
      <c r="Z60" s="109"/>
    </row>
    <row r="61" spans="1:26" ht="13.5" customHeight="1">
      <c r="A61" s="155">
        <f t="shared" si="18"/>
        <v>46221</v>
      </c>
      <c r="B61" s="156">
        <f>'CHICLETS MASTER S1'!AL9</f>
        <v>0.46527777777777801</v>
      </c>
      <c r="C61" s="122" t="s">
        <v>163</v>
      </c>
      <c r="D61" s="122" t="str">
        <f t="shared" si="19"/>
        <v>YORBA LINDA HS</v>
      </c>
      <c r="E61" s="122">
        <v>23</v>
      </c>
      <c r="F61" s="122" t="str">
        <f t="shared" si="23"/>
        <v>17-SD SHORES GOLD</v>
      </c>
      <c r="G61" s="157"/>
      <c r="H61" s="122" t="str">
        <f>B13</f>
        <v>32-BULLDOG</v>
      </c>
      <c r="I61" s="122"/>
      <c r="J61" s="122">
        <v>43</v>
      </c>
      <c r="K61" s="122">
        <v>47</v>
      </c>
      <c r="L61" s="122" t="str">
        <f t="shared" si="21"/>
        <v>16G-023</v>
      </c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109"/>
      <c r="Z61" s="109"/>
    </row>
    <row r="62" spans="1:26" ht="13.5" customHeight="1">
      <c r="A62" s="155">
        <f t="shared" si="18"/>
        <v>46221</v>
      </c>
      <c r="B62" s="156">
        <f>'CHICLETS MASTER S1'!AL10</f>
        <v>0.5</v>
      </c>
      <c r="C62" s="122" t="s">
        <v>163</v>
      </c>
      <c r="D62" s="122" t="str">
        <f t="shared" si="19"/>
        <v>YORBA LINDA HS</v>
      </c>
      <c r="E62" s="122">
        <v>27</v>
      </c>
      <c r="F62" s="122" t="str">
        <f>IF(G56 = "", "W3", IF(G56 &gt; I56, _xlfn.CONCAT("W3-", RIGHT(F56, LEN(F56) - FIND("-", F56))), _xlfn.CONCAT("W3-", RIGHT(H56, LEN(H56) - FIND("-", H56)))))</f>
        <v>W3</v>
      </c>
      <c r="G62" s="157"/>
      <c r="H62" s="122" t="str">
        <f>IF(G57 = "", "W7", IF(G57 &gt; I57, _xlfn.CONCAT("W7-", RIGHT(F57, LEN(F57) - FIND("-", F57))), _xlfn.CONCAT("W7-", RIGHT(H57, LEN(H57) - FIND("-", H57)))))</f>
        <v>W7</v>
      </c>
      <c r="I62" s="122"/>
      <c r="J62" s="122" t="s">
        <v>145</v>
      </c>
      <c r="K62" s="122">
        <v>52</v>
      </c>
      <c r="L62" s="122" t="str">
        <f t="shared" si="21"/>
        <v>16G-027</v>
      </c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109"/>
    </row>
    <row r="63" spans="1:26" ht="13.5" customHeight="1">
      <c r="A63" s="155">
        <f t="shared" si="18"/>
        <v>46221</v>
      </c>
      <c r="B63" s="156">
        <f>'CHICLETS MASTER S1'!AL11</f>
        <v>0.53472222222222199</v>
      </c>
      <c r="C63" s="122" t="s">
        <v>163</v>
      </c>
      <c r="D63" s="122" t="str">
        <f t="shared" si="19"/>
        <v>YORBA LINDA HS</v>
      </c>
      <c r="E63" s="122">
        <v>31</v>
      </c>
      <c r="F63" s="122" t="str">
        <f>IF(G56 = "", "L3", IF(G56 &lt; I56, _xlfn.CONCAT("L3-", RIGHT(F56, LEN(F56) - FIND("-", F56))), _xlfn.CONCAT("L3-", RIGHT(H56, LEN(H56) - FIND("-", H56)))))</f>
        <v>L3</v>
      </c>
      <c r="G63" s="157"/>
      <c r="H63" s="122" t="str">
        <f>IF(G57 = "", "L7", IF(G57 &lt; I57, _xlfn.CONCAT("L7-", RIGHT(F57, LEN(F57) - FIND("-", F57))), _xlfn.CONCAT("L7-", RIGHT(H57, LEN(H57) - FIND("-", H57)))))</f>
        <v>L7</v>
      </c>
      <c r="I63" s="122"/>
      <c r="J63" s="122">
        <v>51</v>
      </c>
      <c r="K63" s="122" t="s">
        <v>1042</v>
      </c>
      <c r="L63" s="122" t="str">
        <f t="shared" si="21"/>
        <v>16G-031</v>
      </c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109"/>
      <c r="Y63" s="109"/>
      <c r="Z63" s="109"/>
    </row>
    <row r="64" spans="1:26" ht="13.5" customHeight="1">
      <c r="A64" s="155">
        <f t="shared" si="18"/>
        <v>46221</v>
      </c>
      <c r="B64" s="156">
        <f>'CHICLETS MASTER S1'!AL12</f>
        <v>0.56944444444444497</v>
      </c>
      <c r="C64" s="122" t="s">
        <v>163</v>
      </c>
      <c r="D64" s="122" t="str">
        <f t="shared" si="19"/>
        <v>YORBA LINDA HS</v>
      </c>
      <c r="E64" s="122">
        <v>35</v>
      </c>
      <c r="F64" s="122" t="str">
        <f>IF(G58 = "", "W11", IF(G58 &gt; I58, _xlfn.CONCAT("W11-", RIGHT(F58, LEN(F58) - FIND("-", F58))), _xlfn.CONCAT("W11-", RIGHT(H58, LEN(H58) - FIND("-", H58)))))</f>
        <v>W11</v>
      </c>
      <c r="G64" s="157"/>
      <c r="H64" s="122" t="str">
        <f>IF(G59 = "", "W15", IF(G59 &gt; I59, _xlfn.CONCAT("W15-", RIGHT(F59, LEN(F59) - FIND("-", F59))), _xlfn.CONCAT("W15-", RIGHT(H59, LEN(H59) - FIND("-", H59)))))</f>
        <v>W15</v>
      </c>
      <c r="I64" s="122"/>
      <c r="J64" s="122" t="s">
        <v>137</v>
      </c>
      <c r="K64" s="122">
        <v>59</v>
      </c>
      <c r="L64" s="122" t="str">
        <f t="shared" si="21"/>
        <v>16G-035</v>
      </c>
      <c r="M64" s="109"/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109"/>
      <c r="Y64" s="109"/>
      <c r="Z64" s="109"/>
    </row>
    <row r="65" spans="1:26" ht="13.5" customHeight="1">
      <c r="A65" s="155">
        <f t="shared" si="18"/>
        <v>46221</v>
      </c>
      <c r="B65" s="156">
        <f>'CHICLETS MASTER S1'!AL13</f>
        <v>0.60416666666666696</v>
      </c>
      <c r="C65" s="122" t="s">
        <v>163</v>
      </c>
      <c r="D65" s="122" t="str">
        <f t="shared" si="19"/>
        <v>YORBA LINDA HS</v>
      </c>
      <c r="E65" s="122">
        <v>39</v>
      </c>
      <c r="F65" s="122" t="str">
        <f>IF(G58 = "", "L11", IF(G58 &lt; I58, _xlfn.CONCAT("L11-", RIGHT(F58, LEN(F58) - FIND("-", F58))), _xlfn.CONCAT("L11-", RIGHT(H58, LEN(H58) - FIND("-", H58)))))</f>
        <v>L11</v>
      </c>
      <c r="G65" s="157"/>
      <c r="H65" s="122" t="str">
        <f>IF(G59 = "", "L15", IF(G59 &lt; I59, _xlfn.CONCAT("L15-", RIGHT(F59, LEN(F59) - FIND("-", F59))), _xlfn.CONCAT("L15-", RIGHT(H59, LEN(H59) - FIND("-", H59)))))</f>
        <v>L15</v>
      </c>
      <c r="I65" s="122"/>
      <c r="J65" s="122">
        <v>55</v>
      </c>
      <c r="K65" s="122" t="s">
        <v>694</v>
      </c>
      <c r="L65" s="122" t="str">
        <f t="shared" si="21"/>
        <v>16G-039</v>
      </c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109"/>
      <c r="Y65" s="109"/>
      <c r="Z65" s="109"/>
    </row>
    <row r="66" spans="1:26" ht="13.5" customHeight="1">
      <c r="A66" s="155">
        <f t="shared" si="18"/>
        <v>46221</v>
      </c>
      <c r="B66" s="156">
        <f>'CHICLETS MASTER S1'!AL14</f>
        <v>0.63888888888888895</v>
      </c>
      <c r="C66" s="122" t="s">
        <v>163</v>
      </c>
      <c r="D66" s="122" t="str">
        <f t="shared" si="19"/>
        <v>YORBA LINDA HS</v>
      </c>
      <c r="E66" s="122">
        <v>43</v>
      </c>
      <c r="F66" s="122" t="str">
        <f>IF(G60 = "", "W19", IF(G60 &gt; I60, _xlfn.CONCAT("W19-", RIGHT(F60, LEN(F60) - FIND("-", F60))), _xlfn.CONCAT("W19-", RIGHT(H60, LEN(H60) - FIND("-", H60)))))</f>
        <v>W19</v>
      </c>
      <c r="G66" s="157"/>
      <c r="H66" s="122" t="str">
        <f>IF(G61 = "", "W23", IF(G61 &gt; I61, _xlfn.CONCAT("W23-", RIGHT(F61, LEN(F61) - FIND("-", F61))), _xlfn.CONCAT("W23-", RIGHT(H61, LEN(H61) - FIND("-", H61)))))</f>
        <v>W23</v>
      </c>
      <c r="I66" s="122"/>
      <c r="J66" s="122" t="s">
        <v>141</v>
      </c>
      <c r="K66" s="122">
        <v>55</v>
      </c>
      <c r="L66" s="122" t="str">
        <f t="shared" si="21"/>
        <v>16G-043</v>
      </c>
      <c r="M66" s="109"/>
      <c r="N66" s="109"/>
      <c r="O66" s="109"/>
      <c r="P66" s="109"/>
      <c r="Q66" s="109"/>
      <c r="R66" s="109"/>
      <c r="S66" s="109"/>
      <c r="T66" s="109"/>
      <c r="U66" s="109"/>
      <c r="V66" s="109"/>
      <c r="W66" s="109"/>
      <c r="X66" s="109"/>
      <c r="Y66" s="109"/>
      <c r="Z66" s="109"/>
    </row>
    <row r="67" spans="1:26" ht="13.5" customHeight="1">
      <c r="A67" s="155">
        <f t="shared" si="18"/>
        <v>46221</v>
      </c>
      <c r="B67" s="156">
        <f>'CHICLETS MASTER S1'!AL15</f>
        <v>0.67361111111111105</v>
      </c>
      <c r="C67" s="122" t="s">
        <v>163</v>
      </c>
      <c r="D67" s="122" t="str">
        <f t="shared" si="19"/>
        <v>YORBA LINDA HS</v>
      </c>
      <c r="E67" s="122">
        <v>47</v>
      </c>
      <c r="F67" s="122" t="str">
        <f>IF(G60 = "", "L19", IF(G60 &lt; I60, _xlfn.CONCAT("L19-", RIGHT(F60, LEN(F60) - FIND("-", F60))), _xlfn.CONCAT("L19-", RIGHT(H60, LEN(H60) - FIND("-", H60)))))</f>
        <v>L19</v>
      </c>
      <c r="G67" s="157"/>
      <c r="H67" s="122" t="str">
        <f>IF(G61 = "", "L23", IF(G61 &lt; I61, _xlfn.CONCAT("L23-", RIGHT(F61, LEN(F61) - FIND("-", F61))), _xlfn.CONCAT("L23-", RIGHT(H61, LEN(H61) - FIND("-", H61)))))</f>
        <v>L23</v>
      </c>
      <c r="I67" s="122"/>
      <c r="J67" s="122">
        <v>59</v>
      </c>
      <c r="K67" s="122" t="s">
        <v>1292</v>
      </c>
      <c r="L67" s="122" t="str">
        <f t="shared" si="21"/>
        <v>16G-047</v>
      </c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</row>
    <row r="68" spans="1:26" ht="13.5" customHeight="1">
      <c r="A68" s="158"/>
      <c r="B68" s="106" t="s">
        <v>204</v>
      </c>
      <c r="C68" s="106"/>
      <c r="D68" s="106"/>
      <c r="E68" s="106"/>
      <c r="F68" s="106"/>
      <c r="G68" s="110"/>
      <c r="H68" s="106"/>
      <c r="I68" s="106"/>
      <c r="J68" s="106"/>
      <c r="K68" s="106"/>
      <c r="L68" s="106"/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9"/>
      <c r="Z68" s="109"/>
    </row>
    <row r="69" spans="1:26" ht="13.5" customHeight="1">
      <c r="A69" s="155">
        <f t="shared" ref="A69:A71" si="24">$A$2</f>
        <v>46221</v>
      </c>
      <c r="B69" s="156">
        <f>'CHICLETS MASTER S1'!AL17</f>
        <v>0.74305555555555602</v>
      </c>
      <c r="C69" s="122" t="s">
        <v>275</v>
      </c>
      <c r="D69" s="122" t="str">
        <f t="shared" ref="D69:D71" si="25">$D$54</f>
        <v>YORBA LINDA HS</v>
      </c>
      <c r="E69" s="122">
        <v>51</v>
      </c>
      <c r="F69" s="162" t="str">
        <f>IF(G81 = "", "L28", IF(G81 &lt; I81, _xlfn.CONCAT("L28-", RIGHT(F81, LEN(F81) - FIND("-", F81))), _xlfn.CONCAT("L28-", RIGHT(H81, LEN(H81) - FIND("-", H81)))))</f>
        <v>L28</v>
      </c>
      <c r="G69" s="157"/>
      <c r="H69" s="121" t="str">
        <f>IF(G63 = "", "W31", IF(G63 &gt; I63, _xlfn.CONCAT("W31-", RIGHT(F63, LEN(F63) - FIND("-", F63))), _xlfn.CONCAT("W31-", RIGHT(H63, LEN(H63) - FIND("-", H63)))))</f>
        <v>W31</v>
      </c>
      <c r="I69" s="122"/>
      <c r="J69" s="122" t="s">
        <v>318</v>
      </c>
      <c r="K69" s="122" t="s">
        <v>319</v>
      </c>
      <c r="L69" s="122" t="str">
        <f t="shared" ref="L69:L71" si="26">IF(E69="","",$L$15&amp;"-"&amp;TEXT(E69,"000"))</f>
        <v>16G-051</v>
      </c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</row>
    <row r="70" spans="1:26" ht="13.5" customHeight="1">
      <c r="A70" s="155">
        <f t="shared" si="24"/>
        <v>46221</v>
      </c>
      <c r="B70" s="156">
        <f>'CHICLETS MASTER S1'!AL18</f>
        <v>0.77777777777777801</v>
      </c>
      <c r="C70" s="122" t="s">
        <v>275</v>
      </c>
      <c r="D70" s="122" t="str">
        <f t="shared" si="25"/>
        <v>YORBA LINDA HS</v>
      </c>
      <c r="E70" s="122">
        <v>55</v>
      </c>
      <c r="F70" s="122" t="str">
        <f>IF(G66 = "", "L43", IF(G66 &lt; I66, _xlfn.CONCAT("L43-", RIGHT(F66, LEN(F66) - FIND("-", F66))), _xlfn.CONCAT("L43-", RIGHT(H66, LEN(H66) - FIND("-", H66)))))</f>
        <v>L43</v>
      </c>
      <c r="G70" s="157"/>
      <c r="H70" s="122" t="str">
        <f>IF(G65 = "", "W39", IF(G65 &gt; I65, _xlfn.CONCAT("W39-", RIGHT(F65, LEN(F65) - FIND("-", F65))), _xlfn.CONCAT("W39-", RIGHT(H65, LEN(H65) - FIND("-", H65)))))</f>
        <v>W39</v>
      </c>
      <c r="I70" s="122"/>
      <c r="J70" s="122" t="s">
        <v>296</v>
      </c>
      <c r="K70" s="122" t="s">
        <v>297</v>
      </c>
      <c r="L70" s="122" t="str">
        <f t="shared" si="26"/>
        <v>16G-055</v>
      </c>
      <c r="M70" s="109"/>
      <c r="N70" s="109"/>
      <c r="O70" s="109"/>
      <c r="P70" s="109"/>
      <c r="Q70" s="109"/>
      <c r="R70" s="109"/>
      <c r="S70" s="109"/>
      <c r="T70" s="109"/>
      <c r="U70" s="109"/>
      <c r="V70" s="109"/>
      <c r="W70" s="109"/>
      <c r="X70" s="109"/>
      <c r="Y70" s="109"/>
      <c r="Z70" s="109"/>
    </row>
    <row r="71" spans="1:26" ht="13.5" customHeight="1">
      <c r="A71" s="155">
        <f t="shared" si="24"/>
        <v>46221</v>
      </c>
      <c r="B71" s="156">
        <f>'CHICLETS MASTER S1'!AL19</f>
        <v>0.8125</v>
      </c>
      <c r="C71" s="122" t="s">
        <v>275</v>
      </c>
      <c r="D71" s="122" t="str">
        <f t="shared" si="25"/>
        <v>YORBA LINDA HS</v>
      </c>
      <c r="E71" s="122">
        <v>59</v>
      </c>
      <c r="F71" s="122" t="str">
        <f>IF(G64 = "", "L35", IF(G64 &lt; I64, _xlfn.CONCAT("L35-", RIGHT(F64, LEN(F64) - FIND("-", F64))), _xlfn.CONCAT("L35-", RIGHT(H64, LEN(H64) - FIND("-", H64)))))</f>
        <v>L35</v>
      </c>
      <c r="G71" s="157"/>
      <c r="H71" s="122" t="str">
        <f>IF(G67 = "", "W47", IF(G67 &gt; I67, _xlfn.CONCAT("W47-", RIGHT(F67, LEN(F67) - FIND("-", F67))), _xlfn.CONCAT("W47-", RIGHT(H67, LEN(H67) - FIND("-", H67)))))</f>
        <v>W47</v>
      </c>
      <c r="I71" s="122"/>
      <c r="J71" s="122" t="s">
        <v>300</v>
      </c>
      <c r="K71" s="122" t="s">
        <v>301</v>
      </c>
      <c r="L71" s="122" t="str">
        <f t="shared" si="26"/>
        <v>16G-059</v>
      </c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109"/>
      <c r="Y71" s="109"/>
      <c r="Z71" s="109"/>
    </row>
    <row r="72" spans="1:26" ht="13.5" customHeight="1" thickBot="1">
      <c r="A72" s="159"/>
      <c r="B72" s="160"/>
      <c r="C72" s="106"/>
      <c r="D72" s="106"/>
      <c r="E72" s="106"/>
      <c r="F72" s="109"/>
      <c r="G72" s="161"/>
      <c r="H72" s="109"/>
      <c r="I72" s="106"/>
      <c r="J72" s="106"/>
      <c r="K72" s="106"/>
      <c r="L72" s="106"/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109"/>
      <c r="Y72" s="109"/>
      <c r="Z72" s="109"/>
    </row>
    <row r="73" spans="1:26" ht="13.5" customHeight="1" thickBot="1">
      <c r="A73" s="106"/>
      <c r="B73" s="106"/>
      <c r="C73" s="106"/>
      <c r="D73" s="153" t="str">
        <f>'CHICLETS MASTER S1'!$AJ$3</f>
        <v>LA SERNA HS</v>
      </c>
      <c r="E73" s="109"/>
      <c r="F73" s="109"/>
      <c r="G73" s="161"/>
      <c r="H73" s="109"/>
      <c r="I73" s="106"/>
      <c r="J73" s="106"/>
      <c r="K73" s="106"/>
      <c r="L73" s="106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</row>
    <row r="74" spans="1:26" ht="13.5" customHeight="1">
      <c r="A74" s="189" t="s">
        <v>110</v>
      </c>
      <c r="B74" s="190" t="s">
        <v>111</v>
      </c>
      <c r="C74" s="190" t="s">
        <v>112</v>
      </c>
      <c r="D74" s="190" t="s">
        <v>113</v>
      </c>
      <c r="E74" s="190" t="s">
        <v>114</v>
      </c>
      <c r="F74" s="190" t="s">
        <v>115</v>
      </c>
      <c r="G74" s="190" t="s">
        <v>116</v>
      </c>
      <c r="H74" s="190" t="s">
        <v>117</v>
      </c>
      <c r="I74" s="190" t="s">
        <v>116</v>
      </c>
      <c r="J74" s="190" t="s">
        <v>118</v>
      </c>
      <c r="K74" s="190" t="s">
        <v>119</v>
      </c>
      <c r="L74" s="190" t="s">
        <v>120</v>
      </c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</row>
    <row r="75" spans="1:26" ht="13.5" customHeight="1">
      <c r="A75" s="155">
        <f t="shared" ref="A75:A86" si="27">$A$2</f>
        <v>46221</v>
      </c>
      <c r="B75" s="156">
        <f>'CHICLETS MASTER S1'!Z4</f>
        <v>0.29166666666666669</v>
      </c>
      <c r="C75" s="122" t="s">
        <v>163</v>
      </c>
      <c r="D75" s="122" t="str">
        <f t="shared" ref="D75:D86" si="28">$D$73</f>
        <v>LA SERNA HS</v>
      </c>
      <c r="E75" s="122">
        <v>4</v>
      </c>
      <c r="F75" s="122" t="str">
        <f t="shared" ref="F75:F76" si="29">D11</f>
        <v>10-LEGACY</v>
      </c>
      <c r="G75" s="157"/>
      <c r="H75" s="122" t="str">
        <f>D14</f>
        <v>39-LYONS AQUATICS</v>
      </c>
      <c r="I75" s="122"/>
      <c r="J75" s="122">
        <v>28</v>
      </c>
      <c r="K75" s="122">
        <v>32</v>
      </c>
      <c r="L75" s="122" t="str">
        <f t="shared" ref="L75:L86" si="30">IF(E75="","",$L$15&amp;"-"&amp;TEXT(E75,"000"))</f>
        <v>16G-004</v>
      </c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109"/>
      <c r="Y75" s="109"/>
      <c r="Z75" s="109"/>
    </row>
    <row r="76" spans="1:26" ht="13.5" customHeight="1">
      <c r="A76" s="155">
        <f t="shared" si="27"/>
        <v>46221</v>
      </c>
      <c r="B76" s="156">
        <f>'CHICLETS MASTER S1'!Z5</f>
        <v>0.3263888888888889</v>
      </c>
      <c r="C76" s="122" t="s">
        <v>163</v>
      </c>
      <c r="D76" s="122" t="str">
        <f t="shared" si="28"/>
        <v>LA SERNA HS</v>
      </c>
      <c r="E76" s="122">
        <v>8</v>
      </c>
      <c r="F76" s="122" t="str">
        <f t="shared" si="29"/>
        <v>15-LB VIKING</v>
      </c>
      <c r="G76" s="157"/>
      <c r="H76" s="122" t="str">
        <f>D13</f>
        <v>34-LONGHORN</v>
      </c>
      <c r="I76" s="122"/>
      <c r="J76" s="122">
        <v>28</v>
      </c>
      <c r="K76" s="122">
        <v>32</v>
      </c>
      <c r="L76" s="122" t="str">
        <f t="shared" si="30"/>
        <v>16G-008</v>
      </c>
      <c r="M76" s="109"/>
      <c r="N76" s="109"/>
      <c r="O76" s="109"/>
      <c r="P76" s="109"/>
      <c r="Q76" s="109"/>
      <c r="R76" s="109"/>
      <c r="S76" s="109"/>
      <c r="T76" s="109"/>
      <c r="U76" s="109"/>
      <c r="V76" s="109"/>
      <c r="W76" s="109"/>
      <c r="X76" s="109"/>
      <c r="Y76" s="109"/>
      <c r="Z76" s="109"/>
    </row>
    <row r="77" spans="1:26" ht="13.5" customHeight="1">
      <c r="A77" s="155">
        <f t="shared" si="27"/>
        <v>46221</v>
      </c>
      <c r="B77" s="156">
        <f>'CHICLETS MASTER S1'!Z6</f>
        <v>0.36111111111111099</v>
      </c>
      <c r="C77" s="122" t="s">
        <v>163</v>
      </c>
      <c r="D77" s="122" t="str">
        <f t="shared" si="28"/>
        <v>LA SERNA HS</v>
      </c>
      <c r="E77" s="122">
        <v>12</v>
      </c>
      <c r="F77" s="122" t="str">
        <f t="shared" ref="F77:F78" si="31">E11</f>
        <v>11-SANTA CRUZ</v>
      </c>
      <c r="G77" s="157"/>
      <c r="H77" s="122" t="str">
        <f>E14</f>
        <v>38-RAIN CITY</v>
      </c>
      <c r="I77" s="122"/>
      <c r="J77" s="122">
        <v>36</v>
      </c>
      <c r="K77" s="122">
        <v>40</v>
      </c>
      <c r="L77" s="122" t="str">
        <f t="shared" si="30"/>
        <v>16G-012</v>
      </c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109"/>
      <c r="Y77" s="109"/>
      <c r="Z77" s="109"/>
    </row>
    <row r="78" spans="1:26" ht="13.5" customHeight="1">
      <c r="A78" s="155">
        <f t="shared" si="27"/>
        <v>46221</v>
      </c>
      <c r="B78" s="156">
        <f>'CHICLETS MASTER S1'!Z7</f>
        <v>0.39583333333333398</v>
      </c>
      <c r="C78" s="122" t="s">
        <v>163</v>
      </c>
      <c r="D78" s="122" t="str">
        <f t="shared" si="28"/>
        <v>LA SERNA HS</v>
      </c>
      <c r="E78" s="122">
        <v>16</v>
      </c>
      <c r="F78" s="122" t="str">
        <f t="shared" si="31"/>
        <v>14-PATRIOT</v>
      </c>
      <c r="G78" s="157"/>
      <c r="H78" s="122" t="str">
        <f>E13</f>
        <v>35-DAVIS</v>
      </c>
      <c r="I78" s="122"/>
      <c r="J78" s="122">
        <v>36</v>
      </c>
      <c r="K78" s="122">
        <v>40</v>
      </c>
      <c r="L78" s="122" t="str">
        <f t="shared" si="30"/>
        <v>16G-016</v>
      </c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109"/>
      <c r="Y78" s="109"/>
      <c r="Z78" s="109"/>
    </row>
    <row r="79" spans="1:26" ht="13.5" customHeight="1">
      <c r="A79" s="155">
        <f t="shared" si="27"/>
        <v>46221</v>
      </c>
      <c r="B79" s="156">
        <f>'CHICLETS MASTER S1'!Z8</f>
        <v>0.43055555555555602</v>
      </c>
      <c r="C79" s="122" t="s">
        <v>163</v>
      </c>
      <c r="D79" s="122" t="str">
        <f t="shared" si="28"/>
        <v>LA SERNA HS</v>
      </c>
      <c r="E79" s="122">
        <v>20</v>
      </c>
      <c r="F79" s="122" t="str">
        <f t="shared" ref="F79:F80" si="32">F11</f>
        <v>12-SD SHORES BLACK</v>
      </c>
      <c r="G79" s="157"/>
      <c r="H79" s="122" t="str">
        <f>F14</f>
        <v>37-SAN JOE EXPRESS BLUE</v>
      </c>
      <c r="I79" s="122"/>
      <c r="J79" s="122">
        <v>44</v>
      </c>
      <c r="K79" s="122">
        <v>48</v>
      </c>
      <c r="L79" s="122" t="str">
        <f t="shared" si="30"/>
        <v>16G-020</v>
      </c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109"/>
      <c r="Y79" s="109"/>
      <c r="Z79" s="109"/>
    </row>
    <row r="80" spans="1:26" ht="13.5" customHeight="1">
      <c r="A80" s="155">
        <f t="shared" si="27"/>
        <v>46221</v>
      </c>
      <c r="B80" s="156">
        <f>'CHICLETS MASTER S1'!Z9</f>
        <v>0.46527777777777801</v>
      </c>
      <c r="C80" s="122" t="s">
        <v>163</v>
      </c>
      <c r="D80" s="122" t="str">
        <f t="shared" si="28"/>
        <v>LA SERNA HS</v>
      </c>
      <c r="E80" s="122">
        <v>24</v>
      </c>
      <c r="F80" s="122" t="str">
        <f t="shared" si="32"/>
        <v>13-TSUNAMI</v>
      </c>
      <c r="G80" s="157"/>
      <c r="H80" s="122" t="str">
        <f>F13</f>
        <v>36-PRAETORIAN</v>
      </c>
      <c r="I80" s="122"/>
      <c r="J80" s="122">
        <v>44</v>
      </c>
      <c r="K80" s="122">
        <v>48</v>
      </c>
      <c r="L80" s="122" t="str">
        <f t="shared" si="30"/>
        <v>16G-024</v>
      </c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109"/>
      <c r="Y80" s="109"/>
      <c r="Z80" s="109"/>
    </row>
    <row r="81" spans="1:26" ht="13.5" customHeight="1">
      <c r="A81" s="155">
        <f t="shared" si="27"/>
        <v>46221</v>
      </c>
      <c r="B81" s="156">
        <f>'CHICLETS MASTER S1'!Z10</f>
        <v>0.5</v>
      </c>
      <c r="C81" s="122" t="s">
        <v>163</v>
      </c>
      <c r="D81" s="122" t="str">
        <f t="shared" si="28"/>
        <v>LA SERNA HS</v>
      </c>
      <c r="E81" s="122">
        <v>28</v>
      </c>
      <c r="F81" s="122" t="str">
        <f>IF(G75 = "", "W4", IF(G75 &gt; I75, _xlfn.CONCAT("W4-", RIGHT(F75, LEN(F75) - FIND("-", F75))), _xlfn.CONCAT("W4-", RIGHT(H75, LEN(H75) - FIND("-", H75)))))</f>
        <v>W4</v>
      </c>
      <c r="G81" s="157"/>
      <c r="H81" s="122" t="str">
        <f>IF(G76 = "", "W8", IF(G76 &gt; I76, _xlfn.CONCAT("W8-", RIGHT(F76, LEN(F76) - FIND("-", F76))), _xlfn.CONCAT("W8-", RIGHT(H76, LEN(H76) - FIND("-", H76)))))</f>
        <v>W8</v>
      </c>
      <c r="I81" s="122"/>
      <c r="J81" s="122" t="s">
        <v>133</v>
      </c>
      <c r="K81" s="122">
        <v>51</v>
      </c>
      <c r="L81" s="122" t="str">
        <f t="shared" si="30"/>
        <v>16G-028</v>
      </c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109"/>
      <c r="Y81" s="109"/>
      <c r="Z81" s="109"/>
    </row>
    <row r="82" spans="1:26" ht="13.5" customHeight="1">
      <c r="A82" s="155">
        <f t="shared" si="27"/>
        <v>46221</v>
      </c>
      <c r="B82" s="156">
        <f>'CHICLETS MASTER S1'!Z11</f>
        <v>0.53472222222222199</v>
      </c>
      <c r="C82" s="122" t="s">
        <v>163</v>
      </c>
      <c r="D82" s="122" t="str">
        <f t="shared" si="28"/>
        <v>LA SERNA HS</v>
      </c>
      <c r="E82" s="122">
        <v>32</v>
      </c>
      <c r="F82" s="122" t="str">
        <f>IF(G75 = "", "L4", IF(G75 &lt; I75, _xlfn.CONCAT("L4-", RIGHT(F75, LEN(F75) - FIND("-", F75))), _xlfn.CONCAT("L4-", RIGHT(H75, LEN(H75) - FIND("-", H75)))))</f>
        <v>L4</v>
      </c>
      <c r="G82" s="157"/>
      <c r="H82" s="122" t="str">
        <f>IF(G76 = "", "L8", IF(G76 &lt; I76, _xlfn.CONCAT("L8-", RIGHT(F76, LEN(F76) - FIND("-", F76))), _xlfn.CONCAT("L8-", RIGHT(H76, LEN(H76) - FIND("-", H76)))))</f>
        <v>L8</v>
      </c>
      <c r="I82" s="122"/>
      <c r="J82" s="122">
        <v>52</v>
      </c>
      <c r="K82" s="122" t="s">
        <v>668</v>
      </c>
      <c r="L82" s="122" t="str">
        <f t="shared" si="30"/>
        <v>16G-032</v>
      </c>
      <c r="M82" s="109"/>
      <c r="N82" s="109"/>
      <c r="O82" s="109"/>
      <c r="P82" s="109"/>
      <c r="Q82" s="109"/>
      <c r="R82" s="109"/>
      <c r="S82" s="109"/>
      <c r="T82" s="109"/>
      <c r="U82" s="109"/>
      <c r="V82" s="109"/>
      <c r="W82" s="109"/>
      <c r="X82" s="109"/>
      <c r="Y82" s="109"/>
      <c r="Z82" s="109"/>
    </row>
    <row r="83" spans="1:26" ht="13.5" customHeight="1">
      <c r="A83" s="155">
        <f t="shared" si="27"/>
        <v>46221</v>
      </c>
      <c r="B83" s="156">
        <f>'CHICLETS MASTER S1'!Z12</f>
        <v>0.56944444444444497</v>
      </c>
      <c r="C83" s="122" t="s">
        <v>163</v>
      </c>
      <c r="D83" s="122" t="str">
        <f t="shared" si="28"/>
        <v>LA SERNA HS</v>
      </c>
      <c r="E83" s="122">
        <v>36</v>
      </c>
      <c r="F83" s="122" t="str">
        <f>IF(G77 = "", "W12", IF(G77 &gt; I77, _xlfn.CONCAT("W12-", RIGHT(F77, LEN(F77) - FIND("-", F77))), _xlfn.CONCAT("W12-", RIGHT(H77, LEN(H77) - FIND("-", H77)))))</f>
        <v>W12</v>
      </c>
      <c r="G83" s="157"/>
      <c r="H83" s="122" t="str">
        <f>IF(G78 = "", "W16", IF(G78 &gt; I78, _xlfn.CONCAT("W16-", RIGHT(F78, LEN(F78) - FIND("-", F78))), _xlfn.CONCAT("W16-", RIGHT(H78, LEN(H78) - FIND("-", H78)))))</f>
        <v>W16</v>
      </c>
      <c r="I83" s="122"/>
      <c r="J83" s="122" t="s">
        <v>129</v>
      </c>
      <c r="K83" s="122">
        <v>60</v>
      </c>
      <c r="L83" s="122" t="str">
        <f t="shared" si="30"/>
        <v>16G-036</v>
      </c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109"/>
      <c r="Y83" s="109"/>
      <c r="Z83" s="109"/>
    </row>
    <row r="84" spans="1:26" ht="13.5" customHeight="1">
      <c r="A84" s="155">
        <f t="shared" si="27"/>
        <v>46221</v>
      </c>
      <c r="B84" s="156">
        <f>'CHICLETS MASTER S1'!Z13</f>
        <v>0.60416666666666696</v>
      </c>
      <c r="C84" s="122" t="s">
        <v>163</v>
      </c>
      <c r="D84" s="122" t="str">
        <f t="shared" si="28"/>
        <v>LA SERNA HS</v>
      </c>
      <c r="E84" s="122">
        <v>40</v>
      </c>
      <c r="F84" s="122" t="str">
        <f>IF(G77 = "", "L12", IF(G77 &lt; I77, _xlfn.CONCAT("L12-", RIGHT(F77, LEN(F77) - FIND("-", F77))), _xlfn.CONCAT("L12-", RIGHT(H77, LEN(H77) - FIND("-", H77)))))</f>
        <v>L12</v>
      </c>
      <c r="G84" s="157"/>
      <c r="H84" s="122" t="str">
        <f>IF(G78 = "", "L16", IF(G78 &lt; I78, _xlfn.CONCAT("L16-", RIGHT(F78, LEN(F78) - FIND("-", F78))), _xlfn.CONCAT("L16-", RIGHT(H78, LEN(H78) - FIND("-", H78)))))</f>
        <v>L16</v>
      </c>
      <c r="I84" s="122"/>
      <c r="J84" s="122">
        <v>56</v>
      </c>
      <c r="K84" s="122" t="s">
        <v>673</v>
      </c>
      <c r="L84" s="122" t="str">
        <f t="shared" si="30"/>
        <v>16G-040</v>
      </c>
      <c r="M84" s="109"/>
      <c r="N84" s="109"/>
      <c r="O84" s="109"/>
      <c r="P84" s="109"/>
      <c r="Q84" s="109"/>
      <c r="R84" s="109"/>
      <c r="S84" s="109"/>
      <c r="T84" s="109"/>
      <c r="U84" s="109"/>
      <c r="V84" s="109"/>
      <c r="W84" s="109"/>
      <c r="X84" s="109"/>
      <c r="Y84" s="109"/>
      <c r="Z84" s="109"/>
    </row>
    <row r="85" spans="1:26" ht="13.5" customHeight="1">
      <c r="A85" s="155">
        <f t="shared" si="27"/>
        <v>46221</v>
      </c>
      <c r="B85" s="156">
        <f>'CHICLETS MASTER S1'!Z14</f>
        <v>0.63888888888888895</v>
      </c>
      <c r="C85" s="122" t="s">
        <v>163</v>
      </c>
      <c r="D85" s="122" t="str">
        <f t="shared" si="28"/>
        <v>LA SERNA HS</v>
      </c>
      <c r="E85" s="122">
        <v>44</v>
      </c>
      <c r="F85" s="122" t="str">
        <f>IF(G79 = "", "W20", IF(G79 &gt; I79, _xlfn.CONCAT("W20-", RIGHT(F79, LEN(F79) - FIND("-", F79))), _xlfn.CONCAT("W20-", RIGHT(H79, LEN(H79) - FIND("-", H79)))))</f>
        <v>W20</v>
      </c>
      <c r="G85" s="157"/>
      <c r="H85" s="122" t="str">
        <f>IF(G80 = "", "W24", IF(G80 &gt; I80, _xlfn.CONCAT("W24-", RIGHT(F80, LEN(F80) - FIND("-", F80))), _xlfn.CONCAT("W24-", RIGHT(H80, LEN(H80) - FIND("-", H80)))))</f>
        <v>W24</v>
      </c>
      <c r="I85" s="122"/>
      <c r="J85" s="122" t="s">
        <v>125</v>
      </c>
      <c r="K85" s="122">
        <v>56</v>
      </c>
      <c r="L85" s="122" t="str">
        <f t="shared" si="30"/>
        <v>16G-044</v>
      </c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109"/>
      <c r="Y85" s="109"/>
      <c r="Z85" s="109"/>
    </row>
    <row r="86" spans="1:26" ht="13.5" customHeight="1">
      <c r="A86" s="155">
        <f t="shared" si="27"/>
        <v>46221</v>
      </c>
      <c r="B86" s="156">
        <f>'CHICLETS MASTER S1'!Z15</f>
        <v>0.67361111111111105</v>
      </c>
      <c r="C86" s="122" t="s">
        <v>163</v>
      </c>
      <c r="D86" s="122" t="str">
        <f t="shared" si="28"/>
        <v>LA SERNA HS</v>
      </c>
      <c r="E86" s="122">
        <v>48</v>
      </c>
      <c r="F86" s="122" t="str">
        <f>IF(G79 = "", "L20", IF(G79 &lt; I79, _xlfn.CONCAT("L20-", RIGHT(F79, LEN(F79) - FIND("-", F79))), _xlfn.CONCAT("L20-", RIGHT(H79, LEN(H79) - FIND("-", H79)))))</f>
        <v>L20</v>
      </c>
      <c r="G86" s="157"/>
      <c r="H86" s="122" t="str">
        <f>IF(G80 = "", "L24", IF(G80 &lt; I80, _xlfn.CONCAT("L24-", RIGHT(F80, LEN(F80) - FIND("-", F80))), _xlfn.CONCAT("L24-", RIGHT(H80, LEN(H80) - FIND("-", H80)))))</f>
        <v>L24</v>
      </c>
      <c r="I86" s="122"/>
      <c r="J86" s="122">
        <v>60</v>
      </c>
      <c r="K86" s="122" t="s">
        <v>678</v>
      </c>
      <c r="L86" s="122" t="str">
        <f t="shared" si="30"/>
        <v>16G-048</v>
      </c>
      <c r="M86" s="109"/>
      <c r="N86" s="109"/>
      <c r="O86" s="109"/>
      <c r="P86" s="109"/>
      <c r="Q86" s="109"/>
      <c r="R86" s="109"/>
      <c r="S86" s="109"/>
      <c r="T86" s="109"/>
      <c r="U86" s="109"/>
      <c r="V86" s="109"/>
      <c r="W86" s="109"/>
      <c r="X86" s="109"/>
      <c r="Y86" s="109"/>
      <c r="Z86" s="109"/>
    </row>
    <row r="87" spans="1:26" ht="13.5" customHeight="1">
      <c r="A87" s="158"/>
      <c r="B87" s="106" t="s">
        <v>204</v>
      </c>
      <c r="C87" s="106"/>
      <c r="D87" s="106"/>
      <c r="E87" s="106"/>
      <c r="F87" s="106"/>
      <c r="G87" s="110"/>
      <c r="H87" s="106"/>
      <c r="I87" s="106"/>
      <c r="J87" s="106"/>
      <c r="K87" s="106"/>
      <c r="L87" s="106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109"/>
      <c r="Y87" s="109"/>
      <c r="Z87" s="109"/>
    </row>
    <row r="88" spans="1:26" ht="13.5" customHeight="1">
      <c r="A88" s="155">
        <f t="shared" ref="A88:A90" si="33">$A$2</f>
        <v>46221</v>
      </c>
      <c r="B88" s="156">
        <f>'CHICLETS MASTER S1'!Z17</f>
        <v>0.74305555555555602</v>
      </c>
      <c r="C88" s="122" t="s">
        <v>275</v>
      </c>
      <c r="D88" s="122" t="str">
        <f t="shared" ref="D88:D90" si="34">$D$73</f>
        <v>LA SERNA HS</v>
      </c>
      <c r="E88" s="122">
        <v>52</v>
      </c>
      <c r="F88" s="162" t="str">
        <f>IF(G62 = "", "L27", IF(G62 &lt; I62, _xlfn.CONCAT("L27-", RIGHT(F62, LEN(F62) - FIND("-", F62))), _xlfn.CONCAT("L27-", RIGHT(H62, LEN(H62) - FIND("-", H62)))))</f>
        <v>L27</v>
      </c>
      <c r="G88" s="122"/>
      <c r="H88" s="121" t="str">
        <f>IF(G82 = "", "W32", IF(G82 &gt; I82, _xlfn.CONCAT("W32-", RIGHT(F82, LEN(F82) - FIND("-", F82))), _xlfn.CONCAT("W32-", RIGHT(H82, LEN(H82) - FIND("-", H82)))))</f>
        <v>W32</v>
      </c>
      <c r="I88" s="122"/>
      <c r="J88" s="122" t="s">
        <v>314</v>
      </c>
      <c r="K88" s="122" t="s">
        <v>315</v>
      </c>
      <c r="L88" s="122" t="str">
        <f t="shared" ref="L88:L90" si="35">IF(E88="","",$L$15&amp;"-"&amp;TEXT(E88,"000"))</f>
        <v>16G-052</v>
      </c>
      <c r="M88" s="109"/>
      <c r="N88" s="109"/>
      <c r="O88" s="109"/>
      <c r="P88" s="109"/>
      <c r="Q88" s="109"/>
      <c r="R88" s="109"/>
      <c r="S88" s="109"/>
      <c r="T88" s="109"/>
      <c r="U88" s="109"/>
      <c r="V88" s="109"/>
      <c r="W88" s="109"/>
      <c r="X88" s="109"/>
      <c r="Y88" s="109"/>
      <c r="Z88" s="109"/>
    </row>
    <row r="89" spans="1:26" ht="13.5" customHeight="1">
      <c r="A89" s="155">
        <f t="shared" si="33"/>
        <v>46221</v>
      </c>
      <c r="B89" s="156">
        <f>'CHICLETS MASTER S1'!Z18</f>
        <v>0.77777777777777801</v>
      </c>
      <c r="C89" s="122" t="s">
        <v>275</v>
      </c>
      <c r="D89" s="122" t="str">
        <f t="shared" si="34"/>
        <v>LA SERNA HS</v>
      </c>
      <c r="E89" s="122">
        <v>56</v>
      </c>
      <c r="F89" s="122" t="str">
        <f>IF(G85 = "", "L44", IF(G85 &lt; I85, _xlfn.CONCAT("L44-", RIGHT(F85, LEN(F85) - FIND("-", F85))), _xlfn.CONCAT("L44-", RIGHT(H85, LEN(H85) - FIND("-", H85)))))</f>
        <v>L44</v>
      </c>
      <c r="G89" s="157"/>
      <c r="H89" s="122" t="str">
        <f>IF(G84 = "", "W40", IF(G84 &gt; I84, _xlfn.CONCAT("W40-", RIGHT(F84, LEN(F84) - FIND("-", F84))), _xlfn.CONCAT("W40-", RIGHT(H84, LEN(H84) - FIND("-", H84)))))</f>
        <v>W40</v>
      </c>
      <c r="I89" s="122"/>
      <c r="J89" s="122" t="s">
        <v>126</v>
      </c>
      <c r="K89" s="122" t="s">
        <v>325</v>
      </c>
      <c r="L89" s="122" t="str">
        <f t="shared" si="35"/>
        <v>16G-056</v>
      </c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109"/>
      <c r="Y89" s="109"/>
      <c r="Z89" s="109"/>
    </row>
    <row r="90" spans="1:26" ht="13.5" customHeight="1">
      <c r="A90" s="155">
        <f t="shared" si="33"/>
        <v>46221</v>
      </c>
      <c r="B90" s="156">
        <f>'CHICLETS MASTER S1'!Z19</f>
        <v>0.8125</v>
      </c>
      <c r="C90" s="122" t="s">
        <v>275</v>
      </c>
      <c r="D90" s="122" t="str">
        <f t="shared" si="34"/>
        <v>LA SERNA HS</v>
      </c>
      <c r="E90" s="122">
        <v>60</v>
      </c>
      <c r="F90" s="122" t="str">
        <f>IF(G83 = "", "L36", IF(G83 &lt; I83, _xlfn.CONCAT("L36-", RIGHT(F83, LEN(F83) - FIND("-", F83))), _xlfn.CONCAT("L36-", RIGHT(H83, LEN(H83) - FIND("-", H83)))))</f>
        <v>L36</v>
      </c>
      <c r="G90" s="157"/>
      <c r="H90" s="122" t="str">
        <f>IF(G86 = "", "W48", IF(G86 &gt; I86, _xlfn.CONCAT("W48-", RIGHT(F86, LEN(F86) - FIND("-", F86))), _xlfn.CONCAT("W48-", RIGHT(H86, LEN(H86) - FIND("-", H86)))))</f>
        <v>W48</v>
      </c>
      <c r="I90" s="122"/>
      <c r="J90" s="122" t="s">
        <v>130</v>
      </c>
      <c r="K90" s="122" t="s">
        <v>322</v>
      </c>
      <c r="L90" s="122" t="str">
        <f t="shared" si="35"/>
        <v>16G-060</v>
      </c>
      <c r="M90" s="109"/>
      <c r="N90" s="109"/>
      <c r="O90" s="109"/>
      <c r="P90" s="109"/>
      <c r="Q90" s="109"/>
      <c r="R90" s="109"/>
      <c r="S90" s="109"/>
      <c r="T90" s="109"/>
      <c r="U90" s="109"/>
      <c r="V90" s="109"/>
      <c r="W90" s="109"/>
      <c r="X90" s="109"/>
      <c r="Y90" s="109"/>
      <c r="Z90" s="109"/>
    </row>
    <row r="91" spans="1:26" ht="13.5" customHeight="1" thickBot="1">
      <c r="A91" s="109"/>
      <c r="B91" s="109"/>
      <c r="C91" s="109"/>
      <c r="D91" s="109"/>
      <c r="E91" s="109"/>
      <c r="F91" s="109"/>
      <c r="G91" s="161"/>
      <c r="H91" s="109"/>
      <c r="I91" s="109"/>
      <c r="J91" s="109"/>
      <c r="K91" s="109"/>
      <c r="L91" s="109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109"/>
      <c r="Y91" s="109"/>
      <c r="Z91" s="109"/>
    </row>
    <row r="92" spans="1:26" ht="13.5" customHeight="1" thickTop="1" thickBot="1">
      <c r="A92" s="153" t="s">
        <v>326</v>
      </c>
      <c r="B92" s="165"/>
      <c r="C92" s="165"/>
      <c r="D92" s="165"/>
      <c r="E92" s="165"/>
      <c r="F92" s="165"/>
      <c r="G92" s="166"/>
      <c r="H92" s="165"/>
      <c r="I92" s="165"/>
      <c r="J92" s="165"/>
      <c r="K92" s="165"/>
      <c r="L92" s="165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</row>
    <row r="93" spans="1:26" ht="13.5" customHeight="1">
      <c r="A93" s="108">
        <v>46222</v>
      </c>
      <c r="B93" s="106"/>
      <c r="C93" s="106"/>
      <c r="D93" s="106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 spans="1:26" ht="13.5" customHeight="1">
      <c r="A94" s="109"/>
      <c r="B94" s="163" t="s">
        <v>148</v>
      </c>
      <c r="C94" s="106"/>
      <c r="D94" s="106"/>
      <c r="E94" s="106"/>
      <c r="F94" s="109"/>
      <c r="G94" s="161"/>
      <c r="H94" s="109"/>
      <c r="I94" s="109"/>
      <c r="J94" s="109"/>
      <c r="K94" s="109"/>
      <c r="L94" s="109"/>
      <c r="M94" s="109"/>
      <c r="N94" s="109"/>
      <c r="O94" s="109"/>
      <c r="P94" s="109"/>
      <c r="Q94" s="109"/>
      <c r="R94" s="109"/>
      <c r="S94" s="109"/>
      <c r="T94" s="109"/>
      <c r="U94" s="109"/>
      <c r="V94" s="109"/>
      <c r="W94" s="109"/>
      <c r="X94" s="109"/>
      <c r="Y94" s="109"/>
      <c r="Z94" s="109"/>
    </row>
    <row r="95" spans="1:26" ht="13.5" customHeight="1">
      <c r="A95" s="106"/>
      <c r="B95" s="167" t="s">
        <v>327</v>
      </c>
      <c r="C95" s="167" t="s">
        <v>328</v>
      </c>
      <c r="D95" s="167" t="s">
        <v>329</v>
      </c>
      <c r="E95" s="167" t="s">
        <v>330</v>
      </c>
      <c r="F95" s="109"/>
      <c r="G95" s="161"/>
      <c r="H95" s="109"/>
      <c r="I95" s="109"/>
      <c r="J95" s="109"/>
      <c r="K95" s="109"/>
      <c r="L95" s="109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109"/>
      <c r="Y95" s="109"/>
      <c r="Z95" s="109"/>
    </row>
    <row r="96" spans="1:26" ht="13.5" customHeight="1">
      <c r="A96" s="106">
        <v>1</v>
      </c>
      <c r="B96" s="126" t="str">
        <f>IF(G26 = "", "W33", IF(G26 &gt; I26, _xlfn.CONCAT("W33-", RIGHT(F26, LEN(F26) - FIND("-", F26))), _xlfn.CONCAT("W33-", RIGHT(H26, LEN(H26) - FIND("-", H26)))))</f>
        <v>W33</v>
      </c>
      <c r="C96" s="113" t="str">
        <f>IF(G28 = "", "W41", IF(G28 &gt; I28, _xlfn.CONCAT("W41-", RIGHT(F28, LEN(F28) - FIND("-", F28))), _xlfn.CONCAT("W41-", RIGHT(H28, LEN(H28) - FIND("-", H28)))))</f>
        <v>W41</v>
      </c>
      <c r="D96" s="113" t="str">
        <f>IF(G24 = "", "W25", IF(G24 &gt; I24, _xlfn.CONCAT("W25-", RIGHT(F24, LEN(F24) - FIND("-", F24))), _xlfn.CONCAT("W25-", RIGHT(H24, LEN(H24) - FIND("-", H24)))))</f>
        <v>W25</v>
      </c>
      <c r="E96" s="126" t="str">
        <f>IF(G43 = "", "W26", IF(G43 &gt; I43, _xlfn.CONCAT("W26-", RIGHT(F43, LEN(F43) - FIND("-", F43))), _xlfn.CONCAT("W26-", RIGHT(H43, LEN(H43) - FIND("-", H43)))))</f>
        <v>W26</v>
      </c>
      <c r="F96" s="109"/>
      <c r="G96" s="161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</row>
    <row r="97" spans="1:26" ht="13.5" customHeight="1">
      <c r="A97" s="106">
        <v>2</v>
      </c>
      <c r="B97" s="113" t="str">
        <f>IF(G66 = "", "W43", IF(G66 &gt; I66, _xlfn.CONCAT("W43-", RIGHT(F66, LEN(F66) - FIND("-", F66))), _xlfn.CONCAT("W43-", RIGHT(H66, LEN(H66) - FIND("-", H66)))))</f>
        <v>W43</v>
      </c>
      <c r="C97" s="126" t="str">
        <f>IF(G64 = "", "W35", IF(G64 &gt; I64, _xlfn.CONCAT("W35-", RIGHT(F64, LEN(F64) - FIND("-", F64))), _xlfn.CONCAT("W35-", RIGHT(H64, LEN(H64) - FIND("-", H64)))))</f>
        <v>W35</v>
      </c>
      <c r="D97" s="113" t="str">
        <f>IF(G47 = "", "W42", IF(G47 &gt; I47, _xlfn.CONCAT("W42-", RIGHT(F47, LEN(F47) - FIND("-", F47))), _xlfn.CONCAT("W42-", RIGHT(H47, LEN(H47) - FIND("-", H47)))))</f>
        <v>W42</v>
      </c>
      <c r="E97" s="113" t="str">
        <f>IF(G45 = "", "W34", IF(G45 &gt; I45, _xlfn.CONCAT("W34-", RIGHT(F45, LEN(F45) - FIND("-", F45))), _xlfn.CONCAT("W34-", RIGHT(H45, LEN(H45) - FIND("-", H45)))))</f>
        <v>W34</v>
      </c>
      <c r="F97" s="109"/>
      <c r="G97" s="161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</row>
    <row r="98" spans="1:26" ht="13.5" customHeight="1">
      <c r="A98" s="106">
        <v>3</v>
      </c>
      <c r="B98" s="113" t="str">
        <f>IF(G62 = "", "W27", IF(G62 &gt; I62, _xlfn.CONCAT("W27-", RIGHT(F62, LEN(F62) - FIND("-", F62))), _xlfn.CONCAT("W27-", RIGHT(H62, LEN(H62) - FIND("-", H62)))))</f>
        <v>W27</v>
      </c>
      <c r="C98" s="113" t="str">
        <f>IF(G81 = "", "W28", IF(G81 &gt; I81, _xlfn.CONCAT("W28-", RIGHT(F81, LEN(F81) - FIND("-", F81))), _xlfn.CONCAT("W28-", RIGHT(H81, LEN(H81) - FIND("-", H81)))))</f>
        <v>W28</v>
      </c>
      <c r="D98" s="113" t="str">
        <f>IF(G83 = "", "W36", IF(G83 &gt; I83, _xlfn.CONCAT("W36-", RIGHT(F83, LEN(F83) - FIND("-", F83))), _xlfn.CONCAT("W36-", RIGHT(H83, LEN(H83) - FIND("-", H83)))))</f>
        <v>W36</v>
      </c>
      <c r="E98" s="113" t="str">
        <f>IF(G85 = "", "W44", IF(G85 &gt; I85, _xlfn.CONCAT("W44-", RIGHT(F85, LEN(F85) - FIND("-", F85))), _xlfn.CONCAT("W44-", RIGHT(H85, LEN(H85) - FIND("-", H85)))))</f>
        <v>W44</v>
      </c>
      <c r="F98" s="109"/>
      <c r="G98" s="161"/>
      <c r="H98" s="109"/>
      <c r="I98" s="109"/>
      <c r="J98" s="109"/>
      <c r="K98" s="109"/>
      <c r="L98" s="109"/>
      <c r="M98" s="109"/>
      <c r="N98" s="109"/>
      <c r="O98" s="109"/>
      <c r="P98" s="109"/>
      <c r="Q98" s="109"/>
      <c r="R98" s="109"/>
      <c r="S98" s="109"/>
      <c r="T98" s="109"/>
      <c r="U98" s="109"/>
      <c r="V98" s="109"/>
      <c r="W98" s="109"/>
      <c r="X98" s="109"/>
      <c r="Y98" s="109"/>
      <c r="Z98" s="109"/>
    </row>
    <row r="99" spans="1:26" ht="13.5" customHeight="1">
      <c r="A99" s="109"/>
      <c r="B99" s="109"/>
      <c r="C99" s="109"/>
      <c r="D99" s="109"/>
      <c r="E99" s="109"/>
      <c r="F99" s="109"/>
      <c r="G99" s="161"/>
      <c r="H99" s="109"/>
      <c r="I99" s="109"/>
      <c r="J99" s="109"/>
      <c r="K99" s="109"/>
      <c r="L99" s="109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109"/>
      <c r="Y99" s="109"/>
      <c r="Z99" s="109"/>
    </row>
    <row r="100" spans="1:26" ht="13.5" customHeight="1">
      <c r="A100" s="109"/>
      <c r="B100" s="167" t="s">
        <v>343</v>
      </c>
      <c r="C100" s="167" t="s">
        <v>344</v>
      </c>
      <c r="D100" s="167" t="s">
        <v>345</v>
      </c>
      <c r="E100" s="167" t="s">
        <v>346</v>
      </c>
      <c r="F100" s="109"/>
      <c r="G100" s="161"/>
      <c r="H100" s="109"/>
      <c r="I100" s="109"/>
      <c r="J100" s="109"/>
      <c r="K100" s="109"/>
      <c r="L100" s="109"/>
      <c r="M100" s="109"/>
      <c r="N100" s="109"/>
      <c r="O100" s="109"/>
      <c r="P100" s="109"/>
      <c r="Q100" s="109"/>
      <c r="R100" s="109"/>
      <c r="S100" s="109"/>
      <c r="T100" s="109"/>
      <c r="U100" s="109"/>
      <c r="V100" s="109"/>
      <c r="W100" s="109"/>
      <c r="X100" s="109"/>
      <c r="Y100" s="109"/>
      <c r="Z100" s="109"/>
    </row>
    <row r="101" spans="1:26" ht="13.5" customHeight="1">
      <c r="A101" s="106">
        <v>1</v>
      </c>
      <c r="B101" s="113" t="str">
        <f>IF(G89 = "", "W56", IF(G89 &gt; I89, _xlfn.CONCAT("W56-", RIGHT(F89, LEN(F89) - FIND("-", F89))), _xlfn.CONCAT("W56-", RIGHT(H89, LEN(H89) - FIND("-", H89)))))</f>
        <v>W56</v>
      </c>
      <c r="C101" s="113" t="str">
        <f>IF(G90 = "", "W60", IF(G90 &gt; I90, _xlfn.CONCAT("W60-", RIGHT(F90, LEN(F90) - FIND("-", F90))), _xlfn.CONCAT("W60-", RIGHT(H90, LEN(H90) - FIND("-", H90)))))</f>
        <v>W60</v>
      </c>
      <c r="D101" s="113" t="str">
        <f>IF(G69 = "", "W51", IF(G69 &gt; I69, _xlfn.CONCAT("W51-", RIGHT(F69, LEN(F69) - FIND("-", F69))), _xlfn.CONCAT("W51-", RIGHT(H69, LEN(H69) - FIND("-", H69)))))</f>
        <v>W51</v>
      </c>
      <c r="E101" s="126" t="str">
        <f>IF(G88 = "", "W52", IF(G88 &gt; I88, _xlfn.CONCAT("W52-", RIGHT(F88, LEN(F88) - FIND("-", F88))), _xlfn.CONCAT("W52-", RIGHT(H88, LEN(H88) - FIND("-", H88)))))</f>
        <v>W52</v>
      </c>
      <c r="F101" s="109"/>
      <c r="G101" s="161"/>
      <c r="H101" s="109"/>
      <c r="I101" s="109"/>
      <c r="J101" s="109"/>
      <c r="K101" s="109"/>
      <c r="L101" s="109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109"/>
      <c r="Y101" s="109"/>
      <c r="Z101" s="109"/>
    </row>
    <row r="102" spans="1:26" ht="13.5" customHeight="1">
      <c r="A102" s="106">
        <v>2</v>
      </c>
      <c r="B102" s="113" t="str">
        <f>IF(G52 = "", "W58", IF(G52 &gt; I52, _xlfn.CONCAT("W58-", RIGHT(F52, LEN(F52) - FIND("-", F52))), _xlfn.CONCAT("W58-", RIGHT(H52, LEN(H52) - FIND("-", H52)))))</f>
        <v>W58</v>
      </c>
      <c r="C102" s="113" t="str">
        <f>IF(G51 = "", "W54", IF(G51 &gt; I51, _xlfn.CONCAT("W54-", RIGHT(F51, LEN(F51) - FIND("-", F51))), _xlfn.CONCAT("W54-", RIGHT(H51, LEN(H51) - FIND("-", H51)))))</f>
        <v>W54</v>
      </c>
      <c r="D102" s="126" t="str">
        <f>IF(G71 = "", "W59", IF(G71 &gt; I71, _xlfn.CONCAT("W59-", RIGHT(F71, LEN(F71) - FIND("-", F71))), _xlfn.CONCAT("W59-", RIGHT(H71, LEN(H71) - FIND("-", H71)))))</f>
        <v>W59</v>
      </c>
      <c r="E102" s="126" t="str">
        <f>IF(G70 = "", "W55", IF(G70 &gt; I70, _xlfn.CONCAT("W55-", RIGHT(F70, LEN(F70) - FIND("-", F70))), _xlfn.CONCAT("W55-", RIGHT(H70, LEN(H70) - FIND("-", H70)))))</f>
        <v>W55</v>
      </c>
      <c r="F102" s="109"/>
      <c r="G102" s="161"/>
      <c r="H102" s="109"/>
      <c r="I102" s="109"/>
      <c r="J102" s="109"/>
      <c r="K102" s="109"/>
      <c r="L102" s="109"/>
      <c r="M102" s="109"/>
      <c r="N102" s="109"/>
      <c r="O102" s="109"/>
      <c r="P102" s="109"/>
      <c r="Q102" s="109"/>
      <c r="R102" s="109"/>
      <c r="S102" s="109"/>
      <c r="T102" s="109"/>
      <c r="U102" s="109"/>
      <c r="V102" s="109"/>
      <c r="W102" s="109"/>
      <c r="X102" s="109"/>
      <c r="Y102" s="109"/>
      <c r="Z102" s="109"/>
    </row>
    <row r="103" spans="1:26" ht="13.5" customHeight="1">
      <c r="A103" s="106">
        <v>3</v>
      </c>
      <c r="B103" s="113" t="str">
        <f>IF(G31 = "", "W49", IF(G31 &gt; I31, _xlfn.CONCAT("W49-", RIGHT(F31, LEN(F31) - FIND("-", F31))), _xlfn.CONCAT("W49-", RIGHT(H31, LEN(H31) - FIND("-", H31)))))</f>
        <v>W49</v>
      </c>
      <c r="C103" s="113" t="str">
        <f>IF(G50 = "", "W50", IF(G50 &gt; I50, _xlfn.CONCAT("W50-", RIGHT(F50, LEN(F50) - FIND("-", F50))), _xlfn.CONCAT("W50-", RIGHT(H50, LEN(H50) - FIND("-", H50)))))</f>
        <v>W50</v>
      </c>
      <c r="D103" s="113" t="str">
        <f>IF(G32 = "", "W53", IF(G32 &gt; I32, _xlfn.CONCAT("W53-", RIGHT(F32, LEN(F32) - FIND("-", F32))), _xlfn.CONCAT("W53-", RIGHT(H32, LEN(H32) - FIND("-", H32)))))</f>
        <v>W53</v>
      </c>
      <c r="E103" s="113" t="str">
        <f>IF(G33 = "", "W57", IF(G33 &gt; I33, _xlfn.CONCAT("W57-", RIGHT(F33, LEN(F33) - FIND("-", F33))), _xlfn.CONCAT("W57-", RIGHT(H33, LEN(H33) - FIND("-", H33)))))</f>
        <v>W57</v>
      </c>
      <c r="F103" s="109"/>
      <c r="G103" s="161"/>
      <c r="H103" s="109"/>
      <c r="I103" s="109"/>
      <c r="J103" s="109"/>
      <c r="K103" s="109"/>
      <c r="L103" s="109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109"/>
      <c r="Y103" s="109"/>
      <c r="Z103" s="109"/>
    </row>
    <row r="104" spans="1:26" ht="13.5" customHeight="1">
      <c r="A104" s="109"/>
      <c r="B104" s="109"/>
      <c r="C104" s="109"/>
      <c r="D104" s="109"/>
      <c r="E104" s="109"/>
      <c r="F104" s="109"/>
      <c r="G104" s="161"/>
      <c r="H104" s="109"/>
      <c r="I104" s="109"/>
      <c r="J104" s="109"/>
      <c r="K104" s="109"/>
      <c r="L104" s="109"/>
      <c r="M104" s="109"/>
      <c r="N104" s="109"/>
      <c r="O104" s="109"/>
      <c r="P104" s="109"/>
      <c r="Q104" s="109"/>
      <c r="R104" s="109"/>
      <c r="S104" s="109"/>
      <c r="T104" s="109"/>
      <c r="U104" s="109"/>
      <c r="V104" s="109"/>
      <c r="W104" s="109"/>
      <c r="X104" s="109"/>
      <c r="Y104" s="109"/>
      <c r="Z104" s="109"/>
    </row>
    <row r="105" spans="1:26" ht="13.5" customHeight="1">
      <c r="A105" s="106"/>
      <c r="B105" s="163" t="s">
        <v>368</v>
      </c>
      <c r="C105" s="106"/>
      <c r="D105" s="106"/>
      <c r="E105" s="106"/>
      <c r="F105" s="109"/>
      <c r="G105" s="161"/>
      <c r="H105" s="109"/>
      <c r="I105" s="109"/>
      <c r="J105" s="109"/>
      <c r="K105" s="109"/>
      <c r="L105" s="109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109"/>
      <c r="Y105" s="109"/>
      <c r="Z105" s="109"/>
    </row>
    <row r="106" spans="1:26" ht="13.5" customHeight="1">
      <c r="A106" s="106"/>
      <c r="B106" s="168" t="s">
        <v>369</v>
      </c>
      <c r="C106" s="168" t="s">
        <v>370</v>
      </c>
      <c r="D106" s="168" t="s">
        <v>371</v>
      </c>
      <c r="E106" s="168" t="s">
        <v>372</v>
      </c>
      <c r="F106" s="109"/>
      <c r="G106" s="161"/>
      <c r="H106" s="109"/>
      <c r="I106" s="109"/>
      <c r="J106" s="109"/>
      <c r="K106" s="109"/>
      <c r="L106" s="109"/>
      <c r="M106" s="109"/>
      <c r="N106" s="109"/>
      <c r="O106" s="109"/>
      <c r="P106" s="109"/>
      <c r="Q106" s="109"/>
      <c r="R106" s="109"/>
      <c r="S106" s="109"/>
      <c r="T106" s="109"/>
      <c r="U106" s="109"/>
      <c r="V106" s="109"/>
      <c r="W106" s="109"/>
      <c r="X106" s="109"/>
      <c r="Y106" s="109"/>
      <c r="Z106" s="109"/>
    </row>
    <row r="107" spans="1:26" ht="13.5" customHeight="1">
      <c r="A107" s="106">
        <v>1</v>
      </c>
      <c r="B107" s="113" t="str">
        <f>IF(G32 = "", "L53", IF(G32 &lt; I32, _xlfn.CONCAT("L53-", RIGHT(F32, LEN(F32) - FIND("-", F32))), _xlfn.CONCAT("L53-", RIGHT(H32, LEN(H32) - FIND("-", H32)))))</f>
        <v>L53</v>
      </c>
      <c r="C107" s="113" t="str">
        <f>IF(G33 = "", "L57", IF(G33 &lt; I33, _xlfn.CONCAT("L57-", RIGHT(F33, LEN(F33) - FIND("-", F33))), _xlfn.CONCAT("L57-", RIGHT(H33, LEN(H33) - FIND("-", H33)))))</f>
        <v>L57</v>
      </c>
      <c r="D107" s="113" t="str">
        <f>IF(G31 = "", "L49", IF(G31 &lt; I31, _xlfn.CONCAT("L49-", RIGHT(F31, LEN(F31) - FIND("-", F31))), _xlfn.CONCAT("L49-", RIGHT(H31, LEN(H31) - FIND("-", H31)))))</f>
        <v>L49</v>
      </c>
      <c r="E107" s="113" t="str">
        <f>IF(G50 = "", "L50", IF(G50 &lt; I50, _xlfn.CONCAT("L50-", RIGHT(F50, LEN(F50) - FIND("-", F50))), _xlfn.CONCAT("L50-", RIGHT(H50, LEN(H50) - FIND("-", H50)))))</f>
        <v>L50</v>
      </c>
      <c r="F107" s="109"/>
      <c r="G107" s="161"/>
      <c r="H107" s="109"/>
      <c r="I107" s="109"/>
      <c r="J107" s="109"/>
      <c r="K107" s="109"/>
      <c r="L107" s="109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109"/>
      <c r="Y107" s="109"/>
      <c r="Z107" s="109"/>
    </row>
    <row r="108" spans="1:26" ht="13.5" customHeight="1">
      <c r="A108" s="106">
        <v>2</v>
      </c>
      <c r="B108" s="126" t="str">
        <f>IF(G71 = "", "L59", IF(G71 &lt; I71, _xlfn.CONCAT("L59-", RIGHT(F71, LEN(F71) - FIND("-", F71))), _xlfn.CONCAT("L59-", RIGHT(H71, LEN(H71) - FIND("-", H71)))))</f>
        <v>L59</v>
      </c>
      <c r="C108" s="126" t="str">
        <f>IF(G70 = "", "L55", IF(G70 &lt; I70, _xlfn.CONCAT("L55-", RIGHT(F70, LEN(F70) - FIND("-", F70))), _xlfn.CONCAT("L55-", RIGHT(H70, LEN(H70) - FIND("-", H70)))))</f>
        <v>L55</v>
      </c>
      <c r="D108" s="113" t="str">
        <f>IF(G52 = "", "L58", IF(G52 &lt; I52, _xlfn.CONCAT("L58-", RIGHT(F52, LEN(F52) - FIND("-", F52))), _xlfn.CONCAT("L58-", RIGHT(H52, LEN(H52) - FIND("-", H52)))))</f>
        <v>L58</v>
      </c>
      <c r="E108" s="113" t="str">
        <f>IF(G51 = "", "L54", IF(G51 &lt; I51, _xlfn.CONCAT("L54-", RIGHT(F51, LEN(F51) - FIND("-", F51))), _xlfn.CONCAT("L54-", RIGHT(H51, LEN(H51) - FIND("-", H51)))))</f>
        <v>L54</v>
      </c>
      <c r="F108" s="109"/>
      <c r="G108" s="161"/>
      <c r="H108" s="109"/>
      <c r="I108" s="109"/>
      <c r="J108" s="109"/>
      <c r="K108" s="109"/>
      <c r="L108" s="109"/>
      <c r="M108" s="109"/>
      <c r="N108" s="109"/>
      <c r="O108" s="109"/>
      <c r="P108" s="109"/>
      <c r="Q108" s="109"/>
      <c r="R108" s="109"/>
      <c r="S108" s="109"/>
      <c r="T108" s="109"/>
      <c r="U108" s="109"/>
      <c r="V108" s="109"/>
      <c r="W108" s="109"/>
      <c r="X108" s="109"/>
      <c r="Y108" s="109"/>
      <c r="Z108" s="109"/>
    </row>
    <row r="109" spans="1:26" ht="13.5" customHeight="1">
      <c r="A109" s="106">
        <v>3</v>
      </c>
      <c r="B109" s="126" t="str">
        <f>IF(G69 = "", "L51", IF(G69 &lt; I69, _xlfn.CONCAT("L51-", RIGHT(F69, LEN(F69) - FIND("-", F69))), _xlfn.CONCAT("L51-", RIGHT(H69, LEN(H69) - FIND("-", H69)))))</f>
        <v>L51</v>
      </c>
      <c r="C109" s="126" t="str">
        <f>IF(G88 = "", "L52", IF(G88 &lt; I88, _xlfn.CONCAT("L52-", RIGHT(F88, LEN(F88) - FIND("-", F88))), _xlfn.CONCAT("L52-", RIGHT(H88, LEN(H88) - FIND("-", H88)))))</f>
        <v>L52</v>
      </c>
      <c r="D109" s="113" t="str">
        <f>IF(G89 = "", "L56", IF(G89 &lt; I89, _xlfn.CONCAT("L56-", RIGHT(F89, LEN(F89) - FIND("-", F89))), _xlfn.CONCAT("L56-", RIGHT(H89, LEN(H89) - FIND("-", H89)))))</f>
        <v>L56</v>
      </c>
      <c r="E109" s="113" t="str">
        <f>IF(G90 = "", "L60", IF(G90 &lt; I90, _xlfn.CONCAT("L60-", RIGHT(F90, LEN(F90) - FIND("-", F90))), _xlfn.CONCAT("L60-", RIGHT(H90, LEN(H90) - FIND("-", H90)))))</f>
        <v>L60</v>
      </c>
      <c r="F109" s="109"/>
      <c r="G109" s="161"/>
      <c r="H109" s="109"/>
      <c r="I109" s="109"/>
      <c r="J109" s="109"/>
      <c r="K109" s="109"/>
      <c r="L109" s="109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109"/>
      <c r="Y109" s="109"/>
      <c r="Z109" s="109"/>
    </row>
    <row r="110" spans="1:26" ht="13.5" customHeight="1">
      <c r="A110" s="109"/>
      <c r="B110" s="106"/>
      <c r="C110" s="106"/>
      <c r="D110" s="106"/>
      <c r="E110" s="106"/>
      <c r="F110" s="109"/>
      <c r="G110" s="161"/>
      <c r="H110" s="109"/>
      <c r="I110" s="109"/>
      <c r="J110" s="109"/>
      <c r="K110" s="109"/>
      <c r="L110" s="109"/>
      <c r="M110" s="109"/>
      <c r="N110" s="109"/>
      <c r="O110" s="109"/>
      <c r="P110" s="109"/>
      <c r="Q110" s="109"/>
      <c r="R110" s="109"/>
      <c r="S110" s="109"/>
      <c r="T110" s="109"/>
      <c r="U110" s="109"/>
      <c r="V110" s="109"/>
      <c r="W110" s="109"/>
      <c r="X110" s="109"/>
      <c r="Y110" s="109"/>
      <c r="Z110" s="109"/>
    </row>
    <row r="111" spans="1:26" ht="13.5" customHeight="1">
      <c r="A111" s="109"/>
      <c r="B111" s="168" t="s">
        <v>745</v>
      </c>
      <c r="C111" s="168" t="s">
        <v>746</v>
      </c>
      <c r="D111" s="168" t="s">
        <v>747</v>
      </c>
      <c r="E111" s="168" t="s">
        <v>748</v>
      </c>
      <c r="F111" s="109"/>
      <c r="G111" s="161"/>
      <c r="H111" s="109"/>
      <c r="I111" s="109"/>
      <c r="J111" s="109"/>
      <c r="K111" s="109"/>
      <c r="L111" s="109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109"/>
      <c r="Y111" s="109"/>
      <c r="Z111" s="109"/>
    </row>
    <row r="112" spans="1:26" ht="13.5" customHeight="1">
      <c r="A112" s="106">
        <v>1</v>
      </c>
      <c r="B112" s="113" t="str">
        <f>IF(G86 = "", "L48", IF(G86 &lt; I86, _xlfn.CONCAT("L48-", RIGHT(F86, LEN(F86) - FIND("-", F86))), _xlfn.CONCAT("L48-", RIGHT(H86, LEN(H86) - FIND("-", H86)))))</f>
        <v>L48</v>
      </c>
      <c r="C112" s="113" t="str">
        <f>IF(G84 = "", "L40", IF(G84 &lt; I84, _xlfn.CONCAT("L40-", RIGHT(F84, LEN(F84) - FIND("-", F84))), _xlfn.CONCAT("L40-", RIGHT(H84, LEN(H84) - FIND("-", H84)))))</f>
        <v>L40</v>
      </c>
      <c r="D112" s="113" t="str">
        <f>IF(G82 = "", "L32", IF(G82 &lt; I82, _xlfn.CONCAT("L32-", RIGHT(F82, LEN(F82) - FIND("-", F82))), _xlfn.CONCAT("L32-", RIGHT(H82, LEN(H82) - FIND("-", H82)))))</f>
        <v>L32</v>
      </c>
      <c r="E112" s="126" t="str">
        <f>IF(G63 = "", "L31", IF(G63 &lt; I63, _xlfn.CONCAT("L31-", RIGHT(F63, LEN(F63) - FIND("-", F63))), _xlfn.CONCAT("L31-", RIGHT(H63, LEN(H63) - FIND("-", H63)))))</f>
        <v>L31</v>
      </c>
      <c r="F112" s="109"/>
      <c r="G112" s="161"/>
      <c r="H112" s="109"/>
      <c r="I112" s="109"/>
      <c r="J112" s="109"/>
      <c r="K112" s="109"/>
      <c r="L112" s="109"/>
      <c r="M112" s="109"/>
      <c r="N112" s="109"/>
      <c r="O112" s="109"/>
      <c r="P112" s="109"/>
      <c r="Q112" s="109"/>
      <c r="R112" s="109"/>
      <c r="S112" s="109"/>
      <c r="T112" s="109"/>
      <c r="U112" s="109"/>
      <c r="V112" s="109"/>
      <c r="W112" s="109"/>
      <c r="X112" s="109"/>
      <c r="Y112" s="109"/>
      <c r="Z112" s="109"/>
    </row>
    <row r="113" spans="1:26" ht="13.5" customHeight="1">
      <c r="A113" s="106">
        <v>2</v>
      </c>
      <c r="B113" s="113" t="str">
        <f>IF(G46 = "", "L38", IF(G46 &lt; I46, _xlfn.CONCAT("L38-", RIGHT(F46, LEN(F46) - FIND("-", F46))), _xlfn.CONCAT("L38-", RIGHT(H46, LEN(H46) - FIND("-", H46)))))</f>
        <v>L38</v>
      </c>
      <c r="C113" s="113" t="str">
        <f>IF(G48 = "", "L46", IF(G48 &lt; I48, _xlfn.CONCAT("L46-", RIGHT(F48, LEN(F48) - FIND("-", F48))), _xlfn.CONCAT("L46-", RIGHT(H48, LEN(H48) - FIND("-", H48)))))</f>
        <v>L46</v>
      </c>
      <c r="D113" s="126" t="str">
        <f>IF(G65 = "", "L39", IF(G65 &lt; I65, _xlfn.CONCAT("L39-", RIGHT(F65, LEN(F65) - FIND("-", F65))), _xlfn.CONCAT("L39-", RIGHT(H65, LEN(H65) - FIND("-", H65)))))</f>
        <v>L39</v>
      </c>
      <c r="E113" s="126" t="str">
        <f>IF(G67 = "", "L47", IF(G67 &lt; I67, _xlfn.CONCAT("L47-", RIGHT(F67, LEN(F67) - FIND("-", F67))), _xlfn.CONCAT("L47-", RIGHT(H67, LEN(H67) - FIND("-", H67)))))</f>
        <v>L47</v>
      </c>
      <c r="F113" s="109"/>
      <c r="G113" s="161"/>
      <c r="H113" s="109"/>
      <c r="I113" s="109"/>
      <c r="J113" s="109"/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  <c r="Y113" s="109"/>
      <c r="Z113" s="109"/>
    </row>
    <row r="114" spans="1:26" ht="13.5" customHeight="1">
      <c r="A114" s="106">
        <v>3</v>
      </c>
      <c r="B114" s="126" t="str">
        <f>IF(G44 = "", "L30", IF(G44 &lt; I44, _xlfn.CONCAT("L30-", RIGHT(F44, LEN(F44) - FIND("-", F44))), _xlfn.CONCAT("L30-", RIGHT(H44, LEN(H44) - FIND("-", H44)))))</f>
        <v>L30</v>
      </c>
      <c r="C114" s="113" t="str">
        <f>IF(G25 = "", "L29", IF(G25 &lt; I25, _xlfn.CONCAT("L29-", RIGHT(F25, LEN(F25) - FIND("-", F25))), _xlfn.CONCAT("L29-", RIGHT(H25, LEN(H25) - FIND("-", H25)))))</f>
        <v>L29</v>
      </c>
      <c r="D114" s="113" t="str">
        <f>IF(G29 = "", "L45", IF(G29 &lt; I29, _xlfn.CONCAT("L45-", RIGHT(F29, LEN(F29) - FIND("-", F29))), _xlfn.CONCAT("L45-", RIGHT(H29, LEN(H29) - FIND("-", H29)))))</f>
        <v>L45</v>
      </c>
      <c r="E114" s="126" t="str">
        <f>IF(G27 = "", "L37", IF(G27 &lt; I27, _xlfn.CONCAT("L37-", RIGHT(F27, LEN(F27) - FIND("-", F27))), _xlfn.CONCAT("L37-", RIGHT(H27, LEN(H27) - FIND("-", H27)))))</f>
        <v>L37</v>
      </c>
      <c r="F114" s="109"/>
      <c r="G114" s="161"/>
      <c r="H114" s="109"/>
      <c r="I114" s="109"/>
      <c r="J114" s="109"/>
      <c r="K114" s="109"/>
      <c r="L114" s="109"/>
      <c r="M114" s="109"/>
      <c r="N114" s="109"/>
      <c r="O114" s="109"/>
      <c r="P114" s="109"/>
      <c r="Q114" s="109"/>
      <c r="R114" s="109"/>
      <c r="S114" s="109"/>
      <c r="T114" s="109"/>
      <c r="U114" s="109"/>
      <c r="V114" s="109"/>
      <c r="W114" s="109"/>
      <c r="X114" s="109"/>
      <c r="Y114" s="109"/>
      <c r="Z114" s="109"/>
    </row>
    <row r="115" spans="1:26" ht="13.5" customHeight="1" thickBot="1">
      <c r="A115" s="109"/>
      <c r="B115" s="106"/>
      <c r="C115" s="106"/>
      <c r="D115" s="106"/>
      <c r="E115" s="106"/>
      <c r="F115" s="106"/>
      <c r="G115" s="110"/>
      <c r="H115" s="106"/>
      <c r="I115" s="106"/>
      <c r="J115" s="106"/>
      <c r="K115" s="106"/>
      <c r="L115" s="106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109"/>
      <c r="Y115" s="109"/>
      <c r="Z115" s="109"/>
    </row>
    <row r="116" spans="1:26" ht="13.5" customHeight="1" thickBot="1">
      <c r="A116" s="109"/>
      <c r="B116" s="106"/>
      <c r="C116" s="106"/>
      <c r="D116" s="153" t="str">
        <f>'CHICLETS MASTER S1'!$V$27</f>
        <v>UC IRVINE 1</v>
      </c>
      <c r="E116" s="106"/>
      <c r="F116" s="106"/>
      <c r="G116" s="110"/>
      <c r="H116" s="106"/>
      <c r="I116" s="106"/>
      <c r="J116" s="106"/>
      <c r="K116" s="106"/>
      <c r="L116" s="106"/>
      <c r="M116" s="109"/>
      <c r="N116" s="109"/>
      <c r="O116" s="109"/>
      <c r="P116" s="109"/>
      <c r="Q116" s="109"/>
      <c r="R116" s="109"/>
      <c r="S116" s="109"/>
      <c r="T116" s="109"/>
      <c r="U116" s="109"/>
      <c r="V116" s="109"/>
      <c r="W116" s="109"/>
      <c r="X116" s="109"/>
      <c r="Y116" s="109"/>
      <c r="Z116" s="109"/>
    </row>
    <row r="117" spans="1:26" ht="13.5" customHeight="1">
      <c r="A117" s="189" t="s">
        <v>110</v>
      </c>
      <c r="B117" s="190" t="s">
        <v>111</v>
      </c>
      <c r="C117" s="190" t="s">
        <v>112</v>
      </c>
      <c r="D117" s="190" t="s">
        <v>113</v>
      </c>
      <c r="E117" s="190" t="s">
        <v>114</v>
      </c>
      <c r="F117" s="190" t="s">
        <v>115</v>
      </c>
      <c r="G117" s="190" t="s">
        <v>116</v>
      </c>
      <c r="H117" s="190" t="s">
        <v>117</v>
      </c>
      <c r="I117" s="190" t="s">
        <v>116</v>
      </c>
      <c r="J117" s="190" t="s">
        <v>118</v>
      </c>
      <c r="K117" s="190" t="s">
        <v>119</v>
      </c>
      <c r="L117" s="190" t="s">
        <v>120</v>
      </c>
      <c r="M117" s="109"/>
      <c r="N117" s="109"/>
      <c r="O117" s="109"/>
      <c r="P117" s="109"/>
      <c r="Q117" s="109"/>
      <c r="R117" s="109"/>
      <c r="S117" s="109"/>
      <c r="T117" s="109"/>
      <c r="U117" s="109"/>
      <c r="V117" s="109"/>
      <c r="W117" s="109"/>
      <c r="X117" s="109"/>
      <c r="Y117" s="109"/>
      <c r="Z117" s="109"/>
    </row>
    <row r="118" spans="1:26" ht="13.5" customHeight="1">
      <c r="A118" s="155">
        <f t="shared" ref="A118:A129" si="36">$A$93</f>
        <v>46222</v>
      </c>
      <c r="B118" s="156">
        <f>'CHICLETS MASTER S1'!U28</f>
        <v>0.29166666666666669</v>
      </c>
      <c r="C118" s="122" t="s">
        <v>163</v>
      </c>
      <c r="D118" s="122" t="str">
        <f t="shared" ref="D118:D129" si="37">$D$116</f>
        <v>UC IRVINE 1</v>
      </c>
      <c r="E118" s="122">
        <v>61</v>
      </c>
      <c r="F118" s="169" t="str">
        <f>IF(G66 = "", "pt_M2", IF(G66 &gt; I66, _xlfn.CONCAT("pt_M2-", RIGHT(F66, LEN(F66) - FIND("-", F66))), _xlfn.CONCAT("pt_M2-", RIGHT(H66, LEN(H66) - FIND("-", H66)))))</f>
        <v>pt_M2</v>
      </c>
      <c r="G118" s="169"/>
      <c r="H118" s="169" t="str">
        <f>IF(G62 = "", "pt_M3", IF(G62 &gt; I62, _xlfn.CONCAT("pt_M3-", RIGHT(F62, LEN(F62) - FIND("-", F62))), _xlfn.CONCAT("pt_M3-", RIGHT(H62, LEN(H62) - FIND("-", H62)))))</f>
        <v>pt_M3</v>
      </c>
      <c r="I118" s="169"/>
      <c r="J118" s="169"/>
      <c r="K118" s="169"/>
      <c r="L118" s="169" t="str">
        <f t="shared" ref="L118:L129" si="38">IF(E118="","",$L$15&amp;"-"&amp;TEXT(E118,"000"))</f>
        <v>16G-061</v>
      </c>
      <c r="M118" s="109"/>
      <c r="N118" s="109"/>
      <c r="O118" s="109" t="str">
        <f t="shared" ref="O118:O129" si="39">$K$262&amp;C118</f>
        <v>pt_Group</v>
      </c>
      <c r="P118" s="109"/>
      <c r="Q118" s="109"/>
      <c r="R118" s="109"/>
      <c r="S118" s="109"/>
      <c r="T118" s="109"/>
      <c r="U118" s="109"/>
      <c r="V118" s="109"/>
      <c r="W118" s="109"/>
      <c r="X118" s="109"/>
      <c r="Y118" s="109"/>
      <c r="Z118" s="109"/>
    </row>
    <row r="119" spans="1:26" ht="13.5" customHeight="1">
      <c r="A119" s="155">
        <f t="shared" si="36"/>
        <v>46222</v>
      </c>
      <c r="B119" s="156">
        <f>'CHICLETS MASTER S1'!U29</f>
        <v>0.3263888888888889</v>
      </c>
      <c r="C119" s="122" t="s">
        <v>163</v>
      </c>
      <c r="D119" s="122" t="str">
        <f t="shared" si="37"/>
        <v>UC IRVINE 1</v>
      </c>
      <c r="E119" s="122">
        <v>65</v>
      </c>
      <c r="F119" s="169" t="str">
        <f>IF(G64 = "", "pt_N2", IF(G64 &gt; I64, _xlfn.CONCAT("pt_N2-", RIGHT(F64, LEN(F64) - FIND("-", F64))), _xlfn.CONCAT("pt_N2-", RIGHT(H64, LEN(H64) - FIND("-", H64)))))</f>
        <v>pt_N2</v>
      </c>
      <c r="G119" s="169"/>
      <c r="H119" s="169" t="str">
        <f>IF(G81 = "", "pt_N3", IF(G81 &gt; I81, _xlfn.CONCAT("pt_N3-", RIGHT(F81, LEN(F81) - FIND("-", F81))), _xlfn.CONCAT("pt_N3-", RIGHT(H81, LEN(H81) - FIND("-", H81)))))</f>
        <v>pt_N3</v>
      </c>
      <c r="I119" s="169"/>
      <c r="J119" s="169"/>
      <c r="K119" s="169"/>
      <c r="L119" s="169" t="str">
        <f t="shared" si="38"/>
        <v>16G-065</v>
      </c>
      <c r="M119" s="109"/>
      <c r="N119" s="109"/>
      <c r="O119" s="109" t="str">
        <f t="shared" si="39"/>
        <v>pt_Group</v>
      </c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</row>
    <row r="120" spans="1:26" ht="13.5" customHeight="1">
      <c r="A120" s="155">
        <f t="shared" si="36"/>
        <v>46222</v>
      </c>
      <c r="B120" s="156">
        <f>'CHICLETS MASTER S1'!U30</f>
        <v>0.36111111111111099</v>
      </c>
      <c r="C120" s="122" t="s">
        <v>163</v>
      </c>
      <c r="D120" s="122" t="str">
        <f t="shared" si="37"/>
        <v>UC IRVINE 1</v>
      </c>
      <c r="E120" s="122">
        <v>69</v>
      </c>
      <c r="F120" s="169" t="str">
        <f>IF(G90 = "", "pt_S1", IF(G90 &gt; I90, _xlfn.CONCAT("pt_S1-", RIGHT(F90, LEN(F90) - FIND("-", F90))), _xlfn.CONCAT("pt_S1-", RIGHT(H90, LEN(H90) - FIND("-", H90)))))</f>
        <v>pt_S1</v>
      </c>
      <c r="G120" s="169"/>
      <c r="H120" s="169" t="str">
        <f>IF(G51 = "", "pt_S2", IF(G51 &gt; I51, _xlfn.CONCAT("pt_S2-", RIGHT(F51, LEN(F51) - FIND("-", F51))), _xlfn.CONCAT("pt_S2-", RIGHT(H51, LEN(H51) - FIND("-", H51)))))</f>
        <v>pt_S2</v>
      </c>
      <c r="I120" s="169"/>
      <c r="J120" s="169"/>
      <c r="K120" s="169"/>
      <c r="L120" s="169" t="str">
        <f t="shared" si="38"/>
        <v>16G-069</v>
      </c>
      <c r="M120" s="109"/>
      <c r="N120" s="109"/>
      <c r="O120" s="109" t="str">
        <f t="shared" si="39"/>
        <v>pt_Group</v>
      </c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</row>
    <row r="121" spans="1:26" ht="13.5" customHeight="1">
      <c r="A121" s="155">
        <f t="shared" si="36"/>
        <v>46222</v>
      </c>
      <c r="B121" s="156">
        <f>'CHICLETS MASTER S1'!U31</f>
        <v>0.39583333333333398</v>
      </c>
      <c r="C121" s="122" t="s">
        <v>163</v>
      </c>
      <c r="D121" s="122" t="str">
        <f t="shared" si="37"/>
        <v>UC IRVINE 1</v>
      </c>
      <c r="E121" s="122">
        <v>73</v>
      </c>
      <c r="F121" s="169" t="str">
        <f>IF(G89 = "", "pt_R1", IF(G89 &gt; I89, _xlfn.CONCAT("pt_R1-", RIGHT(F89, LEN(F89) - FIND("-", F89))), _xlfn.CONCAT("pt_R1-", RIGHT(H89, LEN(H89) - FIND("-", H89)))))</f>
        <v>pt_R1</v>
      </c>
      <c r="G121" s="169"/>
      <c r="H121" s="169" t="str">
        <f>IF(G52 = "", "pt_R2", IF(G52 &gt; I52, _xlfn.CONCAT("pt_R2-", RIGHT(F52, LEN(F52) - FIND("-", F52))), _xlfn.CONCAT("pt_R2-", RIGHT(H52, LEN(H52) - FIND("-", H52)))))</f>
        <v>pt_R2</v>
      </c>
      <c r="I121" s="169"/>
      <c r="J121" s="169"/>
      <c r="K121" s="169"/>
      <c r="L121" s="169" t="str">
        <f t="shared" si="38"/>
        <v>16G-073</v>
      </c>
      <c r="M121" s="109"/>
      <c r="N121" s="109"/>
      <c r="O121" s="109" t="str">
        <f t="shared" si="39"/>
        <v>pt_Group</v>
      </c>
      <c r="P121" s="109"/>
      <c r="Q121" s="109"/>
      <c r="R121" s="109"/>
      <c r="S121" s="109"/>
      <c r="T121" s="109"/>
      <c r="U121" s="109"/>
      <c r="V121" s="109"/>
      <c r="W121" s="109"/>
      <c r="X121" s="109"/>
      <c r="Y121" s="109"/>
      <c r="Z121" s="109"/>
    </row>
    <row r="122" spans="1:26" ht="13.5" customHeight="1">
      <c r="A122" s="155">
        <f t="shared" si="36"/>
        <v>46222</v>
      </c>
      <c r="B122" s="156">
        <f>'CHICLETS MASTER S1'!U32</f>
        <v>0.43055555555555602</v>
      </c>
      <c r="C122" s="122" t="s">
        <v>163</v>
      </c>
      <c r="D122" s="122" t="str">
        <f t="shared" si="37"/>
        <v>UC IRVINE 1</v>
      </c>
      <c r="E122" s="122">
        <v>77</v>
      </c>
      <c r="F122" s="169" t="str">
        <f>IF(G26 = "", "pt_M1", IF(G26 &gt; I26, _xlfn.CONCAT("pt_M1-", RIGHT(F26, LEN(F26) - FIND("-", F26))), _xlfn.CONCAT("pt_M1-", RIGHT(H26, LEN(H26) - FIND("-", H26)))))</f>
        <v>pt_M1</v>
      </c>
      <c r="G122" s="169"/>
      <c r="H122" s="169" t="str">
        <f>IF(G62 = "", "pt_M3", IF(G62 &gt; I62, _xlfn.CONCAT("pt_M3-", RIGHT(F62, LEN(F62) - FIND("-", F62))), _xlfn.CONCAT("pt_M3-", RIGHT(H62, LEN(H62) - FIND("-", H62)))))</f>
        <v>pt_M3</v>
      </c>
      <c r="I122" s="169"/>
      <c r="J122" s="169"/>
      <c r="K122" s="169"/>
      <c r="L122" s="169" t="str">
        <f t="shared" si="38"/>
        <v>16G-077</v>
      </c>
      <c r="M122" s="109"/>
      <c r="N122" s="109"/>
      <c r="O122" s="109" t="str">
        <f t="shared" si="39"/>
        <v>pt_Group</v>
      </c>
      <c r="P122" s="109"/>
      <c r="Q122" s="109"/>
      <c r="R122" s="109"/>
      <c r="S122" s="109"/>
      <c r="T122" s="109"/>
      <c r="U122" s="109"/>
      <c r="V122" s="109"/>
      <c r="W122" s="109"/>
      <c r="X122" s="109"/>
      <c r="Y122" s="109"/>
      <c r="Z122" s="109"/>
    </row>
    <row r="123" spans="1:26" ht="13.5" customHeight="1">
      <c r="A123" s="155">
        <f t="shared" si="36"/>
        <v>46222</v>
      </c>
      <c r="B123" s="156">
        <f>'CHICLETS MASTER S1'!U33</f>
        <v>0.46527777777777801</v>
      </c>
      <c r="C123" s="122" t="s">
        <v>163</v>
      </c>
      <c r="D123" s="122" t="str">
        <f t="shared" si="37"/>
        <v>UC IRVINE 1</v>
      </c>
      <c r="E123" s="122">
        <v>81</v>
      </c>
      <c r="F123" s="169" t="str">
        <f>IF(G28 = "", "pt_N1", IF(G28 &gt; I28, _xlfn.CONCAT("pt_N1-", RIGHT(F28, LEN(F28) - FIND("-", F28))), _xlfn.CONCAT("pt_N1-", RIGHT(H28, LEN(H28) - FIND("-", H28)))))</f>
        <v>pt_N1</v>
      </c>
      <c r="G123" s="169"/>
      <c r="H123" s="169" t="str">
        <f>IF(G81 = "", "pt_N3", IF(G81 &gt; I81, _xlfn.CONCAT("pt_N3-", RIGHT(F81, LEN(F81) - FIND("-", F81))), _xlfn.CONCAT("pt_N3-", RIGHT(H81, LEN(H81) - FIND("-", H81)))))</f>
        <v>pt_N3</v>
      </c>
      <c r="I123" s="169"/>
      <c r="J123" s="169"/>
      <c r="K123" s="169"/>
      <c r="L123" s="169" t="str">
        <f t="shared" si="38"/>
        <v>16G-081</v>
      </c>
      <c r="M123" s="109"/>
      <c r="N123" s="109"/>
      <c r="O123" s="109" t="str">
        <f t="shared" si="39"/>
        <v>pt_Group</v>
      </c>
      <c r="P123" s="109"/>
      <c r="Q123" s="109"/>
      <c r="R123" s="109"/>
      <c r="S123" s="109"/>
      <c r="T123" s="109"/>
      <c r="U123" s="109"/>
      <c r="V123" s="109"/>
      <c r="W123" s="109"/>
      <c r="X123" s="109"/>
      <c r="Y123" s="109"/>
      <c r="Z123" s="109"/>
    </row>
    <row r="124" spans="1:26" ht="13.5" customHeight="1">
      <c r="A124" s="155">
        <f t="shared" si="36"/>
        <v>46222</v>
      </c>
      <c r="B124" s="156">
        <f>'CHICLETS MASTER S1'!U34</f>
        <v>0.5</v>
      </c>
      <c r="C124" s="122" t="s">
        <v>163</v>
      </c>
      <c r="D124" s="122" t="str">
        <f t="shared" si="37"/>
        <v>UC IRVINE 1</v>
      </c>
      <c r="E124" s="122">
        <v>85</v>
      </c>
      <c r="F124" s="169" t="str">
        <f>IF(G90 = "", "pt_S1", IF(G90 &gt; I90, _xlfn.CONCAT("pt_S1-", RIGHT(F90, LEN(F90) - FIND("-", F90))), _xlfn.CONCAT("pt_S1-", RIGHT(H90, LEN(H90) - FIND("-", H90)))))</f>
        <v>pt_S1</v>
      </c>
      <c r="G124" s="169"/>
      <c r="H124" s="169" t="str">
        <f>IF(G50 = "", "pt_S3", IF(G50 &gt; I50, _xlfn.CONCAT("pt_S3-", RIGHT(F50, LEN(F50) - FIND("-", F50))), _xlfn.CONCAT("pt_S3-", RIGHT(H50, LEN(H50) - FIND("-", H50)))))</f>
        <v>pt_S3</v>
      </c>
      <c r="I124" s="169"/>
      <c r="J124" s="169"/>
      <c r="K124" s="169"/>
      <c r="L124" s="169" t="str">
        <f t="shared" si="38"/>
        <v>16G-085</v>
      </c>
      <c r="M124" s="109"/>
      <c r="N124" s="109"/>
      <c r="O124" s="109" t="str">
        <f t="shared" si="39"/>
        <v>pt_Group</v>
      </c>
      <c r="P124" s="109"/>
      <c r="Q124" s="109"/>
      <c r="R124" s="109"/>
      <c r="S124" s="109"/>
      <c r="T124" s="109"/>
      <c r="U124" s="109"/>
      <c r="V124" s="109"/>
      <c r="W124" s="109"/>
      <c r="X124" s="109"/>
      <c r="Y124" s="109"/>
      <c r="Z124" s="109"/>
    </row>
    <row r="125" spans="1:26" ht="13.5" customHeight="1">
      <c r="A125" s="155">
        <f t="shared" si="36"/>
        <v>46222</v>
      </c>
      <c r="B125" s="156">
        <f>'CHICLETS MASTER S1'!U35</f>
        <v>0.53472222222222199</v>
      </c>
      <c r="C125" s="122" t="s">
        <v>163</v>
      </c>
      <c r="D125" s="122" t="str">
        <f t="shared" si="37"/>
        <v>UC IRVINE 1</v>
      </c>
      <c r="E125" s="122">
        <v>89</v>
      </c>
      <c r="F125" s="169" t="str">
        <f>IF(G89 = "", "pt_R1", IF(G89 &gt; I89, _xlfn.CONCAT("pt_R1-", RIGHT(F89, LEN(F89) - FIND("-", F89))), _xlfn.CONCAT("pt_R1-", RIGHT(H89, LEN(H89) - FIND("-", H89)))))</f>
        <v>pt_R1</v>
      </c>
      <c r="G125" s="169"/>
      <c r="H125" s="169" t="str">
        <f>IF(G31 = "", "pt_R3", IF(G31 &gt; I31, _xlfn.CONCAT("pt_R3-", RIGHT(F31, LEN(F31) - FIND("-", F31))), _xlfn.CONCAT("pt_R3-", RIGHT(H31, LEN(H31) - FIND("-", H31)))))</f>
        <v>pt_R3</v>
      </c>
      <c r="I125" s="169"/>
      <c r="J125" s="169"/>
      <c r="K125" s="169"/>
      <c r="L125" s="169" t="str">
        <f t="shared" si="38"/>
        <v>16G-089</v>
      </c>
      <c r="M125" s="109"/>
      <c r="N125" s="109"/>
      <c r="O125" s="109" t="str">
        <f t="shared" si="39"/>
        <v>pt_Group</v>
      </c>
      <c r="P125" s="109"/>
      <c r="Q125" s="109"/>
      <c r="R125" s="109"/>
      <c r="S125" s="109"/>
      <c r="T125" s="109"/>
      <c r="U125" s="109"/>
      <c r="V125" s="109"/>
      <c r="W125" s="109"/>
      <c r="X125" s="109"/>
      <c r="Y125" s="109"/>
      <c r="Z125" s="109"/>
    </row>
    <row r="126" spans="1:26" ht="13.5" customHeight="1">
      <c r="A126" s="155">
        <f t="shared" si="36"/>
        <v>46222</v>
      </c>
      <c r="B126" s="156">
        <f>'CHICLETS MASTER S1'!U36</f>
        <v>0.56944444444444497</v>
      </c>
      <c r="C126" s="122" t="s">
        <v>163</v>
      </c>
      <c r="D126" s="122" t="str">
        <f t="shared" si="37"/>
        <v>UC IRVINE 1</v>
      </c>
      <c r="E126" s="122">
        <v>93</v>
      </c>
      <c r="F126" s="169" t="str">
        <f>IF(G26 = "", "pt_M1", IF(G26 &gt; I26, _xlfn.CONCAT("pt_M1-", RIGHT(F26, LEN(F26) - FIND("-", F26))), _xlfn.CONCAT("pt_M1-", RIGHT(H26, LEN(H26) - FIND("-", H26)))))</f>
        <v>pt_M1</v>
      </c>
      <c r="G126" s="169"/>
      <c r="H126" s="169" t="str">
        <f>IF(G66 = "", "pt_M2", IF(G66 &gt; I66, _xlfn.CONCAT("pt_M2-", RIGHT(F66, LEN(F66) - FIND("-", F66))), _xlfn.CONCAT("pt_M2-", RIGHT(H66, LEN(H66) - FIND("-", H66)))))</f>
        <v>pt_M2</v>
      </c>
      <c r="I126" s="169"/>
      <c r="J126" s="169"/>
      <c r="K126" s="169"/>
      <c r="L126" s="169" t="str">
        <f t="shared" si="38"/>
        <v>16G-093</v>
      </c>
      <c r="M126" s="109"/>
      <c r="N126" s="109"/>
      <c r="O126" s="109" t="str">
        <f t="shared" si="39"/>
        <v>pt_Group</v>
      </c>
      <c r="P126" s="109"/>
      <c r="Q126" s="109"/>
      <c r="R126" s="109"/>
      <c r="S126" s="109"/>
      <c r="T126" s="109"/>
      <c r="U126" s="109"/>
      <c r="V126" s="109"/>
      <c r="W126" s="109"/>
      <c r="X126" s="109"/>
      <c r="Y126" s="109"/>
      <c r="Z126" s="109"/>
    </row>
    <row r="127" spans="1:26" ht="13.5" customHeight="1">
      <c r="A127" s="155">
        <f t="shared" si="36"/>
        <v>46222</v>
      </c>
      <c r="B127" s="156">
        <f>'CHICLETS MASTER S1'!U37</f>
        <v>0.60416666666666696</v>
      </c>
      <c r="C127" s="122" t="s">
        <v>163</v>
      </c>
      <c r="D127" s="122" t="str">
        <f t="shared" si="37"/>
        <v>UC IRVINE 1</v>
      </c>
      <c r="E127" s="122">
        <v>97</v>
      </c>
      <c r="F127" s="169" t="str">
        <f>IF(G28 = "", "pt_N1", IF(G28 &gt; I28, _xlfn.CONCAT("pt_N1-", RIGHT(F28, LEN(F28) - FIND("-", F28))), _xlfn.CONCAT("pt_N1-", RIGHT(H28, LEN(H28) - FIND("-", H28)))))</f>
        <v>pt_N1</v>
      </c>
      <c r="G127" s="169"/>
      <c r="H127" s="169" t="str">
        <f>IF(G64 = "", "pt_N2", IF(G64 &gt; I64, _xlfn.CONCAT("pt_N2-", RIGHT(F64, LEN(F64) - FIND("-", F64))), _xlfn.CONCAT("pt_N2-", RIGHT(H64, LEN(H64) - FIND("-", H64)))))</f>
        <v>pt_N2</v>
      </c>
      <c r="I127" s="169"/>
      <c r="J127" s="169"/>
      <c r="K127" s="169"/>
      <c r="L127" s="169" t="str">
        <f t="shared" si="38"/>
        <v>16G-097</v>
      </c>
      <c r="M127" s="109"/>
      <c r="N127" s="109"/>
      <c r="O127" s="109" t="str">
        <f t="shared" si="39"/>
        <v>pt_Group</v>
      </c>
      <c r="P127" s="109"/>
      <c r="Q127" s="109"/>
      <c r="R127" s="109"/>
      <c r="S127" s="109"/>
      <c r="T127" s="109"/>
      <c r="U127" s="109"/>
      <c r="V127" s="109"/>
      <c r="W127" s="109"/>
      <c r="X127" s="109"/>
      <c r="Y127" s="109"/>
      <c r="Z127" s="109"/>
    </row>
    <row r="128" spans="1:26" ht="13.5" customHeight="1">
      <c r="A128" s="155">
        <f t="shared" si="36"/>
        <v>46222</v>
      </c>
      <c r="B128" s="156">
        <f>'CHICLETS MASTER S1'!U38</f>
        <v>0.63888888888888895</v>
      </c>
      <c r="C128" s="122" t="s">
        <v>163</v>
      </c>
      <c r="D128" s="122" t="str">
        <f t="shared" si="37"/>
        <v>UC IRVINE 1</v>
      </c>
      <c r="E128" s="122">
        <v>101</v>
      </c>
      <c r="F128" s="169" t="str">
        <f>IF(G51 = "", "pt_S2", IF(G51 &gt; I51, _xlfn.CONCAT("pt_S2-", RIGHT(F51, LEN(F51) - FIND("-", F51))), _xlfn.CONCAT("pt_S2-", RIGHT(H51, LEN(H51) - FIND("-", H51)))))</f>
        <v>pt_S2</v>
      </c>
      <c r="G128" s="169"/>
      <c r="H128" s="169" t="str">
        <f>IF(G50 = "", "pt_S3", IF(G50 &gt; I50, _xlfn.CONCAT("pt_S3-", RIGHT(F50, LEN(F50) - FIND("-", F50))), _xlfn.CONCAT("pt_S3-", RIGHT(H50, LEN(H50) - FIND("-", H50)))))</f>
        <v>pt_S3</v>
      </c>
      <c r="I128" s="169"/>
      <c r="J128" s="169"/>
      <c r="K128" s="169"/>
      <c r="L128" s="169" t="str">
        <f t="shared" si="38"/>
        <v>16G-101</v>
      </c>
      <c r="M128" s="109"/>
      <c r="N128" s="109"/>
      <c r="O128" s="109" t="str">
        <f t="shared" si="39"/>
        <v>pt_Group</v>
      </c>
      <c r="P128" s="109"/>
      <c r="Q128" s="109"/>
      <c r="R128" s="109"/>
      <c r="S128" s="109"/>
      <c r="T128" s="109"/>
      <c r="U128" s="109"/>
      <c r="V128" s="109"/>
      <c r="W128" s="109"/>
      <c r="X128" s="109"/>
      <c r="Y128" s="109"/>
      <c r="Z128" s="109"/>
    </row>
    <row r="129" spans="1:26" ht="13.5" customHeight="1">
      <c r="A129" s="155">
        <f t="shared" si="36"/>
        <v>46222</v>
      </c>
      <c r="B129" s="156">
        <f>'CHICLETS MASTER S1'!U39</f>
        <v>0.67361111111111105</v>
      </c>
      <c r="C129" s="122" t="s">
        <v>163</v>
      </c>
      <c r="D129" s="122" t="str">
        <f t="shared" si="37"/>
        <v>UC IRVINE 1</v>
      </c>
      <c r="E129" s="122">
        <v>105</v>
      </c>
      <c r="F129" s="169" t="str">
        <f>IF(G52 = "", "pt_R2", IF(G52 &gt; I52, _xlfn.CONCAT("pt_R2-", RIGHT(F52, LEN(F52) - FIND("-", F52))), _xlfn.CONCAT("pt_R2-", RIGHT(H52, LEN(H52) - FIND("-", H52)))))</f>
        <v>pt_R2</v>
      </c>
      <c r="G129" s="169"/>
      <c r="H129" s="169" t="str">
        <f>IF(G31 = "", "pt_R3", IF(G31 &gt; I31, _xlfn.CONCAT("pt_R3-", RIGHT(F31, LEN(F31) - FIND("-", F31))), _xlfn.CONCAT("pt_R3-", RIGHT(H31, LEN(H31) - FIND("-", H31)))))</f>
        <v>pt_R3</v>
      </c>
      <c r="I129" s="169"/>
      <c r="J129" s="169"/>
      <c r="K129" s="169"/>
      <c r="L129" s="169" t="str">
        <f t="shared" si="38"/>
        <v>16G-105</v>
      </c>
      <c r="M129" s="109"/>
      <c r="N129" s="109"/>
      <c r="O129" s="109" t="str">
        <f t="shared" si="39"/>
        <v>pt_Group</v>
      </c>
      <c r="P129" s="109"/>
      <c r="Q129" s="109"/>
      <c r="R129" s="109"/>
      <c r="S129" s="109"/>
      <c r="T129" s="109"/>
      <c r="U129" s="109"/>
      <c r="V129" s="109"/>
      <c r="W129" s="109"/>
      <c r="X129" s="109"/>
      <c r="Y129" s="109"/>
      <c r="Z129" s="109"/>
    </row>
    <row r="130" spans="1:26" ht="13.5" customHeight="1">
      <c r="A130" s="158"/>
      <c r="B130" s="106" t="s">
        <v>204</v>
      </c>
      <c r="C130" s="106"/>
      <c r="D130" s="106"/>
      <c r="E130" s="106"/>
      <c r="F130" s="106"/>
      <c r="G130" s="110"/>
      <c r="H130" s="106"/>
      <c r="I130" s="106"/>
      <c r="J130" s="106"/>
      <c r="K130" s="106"/>
      <c r="L130" s="106"/>
      <c r="M130" s="109"/>
      <c r="N130" s="109"/>
      <c r="O130" s="109"/>
      <c r="P130" s="109"/>
      <c r="Q130" s="109"/>
      <c r="R130" s="109"/>
      <c r="S130" s="109"/>
      <c r="T130" s="109"/>
      <c r="U130" s="109"/>
      <c r="V130" s="109"/>
      <c r="W130" s="109"/>
      <c r="X130" s="109"/>
      <c r="Y130" s="109"/>
      <c r="Z130" s="109"/>
    </row>
    <row r="131" spans="1:26" ht="13.5" customHeight="1">
      <c r="A131" s="158" t="s">
        <v>1348</v>
      </c>
      <c r="B131" s="106" t="s">
        <v>204</v>
      </c>
      <c r="C131" s="106"/>
      <c r="D131" s="106"/>
      <c r="E131" s="106"/>
      <c r="F131" s="106"/>
      <c r="G131" s="110"/>
      <c r="H131" s="106"/>
      <c r="I131" s="106"/>
      <c r="J131" s="106"/>
      <c r="K131" s="106"/>
      <c r="L131" s="106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109"/>
      <c r="Y131" s="109"/>
      <c r="Z131" s="109"/>
    </row>
    <row r="132" spans="1:26" ht="13.5" customHeight="1">
      <c r="A132" s="155">
        <f t="shared" ref="A132:A133" si="40">$A$93</f>
        <v>46222</v>
      </c>
      <c r="B132" s="156">
        <f>'CHICLETS MASTER S1'!U42</f>
        <v>0.77777777777777801</v>
      </c>
      <c r="C132" s="122" t="s">
        <v>166</v>
      </c>
      <c r="D132" s="122" t="str">
        <f t="shared" ref="D132:D133" si="41">$D$116</f>
        <v>UC IRVINE 1</v>
      </c>
      <c r="E132" s="122">
        <v>109</v>
      </c>
      <c r="F132" s="169" t="s">
        <v>356</v>
      </c>
      <c r="G132" s="169"/>
      <c r="H132" s="169" t="s">
        <v>357</v>
      </c>
      <c r="I132" s="169"/>
      <c r="J132" s="169">
        <v>129</v>
      </c>
      <c r="K132" s="169">
        <v>134</v>
      </c>
      <c r="L132" s="169" t="str">
        <f t="shared" ref="L132:L133" si="42">IF(E132="","",$L$15&amp;"-"&amp;TEXT(E132,"000"))</f>
        <v>16G-109</v>
      </c>
      <c r="M132" s="109"/>
      <c r="N132" s="109"/>
      <c r="O132" s="109" t="str">
        <f>$K$262&amp;C132</f>
        <v>pt_Play-in</v>
      </c>
      <c r="P132" s="109"/>
      <c r="Q132" s="109"/>
      <c r="R132" s="109"/>
      <c r="S132" s="109"/>
      <c r="T132" s="109"/>
      <c r="U132" s="109"/>
      <c r="V132" s="109"/>
      <c r="W132" s="109"/>
      <c r="X132" s="109"/>
      <c r="Y132" s="109"/>
      <c r="Z132" s="109"/>
    </row>
    <row r="133" spans="1:26" ht="13.5" customHeight="1">
      <c r="A133" s="155">
        <f t="shared" si="40"/>
        <v>46222</v>
      </c>
      <c r="B133" s="156">
        <f>'CHICLETS MASTER S1'!U43</f>
        <v>0.8125</v>
      </c>
      <c r="C133" s="122" t="s">
        <v>166</v>
      </c>
      <c r="D133" s="122" t="str">
        <f t="shared" si="41"/>
        <v>UC IRVINE 1</v>
      </c>
      <c r="E133" s="122">
        <v>113</v>
      </c>
      <c r="F133" s="169" t="s">
        <v>366</v>
      </c>
      <c r="G133" s="169"/>
      <c r="H133" s="169" t="s">
        <v>367</v>
      </c>
      <c r="I133" s="169"/>
      <c r="J133" s="169">
        <v>121</v>
      </c>
      <c r="K133" s="169">
        <v>126</v>
      </c>
      <c r="L133" s="169" t="str">
        <f t="shared" si="42"/>
        <v>16G-113</v>
      </c>
      <c r="M133" s="109"/>
      <c r="N133" s="109"/>
      <c r="O133" s="109" t="str">
        <f>$K$262&amp;C133</f>
        <v>pt_Play-in</v>
      </c>
      <c r="P133" s="109"/>
      <c r="Q133" s="109"/>
      <c r="R133" s="109"/>
      <c r="S133" s="109"/>
      <c r="T133" s="109"/>
      <c r="U133" s="109"/>
      <c r="V133" s="109"/>
      <c r="W133" s="109"/>
      <c r="X133" s="109"/>
      <c r="Y133" s="109"/>
      <c r="Z133" s="109"/>
    </row>
    <row r="134" spans="1:26" ht="13.5" customHeight="1" thickBot="1">
      <c r="A134" s="159"/>
      <c r="B134" s="160"/>
      <c r="C134" s="106"/>
      <c r="D134" s="106"/>
      <c r="E134" s="106"/>
      <c r="F134" s="106" t="s">
        <v>173</v>
      </c>
      <c r="G134" s="110"/>
      <c r="H134" s="106" t="s">
        <v>173</v>
      </c>
      <c r="I134" s="106"/>
      <c r="J134" s="106"/>
      <c r="K134" s="106"/>
      <c r="L134" s="106"/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109"/>
      <c r="Y134" s="109"/>
      <c r="Z134" s="109"/>
    </row>
    <row r="135" spans="1:26" ht="13.5" customHeight="1" thickBot="1">
      <c r="A135" s="159"/>
      <c r="B135" s="160"/>
      <c r="C135" s="106"/>
      <c r="D135" s="153" t="str">
        <f>'CHICLETS MASTER S1'!$AM$27</f>
        <v>WOOLLETT NEAR RIGHT</v>
      </c>
      <c r="E135" s="106"/>
      <c r="F135" s="106"/>
      <c r="G135" s="110"/>
      <c r="H135" s="106"/>
      <c r="I135" s="106"/>
      <c r="J135" s="106"/>
      <c r="K135" s="106"/>
      <c r="L135" s="106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109"/>
      <c r="Y135" s="109"/>
      <c r="Z135" s="109"/>
    </row>
    <row r="136" spans="1:26" ht="13.5" customHeight="1">
      <c r="A136" s="189" t="s">
        <v>110</v>
      </c>
      <c r="B136" s="190" t="s">
        <v>111</v>
      </c>
      <c r="C136" s="190" t="s">
        <v>112</v>
      </c>
      <c r="D136" s="190" t="s">
        <v>113</v>
      </c>
      <c r="E136" s="190" t="s">
        <v>114</v>
      </c>
      <c r="F136" s="190" t="s">
        <v>115</v>
      </c>
      <c r="G136" s="190" t="s">
        <v>116</v>
      </c>
      <c r="H136" s="190" t="s">
        <v>117</v>
      </c>
      <c r="I136" s="190" t="s">
        <v>116</v>
      </c>
      <c r="J136" s="190" t="s">
        <v>118</v>
      </c>
      <c r="K136" s="190" t="s">
        <v>119</v>
      </c>
      <c r="L136" s="190" t="s">
        <v>120</v>
      </c>
      <c r="M136" s="109"/>
      <c r="N136" s="109"/>
      <c r="O136" s="109"/>
      <c r="P136" s="109"/>
      <c r="Q136" s="109"/>
      <c r="R136" s="109"/>
      <c r="S136" s="109"/>
      <c r="T136" s="109"/>
      <c r="U136" s="109"/>
      <c r="V136" s="109"/>
      <c r="W136" s="109"/>
      <c r="X136" s="109"/>
      <c r="Y136" s="109"/>
      <c r="Z136" s="109"/>
    </row>
    <row r="137" spans="1:26" ht="13.5" customHeight="1">
      <c r="A137" s="155">
        <f t="shared" ref="A137:A148" si="43">$A$93</f>
        <v>46222</v>
      </c>
      <c r="B137" s="156">
        <f>'CHICLETS MASTER S1'!AL28</f>
        <v>0.29166666666666669</v>
      </c>
      <c r="C137" s="122" t="s">
        <v>163</v>
      </c>
      <c r="D137" s="122" t="str">
        <f t="shared" ref="D137:D148" si="44">$D$135</f>
        <v>WOOLLETT NEAR RIGHT</v>
      </c>
      <c r="E137" s="122">
        <v>62</v>
      </c>
      <c r="F137" s="169" t="str">
        <f>IF(G47 = "", "pt_O2", IF(G47 &gt; I47, _xlfn.CONCAT("pt_O2-", RIGHT(F47, LEN(F47) - FIND("-", F47))), _xlfn.CONCAT("pt_O2-", RIGHT(H47, LEN(H47) - FIND("-", H47)))))</f>
        <v>pt_O2</v>
      </c>
      <c r="G137" s="169"/>
      <c r="H137" s="169" t="str">
        <f>IF(G83 = "", "pt_O3", IF(G83 &gt; I83, _xlfn.CONCAT("pt_O3-", RIGHT(F83, LEN(F83) - FIND("-", F83))), _xlfn.CONCAT("pt_O3-", RIGHT(H83, LEN(H83) - FIND("-", H83)))))</f>
        <v>pt_O3</v>
      </c>
      <c r="I137" s="169"/>
      <c r="J137" s="169"/>
      <c r="K137" s="169"/>
      <c r="L137" s="169" t="str">
        <f t="shared" ref="L137:L148" si="45">IF(E137="","",$L$15&amp;"-"&amp;TEXT(E137,"000"))</f>
        <v>16G-062</v>
      </c>
      <c r="M137" s="109"/>
      <c r="N137" s="109"/>
      <c r="O137" s="109" t="str">
        <f t="shared" ref="O137:O148" si="46">$K$262&amp;C137</f>
        <v>pt_Group</v>
      </c>
      <c r="P137" s="109"/>
      <c r="Q137" s="109"/>
      <c r="R137" s="109"/>
      <c r="S137" s="109"/>
      <c r="T137" s="109"/>
      <c r="U137" s="109"/>
      <c r="V137" s="109"/>
      <c r="W137" s="109"/>
      <c r="X137" s="109"/>
      <c r="Y137" s="109"/>
      <c r="Z137" s="109"/>
    </row>
    <row r="138" spans="1:26" ht="13.5" customHeight="1">
      <c r="A138" s="155">
        <f t="shared" si="43"/>
        <v>46222</v>
      </c>
      <c r="B138" s="156">
        <f>'CHICLETS MASTER S1'!AL29</f>
        <v>0.3263888888888889</v>
      </c>
      <c r="C138" s="122" t="s">
        <v>163</v>
      </c>
      <c r="D138" s="122" t="str">
        <f t="shared" si="44"/>
        <v>WOOLLETT NEAR RIGHT</v>
      </c>
      <c r="E138" s="122">
        <v>66</v>
      </c>
      <c r="F138" s="169" t="str">
        <f>IF(G45 = "", "pt_P2", IF(G45 &gt; I45, _xlfn.CONCAT("pt_P2-", RIGHT(F45, LEN(F45) - FIND("-", F45))), _xlfn.CONCAT("pt_P2-", RIGHT(H45, LEN(H45) - FIND("-", H45)))))</f>
        <v>pt_P2</v>
      </c>
      <c r="G138" s="169"/>
      <c r="H138" s="169" t="str">
        <f>IF(G85 = "", "pt_P3", IF(G85 &gt; I85, _xlfn.CONCAT("pt_P3-", RIGHT(F85, LEN(F85) - FIND("-", F85))), _xlfn.CONCAT("pt_P3-", RIGHT(H85, LEN(H85) - FIND("-", H85)))))</f>
        <v>pt_P3</v>
      </c>
      <c r="I138" s="169"/>
      <c r="J138" s="169"/>
      <c r="K138" s="169"/>
      <c r="L138" s="169" t="str">
        <f t="shared" si="45"/>
        <v>16G-066</v>
      </c>
      <c r="M138" s="109"/>
      <c r="N138" s="109"/>
      <c r="O138" s="109" t="str">
        <f t="shared" si="46"/>
        <v>pt_Group</v>
      </c>
      <c r="P138" s="109"/>
      <c r="Q138" s="109" t="s">
        <v>1349</v>
      </c>
      <c r="R138" s="109">
        <v>1</v>
      </c>
      <c r="S138" s="109">
        <v>4</v>
      </c>
      <c r="T138" s="109"/>
      <c r="U138" s="109">
        <v>-3</v>
      </c>
      <c r="V138" s="109">
        <v>1</v>
      </c>
      <c r="W138" s="109">
        <v>-2</v>
      </c>
      <c r="X138" s="109"/>
      <c r="Y138" s="109"/>
      <c r="Z138" s="109"/>
    </row>
    <row r="139" spans="1:26" ht="13.5" customHeight="1">
      <c r="A139" s="155">
        <f t="shared" si="43"/>
        <v>46222</v>
      </c>
      <c r="B139" s="156">
        <f>'CHICLETS MASTER S1'!AL30</f>
        <v>0.36111111111111099</v>
      </c>
      <c r="C139" s="122" t="s">
        <v>163</v>
      </c>
      <c r="D139" s="122" t="str">
        <f t="shared" si="44"/>
        <v>WOOLLETT NEAR RIGHT</v>
      </c>
      <c r="E139" s="122">
        <v>70</v>
      </c>
      <c r="F139" s="169" t="str">
        <f>IF(G88 = "", "pt_U1", IF(G88 &gt; I88, _xlfn.CONCAT("pt_U1-", RIGHT(F88, LEN(F88) - FIND("-", F88))), _xlfn.CONCAT("pt_U1-", RIGHT(H88, LEN(H88) - FIND("-", H88)))))</f>
        <v>pt_U1</v>
      </c>
      <c r="G139" s="169"/>
      <c r="H139" s="169" t="str">
        <f>IF(G70 = "", "pt_U2", IF(G70 &gt; I70, _xlfn.CONCAT("pt_U2-", RIGHT(F70, LEN(F70) - FIND("-", F70))), _xlfn.CONCAT("pt_U2-", RIGHT(H70, LEN(H70) - FIND("-", H70)))))</f>
        <v>pt_U2</v>
      </c>
      <c r="I139" s="169"/>
      <c r="J139" s="169"/>
      <c r="K139" s="169"/>
      <c r="L139" s="169" t="str">
        <f t="shared" si="45"/>
        <v>16G-070</v>
      </c>
      <c r="M139" s="109"/>
      <c r="N139" s="109"/>
      <c r="O139" s="109" t="str">
        <f t="shared" si="46"/>
        <v>pt_Group</v>
      </c>
      <c r="P139" s="109"/>
      <c r="Q139" s="109" t="s">
        <v>1350</v>
      </c>
      <c r="R139" s="109">
        <v>4</v>
      </c>
      <c r="S139" s="109">
        <v>1</v>
      </c>
      <c r="T139" s="109"/>
      <c r="U139" s="109">
        <v>3</v>
      </c>
      <c r="V139" s="109">
        <v>-3</v>
      </c>
      <c r="W139" s="109">
        <v>0</v>
      </c>
      <c r="X139" s="109"/>
      <c r="Y139" s="109"/>
      <c r="Z139" s="109"/>
    </row>
    <row r="140" spans="1:26" ht="13.5" customHeight="1">
      <c r="A140" s="155">
        <f t="shared" si="43"/>
        <v>46222</v>
      </c>
      <c r="B140" s="156">
        <f>'CHICLETS MASTER S1'!AL31</f>
        <v>0.39583333333333398</v>
      </c>
      <c r="C140" s="122" t="s">
        <v>163</v>
      </c>
      <c r="D140" s="122" t="str">
        <f t="shared" si="44"/>
        <v>WOOLLETT NEAR RIGHT</v>
      </c>
      <c r="E140" s="122">
        <v>74</v>
      </c>
      <c r="F140" s="169" t="str">
        <f>IF(G69 = "", "pt_T1", IF(G69 &gt; I69, _xlfn.CONCAT("pt_T1-", RIGHT(F69, LEN(F69) - FIND("-", F69))), _xlfn.CONCAT("pt_T1-", RIGHT(H69, LEN(H69) - FIND("-", H69)))))</f>
        <v>pt_T1</v>
      </c>
      <c r="G140" s="169"/>
      <c r="H140" s="169" t="str">
        <f>IF(G71 = "", "pt_T2", IF(G71 &gt; I71, _xlfn.CONCAT("pt_T2-", RIGHT(F71, LEN(F71) - FIND("-", F71))), _xlfn.CONCAT("pt_T2-", RIGHT(H71, LEN(H71) - FIND("-", H71)))))</f>
        <v>pt_T2</v>
      </c>
      <c r="I140" s="169"/>
      <c r="J140" s="169"/>
      <c r="K140" s="169"/>
      <c r="L140" s="169" t="str">
        <f t="shared" si="45"/>
        <v>16G-074</v>
      </c>
      <c r="M140" s="109"/>
      <c r="N140" s="109"/>
      <c r="O140" s="109" t="str">
        <f t="shared" si="46"/>
        <v>pt_Group</v>
      </c>
      <c r="P140" s="109"/>
      <c r="Q140" s="109" t="s">
        <v>1351</v>
      </c>
      <c r="R140" s="109">
        <v>1</v>
      </c>
      <c r="S140" s="109">
        <v>4</v>
      </c>
      <c r="T140" s="109"/>
      <c r="U140" s="109">
        <v>3</v>
      </c>
      <c r="V140" s="109">
        <v>-1</v>
      </c>
      <c r="W140" s="109">
        <v>2</v>
      </c>
      <c r="X140" s="109"/>
      <c r="Y140" s="109"/>
      <c r="Z140" s="109"/>
    </row>
    <row r="141" spans="1:26" ht="13.5" customHeight="1">
      <c r="A141" s="155">
        <f t="shared" si="43"/>
        <v>46222</v>
      </c>
      <c r="B141" s="156">
        <f>'CHICLETS MASTER S1'!AL32</f>
        <v>0.43055555555555602</v>
      </c>
      <c r="C141" s="122" t="s">
        <v>163</v>
      </c>
      <c r="D141" s="122" t="str">
        <f t="shared" si="44"/>
        <v>WOOLLETT NEAR RIGHT</v>
      </c>
      <c r="E141" s="122">
        <v>78</v>
      </c>
      <c r="F141" s="169" t="str">
        <f>IF(G24 = "", "pt_O1", IF(G24 &gt; I24, _xlfn.CONCAT("pt_O1-", RIGHT(F24, LEN(F24) - FIND("-", F24))), _xlfn.CONCAT("pt_O1-", RIGHT(H24, LEN(H24) - FIND("-", H24)))))</f>
        <v>pt_O1</v>
      </c>
      <c r="G141" s="169"/>
      <c r="H141" s="169" t="str">
        <f>IF(G83 = "", "pt_O3", IF(G83 &gt; I83, _xlfn.CONCAT("pt_O3-", RIGHT(F83, LEN(F83) - FIND("-", F83))), _xlfn.CONCAT("pt_O3-", RIGHT(H83, LEN(H83) - FIND("-", H83)))))</f>
        <v>pt_O3</v>
      </c>
      <c r="I141" s="169"/>
      <c r="J141" s="169"/>
      <c r="K141" s="169"/>
      <c r="L141" s="169" t="str">
        <f t="shared" si="45"/>
        <v>16G-078</v>
      </c>
      <c r="M141" s="109"/>
      <c r="N141" s="109"/>
      <c r="O141" s="109" t="str">
        <f t="shared" si="46"/>
        <v>pt_Group</v>
      </c>
      <c r="P141" s="109"/>
      <c r="Q141" s="109"/>
      <c r="R141" s="109"/>
      <c r="S141" s="109"/>
      <c r="T141" s="109"/>
      <c r="U141" s="109"/>
      <c r="V141" s="109"/>
      <c r="W141" s="109"/>
      <c r="X141" s="109"/>
      <c r="Y141" s="109"/>
      <c r="Z141" s="109"/>
    </row>
    <row r="142" spans="1:26" ht="13.5" customHeight="1">
      <c r="A142" s="155">
        <f t="shared" si="43"/>
        <v>46222</v>
      </c>
      <c r="B142" s="156">
        <f>'CHICLETS MASTER S1'!AL33</f>
        <v>0.46527777777777801</v>
      </c>
      <c r="C142" s="122" t="s">
        <v>163</v>
      </c>
      <c r="D142" s="122" t="str">
        <f t="shared" si="44"/>
        <v>WOOLLETT NEAR RIGHT</v>
      </c>
      <c r="E142" s="122">
        <v>82</v>
      </c>
      <c r="F142" s="169" t="str">
        <f>IF(G43 = "", "pt_P1", IF(G43 &gt; I43, _xlfn.CONCAT("pt_P1-", RIGHT(F43, LEN(F43) - FIND("-", F43))), _xlfn.CONCAT("pt_P1-", RIGHT(H43, LEN(H43) - FIND("-", H43)))))</f>
        <v>pt_P1</v>
      </c>
      <c r="G142" s="169"/>
      <c r="H142" s="169" t="str">
        <f>IF(G85 = "", "pt_P3", IF(G85 &gt; I85, _xlfn.CONCAT("pt_P3-", RIGHT(F85, LEN(F85) - FIND("-", F85))), _xlfn.CONCAT("pt_P3-", RIGHT(H85, LEN(H85) - FIND("-", H85)))))</f>
        <v>pt_P3</v>
      </c>
      <c r="I142" s="169"/>
      <c r="J142" s="169"/>
      <c r="K142" s="169"/>
      <c r="L142" s="169" t="str">
        <f t="shared" si="45"/>
        <v>16G-082</v>
      </c>
      <c r="M142" s="109"/>
      <c r="N142" s="109"/>
      <c r="O142" s="109" t="str">
        <f t="shared" si="46"/>
        <v>pt_Group</v>
      </c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</row>
    <row r="143" spans="1:26" ht="13.5" customHeight="1">
      <c r="A143" s="155">
        <f t="shared" si="43"/>
        <v>46222</v>
      </c>
      <c r="B143" s="156">
        <f>'CHICLETS MASTER S1'!AL34</f>
        <v>0.5</v>
      </c>
      <c r="C143" s="122" t="s">
        <v>163</v>
      </c>
      <c r="D143" s="122" t="str">
        <f t="shared" si="44"/>
        <v>WOOLLETT NEAR RIGHT</v>
      </c>
      <c r="E143" s="122">
        <v>86</v>
      </c>
      <c r="F143" s="169" t="str">
        <f>IF(G88 = "", "pt_U1", IF(G88 &gt; I88, _xlfn.CONCAT("pt_U1-", RIGHT(F88, LEN(F88) - FIND("-", F88))), _xlfn.CONCAT("pt_U1-", RIGHT(H88, LEN(H88) - FIND("-", H88)))))</f>
        <v>pt_U1</v>
      </c>
      <c r="G143" s="169"/>
      <c r="H143" s="169" t="str">
        <f>IF(G33 = "", "pt_U3", IF(G33 &gt; I33, _xlfn.CONCAT("pt_U3-", RIGHT(F33, LEN(F33) - FIND("-", F33))), _xlfn.CONCAT("pt_U3-", RIGHT(H33, LEN(H33) - FIND("-", H33)))))</f>
        <v>pt_U3</v>
      </c>
      <c r="I143" s="169"/>
      <c r="J143" s="169"/>
      <c r="K143" s="169"/>
      <c r="L143" s="169" t="str">
        <f t="shared" si="45"/>
        <v>16G-086</v>
      </c>
      <c r="M143" s="109"/>
      <c r="N143" s="109"/>
      <c r="O143" s="109" t="str">
        <f t="shared" si="46"/>
        <v>pt_Group</v>
      </c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</row>
    <row r="144" spans="1:26" ht="13.5" customHeight="1">
      <c r="A144" s="155">
        <f t="shared" si="43"/>
        <v>46222</v>
      </c>
      <c r="B144" s="156">
        <f>'CHICLETS MASTER S1'!AL35</f>
        <v>0.53472222222222199</v>
      </c>
      <c r="C144" s="122" t="s">
        <v>163</v>
      </c>
      <c r="D144" s="122" t="str">
        <f t="shared" si="44"/>
        <v>WOOLLETT NEAR RIGHT</v>
      </c>
      <c r="E144" s="122">
        <v>90</v>
      </c>
      <c r="F144" s="169" t="str">
        <f>IF(G69 = "", "pt_T1", IF(G69 &gt; I69, _xlfn.CONCAT("pt_T1-", RIGHT(F69, LEN(F69) - FIND("-", F69))), _xlfn.CONCAT("pt_T1-", RIGHT(H69, LEN(H69) - FIND("-", H69)))))</f>
        <v>pt_T1</v>
      </c>
      <c r="G144" s="169"/>
      <c r="H144" s="169" t="str">
        <f>IF(G32 = "", "pt_T3", IF(G32 &gt; I32, _xlfn.CONCAT("pt_T3-", RIGHT(F32, LEN(F32) - FIND("-", F32))), _xlfn.CONCAT("pt_T3-", RIGHT(H32, LEN(H32) - FIND("-", H32)))))</f>
        <v>pt_T3</v>
      </c>
      <c r="I144" s="169"/>
      <c r="J144" s="169"/>
      <c r="K144" s="169"/>
      <c r="L144" s="169" t="str">
        <f t="shared" si="45"/>
        <v>16G-090</v>
      </c>
      <c r="M144" s="109"/>
      <c r="N144" s="109"/>
      <c r="O144" s="109" t="str">
        <f t="shared" si="46"/>
        <v>pt_Group</v>
      </c>
      <c r="P144" s="109"/>
      <c r="Q144" s="109"/>
      <c r="R144" s="109"/>
      <c r="S144" s="109"/>
      <c r="T144" s="109"/>
      <c r="U144" s="109"/>
      <c r="V144" s="109"/>
      <c r="W144" s="109"/>
      <c r="X144" s="109"/>
      <c r="Y144" s="109"/>
      <c r="Z144" s="109"/>
    </row>
    <row r="145" spans="1:26" ht="13.5" customHeight="1">
      <c r="A145" s="155">
        <f t="shared" si="43"/>
        <v>46222</v>
      </c>
      <c r="B145" s="156">
        <f>'CHICLETS MASTER S1'!AL36</f>
        <v>0.56944444444444497</v>
      </c>
      <c r="C145" s="122" t="s">
        <v>163</v>
      </c>
      <c r="D145" s="122" t="str">
        <f t="shared" si="44"/>
        <v>WOOLLETT NEAR RIGHT</v>
      </c>
      <c r="E145" s="122">
        <v>94</v>
      </c>
      <c r="F145" s="169" t="str">
        <f>IF(G24 = "", "pt_O1", IF(G24 &gt; I24, _xlfn.CONCAT("pt_O1-", RIGHT(F24, LEN(F24) - FIND("-", F24))), _xlfn.CONCAT("pt_O1-", RIGHT(H24, LEN(H24) - FIND("-", H24)))))</f>
        <v>pt_O1</v>
      </c>
      <c r="G145" s="169"/>
      <c r="H145" s="169" t="str">
        <f>IF(G47 = "", "pt_O2", IF(G47 &gt; I47, _xlfn.CONCAT("pt_O2-", RIGHT(F47, LEN(F47) - FIND("-", F47))), _xlfn.CONCAT("pt_O2-", RIGHT(H47, LEN(H47) - FIND("-", H47)))))</f>
        <v>pt_O2</v>
      </c>
      <c r="I145" s="169"/>
      <c r="J145" s="169"/>
      <c r="K145" s="169"/>
      <c r="L145" s="169" t="str">
        <f t="shared" si="45"/>
        <v>16G-094</v>
      </c>
      <c r="M145" s="109"/>
      <c r="N145" s="109"/>
      <c r="O145" s="109" t="str">
        <f t="shared" si="46"/>
        <v>pt_Group</v>
      </c>
      <c r="P145" s="109"/>
      <c r="Q145" s="109"/>
      <c r="R145" s="109"/>
      <c r="S145" s="109"/>
      <c r="T145" s="109"/>
      <c r="U145" s="109"/>
      <c r="V145" s="109"/>
      <c r="W145" s="109"/>
      <c r="X145" s="109"/>
      <c r="Y145" s="109"/>
      <c r="Z145" s="109"/>
    </row>
    <row r="146" spans="1:26" ht="13.5" customHeight="1">
      <c r="A146" s="155">
        <f t="shared" si="43"/>
        <v>46222</v>
      </c>
      <c r="B146" s="156">
        <f>'CHICLETS MASTER S1'!AL37</f>
        <v>0.60416666666666696</v>
      </c>
      <c r="C146" s="122" t="s">
        <v>163</v>
      </c>
      <c r="D146" s="122" t="str">
        <f t="shared" si="44"/>
        <v>WOOLLETT NEAR RIGHT</v>
      </c>
      <c r="E146" s="122">
        <v>98</v>
      </c>
      <c r="F146" s="169" t="str">
        <f>IF(G43 = "", "pt_P1", IF(G43 &gt; I43, _xlfn.CONCAT("pt_P1-", RIGHT(F43, LEN(F43) - FIND("-", F43))), _xlfn.CONCAT("pt_P1-", RIGHT(H43, LEN(H43) - FIND("-", H43)))))</f>
        <v>pt_P1</v>
      </c>
      <c r="G146" s="169"/>
      <c r="H146" s="169" t="str">
        <f>IF(G45 = "", "pt_P2", IF(G45 &gt; I45, _xlfn.CONCAT("pt_P2-", RIGHT(F45, LEN(F45) - FIND("-", F45))), _xlfn.CONCAT("pt_P2-", RIGHT(H45, LEN(H45) - FIND("-", H45)))))</f>
        <v>pt_P2</v>
      </c>
      <c r="I146" s="169"/>
      <c r="J146" s="169"/>
      <c r="K146" s="169"/>
      <c r="L146" s="169" t="str">
        <f t="shared" si="45"/>
        <v>16G-098</v>
      </c>
      <c r="M146" s="109"/>
      <c r="N146" s="109"/>
      <c r="O146" s="109" t="str">
        <f t="shared" si="46"/>
        <v>pt_Group</v>
      </c>
      <c r="P146" s="109"/>
      <c r="Q146" s="109"/>
      <c r="R146" s="109"/>
      <c r="S146" s="109"/>
      <c r="T146" s="109"/>
      <c r="U146" s="109"/>
      <c r="V146" s="109"/>
      <c r="W146" s="109"/>
      <c r="X146" s="109"/>
      <c r="Y146" s="109"/>
      <c r="Z146" s="109"/>
    </row>
    <row r="147" spans="1:26" ht="13.5" customHeight="1">
      <c r="A147" s="155">
        <f t="shared" si="43"/>
        <v>46222</v>
      </c>
      <c r="B147" s="156">
        <f>'CHICLETS MASTER S1'!AL38</f>
        <v>0.63888888888888895</v>
      </c>
      <c r="C147" s="122" t="s">
        <v>163</v>
      </c>
      <c r="D147" s="122" t="str">
        <f t="shared" si="44"/>
        <v>WOOLLETT NEAR RIGHT</v>
      </c>
      <c r="E147" s="122">
        <v>102</v>
      </c>
      <c r="F147" s="169" t="str">
        <f>IF(G70 = "", "pt_U2", IF(G70 &gt; I70, _xlfn.CONCAT("pt_U2-", RIGHT(F70, LEN(F70) - FIND("-", F70))), _xlfn.CONCAT("pt_U2-", RIGHT(H70, LEN(H70) - FIND("-", H70)))))</f>
        <v>pt_U2</v>
      </c>
      <c r="G147" s="169"/>
      <c r="H147" s="169" t="str">
        <f>IF(G33 = "", "pt_U3", IF(G33 &gt; I33, _xlfn.CONCAT("pt_U3-", RIGHT(F33, LEN(F33) - FIND("-", F33))), _xlfn.CONCAT("pt_U3-", RIGHT(H33, LEN(H33) - FIND("-", H33)))))</f>
        <v>pt_U3</v>
      </c>
      <c r="I147" s="169"/>
      <c r="J147" s="169"/>
      <c r="K147" s="169"/>
      <c r="L147" s="169" t="str">
        <f t="shared" si="45"/>
        <v>16G-102</v>
      </c>
      <c r="M147" s="109"/>
      <c r="N147" s="109"/>
      <c r="O147" s="109" t="str">
        <f t="shared" si="46"/>
        <v>pt_Group</v>
      </c>
      <c r="P147" s="109"/>
      <c r="Q147" s="109"/>
      <c r="R147" s="109"/>
      <c r="S147" s="109"/>
      <c r="T147" s="109"/>
      <c r="U147" s="109"/>
      <c r="V147" s="109"/>
      <c r="W147" s="109"/>
      <c r="X147" s="109"/>
      <c r="Y147" s="109"/>
      <c r="Z147" s="109"/>
    </row>
    <row r="148" spans="1:26" ht="13.5" customHeight="1">
      <c r="A148" s="155">
        <f t="shared" si="43"/>
        <v>46222</v>
      </c>
      <c r="B148" s="156">
        <f>'CHICLETS MASTER S1'!AL39</f>
        <v>0.67361111111111105</v>
      </c>
      <c r="C148" s="122" t="s">
        <v>163</v>
      </c>
      <c r="D148" s="122" t="str">
        <f t="shared" si="44"/>
        <v>WOOLLETT NEAR RIGHT</v>
      </c>
      <c r="E148" s="122">
        <v>106</v>
      </c>
      <c r="F148" s="169" t="str">
        <f>IF(G71 = "", "pt_T2", IF(G71 &gt; I71, _xlfn.CONCAT("pt_T2-", RIGHT(F71, LEN(F71) - FIND("-", F71))), _xlfn.CONCAT("pt_T2-", RIGHT(H71, LEN(H71) - FIND("-", H71)))))</f>
        <v>pt_T2</v>
      </c>
      <c r="G148" s="169"/>
      <c r="H148" s="169" t="str">
        <f>IF(G32 = "", "pt_T3", IF(G32 &gt; I32, _xlfn.CONCAT("pt_T3-", RIGHT(F32, LEN(F32) - FIND("-", F32))), _xlfn.CONCAT("pt_T3-", RIGHT(H32, LEN(H32) - FIND("-", H32)))))</f>
        <v>pt_T3</v>
      </c>
      <c r="I148" s="169"/>
      <c r="J148" s="169"/>
      <c r="K148" s="169"/>
      <c r="L148" s="169" t="str">
        <f t="shared" si="45"/>
        <v>16G-106</v>
      </c>
      <c r="M148" s="109"/>
      <c r="N148" s="109"/>
      <c r="O148" s="109" t="str">
        <f t="shared" si="46"/>
        <v>pt_Group</v>
      </c>
      <c r="P148" s="109"/>
      <c r="Q148" s="109"/>
      <c r="R148" s="109"/>
      <c r="S148" s="109"/>
      <c r="T148" s="109"/>
      <c r="U148" s="109"/>
      <c r="V148" s="109"/>
      <c r="W148" s="109"/>
      <c r="X148" s="109"/>
      <c r="Y148" s="109"/>
      <c r="Z148" s="109"/>
    </row>
    <row r="149" spans="1:26" ht="13.5" customHeight="1">
      <c r="A149" s="158"/>
      <c r="B149" s="106" t="s">
        <v>204</v>
      </c>
      <c r="C149" s="106"/>
      <c r="D149" s="106"/>
      <c r="E149" s="106"/>
      <c r="F149" s="106"/>
      <c r="G149" s="110"/>
      <c r="H149" s="106"/>
      <c r="I149" s="106"/>
      <c r="J149" s="106"/>
      <c r="K149" s="106"/>
      <c r="L149" s="106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109"/>
      <c r="Y149" s="109"/>
      <c r="Z149" s="109"/>
    </row>
    <row r="150" spans="1:26" ht="13.5" customHeight="1">
      <c r="A150" s="158"/>
      <c r="B150" s="106" t="s">
        <v>204</v>
      </c>
      <c r="C150" s="106"/>
      <c r="D150" s="106"/>
      <c r="E150" s="106"/>
      <c r="F150" s="106"/>
      <c r="G150" s="110"/>
      <c r="H150" s="106"/>
      <c r="I150" s="106"/>
      <c r="J150" s="106"/>
      <c r="K150" s="106"/>
      <c r="L150" s="106"/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109"/>
      <c r="Y150" s="109"/>
      <c r="Z150" s="109"/>
    </row>
    <row r="151" spans="1:26" ht="13.5" customHeight="1">
      <c r="A151" s="155">
        <f t="shared" ref="A151:A152" si="47">$A$93</f>
        <v>46222</v>
      </c>
      <c r="B151" s="156">
        <f>'CHICLETS MASTER S1'!AL42</f>
        <v>0.77777777777777801</v>
      </c>
      <c r="C151" s="122" t="s">
        <v>166</v>
      </c>
      <c r="D151" s="122" t="str">
        <f t="shared" ref="D151:D152" si="48">$D$135</f>
        <v>WOOLLETT NEAR RIGHT</v>
      </c>
      <c r="E151" s="122">
        <v>110</v>
      </c>
      <c r="F151" s="169" t="s">
        <v>354</v>
      </c>
      <c r="G151" s="169"/>
      <c r="H151" s="169" t="s">
        <v>355</v>
      </c>
      <c r="I151" s="169"/>
      <c r="J151" s="169">
        <v>117</v>
      </c>
      <c r="K151" s="169">
        <v>138</v>
      </c>
      <c r="L151" s="169" t="str">
        <f t="shared" ref="L151:L152" si="49">IF(E151="","",$L$15&amp;"-"&amp;TEXT(E151,"000"))</f>
        <v>16G-110</v>
      </c>
      <c r="M151" s="109"/>
      <c r="N151" s="109"/>
      <c r="O151" s="109" t="str">
        <f>$K$262&amp;C151</f>
        <v>pt_Play-in</v>
      </c>
      <c r="P151" s="109"/>
      <c r="Q151" s="109"/>
      <c r="R151" s="109"/>
      <c r="S151" s="109"/>
      <c r="T151" s="109"/>
      <c r="U151" s="109"/>
      <c r="V151" s="109"/>
      <c r="W151" s="109"/>
      <c r="X151" s="109"/>
      <c r="Y151" s="109"/>
      <c r="Z151" s="109"/>
    </row>
    <row r="152" spans="1:26" ht="13.5" customHeight="1">
      <c r="A152" s="155">
        <f t="shared" si="47"/>
        <v>46222</v>
      </c>
      <c r="B152" s="156">
        <f>'CHICLETS MASTER S1'!AL43</f>
        <v>0.8125</v>
      </c>
      <c r="C152" s="122" t="s">
        <v>166</v>
      </c>
      <c r="D152" s="122" t="str">
        <f t="shared" si="48"/>
        <v>WOOLLETT NEAR RIGHT</v>
      </c>
      <c r="E152" s="122">
        <v>114</v>
      </c>
      <c r="F152" s="169" t="s">
        <v>364</v>
      </c>
      <c r="G152" s="169"/>
      <c r="H152" s="169" t="s">
        <v>365</v>
      </c>
      <c r="I152" s="169"/>
      <c r="J152" s="169">
        <v>125</v>
      </c>
      <c r="K152" s="169">
        <v>130</v>
      </c>
      <c r="L152" s="169" t="str">
        <f t="shared" si="49"/>
        <v>16G-114</v>
      </c>
      <c r="M152" s="109"/>
      <c r="N152" s="109"/>
      <c r="O152" s="109" t="str">
        <f>$K$262&amp;C152</f>
        <v>pt_Play-in</v>
      </c>
      <c r="P152" s="109"/>
      <c r="Q152" s="109"/>
      <c r="R152" s="109"/>
      <c r="S152" s="109"/>
      <c r="T152" s="109"/>
      <c r="U152" s="109"/>
      <c r="V152" s="109"/>
      <c r="W152" s="109"/>
      <c r="X152" s="109"/>
      <c r="Y152" s="109"/>
      <c r="Z152" s="109"/>
    </row>
    <row r="153" spans="1:26" ht="13.5" customHeight="1" thickBot="1">
      <c r="A153" s="159"/>
      <c r="B153" s="106"/>
      <c r="C153" s="106"/>
      <c r="D153" s="106"/>
      <c r="E153" s="106"/>
      <c r="F153" s="106" t="s">
        <v>173</v>
      </c>
      <c r="G153" s="110"/>
      <c r="H153" s="106" t="s">
        <v>173</v>
      </c>
      <c r="I153" s="106"/>
      <c r="J153" s="106"/>
      <c r="K153" s="106"/>
      <c r="L153" s="106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109"/>
      <c r="Y153" s="109"/>
      <c r="Z153" s="109"/>
    </row>
    <row r="154" spans="1:26" ht="13.5" customHeight="1" thickBot="1">
      <c r="A154" s="109"/>
      <c r="B154" s="106"/>
      <c r="C154" s="106"/>
      <c r="D154" s="153" t="str">
        <f>'CHICLETS MASTER S1'!$AO$27</f>
        <v>YORBA LINDA HS</v>
      </c>
      <c r="E154" s="109"/>
      <c r="F154" s="106"/>
      <c r="G154" s="110"/>
      <c r="H154" s="106"/>
      <c r="I154" s="106"/>
      <c r="J154" s="106"/>
      <c r="K154" s="106"/>
      <c r="L154" s="106"/>
      <c r="M154" s="109"/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109"/>
      <c r="Y154" s="109"/>
      <c r="Z154" s="109"/>
    </row>
    <row r="155" spans="1:26" ht="13.5" customHeight="1">
      <c r="A155" s="189" t="s">
        <v>110</v>
      </c>
      <c r="B155" s="190" t="s">
        <v>111</v>
      </c>
      <c r="C155" s="190" t="s">
        <v>112</v>
      </c>
      <c r="D155" s="190" t="s">
        <v>113</v>
      </c>
      <c r="E155" s="190" t="s">
        <v>114</v>
      </c>
      <c r="F155" s="190" t="s">
        <v>115</v>
      </c>
      <c r="G155" s="190" t="s">
        <v>116</v>
      </c>
      <c r="H155" s="190" t="s">
        <v>117</v>
      </c>
      <c r="I155" s="190"/>
      <c r="J155" s="190" t="s">
        <v>118</v>
      </c>
      <c r="K155" s="190" t="s">
        <v>119</v>
      </c>
      <c r="L155" s="190" t="s">
        <v>120</v>
      </c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109"/>
      <c r="Y155" s="109"/>
      <c r="Z155" s="109"/>
    </row>
    <row r="156" spans="1:26" ht="13.5" customHeight="1">
      <c r="A156" s="155">
        <f t="shared" ref="A156:A167" si="50">$A$93</f>
        <v>46222</v>
      </c>
      <c r="B156" s="156">
        <f>'CHICLETS MASTER S1'!AL28</f>
        <v>0.29166666666666669</v>
      </c>
      <c r="C156" s="122" t="s">
        <v>163</v>
      </c>
      <c r="D156" s="122" t="str">
        <f t="shared" ref="D156:D167" si="51">$D$154</f>
        <v>YORBA LINDA HS</v>
      </c>
      <c r="E156" s="122">
        <v>63</v>
      </c>
      <c r="F156" s="134" t="str">
        <f>IF(G84 = "", "au_S1", IF(G84 &lt; I84, _xlfn.CONCAT("au_S1-", RIGHT(F84, LEN(F84) - FIND("-", F84))), _xlfn.CONCAT("au_S1-", RIGHT(H84, LEN(H84) - FIND("-", H84)))))</f>
        <v>au_S1</v>
      </c>
      <c r="G156" s="134"/>
      <c r="H156" s="134" t="str">
        <f>IF(G48 = "", "au_S2", IF(G48 &lt; I48, _xlfn.CONCAT("au_S2-", RIGHT(F48, LEN(F48) - FIND("-", F48))), _xlfn.CONCAT("au_S2-", RIGHT(H48, LEN(H48) - FIND("-", H48)))))</f>
        <v>au_S2</v>
      </c>
      <c r="I156" s="134"/>
      <c r="J156" s="134"/>
      <c r="K156" s="134"/>
      <c r="L156" s="134" t="str">
        <f t="shared" ref="L156:L167" si="52">IF(E156="","",$L$15&amp;"-"&amp;TEXT(E156,"000"))</f>
        <v>16G-063</v>
      </c>
      <c r="M156" s="109"/>
      <c r="N156" s="109"/>
      <c r="O156" s="109" t="str">
        <f t="shared" ref="O156:O167" si="53">$L$262&amp;C156</f>
        <v>au_Group</v>
      </c>
      <c r="P156" s="109"/>
      <c r="Q156" s="109"/>
      <c r="R156" s="109"/>
      <c r="S156" s="109"/>
      <c r="T156" s="109"/>
      <c r="U156" s="109"/>
      <c r="V156" s="109"/>
      <c r="W156" s="109"/>
      <c r="X156" s="109"/>
      <c r="Y156" s="109"/>
      <c r="Z156" s="109"/>
    </row>
    <row r="157" spans="1:26" ht="13.5" customHeight="1">
      <c r="A157" s="155">
        <f t="shared" si="50"/>
        <v>46222</v>
      </c>
      <c r="B157" s="156">
        <f>'CHICLETS MASTER S1'!AL29</f>
        <v>0.3263888888888889</v>
      </c>
      <c r="C157" s="122" t="s">
        <v>163</v>
      </c>
      <c r="D157" s="122" t="str">
        <f t="shared" si="51"/>
        <v>YORBA LINDA HS</v>
      </c>
      <c r="E157" s="122">
        <v>67</v>
      </c>
      <c r="F157" s="134" t="str">
        <f>IF(G86 = "", "au_R1", IF(G86 &lt; I86, _xlfn.CONCAT("au_R1-", RIGHT(F86, LEN(F86) - FIND("-", F86))), _xlfn.CONCAT("au_R1-", RIGHT(H86, LEN(H86) - FIND("-", H86)))))</f>
        <v>au_R1</v>
      </c>
      <c r="G157" s="134"/>
      <c r="H157" s="134" t="str">
        <f>IF(G46 = "", "au_R2", IF(G46 &lt; I46, _xlfn.CONCAT("au_R2-", RIGHT(F46, LEN(F46) - FIND("-", F46))), _xlfn.CONCAT("au_R2-", RIGHT(H46, LEN(H46) - FIND("-", H46)))))</f>
        <v>au_R2</v>
      </c>
      <c r="I157" s="134"/>
      <c r="J157" s="134"/>
      <c r="K157" s="134"/>
      <c r="L157" s="134" t="str">
        <f t="shared" si="52"/>
        <v>16G-067</v>
      </c>
      <c r="M157" s="109"/>
      <c r="N157" s="109"/>
      <c r="O157" s="109" t="str">
        <f t="shared" si="53"/>
        <v>au_Group</v>
      </c>
      <c r="P157" s="109"/>
      <c r="Q157" s="109"/>
      <c r="R157" s="109"/>
      <c r="S157" s="109"/>
      <c r="T157" s="109"/>
      <c r="U157" s="109"/>
      <c r="V157" s="109"/>
      <c r="W157" s="109"/>
      <c r="X157" s="109"/>
      <c r="Y157" s="109"/>
      <c r="Z157" s="109"/>
    </row>
    <row r="158" spans="1:26" ht="13.5" customHeight="1">
      <c r="A158" s="155">
        <f t="shared" si="50"/>
        <v>46222</v>
      </c>
      <c r="B158" s="156">
        <f>'CHICLETS MASTER S1'!AL30</f>
        <v>0.36111111111111099</v>
      </c>
      <c r="C158" s="122" t="s">
        <v>163</v>
      </c>
      <c r="D158" s="122" t="str">
        <f t="shared" si="51"/>
        <v>YORBA LINDA HS</v>
      </c>
      <c r="E158" s="122">
        <v>71</v>
      </c>
      <c r="F158" s="134" t="str">
        <f>IF(G71 = "", "au_M2", IF(G71 &lt; I71, _xlfn.CONCAT("au_M2-", RIGHT(F71, LEN(F71) - FIND("-", F71))), _xlfn.CONCAT("au_M2-", RIGHT(H71, LEN(H71) - FIND("-", H71)))))</f>
        <v>au_M2</v>
      </c>
      <c r="G158" s="134"/>
      <c r="H158" s="134" t="str">
        <f>IF(G69 = "", "au_M3", IF(G69 &lt; I69, _xlfn.CONCAT("au_M3-", RIGHT(F69, LEN(F69) - FIND("-", F69))), _xlfn.CONCAT("au_M3-", RIGHT(H69, LEN(H69) - FIND("-", H69)))))</f>
        <v>au_M3</v>
      </c>
      <c r="I158" s="134"/>
      <c r="J158" s="134"/>
      <c r="K158" s="134"/>
      <c r="L158" s="134" t="str">
        <f t="shared" si="52"/>
        <v>16G-071</v>
      </c>
      <c r="M158" s="109"/>
      <c r="N158" s="109"/>
      <c r="O158" s="109" t="str">
        <f t="shared" si="53"/>
        <v>au_Group</v>
      </c>
      <c r="P158" s="109"/>
      <c r="Q158" s="109"/>
      <c r="R158" s="109"/>
      <c r="S158" s="109"/>
      <c r="T158" s="109"/>
      <c r="U158" s="109"/>
      <c r="V158" s="109"/>
      <c r="W158" s="109"/>
      <c r="X158" s="109"/>
      <c r="Y158" s="109"/>
      <c r="Z158" s="109"/>
    </row>
    <row r="159" spans="1:26" ht="13.5" customHeight="1">
      <c r="A159" s="155">
        <f t="shared" si="50"/>
        <v>46222</v>
      </c>
      <c r="B159" s="156">
        <f>'CHICLETS MASTER S1'!AL31</f>
        <v>0.39583333333333398</v>
      </c>
      <c r="C159" s="122" t="s">
        <v>163</v>
      </c>
      <c r="D159" s="122" t="str">
        <f t="shared" si="51"/>
        <v>YORBA LINDA HS</v>
      </c>
      <c r="E159" s="122">
        <v>75</v>
      </c>
      <c r="F159" s="134" t="str">
        <f>IF(G70 = "", "au_N2", IF(G70 &lt; I70, _xlfn.CONCAT("au_N2-", RIGHT(F70, LEN(F70) - FIND("-", F70))), _xlfn.CONCAT("au_N2-", RIGHT(H70, LEN(H70) - FIND("-", H70)))))</f>
        <v>au_N2</v>
      </c>
      <c r="G159" s="134"/>
      <c r="H159" s="134" t="str">
        <f>IF(G88 = "", "au_N3", IF(G88 &lt; I88, _xlfn.CONCAT("au_N3-", RIGHT(F88, LEN(F88) - FIND("-", F88))), _xlfn.CONCAT("au_N3-", RIGHT(H88, LEN(H88) - FIND("-", H88)))))</f>
        <v>au_N3</v>
      </c>
      <c r="I159" s="134"/>
      <c r="J159" s="134"/>
      <c r="K159" s="134"/>
      <c r="L159" s="134" t="str">
        <f t="shared" si="52"/>
        <v>16G-075</v>
      </c>
      <c r="M159" s="109"/>
      <c r="N159" s="109"/>
      <c r="O159" s="109" t="str">
        <f t="shared" si="53"/>
        <v>au_Group</v>
      </c>
      <c r="P159" s="109"/>
      <c r="Q159" s="109"/>
      <c r="R159" s="109"/>
      <c r="S159" s="109"/>
      <c r="T159" s="109"/>
      <c r="U159" s="109"/>
      <c r="V159" s="109"/>
      <c r="W159" s="109"/>
      <c r="X159" s="109"/>
      <c r="Y159" s="109"/>
      <c r="Z159" s="109"/>
    </row>
    <row r="160" spans="1:26" ht="13.5" customHeight="1">
      <c r="A160" s="155">
        <f t="shared" si="50"/>
        <v>46222</v>
      </c>
      <c r="B160" s="156">
        <f>'CHICLETS MASTER S1'!AL32</f>
        <v>0.43055555555555602</v>
      </c>
      <c r="C160" s="122" t="s">
        <v>163</v>
      </c>
      <c r="D160" s="122" t="str">
        <f t="shared" si="51"/>
        <v>YORBA LINDA HS</v>
      </c>
      <c r="E160" s="122">
        <v>79</v>
      </c>
      <c r="F160" s="134" t="str">
        <f>IF(G84 = "", "au_S1", IF(G84 &lt; I84, _xlfn.CONCAT("au_S1-", RIGHT(F84, LEN(F84) - FIND("-", F84))), _xlfn.CONCAT("au_S1-", RIGHT(H84, LEN(H84) - FIND("-", H84)))))</f>
        <v>au_S1</v>
      </c>
      <c r="G160" s="134"/>
      <c r="H160" s="134" t="str">
        <f>IF(G25 = "", "au_S3", IF(G25 &lt; I25, _xlfn.CONCAT("au_S3-", RIGHT(F25, LEN(F25) - FIND("-", F25))), _xlfn.CONCAT("au_S3-", RIGHT(H25, LEN(H25) - FIND("-", H25)))))</f>
        <v>au_S3</v>
      </c>
      <c r="I160" s="134"/>
      <c r="J160" s="134"/>
      <c r="K160" s="134"/>
      <c r="L160" s="134" t="str">
        <f t="shared" si="52"/>
        <v>16G-079</v>
      </c>
      <c r="M160" s="109"/>
      <c r="N160" s="109"/>
      <c r="O160" s="109" t="str">
        <f t="shared" si="53"/>
        <v>au_Group</v>
      </c>
      <c r="P160" s="109"/>
      <c r="Q160" s="109"/>
      <c r="R160" s="109"/>
      <c r="S160" s="109"/>
      <c r="T160" s="109"/>
      <c r="U160" s="109"/>
      <c r="V160" s="109"/>
      <c r="W160" s="109"/>
      <c r="X160" s="109"/>
      <c r="Y160" s="109"/>
      <c r="Z160" s="109"/>
    </row>
    <row r="161" spans="1:26" ht="13.5" customHeight="1">
      <c r="A161" s="155">
        <f t="shared" si="50"/>
        <v>46222</v>
      </c>
      <c r="B161" s="156">
        <f>'CHICLETS MASTER S1'!AL33</f>
        <v>0.46527777777777801</v>
      </c>
      <c r="C161" s="122" t="s">
        <v>163</v>
      </c>
      <c r="D161" s="122" t="str">
        <f t="shared" si="51"/>
        <v>YORBA LINDA HS</v>
      </c>
      <c r="E161" s="122">
        <v>83</v>
      </c>
      <c r="F161" s="134" t="str">
        <f>IF(G86 = "", "au_R1", IF(G86 &lt; I86, _xlfn.CONCAT("au_R1-", RIGHT(F86, LEN(F86) - FIND("-", F86))), _xlfn.CONCAT("au_R1-", RIGHT(H86, LEN(H86) - FIND("-", H86)))))</f>
        <v>au_R1</v>
      </c>
      <c r="G161" s="134"/>
      <c r="H161" s="134" t="str">
        <f>IF(G44 = "", "au_R3", IF(G44 &lt; I44, _xlfn.CONCAT("au_R3-", RIGHT(F44, LEN(F44) - FIND("-", F44))), _xlfn.CONCAT("au_R3-", RIGHT(H44, LEN(H44) - FIND("-", H44)))))</f>
        <v>au_R3</v>
      </c>
      <c r="I161" s="134"/>
      <c r="J161" s="134"/>
      <c r="K161" s="134"/>
      <c r="L161" s="134" t="str">
        <f t="shared" si="52"/>
        <v>16G-083</v>
      </c>
      <c r="M161" s="109"/>
      <c r="N161" s="109"/>
      <c r="O161" s="109" t="str">
        <f t="shared" si="53"/>
        <v>au_Group</v>
      </c>
      <c r="P161" s="109"/>
      <c r="Q161" s="109"/>
      <c r="R161" s="109"/>
      <c r="S161" s="109"/>
      <c r="T161" s="109"/>
      <c r="U161" s="109"/>
      <c r="V161" s="109"/>
      <c r="W161" s="109"/>
      <c r="X161" s="109"/>
      <c r="Y161" s="109"/>
      <c r="Z161" s="109"/>
    </row>
    <row r="162" spans="1:26" ht="13.5" customHeight="1">
      <c r="A162" s="155">
        <f t="shared" si="50"/>
        <v>46222</v>
      </c>
      <c r="B162" s="156">
        <f>'CHICLETS MASTER S1'!AL34</f>
        <v>0.5</v>
      </c>
      <c r="C162" s="122" t="s">
        <v>163</v>
      </c>
      <c r="D162" s="122" t="str">
        <f t="shared" si="51"/>
        <v>YORBA LINDA HS</v>
      </c>
      <c r="E162" s="122">
        <v>87</v>
      </c>
      <c r="F162" s="134" t="str">
        <f>IF(G32 = "", "au_M1", IF(G32 &lt; I32, _xlfn.CONCAT("au_M1-", RIGHT(F32, LEN(F32) - FIND("-", F32))), _xlfn.CONCAT("au_M1-", RIGHT(H32, LEN(H32) - FIND("-", H32)))))</f>
        <v>au_M1</v>
      </c>
      <c r="G162" s="134"/>
      <c r="H162" s="134" t="str">
        <f>IF(G69 = "", "au_M3", IF(G69 &lt; I69, _xlfn.CONCAT("au_M3-", RIGHT(F69, LEN(F69) - FIND("-", F69))), _xlfn.CONCAT("au_M3-", RIGHT(H69, LEN(H69) - FIND("-", H69)))))</f>
        <v>au_M3</v>
      </c>
      <c r="I162" s="134"/>
      <c r="J162" s="134"/>
      <c r="K162" s="134"/>
      <c r="L162" s="134" t="str">
        <f t="shared" si="52"/>
        <v>16G-087</v>
      </c>
      <c r="M162" s="109"/>
      <c r="N162" s="109"/>
      <c r="O162" s="109" t="str">
        <f t="shared" si="53"/>
        <v>au_Group</v>
      </c>
      <c r="P162" s="109"/>
      <c r="Q162" s="109"/>
      <c r="R162" s="109"/>
      <c r="S162" s="109"/>
      <c r="T162" s="109"/>
      <c r="U162" s="109"/>
      <c r="V162" s="109"/>
      <c r="W162" s="109"/>
      <c r="X162" s="109"/>
      <c r="Y162" s="109"/>
      <c r="Z162" s="109"/>
    </row>
    <row r="163" spans="1:26" ht="13.5" customHeight="1">
      <c r="A163" s="155">
        <f t="shared" si="50"/>
        <v>46222</v>
      </c>
      <c r="B163" s="156">
        <f>'CHICLETS MASTER S1'!AL35</f>
        <v>0.53472222222222199</v>
      </c>
      <c r="C163" s="122" t="s">
        <v>163</v>
      </c>
      <c r="D163" s="122" t="str">
        <f t="shared" si="51"/>
        <v>YORBA LINDA HS</v>
      </c>
      <c r="E163" s="122">
        <v>91</v>
      </c>
      <c r="F163" s="134" t="str">
        <f>IF(G33 = "", "au_N1", IF(G33 &lt; I33, _xlfn.CONCAT("au_N1-", RIGHT(F33, LEN(F33) - FIND("-", F33))), _xlfn.CONCAT("au_N1-", RIGHT(H33, LEN(H33) - FIND("-", H33)))))</f>
        <v>au_N1</v>
      </c>
      <c r="G163" s="134"/>
      <c r="H163" s="134" t="str">
        <f>IF(G88 = "", "au_N3", IF(G88 &lt; I88, _xlfn.CONCAT("au_N3-", RIGHT(F88, LEN(F88) - FIND("-", F88))), _xlfn.CONCAT("au_N3-", RIGHT(H88, LEN(H88) - FIND("-", H88)))))</f>
        <v>au_N3</v>
      </c>
      <c r="I163" s="134"/>
      <c r="J163" s="134"/>
      <c r="K163" s="134"/>
      <c r="L163" s="134" t="str">
        <f t="shared" si="52"/>
        <v>16G-091</v>
      </c>
      <c r="M163" s="109"/>
      <c r="N163" s="109"/>
      <c r="O163" s="109" t="str">
        <f t="shared" si="53"/>
        <v>au_Group</v>
      </c>
      <c r="P163" s="109"/>
      <c r="Q163" s="109"/>
      <c r="R163" s="109"/>
      <c r="S163" s="109"/>
      <c r="T163" s="109"/>
      <c r="U163" s="109"/>
      <c r="V163" s="109"/>
      <c r="W163" s="109"/>
      <c r="X163" s="109"/>
      <c r="Y163" s="109"/>
      <c r="Z163" s="109"/>
    </row>
    <row r="164" spans="1:26" ht="13.5" customHeight="1">
      <c r="A164" s="155">
        <f t="shared" si="50"/>
        <v>46222</v>
      </c>
      <c r="B164" s="156">
        <f>'CHICLETS MASTER S1'!AL36</f>
        <v>0.56944444444444497</v>
      </c>
      <c r="C164" s="122" t="s">
        <v>163</v>
      </c>
      <c r="D164" s="122" t="str">
        <f t="shared" si="51"/>
        <v>YORBA LINDA HS</v>
      </c>
      <c r="E164" s="122">
        <v>95</v>
      </c>
      <c r="F164" s="134" t="str">
        <f>IF(G48 = "", "au_S2", IF(G48 &lt; I48, _xlfn.CONCAT("au_S2-", RIGHT(F48, LEN(F48) - FIND("-", F48))), _xlfn.CONCAT("au_S2-", RIGHT(H48, LEN(H48) - FIND("-", H48)))))</f>
        <v>au_S2</v>
      </c>
      <c r="G164" s="134"/>
      <c r="H164" s="134" t="str">
        <f>IF(G25 = "", "au_S3", IF(G25 &lt; I25, _xlfn.CONCAT("au_S3-", RIGHT(F25, LEN(F25) - FIND("-", F25))), _xlfn.CONCAT("au_S3-", RIGHT(H25, LEN(H25) - FIND("-", H25)))))</f>
        <v>au_S3</v>
      </c>
      <c r="I164" s="134"/>
      <c r="J164" s="134"/>
      <c r="K164" s="134"/>
      <c r="L164" s="134" t="str">
        <f t="shared" si="52"/>
        <v>16G-095</v>
      </c>
      <c r="M164" s="109"/>
      <c r="N164" s="109"/>
      <c r="O164" s="109" t="str">
        <f t="shared" si="53"/>
        <v>au_Group</v>
      </c>
      <c r="P164" s="109"/>
      <c r="Q164" s="109"/>
      <c r="R164" s="109"/>
      <c r="S164" s="109"/>
      <c r="T164" s="109"/>
      <c r="U164" s="109"/>
      <c r="V164" s="109"/>
      <c r="W164" s="109"/>
      <c r="X164" s="109"/>
      <c r="Y164" s="109"/>
      <c r="Z164" s="109"/>
    </row>
    <row r="165" spans="1:26" ht="13.5" customHeight="1">
      <c r="A165" s="155">
        <f t="shared" si="50"/>
        <v>46222</v>
      </c>
      <c r="B165" s="156">
        <f>'CHICLETS MASTER S1'!AL37</f>
        <v>0.60416666666666696</v>
      </c>
      <c r="C165" s="122" t="s">
        <v>163</v>
      </c>
      <c r="D165" s="122" t="str">
        <f t="shared" si="51"/>
        <v>YORBA LINDA HS</v>
      </c>
      <c r="E165" s="122">
        <v>99</v>
      </c>
      <c r="F165" s="134" t="str">
        <f>IF(G46 = "", "au_R2", IF(G46 &lt; I46, _xlfn.CONCAT("au_R2-", RIGHT(F46, LEN(F46) - FIND("-", F46))), _xlfn.CONCAT("au_R2-", RIGHT(H46, LEN(H46) - FIND("-", H46)))))</f>
        <v>au_R2</v>
      </c>
      <c r="G165" s="134"/>
      <c r="H165" s="134" t="str">
        <f>IF(G44 = "", "au_R3", IF(G44 &lt; I44, _xlfn.CONCAT("au_R3-", RIGHT(F44, LEN(F44) - FIND("-", F44))), _xlfn.CONCAT("au_R3-", RIGHT(H44, LEN(H44) - FIND("-", H44)))))</f>
        <v>au_R3</v>
      </c>
      <c r="I165" s="134"/>
      <c r="J165" s="134"/>
      <c r="K165" s="134"/>
      <c r="L165" s="134" t="str">
        <f t="shared" si="52"/>
        <v>16G-099</v>
      </c>
      <c r="M165" s="109"/>
      <c r="N165" s="109"/>
      <c r="O165" s="109" t="str">
        <f t="shared" si="53"/>
        <v>au_Group</v>
      </c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</row>
    <row r="166" spans="1:26" ht="13.5" customHeight="1">
      <c r="A166" s="155">
        <f t="shared" si="50"/>
        <v>46222</v>
      </c>
      <c r="B166" s="156">
        <f>'CHICLETS MASTER S1'!AL38</f>
        <v>0.63888888888888895</v>
      </c>
      <c r="C166" s="122" t="s">
        <v>163</v>
      </c>
      <c r="D166" s="122" t="str">
        <f t="shared" si="51"/>
        <v>YORBA LINDA HS</v>
      </c>
      <c r="E166" s="122">
        <v>103</v>
      </c>
      <c r="F166" s="134" t="str">
        <f>IF(G32 = "", "au_M1", IF(G32 &lt; I32, _xlfn.CONCAT("au_M1-", RIGHT(F32, LEN(F32) - FIND("-", F32))), _xlfn.CONCAT("au_M1-", RIGHT(H32, LEN(H32) - FIND("-", H32)))))</f>
        <v>au_M1</v>
      </c>
      <c r="G166" s="134"/>
      <c r="H166" s="134" t="str">
        <f>IF(G71 = "", "au_M2", IF(G71 &lt; I71, _xlfn.CONCAT("au_M2-", RIGHT(F71, LEN(F71) - FIND("-", F71))), _xlfn.CONCAT("au_M2-", RIGHT(H71, LEN(H71) - FIND("-", H71)))))</f>
        <v>au_M2</v>
      </c>
      <c r="I166" s="134"/>
      <c r="J166" s="134"/>
      <c r="K166" s="134"/>
      <c r="L166" s="134" t="str">
        <f t="shared" si="52"/>
        <v>16G-103</v>
      </c>
      <c r="M166" s="109"/>
      <c r="N166" s="109"/>
      <c r="O166" s="109" t="str">
        <f t="shared" si="53"/>
        <v>au_Group</v>
      </c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</row>
    <row r="167" spans="1:26" ht="13.5" customHeight="1">
      <c r="A167" s="155">
        <f t="shared" si="50"/>
        <v>46222</v>
      </c>
      <c r="B167" s="156">
        <f>'CHICLETS MASTER S1'!AL39</f>
        <v>0.67361111111111105</v>
      </c>
      <c r="C167" s="122" t="s">
        <v>163</v>
      </c>
      <c r="D167" s="122" t="str">
        <f t="shared" si="51"/>
        <v>YORBA LINDA HS</v>
      </c>
      <c r="E167" s="122">
        <v>107</v>
      </c>
      <c r="F167" s="134" t="str">
        <f>IF(G33 = "", "au_N1", IF(G33 &lt; I33, _xlfn.CONCAT("au_N1-", RIGHT(F33, LEN(F33) - FIND("-", F33))), _xlfn.CONCAT("au_N1-", RIGHT(H33, LEN(H33) - FIND("-", H33)))))</f>
        <v>au_N1</v>
      </c>
      <c r="G167" s="134"/>
      <c r="H167" s="134" t="str">
        <f>IF(G70 = "", "au_N2", IF(G70 &lt; I70, _xlfn.CONCAT("au_N2-", RIGHT(F70, LEN(F70) - FIND("-", F70))), _xlfn.CONCAT("au_N2-", RIGHT(H70, LEN(H70) - FIND("-", H70)))))</f>
        <v>au_N2</v>
      </c>
      <c r="I167" s="134"/>
      <c r="J167" s="134"/>
      <c r="K167" s="134"/>
      <c r="L167" s="134" t="str">
        <f t="shared" si="52"/>
        <v>16G-107</v>
      </c>
      <c r="M167" s="109"/>
      <c r="N167" s="109"/>
      <c r="O167" s="109" t="str">
        <f t="shared" si="53"/>
        <v>au_Group</v>
      </c>
      <c r="P167" s="109"/>
      <c r="Q167" s="109"/>
      <c r="R167" s="109"/>
      <c r="S167" s="109"/>
      <c r="T167" s="109"/>
      <c r="U167" s="109"/>
      <c r="V167" s="109"/>
      <c r="W167" s="109"/>
      <c r="X167" s="109"/>
      <c r="Y167" s="109"/>
      <c r="Z167" s="109"/>
    </row>
    <row r="168" spans="1:26" ht="13.5" customHeight="1">
      <c r="A168" s="158"/>
      <c r="B168" s="106" t="s">
        <v>204</v>
      </c>
      <c r="C168" s="106"/>
      <c r="D168" s="106"/>
      <c r="E168" s="106"/>
      <c r="F168" s="106"/>
      <c r="G168" s="110"/>
      <c r="H168" s="106"/>
      <c r="I168" s="106"/>
      <c r="J168" s="106"/>
      <c r="K168" s="106"/>
      <c r="L168" s="106"/>
      <c r="M168" s="109"/>
      <c r="N168" s="109"/>
      <c r="O168" s="109"/>
      <c r="P168" s="109"/>
      <c r="Q168" s="109"/>
      <c r="R168" s="109"/>
      <c r="S168" s="109"/>
      <c r="T168" s="109"/>
      <c r="U168" s="109"/>
      <c r="V168" s="109"/>
      <c r="W168" s="109"/>
      <c r="X168" s="109"/>
      <c r="Y168" s="109"/>
      <c r="Z168" s="109"/>
    </row>
    <row r="169" spans="1:26" ht="13.5" customHeight="1">
      <c r="A169" s="158"/>
      <c r="B169" s="106" t="s">
        <v>204</v>
      </c>
      <c r="C169" s="106"/>
      <c r="D169" s="106"/>
      <c r="E169" s="106"/>
      <c r="F169" s="106"/>
      <c r="G169" s="110"/>
      <c r="H169" s="106"/>
      <c r="I169" s="106"/>
      <c r="J169" s="106"/>
      <c r="K169" s="106"/>
      <c r="L169" s="106"/>
      <c r="M169" s="109"/>
      <c r="N169" s="109"/>
      <c r="O169" s="109"/>
      <c r="P169" s="109"/>
      <c r="Q169" s="109"/>
      <c r="R169" s="109"/>
      <c r="S169" s="109"/>
      <c r="T169" s="109"/>
      <c r="U169" s="109"/>
      <c r="V169" s="109"/>
      <c r="W169" s="109"/>
      <c r="X169" s="109"/>
      <c r="Y169" s="109"/>
      <c r="Z169" s="109"/>
    </row>
    <row r="170" spans="1:26" ht="13.5" customHeight="1">
      <c r="A170" s="155">
        <f t="shared" ref="A170:A171" si="54">$A$93</f>
        <v>46222</v>
      </c>
      <c r="B170" s="156">
        <f>'CHICLETS MASTER S1'!AL42</f>
        <v>0.77777777777777801</v>
      </c>
      <c r="C170" s="122" t="s">
        <v>166</v>
      </c>
      <c r="D170" s="122" t="str">
        <f t="shared" ref="D170:D171" si="55">$D$154</f>
        <v>YORBA LINDA HS</v>
      </c>
      <c r="E170" s="122">
        <v>111</v>
      </c>
      <c r="F170" s="134" t="s">
        <v>402</v>
      </c>
      <c r="G170" s="134"/>
      <c r="H170" s="134" t="s">
        <v>1293</v>
      </c>
      <c r="I170" s="134"/>
      <c r="J170" s="134">
        <v>131</v>
      </c>
      <c r="K170" s="134">
        <v>136</v>
      </c>
      <c r="L170" s="134" t="str">
        <f t="shared" ref="L170:L171" si="56">IF(E170="","",$L$15&amp;"-"&amp;TEXT(E170,"000"))</f>
        <v>16G-111</v>
      </c>
      <c r="M170" s="109"/>
      <c r="N170" s="109"/>
      <c r="O170" s="109" t="str">
        <f>$L$262&amp;C170</f>
        <v>au_Play-in</v>
      </c>
      <c r="P170" s="109"/>
      <c r="Q170" s="109"/>
      <c r="R170" s="109"/>
      <c r="S170" s="109"/>
      <c r="T170" s="109"/>
      <c r="U170" s="109"/>
      <c r="V170" s="109"/>
      <c r="W170" s="109"/>
      <c r="X170" s="109"/>
      <c r="Y170" s="109"/>
      <c r="Z170" s="109"/>
    </row>
    <row r="171" spans="1:26" ht="13.5" customHeight="1">
      <c r="A171" s="155">
        <f t="shared" si="54"/>
        <v>46222</v>
      </c>
      <c r="B171" s="156">
        <f>'CHICLETS MASTER S1'!AL43</f>
        <v>0.8125</v>
      </c>
      <c r="C171" s="122" t="s">
        <v>166</v>
      </c>
      <c r="D171" s="122" t="str">
        <f t="shared" si="55"/>
        <v>YORBA LINDA HS</v>
      </c>
      <c r="E171" s="122">
        <v>115</v>
      </c>
      <c r="F171" s="134" t="s">
        <v>400</v>
      </c>
      <c r="G171" s="134"/>
      <c r="H171" s="134" t="s">
        <v>1223</v>
      </c>
      <c r="I171" s="134"/>
      <c r="J171" s="134">
        <v>123</v>
      </c>
      <c r="K171" s="134">
        <v>128</v>
      </c>
      <c r="L171" s="134" t="str">
        <f t="shared" si="56"/>
        <v>16G-115</v>
      </c>
      <c r="M171" s="109"/>
      <c r="N171" s="109"/>
      <c r="O171" s="109" t="str">
        <f>$L$262&amp;C171</f>
        <v>au_Play-in</v>
      </c>
      <c r="P171" s="109"/>
      <c r="Q171" s="109"/>
      <c r="R171" s="109"/>
      <c r="S171" s="109"/>
      <c r="T171" s="109"/>
      <c r="U171" s="109"/>
      <c r="V171" s="109"/>
      <c r="W171" s="109"/>
      <c r="X171" s="109"/>
      <c r="Y171" s="109"/>
      <c r="Z171" s="109"/>
    </row>
    <row r="172" spans="1:26" ht="13.5" customHeight="1" thickBot="1">
      <c r="A172" s="159"/>
      <c r="B172" s="160"/>
      <c r="C172" s="106"/>
      <c r="D172" s="106"/>
      <c r="E172" s="106"/>
      <c r="F172" s="106" t="s">
        <v>173</v>
      </c>
      <c r="G172" s="110" t="s">
        <v>173</v>
      </c>
      <c r="H172" s="106" t="s">
        <v>173</v>
      </c>
      <c r="I172" s="106"/>
      <c r="J172" s="106"/>
      <c r="K172" s="106"/>
      <c r="L172" s="106"/>
      <c r="M172" s="109"/>
      <c r="N172" s="109"/>
      <c r="O172" s="109"/>
      <c r="P172" s="109"/>
      <c r="Q172" s="109"/>
      <c r="R172" s="109"/>
      <c r="S172" s="109"/>
      <c r="T172" s="109"/>
      <c r="U172" s="109"/>
      <c r="V172" s="109"/>
      <c r="W172" s="109"/>
      <c r="X172" s="109"/>
      <c r="Y172" s="109"/>
      <c r="Z172" s="109"/>
    </row>
    <row r="173" spans="1:26" ht="13.5" customHeight="1" thickBot="1">
      <c r="A173" s="106"/>
      <c r="B173" s="106"/>
      <c r="C173" s="106"/>
      <c r="D173" s="153" t="str">
        <f>'CHICLETS MASTER S1'!$AP$27</f>
        <v>FULLERTON HS</v>
      </c>
      <c r="E173" s="109"/>
      <c r="F173" s="106"/>
      <c r="G173" s="110"/>
      <c r="H173" s="106"/>
      <c r="I173" s="106"/>
      <c r="J173" s="109"/>
      <c r="K173" s="109"/>
      <c r="L173" s="109"/>
      <c r="M173" s="109"/>
      <c r="N173" s="109"/>
      <c r="O173" s="109"/>
      <c r="P173" s="109"/>
      <c r="Q173" s="109"/>
      <c r="R173" s="109"/>
      <c r="S173" s="109"/>
      <c r="T173" s="109"/>
      <c r="U173" s="109"/>
      <c r="V173" s="109"/>
      <c r="W173" s="109"/>
      <c r="X173" s="109"/>
      <c r="Y173" s="109"/>
      <c r="Z173" s="109"/>
    </row>
    <row r="174" spans="1:26" ht="13.5" customHeight="1">
      <c r="A174" s="189" t="s">
        <v>110</v>
      </c>
      <c r="B174" s="190" t="s">
        <v>111</v>
      </c>
      <c r="C174" s="190" t="s">
        <v>112</v>
      </c>
      <c r="D174" s="190" t="s">
        <v>113</v>
      </c>
      <c r="E174" s="190" t="s">
        <v>114</v>
      </c>
      <c r="F174" s="190" t="s">
        <v>115</v>
      </c>
      <c r="G174" s="190" t="s">
        <v>116</v>
      </c>
      <c r="H174" s="190" t="s">
        <v>117</v>
      </c>
      <c r="I174" s="190" t="s">
        <v>116</v>
      </c>
      <c r="J174" s="190" t="s">
        <v>118</v>
      </c>
      <c r="K174" s="190" t="s">
        <v>119</v>
      </c>
      <c r="L174" s="190" t="s">
        <v>120</v>
      </c>
      <c r="M174" s="109"/>
      <c r="N174" s="109"/>
      <c r="O174" s="109"/>
      <c r="P174" s="109"/>
      <c r="Q174" s="109"/>
      <c r="R174" s="109"/>
      <c r="S174" s="109"/>
      <c r="T174" s="109"/>
      <c r="U174" s="109"/>
      <c r="V174" s="109"/>
      <c r="W174" s="109"/>
      <c r="X174" s="109"/>
      <c r="Y174" s="109"/>
      <c r="Z174" s="109"/>
    </row>
    <row r="175" spans="1:26" ht="13.5" customHeight="1">
      <c r="A175" s="155">
        <f t="shared" ref="A175:A186" si="57">$A$93</f>
        <v>46222</v>
      </c>
      <c r="B175" s="156">
        <f>'CHICLETS MASTER S1'!AL28</f>
        <v>0.29166666666666669</v>
      </c>
      <c r="C175" s="122" t="s">
        <v>163</v>
      </c>
      <c r="D175" s="122" t="str">
        <f t="shared" ref="D175:D186" si="58">$D$173</f>
        <v>FULLERTON HS</v>
      </c>
      <c r="E175" s="122">
        <v>64</v>
      </c>
      <c r="F175" s="134" t="str">
        <f>IF(G63 = "", "au_U1", IF(G63 &lt; I63, _xlfn.CONCAT("au_U1-", RIGHT(F63, LEN(F63) - FIND("-", F63))), _xlfn.CONCAT("au_U1-", RIGHT(H63, LEN(H63) - FIND("-", H63)))))</f>
        <v>au_U1</v>
      </c>
      <c r="G175" s="134"/>
      <c r="H175" s="134" t="str">
        <f>IF(G67 = "", "au_U2", IF(G67 &lt; I67, _xlfn.CONCAT("au_U2-", RIGHT(F67, LEN(F67) - FIND("-", F67))), _xlfn.CONCAT("au_U2-", RIGHT(H67, LEN(H67) - FIND("-", H67)))))</f>
        <v>au_U2</v>
      </c>
      <c r="I175" s="134"/>
      <c r="J175" s="134"/>
      <c r="K175" s="134"/>
      <c r="L175" s="134" t="str">
        <f t="shared" ref="L175:L186" si="59">IF(E175="","",$L$15&amp;"-"&amp;TEXT(E175,"000"))</f>
        <v>16G-064</v>
      </c>
      <c r="M175" s="109"/>
      <c r="N175" s="109"/>
      <c r="O175" s="109" t="str">
        <f t="shared" ref="O175:O186" si="60">$L$262&amp;C175</f>
        <v>au_Group</v>
      </c>
      <c r="P175" s="109"/>
      <c r="Q175" s="109"/>
      <c r="R175" s="109"/>
      <c r="S175" s="109"/>
      <c r="T175" s="109"/>
      <c r="U175" s="109"/>
      <c r="V175" s="109"/>
      <c r="W175" s="109"/>
      <c r="X175" s="109"/>
      <c r="Y175" s="109"/>
      <c r="Z175" s="109"/>
    </row>
    <row r="176" spans="1:26" ht="13.5" customHeight="1">
      <c r="A176" s="155">
        <f t="shared" si="57"/>
        <v>46222</v>
      </c>
      <c r="B176" s="156">
        <f>'CHICLETS MASTER S1'!AL29</f>
        <v>0.3263888888888889</v>
      </c>
      <c r="C176" s="122" t="s">
        <v>163</v>
      </c>
      <c r="D176" s="122" t="str">
        <f t="shared" si="58"/>
        <v>FULLERTON HS</v>
      </c>
      <c r="E176" s="122">
        <v>68</v>
      </c>
      <c r="F176" s="134" t="str">
        <f>IF(G82 = "", "au_T1", IF(G82 &lt; I82, _xlfn.CONCAT("au_T1-", RIGHT(F82, LEN(F82) - FIND("-", F82))), _xlfn.CONCAT("au_T1-", RIGHT(H82, LEN(H82) - FIND("-", H82)))))</f>
        <v>au_T1</v>
      </c>
      <c r="G176" s="134"/>
      <c r="H176" s="134" t="str">
        <f>IF(G65 = "", "au_T2", IF(G65 &lt; I65, _xlfn.CONCAT("au_T2-", RIGHT(F65, LEN(F65) - FIND("-", F65))), _xlfn.CONCAT("au_T2-", RIGHT(H65, LEN(H65) - FIND("-", H65)))))</f>
        <v>au_T2</v>
      </c>
      <c r="I176" s="134"/>
      <c r="J176" s="134"/>
      <c r="K176" s="134"/>
      <c r="L176" s="134" t="str">
        <f t="shared" si="59"/>
        <v>16G-068</v>
      </c>
      <c r="M176" s="109"/>
      <c r="N176" s="109"/>
      <c r="O176" s="109" t="str">
        <f t="shared" si="60"/>
        <v>au_Group</v>
      </c>
      <c r="P176" s="109"/>
      <c r="Q176" s="109"/>
      <c r="R176" s="109"/>
      <c r="S176" s="109"/>
      <c r="T176" s="109"/>
      <c r="U176" s="109"/>
      <c r="V176" s="109"/>
      <c r="W176" s="109"/>
      <c r="X176" s="109"/>
      <c r="Y176" s="109"/>
      <c r="Z176" s="109"/>
    </row>
    <row r="177" spans="1:26" ht="13.5" customHeight="1">
      <c r="A177" s="155">
        <f t="shared" si="57"/>
        <v>46222</v>
      </c>
      <c r="B177" s="156">
        <f>'CHICLETS MASTER S1'!AL30</f>
        <v>0.36111111111111099</v>
      </c>
      <c r="C177" s="122" t="s">
        <v>163</v>
      </c>
      <c r="D177" s="122" t="str">
        <f t="shared" si="58"/>
        <v>FULLERTON HS</v>
      </c>
      <c r="E177" s="122">
        <v>72</v>
      </c>
      <c r="F177" s="134" t="str">
        <f>IF(G52 = "", "au_O2", IF(G52 &lt; I52, _xlfn.CONCAT("au_O2-", RIGHT(F52, LEN(F52) - FIND("-", F52))), _xlfn.CONCAT("au_O2-", RIGHT(H52, LEN(H52) - FIND("-", H52)))))</f>
        <v>au_O2</v>
      </c>
      <c r="G177" s="134"/>
      <c r="H177" s="134" t="str">
        <f>IF(G89 = "", "au_O3", IF(G89 &lt; I89, _xlfn.CONCAT("au_O3-", RIGHT(F89, LEN(F89) - FIND("-", F89))), _xlfn.CONCAT("au_O3-", RIGHT(H89, LEN(H89) - FIND("-", H89)))))</f>
        <v>au_O3</v>
      </c>
      <c r="I177" s="134"/>
      <c r="J177" s="134"/>
      <c r="K177" s="134"/>
      <c r="L177" s="134" t="str">
        <f t="shared" si="59"/>
        <v>16G-072</v>
      </c>
      <c r="M177" s="109"/>
      <c r="N177" s="109"/>
      <c r="O177" s="109" t="str">
        <f t="shared" si="60"/>
        <v>au_Group</v>
      </c>
      <c r="P177" s="109"/>
      <c r="Q177" s="109"/>
      <c r="R177" s="109"/>
      <c r="S177" s="109"/>
      <c r="T177" s="109"/>
      <c r="U177" s="109"/>
      <c r="V177" s="109"/>
      <c r="W177" s="109"/>
      <c r="X177" s="109"/>
      <c r="Y177" s="109"/>
      <c r="Z177" s="109"/>
    </row>
    <row r="178" spans="1:26" ht="13.5" customHeight="1">
      <c r="A178" s="155">
        <f t="shared" si="57"/>
        <v>46222</v>
      </c>
      <c r="B178" s="156">
        <f>'CHICLETS MASTER S1'!AL31</f>
        <v>0.39583333333333398</v>
      </c>
      <c r="C178" s="122" t="s">
        <v>163</v>
      </c>
      <c r="D178" s="122" t="str">
        <f t="shared" si="58"/>
        <v>FULLERTON HS</v>
      </c>
      <c r="E178" s="122">
        <v>76</v>
      </c>
      <c r="F178" s="134" t="str">
        <f>IF(G51 = "", "au_P2", IF(G51 &lt; I51, _xlfn.CONCAT("au_P2-", RIGHT(F51, LEN(F51) - FIND("-", F51))), _xlfn.CONCAT("au_P2-", RIGHT(H51, LEN(H51) - FIND("-", H51)))))</f>
        <v>au_P2</v>
      </c>
      <c r="G178" s="134"/>
      <c r="H178" s="134" t="str">
        <f>IF(G90 = "", "au_P3", IF(G90 &lt; I90, _xlfn.CONCAT("au_P3-", RIGHT(F90, LEN(F90) - FIND("-", F90))), _xlfn.CONCAT("au_P3-", RIGHT(H90, LEN(H90) - FIND("-", H90)))))</f>
        <v>au_P3</v>
      </c>
      <c r="I178" s="134"/>
      <c r="J178" s="134"/>
      <c r="K178" s="134"/>
      <c r="L178" s="134" t="str">
        <f t="shared" si="59"/>
        <v>16G-076</v>
      </c>
      <c r="M178" s="109"/>
      <c r="N178" s="109"/>
      <c r="O178" s="109" t="str">
        <f t="shared" si="60"/>
        <v>au_Group</v>
      </c>
      <c r="P178" s="109"/>
      <c r="Q178" s="109"/>
      <c r="R178" s="109"/>
      <c r="S178" s="109"/>
      <c r="T178" s="109"/>
      <c r="U178" s="109"/>
      <c r="V178" s="109"/>
      <c r="W178" s="109"/>
      <c r="X178" s="109"/>
      <c r="Y178" s="109"/>
      <c r="Z178" s="109"/>
    </row>
    <row r="179" spans="1:26" ht="13.5" customHeight="1">
      <c r="A179" s="155">
        <f t="shared" si="57"/>
        <v>46222</v>
      </c>
      <c r="B179" s="156">
        <f>'CHICLETS MASTER S1'!AL32</f>
        <v>0.43055555555555602</v>
      </c>
      <c r="C179" s="122" t="s">
        <v>163</v>
      </c>
      <c r="D179" s="122" t="str">
        <f t="shared" si="58"/>
        <v>FULLERTON HS</v>
      </c>
      <c r="E179" s="122">
        <v>80</v>
      </c>
      <c r="F179" s="134" t="str">
        <f>IF(G63 = "", "au_U1", IF(G63 &lt; I63, _xlfn.CONCAT("au_U1-", RIGHT(F63, LEN(F63) - FIND("-", F63))), _xlfn.CONCAT("au_U1-", RIGHT(H63, LEN(H63) - FIND("-", H63)))))</f>
        <v>au_U1</v>
      </c>
      <c r="G179" s="134"/>
      <c r="H179" s="134" t="str">
        <f>IF(G27 = "", "au_U3", IF(G27 &lt; I27, _xlfn.CONCAT("au_U3-", RIGHT(F27, LEN(F27) - FIND("-", F27))), _xlfn.CONCAT("au_U3-", RIGHT(H27, LEN(H27) - FIND("-", H27)))))</f>
        <v>au_U3</v>
      </c>
      <c r="I179" s="134"/>
      <c r="J179" s="134"/>
      <c r="K179" s="134"/>
      <c r="L179" s="134" t="str">
        <f t="shared" si="59"/>
        <v>16G-080</v>
      </c>
      <c r="M179" s="109"/>
      <c r="N179" s="109"/>
      <c r="O179" s="109" t="str">
        <f t="shared" si="60"/>
        <v>au_Group</v>
      </c>
      <c r="P179" s="109"/>
      <c r="Q179" s="109"/>
      <c r="R179" s="109"/>
      <c r="S179" s="109"/>
      <c r="T179" s="109"/>
      <c r="U179" s="109"/>
      <c r="V179" s="109"/>
      <c r="W179" s="109"/>
      <c r="X179" s="109"/>
      <c r="Y179" s="109"/>
      <c r="Z179" s="109"/>
    </row>
    <row r="180" spans="1:26" ht="13.5" customHeight="1">
      <c r="A180" s="155">
        <f t="shared" si="57"/>
        <v>46222</v>
      </c>
      <c r="B180" s="156">
        <f>'CHICLETS MASTER S1'!AL33</f>
        <v>0.46527777777777801</v>
      </c>
      <c r="C180" s="122" t="s">
        <v>163</v>
      </c>
      <c r="D180" s="122" t="str">
        <f t="shared" si="58"/>
        <v>FULLERTON HS</v>
      </c>
      <c r="E180" s="122">
        <v>84</v>
      </c>
      <c r="F180" s="134" t="str">
        <f>IF(G82 = "", "au_T1", IF(G82 &lt; I82, _xlfn.CONCAT("au_T1-", RIGHT(F82, LEN(F82) - FIND("-", F82))), _xlfn.CONCAT("au_T1-", RIGHT(H82, LEN(H82) - FIND("-", H82)))))</f>
        <v>au_T1</v>
      </c>
      <c r="G180" s="134"/>
      <c r="H180" s="134" t="str">
        <f>IF(G29 = "", "au_T3", IF(G29 &lt; I29, _xlfn.CONCAT("au_T3-", RIGHT(F29, LEN(F29) - FIND("-", F29))), _xlfn.CONCAT("au_T3-", RIGHT(H29, LEN(H29) - FIND("-", H29)))))</f>
        <v>au_T3</v>
      </c>
      <c r="I180" s="134"/>
      <c r="J180" s="134"/>
      <c r="K180" s="134"/>
      <c r="L180" s="134" t="str">
        <f t="shared" si="59"/>
        <v>16G-084</v>
      </c>
      <c r="M180" s="109"/>
      <c r="N180" s="109"/>
      <c r="O180" s="109" t="str">
        <f t="shared" si="60"/>
        <v>au_Group</v>
      </c>
      <c r="P180" s="109"/>
      <c r="Q180" s="109"/>
      <c r="R180" s="109"/>
      <c r="S180" s="109"/>
      <c r="T180" s="109"/>
      <c r="U180" s="109"/>
      <c r="V180" s="109"/>
      <c r="W180" s="109"/>
      <c r="X180" s="109"/>
      <c r="Y180" s="109"/>
      <c r="Z180" s="109"/>
    </row>
    <row r="181" spans="1:26" ht="13.5" customHeight="1">
      <c r="A181" s="155">
        <f t="shared" si="57"/>
        <v>46222</v>
      </c>
      <c r="B181" s="156">
        <f>'CHICLETS MASTER S1'!AL34</f>
        <v>0.5</v>
      </c>
      <c r="C181" s="122" t="s">
        <v>163</v>
      </c>
      <c r="D181" s="122" t="str">
        <f t="shared" si="58"/>
        <v>FULLERTON HS</v>
      </c>
      <c r="E181" s="122">
        <v>88</v>
      </c>
      <c r="F181" s="134" t="str">
        <f>IF(G31 = "", "au_O1", IF(G31 &lt; I31, _xlfn.CONCAT("au_O1-", RIGHT(F31, LEN(F31) - FIND("-", F31))), _xlfn.CONCAT("au_O1-", RIGHT(H31, LEN(H31) - FIND("-", H31)))))</f>
        <v>au_O1</v>
      </c>
      <c r="G181" s="170"/>
      <c r="H181" s="134" t="str">
        <f>IF(G89 = "", "au_O3", IF(G89 &lt; I89, _xlfn.CONCAT("au_O3-", RIGHT(F89, LEN(F89) - FIND("-", F89))), _xlfn.CONCAT("au_O3-", RIGHT(H89, LEN(H89) - FIND("-", H89)))))</f>
        <v>au_O3</v>
      </c>
      <c r="I181" s="170"/>
      <c r="J181" s="134"/>
      <c r="K181" s="134"/>
      <c r="L181" s="134" t="str">
        <f t="shared" si="59"/>
        <v>16G-088</v>
      </c>
      <c r="M181" s="109"/>
      <c r="N181" s="109"/>
      <c r="O181" s="109" t="str">
        <f t="shared" si="60"/>
        <v>au_Group</v>
      </c>
      <c r="P181" s="109"/>
      <c r="Q181" s="109"/>
      <c r="R181" s="109"/>
      <c r="S181" s="109"/>
      <c r="T181" s="109"/>
      <c r="U181" s="109"/>
      <c r="V181" s="109"/>
      <c r="W181" s="109"/>
      <c r="X181" s="109"/>
      <c r="Y181" s="109"/>
      <c r="Z181" s="109"/>
    </row>
    <row r="182" spans="1:26" ht="13.5" customHeight="1">
      <c r="A182" s="155">
        <f t="shared" si="57"/>
        <v>46222</v>
      </c>
      <c r="B182" s="156">
        <f>'CHICLETS MASTER S1'!AL35</f>
        <v>0.53472222222222199</v>
      </c>
      <c r="C182" s="122" t="s">
        <v>163</v>
      </c>
      <c r="D182" s="122" t="str">
        <f t="shared" si="58"/>
        <v>FULLERTON HS</v>
      </c>
      <c r="E182" s="122">
        <v>92</v>
      </c>
      <c r="F182" s="134" t="str">
        <f>IF(G50 = "", "au_P1", IF(G50 &lt; I50, _xlfn.CONCAT("au_P1-", RIGHT(F50, LEN(F50) - FIND("-", F50))), _xlfn.CONCAT("au_P1-", RIGHT(H50, LEN(H50) - FIND("-", H50)))))</f>
        <v>au_P1</v>
      </c>
      <c r="G182" s="134"/>
      <c r="H182" s="134" t="str">
        <f>IF(G90 = "", "au_P3", IF(G90 &lt; I90, _xlfn.CONCAT("au_P3-", RIGHT(F90, LEN(F90) - FIND("-", F90))), _xlfn.CONCAT("au_P3-", RIGHT(H90, LEN(H90) - FIND("-", H90)))))</f>
        <v>au_P3</v>
      </c>
      <c r="I182" s="134"/>
      <c r="J182" s="134"/>
      <c r="K182" s="134"/>
      <c r="L182" s="134" t="str">
        <f t="shared" si="59"/>
        <v>16G-092</v>
      </c>
      <c r="M182" s="109"/>
      <c r="N182" s="109"/>
      <c r="O182" s="109" t="str">
        <f t="shared" si="60"/>
        <v>au_Group</v>
      </c>
      <c r="P182" s="109"/>
      <c r="Q182" s="109"/>
      <c r="R182" s="109"/>
      <c r="S182" s="109"/>
      <c r="T182" s="109"/>
      <c r="U182" s="109"/>
      <c r="V182" s="109"/>
      <c r="W182" s="109"/>
      <c r="X182" s="109"/>
      <c r="Y182" s="109"/>
      <c r="Z182" s="109"/>
    </row>
    <row r="183" spans="1:26" ht="13.5" customHeight="1">
      <c r="A183" s="155">
        <f t="shared" si="57"/>
        <v>46222</v>
      </c>
      <c r="B183" s="156">
        <f>'CHICLETS MASTER S1'!AL36</f>
        <v>0.56944444444444497</v>
      </c>
      <c r="C183" s="122" t="s">
        <v>163</v>
      </c>
      <c r="D183" s="122" t="str">
        <f t="shared" si="58"/>
        <v>FULLERTON HS</v>
      </c>
      <c r="E183" s="122">
        <v>96</v>
      </c>
      <c r="F183" s="134" t="str">
        <f>IF(G67 = "", "au_U2", IF(G67 &lt; I67, _xlfn.CONCAT("au_U2-", RIGHT(F67, LEN(F67) - FIND("-", F67))), _xlfn.CONCAT("au_U2-", RIGHT(H67, LEN(H67) - FIND("-", H67)))))</f>
        <v>au_U2</v>
      </c>
      <c r="G183" s="134"/>
      <c r="H183" s="134" t="str">
        <f>IF(G27 = "", "au_U3", IF(G27 &lt; I27, _xlfn.CONCAT("au_U3-", RIGHT(F27, LEN(F27) - FIND("-", F27))), _xlfn.CONCAT("au_U3-", RIGHT(H27, LEN(H27) - FIND("-", H27)))))</f>
        <v>au_U3</v>
      </c>
      <c r="I183" s="134"/>
      <c r="J183" s="134"/>
      <c r="K183" s="134"/>
      <c r="L183" s="134" t="str">
        <f t="shared" si="59"/>
        <v>16G-096</v>
      </c>
      <c r="M183" s="109"/>
      <c r="N183" s="109"/>
      <c r="O183" s="109" t="str">
        <f t="shared" si="60"/>
        <v>au_Group</v>
      </c>
      <c r="P183" s="109"/>
      <c r="Q183" s="109"/>
      <c r="R183" s="109"/>
      <c r="S183" s="109"/>
      <c r="T183" s="109"/>
      <c r="U183" s="109"/>
      <c r="V183" s="109"/>
      <c r="W183" s="109"/>
      <c r="X183" s="109"/>
      <c r="Y183" s="109"/>
      <c r="Z183" s="109"/>
    </row>
    <row r="184" spans="1:26" ht="13.5" customHeight="1">
      <c r="A184" s="155">
        <f t="shared" si="57"/>
        <v>46222</v>
      </c>
      <c r="B184" s="156">
        <f>'CHICLETS MASTER S1'!AL37</f>
        <v>0.60416666666666696</v>
      </c>
      <c r="C184" s="122" t="s">
        <v>163</v>
      </c>
      <c r="D184" s="122" t="str">
        <f t="shared" si="58"/>
        <v>FULLERTON HS</v>
      </c>
      <c r="E184" s="122">
        <v>100</v>
      </c>
      <c r="F184" s="134" t="str">
        <f>IF(G65 = "", "au_T2", IF(G65 &lt; I65, _xlfn.CONCAT("au_T2-", RIGHT(F65, LEN(F65) - FIND("-", F65))), _xlfn.CONCAT("au_T2-", RIGHT(H65, LEN(H65) - FIND("-", H65)))))</f>
        <v>au_T2</v>
      </c>
      <c r="G184" s="134"/>
      <c r="H184" s="134" t="str">
        <f>IF(G29 = "", "au_T3", IF(G29 &lt; I29, _xlfn.CONCAT("au_T3-", RIGHT(F29, LEN(F29) - FIND("-", F29))), _xlfn.CONCAT("au_T3-", RIGHT(H29, LEN(H29) - FIND("-", H29)))))</f>
        <v>au_T3</v>
      </c>
      <c r="I184" s="134"/>
      <c r="J184" s="134"/>
      <c r="K184" s="134"/>
      <c r="L184" s="134" t="str">
        <f t="shared" si="59"/>
        <v>16G-100</v>
      </c>
      <c r="M184" s="109"/>
      <c r="N184" s="109"/>
      <c r="O184" s="109" t="str">
        <f t="shared" si="60"/>
        <v>au_Group</v>
      </c>
      <c r="P184" s="109"/>
      <c r="Q184" s="109"/>
      <c r="R184" s="109"/>
      <c r="S184" s="109"/>
      <c r="T184" s="109"/>
      <c r="U184" s="109"/>
      <c r="V184" s="109"/>
      <c r="W184" s="109"/>
      <c r="X184" s="109"/>
      <c r="Y184" s="109"/>
      <c r="Z184" s="109"/>
    </row>
    <row r="185" spans="1:26" ht="13.5" customHeight="1">
      <c r="A185" s="155">
        <f t="shared" si="57"/>
        <v>46222</v>
      </c>
      <c r="B185" s="156">
        <f>'CHICLETS MASTER S1'!AL38</f>
        <v>0.63888888888888895</v>
      </c>
      <c r="C185" s="122" t="s">
        <v>163</v>
      </c>
      <c r="D185" s="122" t="str">
        <f t="shared" si="58"/>
        <v>FULLERTON HS</v>
      </c>
      <c r="E185" s="122">
        <v>104</v>
      </c>
      <c r="F185" s="134" t="str">
        <f>IF(G31 = "", "au_O1", IF(G31 &lt; I31, _xlfn.CONCAT("au_O1-", RIGHT(F31, LEN(F31) - FIND("-", F31))), _xlfn.CONCAT("au_O1-", RIGHT(H31, LEN(H31) - FIND("-", H31)))))</f>
        <v>au_O1</v>
      </c>
      <c r="G185" s="134"/>
      <c r="H185" s="134" t="str">
        <f>IF(G52 = "", "au_O2", IF(G52 &lt; I52, _xlfn.CONCAT("au_O2-", RIGHT(F52, LEN(F52) - FIND("-", F52))), _xlfn.CONCAT("au_O2-", RIGHT(H52, LEN(H52) - FIND("-", H52)))))</f>
        <v>au_O2</v>
      </c>
      <c r="I185" s="134"/>
      <c r="J185" s="134"/>
      <c r="K185" s="134"/>
      <c r="L185" s="134" t="str">
        <f t="shared" si="59"/>
        <v>16G-104</v>
      </c>
      <c r="M185" s="109"/>
      <c r="N185" s="109"/>
      <c r="O185" s="109" t="str">
        <f t="shared" si="60"/>
        <v>au_Group</v>
      </c>
      <c r="P185" s="109"/>
      <c r="Q185" s="109"/>
      <c r="R185" s="109"/>
      <c r="S185" s="109"/>
      <c r="T185" s="109"/>
      <c r="U185" s="109"/>
      <c r="V185" s="109"/>
      <c r="W185" s="109"/>
      <c r="X185" s="109"/>
      <c r="Y185" s="109"/>
      <c r="Z185" s="109"/>
    </row>
    <row r="186" spans="1:26" ht="13.5" customHeight="1">
      <c r="A186" s="155">
        <f t="shared" si="57"/>
        <v>46222</v>
      </c>
      <c r="B186" s="156">
        <f>'CHICLETS MASTER S1'!AL39</f>
        <v>0.67361111111111105</v>
      </c>
      <c r="C186" s="122" t="s">
        <v>163</v>
      </c>
      <c r="D186" s="122" t="str">
        <f t="shared" si="58"/>
        <v>FULLERTON HS</v>
      </c>
      <c r="E186" s="122">
        <v>108</v>
      </c>
      <c r="F186" s="134" t="str">
        <f>IF(G50 = "", "au_P1", IF(G50 &lt; I50, _xlfn.CONCAT("au_P1-", RIGHT(F50, LEN(F50) - FIND("-", F50))), _xlfn.CONCAT("au_P1-", RIGHT(H50, LEN(H50) - FIND("-", H50)))))</f>
        <v>au_P1</v>
      </c>
      <c r="G186" s="134"/>
      <c r="H186" s="134" t="str">
        <f>IF(G51 = "", "au_P2", IF(G51 &lt; I51, _xlfn.CONCAT("au_P2-", RIGHT(F51, LEN(F51) - FIND("-", F51))), _xlfn.CONCAT("au_P2-", RIGHT(H51, LEN(H51) - FIND("-", H51)))))</f>
        <v>au_P2</v>
      </c>
      <c r="I186" s="134"/>
      <c r="J186" s="134"/>
      <c r="K186" s="134"/>
      <c r="L186" s="134" t="str">
        <f t="shared" si="59"/>
        <v>16G-108</v>
      </c>
      <c r="M186" s="109"/>
      <c r="N186" s="109"/>
      <c r="O186" s="109" t="str">
        <f t="shared" si="60"/>
        <v>au_Group</v>
      </c>
      <c r="P186" s="109"/>
      <c r="Q186" s="109"/>
      <c r="R186" s="109"/>
      <c r="S186" s="109"/>
      <c r="T186" s="109"/>
      <c r="U186" s="109"/>
      <c r="V186" s="109"/>
      <c r="W186" s="109"/>
      <c r="X186" s="109"/>
      <c r="Y186" s="109"/>
      <c r="Z186" s="109"/>
    </row>
    <row r="187" spans="1:26" ht="13.5" customHeight="1">
      <c r="A187" s="158"/>
      <c r="B187" s="106" t="s">
        <v>204</v>
      </c>
      <c r="C187" s="106"/>
      <c r="D187" s="106"/>
      <c r="E187" s="106"/>
      <c r="F187" s="106"/>
      <c r="G187" s="110"/>
      <c r="H187" s="106"/>
      <c r="I187" s="106"/>
      <c r="J187" s="106"/>
      <c r="K187" s="106"/>
      <c r="L187" s="106"/>
      <c r="M187" s="109"/>
      <c r="N187" s="109"/>
      <c r="O187" s="109"/>
      <c r="P187" s="109"/>
      <c r="Q187" s="109"/>
      <c r="R187" s="109"/>
      <c r="S187" s="109"/>
      <c r="T187" s="109"/>
      <c r="U187" s="109"/>
      <c r="V187" s="109"/>
      <c r="W187" s="109"/>
      <c r="X187" s="109"/>
      <c r="Y187" s="109"/>
      <c r="Z187" s="109"/>
    </row>
    <row r="188" spans="1:26" ht="13.5" customHeight="1">
      <c r="A188" s="158"/>
      <c r="B188" s="106" t="s">
        <v>204</v>
      </c>
      <c r="C188" s="106"/>
      <c r="D188" s="106"/>
      <c r="E188" s="106"/>
      <c r="F188" s="106"/>
      <c r="G188" s="110"/>
      <c r="H188" s="106"/>
      <c r="I188" s="106"/>
      <c r="J188" s="106"/>
      <c r="K188" s="106"/>
      <c r="L188" s="106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</row>
    <row r="189" spans="1:26" ht="13.5" customHeight="1">
      <c r="A189" s="155">
        <f t="shared" ref="A189:A190" si="61">$A$93</f>
        <v>46222</v>
      </c>
      <c r="B189" s="156">
        <f>'CHICLETS MASTER S1'!AL42</f>
        <v>0.77777777777777801</v>
      </c>
      <c r="C189" s="122" t="s">
        <v>166</v>
      </c>
      <c r="D189" s="122" t="str">
        <f t="shared" ref="D189:D190" si="62">$D$173</f>
        <v>FULLERTON HS</v>
      </c>
      <c r="E189" s="122">
        <v>112</v>
      </c>
      <c r="F189" s="134" t="s">
        <v>396</v>
      </c>
      <c r="G189" s="134"/>
      <c r="H189" s="134" t="s">
        <v>1222</v>
      </c>
      <c r="I189" s="134"/>
      <c r="J189" s="134">
        <v>119</v>
      </c>
      <c r="K189" s="134">
        <v>140</v>
      </c>
      <c r="L189" s="134" t="str">
        <f t="shared" ref="L189:L190" si="63">IF(E189="","",$L$15&amp;"-"&amp;TEXT(E189,"000"))</f>
        <v>16G-112</v>
      </c>
      <c r="M189" s="109"/>
      <c r="N189" s="109"/>
      <c r="O189" s="109" t="str">
        <f>$L$262&amp;C189</f>
        <v>au_Play-in</v>
      </c>
      <c r="P189" s="109"/>
      <c r="Q189" s="109"/>
      <c r="R189" s="109"/>
      <c r="S189" s="109"/>
      <c r="T189" s="109"/>
      <c r="U189" s="109"/>
      <c r="V189" s="109"/>
      <c r="W189" s="109"/>
      <c r="X189" s="109"/>
      <c r="Y189" s="109"/>
      <c r="Z189" s="109"/>
    </row>
    <row r="190" spans="1:26" ht="13.5" customHeight="1">
      <c r="A190" s="155">
        <f t="shared" si="61"/>
        <v>46222</v>
      </c>
      <c r="B190" s="156">
        <f>'CHICLETS MASTER S1'!AL43</f>
        <v>0.8125</v>
      </c>
      <c r="C190" s="122" t="s">
        <v>166</v>
      </c>
      <c r="D190" s="122" t="str">
        <f t="shared" si="62"/>
        <v>FULLERTON HS</v>
      </c>
      <c r="E190" s="122">
        <v>116</v>
      </c>
      <c r="F190" s="134" t="s">
        <v>398</v>
      </c>
      <c r="G190" s="134"/>
      <c r="H190" s="134" t="s">
        <v>1294</v>
      </c>
      <c r="I190" s="134"/>
      <c r="J190" s="134">
        <v>127</v>
      </c>
      <c r="K190" s="134">
        <v>132</v>
      </c>
      <c r="L190" s="134" t="str">
        <f t="shared" si="63"/>
        <v>16G-116</v>
      </c>
      <c r="M190" s="109"/>
      <c r="N190" s="109"/>
      <c r="O190" s="109" t="str">
        <f>$L$262&amp;C190</f>
        <v>au_Play-in</v>
      </c>
      <c r="P190" s="109"/>
      <c r="Q190" s="109"/>
      <c r="R190" s="109"/>
      <c r="S190" s="109"/>
      <c r="T190" s="109"/>
      <c r="U190" s="109"/>
      <c r="V190" s="109"/>
      <c r="W190" s="109"/>
      <c r="X190" s="109"/>
      <c r="Y190" s="109"/>
      <c r="Z190" s="109"/>
    </row>
    <row r="191" spans="1:26" ht="13.5" customHeight="1" thickBot="1">
      <c r="A191" s="109"/>
      <c r="B191" s="109"/>
      <c r="C191" s="109"/>
      <c r="D191" s="109"/>
      <c r="E191" s="109"/>
      <c r="F191" s="109" t="s">
        <v>173</v>
      </c>
      <c r="G191" s="161"/>
      <c r="H191" s="109" t="s">
        <v>173</v>
      </c>
      <c r="I191" s="109"/>
      <c r="J191" s="109"/>
      <c r="K191" s="109"/>
      <c r="L191" s="109"/>
      <c r="M191" s="109"/>
      <c r="N191" s="109"/>
      <c r="O191" s="109"/>
      <c r="P191" s="109"/>
      <c r="Q191" s="109"/>
      <c r="R191" s="109"/>
      <c r="S191" s="109"/>
      <c r="T191" s="109"/>
      <c r="U191" s="109"/>
      <c r="V191" s="109"/>
      <c r="W191" s="109"/>
      <c r="X191" s="109"/>
      <c r="Y191" s="109"/>
      <c r="Z191" s="109"/>
    </row>
    <row r="192" spans="1:26" ht="13.5" customHeight="1" thickTop="1" thickBot="1">
      <c r="A192" s="153" t="s">
        <v>188</v>
      </c>
      <c r="B192" s="165"/>
      <c r="C192" s="165"/>
      <c r="D192" s="165"/>
      <c r="E192" s="165"/>
      <c r="F192" s="165"/>
      <c r="G192" s="166"/>
      <c r="H192" s="165"/>
      <c r="I192" s="165"/>
      <c r="J192" s="165"/>
      <c r="K192" s="165"/>
      <c r="L192" s="165"/>
      <c r="M192" s="109"/>
      <c r="N192" s="109"/>
      <c r="O192" s="109"/>
      <c r="P192" s="109"/>
      <c r="Q192" s="109"/>
      <c r="R192" s="109"/>
      <c r="S192" s="109"/>
      <c r="T192" s="109"/>
      <c r="U192" s="109"/>
      <c r="V192" s="109"/>
      <c r="W192" s="109"/>
      <c r="X192" s="109"/>
      <c r="Y192" s="109"/>
      <c r="Z192" s="109"/>
    </row>
    <row r="193" spans="1:26" ht="13.5" customHeight="1" thickBot="1">
      <c r="A193" s="108">
        <v>46223</v>
      </c>
      <c r="B193" s="109"/>
      <c r="C193" s="109"/>
      <c r="D193" s="109"/>
      <c r="E193" s="109"/>
      <c r="F193" s="109"/>
      <c r="G193" s="109"/>
      <c r="H193" s="109"/>
      <c r="I193" s="109"/>
      <c r="J193" s="109"/>
      <c r="K193" s="109"/>
      <c r="L193" s="109"/>
      <c r="M193" s="109"/>
      <c r="N193" s="109"/>
      <c r="O193" s="109"/>
      <c r="P193" s="109"/>
      <c r="Q193" s="109"/>
      <c r="R193" s="109"/>
      <c r="S193" s="109"/>
      <c r="T193" s="109"/>
      <c r="U193" s="109"/>
      <c r="V193" s="109"/>
      <c r="W193" s="109"/>
      <c r="X193" s="109"/>
      <c r="Y193" s="109"/>
      <c r="Z193" s="109"/>
    </row>
    <row r="194" spans="1:26" ht="13.5" customHeight="1" thickBot="1">
      <c r="A194" s="109"/>
      <c r="B194" s="109"/>
      <c r="C194" s="109"/>
      <c r="D194" s="153" t="str">
        <f>'CHICLETS MASTER S1'!$AN$51</f>
        <v>LONG BEACH CC 1</v>
      </c>
      <c r="E194" s="109"/>
      <c r="F194" s="109"/>
      <c r="G194" s="109"/>
      <c r="H194" s="109"/>
      <c r="I194" s="109"/>
      <c r="J194" s="109"/>
      <c r="K194" s="109"/>
      <c r="L194" s="109"/>
      <c r="M194" s="109"/>
      <c r="N194" s="109"/>
      <c r="O194" s="109"/>
      <c r="P194" s="109"/>
      <c r="Q194" s="109"/>
      <c r="R194" s="109"/>
      <c r="S194" s="109"/>
      <c r="T194" s="109"/>
      <c r="U194" s="109"/>
      <c r="V194" s="109"/>
      <c r="W194" s="109"/>
      <c r="X194" s="109"/>
      <c r="Y194" s="109"/>
      <c r="Z194" s="109"/>
    </row>
    <row r="195" spans="1:26" ht="13.5" customHeight="1">
      <c r="A195" s="189" t="s">
        <v>110</v>
      </c>
      <c r="B195" s="190" t="s">
        <v>111</v>
      </c>
      <c r="C195" s="190" t="s">
        <v>112</v>
      </c>
      <c r="D195" s="190" t="s">
        <v>113</v>
      </c>
      <c r="E195" s="190" t="s">
        <v>114</v>
      </c>
      <c r="F195" s="190" t="s">
        <v>115</v>
      </c>
      <c r="G195" s="190" t="s">
        <v>116</v>
      </c>
      <c r="H195" s="190" t="s">
        <v>117</v>
      </c>
      <c r="I195" s="190" t="s">
        <v>116</v>
      </c>
      <c r="J195" s="190" t="s">
        <v>118</v>
      </c>
      <c r="K195" s="190" t="s">
        <v>119</v>
      </c>
      <c r="L195" s="190" t="s">
        <v>120</v>
      </c>
      <c r="M195" s="109"/>
      <c r="N195" s="109"/>
      <c r="O195" s="109"/>
      <c r="P195" s="109"/>
      <c r="Q195" s="109"/>
      <c r="R195" s="109"/>
      <c r="S195" s="109"/>
      <c r="T195" s="109"/>
      <c r="U195" s="109"/>
      <c r="V195" s="109"/>
      <c r="W195" s="109"/>
      <c r="X195" s="109"/>
      <c r="Y195" s="109"/>
      <c r="Z195" s="109"/>
    </row>
    <row r="196" spans="1:26" ht="13.5" customHeight="1">
      <c r="A196" s="155">
        <f t="shared" ref="A196:A207" si="64">$A$193</f>
        <v>46223</v>
      </c>
      <c r="B196" s="156">
        <f>'CHICLETS MASTER S1'!AL53</f>
        <v>0.33333333333333331</v>
      </c>
      <c r="C196" s="122" t="s">
        <v>189</v>
      </c>
      <c r="D196" s="122" t="str">
        <f t="shared" ref="D196:D207" si="65">$D$194</f>
        <v>LONG BEACH CC 1</v>
      </c>
      <c r="E196" s="122">
        <v>117</v>
      </c>
      <c r="F196" s="169" t="s">
        <v>375</v>
      </c>
      <c r="G196" s="169"/>
      <c r="H196" s="169" t="str">
        <f>IF(G151 = "", "W110", IF(G151 &gt; I151, _xlfn.CONCAT("W110-", RIGHT(F151, LEN(F151) - FIND("-", F151))), _xlfn.CONCAT("W110-", RIGHT(H151, LEN(H151) - FIND("-", H151)))))</f>
        <v>W110</v>
      </c>
      <c r="I196" s="169"/>
      <c r="J196" s="169">
        <v>141</v>
      </c>
      <c r="K196" s="169">
        <v>149</v>
      </c>
      <c r="L196" s="169" t="str">
        <f t="shared" ref="L196:L207" si="66">IF(E196="","",$L$15&amp;"-"&amp;TEXT(E196,"000"))</f>
        <v>16G-117</v>
      </c>
      <c r="M196" s="109"/>
      <c r="N196" s="109"/>
      <c r="O196" s="109" t="str">
        <f t="shared" ref="O196:O207" si="67">$K$262&amp;C196</f>
        <v>pt_5-8 v 9-12</v>
      </c>
      <c r="P196" s="109"/>
      <c r="Q196" s="109"/>
      <c r="R196" s="109"/>
      <c r="S196" s="109"/>
      <c r="T196" s="109"/>
      <c r="U196" s="109"/>
      <c r="V196" s="109"/>
      <c r="W196" s="109"/>
      <c r="X196" s="109"/>
      <c r="Y196" s="109"/>
      <c r="Z196" s="109"/>
    </row>
    <row r="197" spans="1:26" ht="13.5" customHeight="1">
      <c r="A197" s="155">
        <f t="shared" si="64"/>
        <v>46223</v>
      </c>
      <c r="B197" s="156">
        <f>'CHICLETS MASTER S1'!AL54</f>
        <v>0.375</v>
      </c>
      <c r="C197" s="122" t="s">
        <v>189</v>
      </c>
      <c r="D197" s="122" t="str">
        <f t="shared" si="65"/>
        <v>LONG BEACH CC 1</v>
      </c>
      <c r="E197" s="122">
        <v>121</v>
      </c>
      <c r="F197" s="169" t="s">
        <v>376</v>
      </c>
      <c r="G197" s="169"/>
      <c r="H197" s="169" t="str">
        <f>IF(G133 = "", "W113", IF(G133 &gt; I133, _xlfn.CONCAT("W113-", RIGHT(F133, LEN(F133) - FIND("-", F133))), _xlfn.CONCAT("W113-", RIGHT(H133, LEN(H133) - FIND("-", H133)))))</f>
        <v>W113</v>
      </c>
      <c r="I197" s="171"/>
      <c r="J197" s="169">
        <v>141</v>
      </c>
      <c r="K197" s="169">
        <v>149</v>
      </c>
      <c r="L197" s="169" t="str">
        <f t="shared" si="66"/>
        <v>16G-121</v>
      </c>
      <c r="M197" s="109"/>
      <c r="N197" s="109"/>
      <c r="O197" s="109" t="str">
        <f t="shared" si="67"/>
        <v>pt_5-8 v 9-12</v>
      </c>
      <c r="P197" s="109"/>
      <c r="Q197" s="109"/>
      <c r="R197" s="109"/>
      <c r="S197" s="109"/>
      <c r="T197" s="109"/>
      <c r="U197" s="109"/>
      <c r="V197" s="109"/>
      <c r="W197" s="109"/>
      <c r="X197" s="109"/>
      <c r="Y197" s="109"/>
      <c r="Z197" s="109"/>
    </row>
    <row r="198" spans="1:26" ht="13.5" customHeight="1">
      <c r="A198" s="155">
        <f t="shared" si="64"/>
        <v>46223</v>
      </c>
      <c r="B198" s="156">
        <f>'CHICLETS MASTER S1'!AL55</f>
        <v>0.41666666666666702</v>
      </c>
      <c r="C198" s="122" t="s">
        <v>189</v>
      </c>
      <c r="D198" s="122" t="str">
        <f t="shared" si="65"/>
        <v>LONG BEACH CC 1</v>
      </c>
      <c r="E198" s="122">
        <v>125</v>
      </c>
      <c r="F198" s="169" t="s">
        <v>377</v>
      </c>
      <c r="G198" s="169"/>
      <c r="H198" s="169" t="str">
        <f>IF(G152 = "", "W114", IF(G152 &gt; I152, _xlfn.CONCAT("W114-", RIGHT(F152, LEN(F152) - FIND("-", F152))), _xlfn.CONCAT("W114-", RIGHT(H152, LEN(H152) - FIND("-", H152)))))</f>
        <v>W114</v>
      </c>
      <c r="I198" s="169"/>
      <c r="J198" s="169">
        <v>145</v>
      </c>
      <c r="K198" s="169">
        <v>153</v>
      </c>
      <c r="L198" s="169" t="str">
        <f t="shared" si="66"/>
        <v>16G-125</v>
      </c>
      <c r="M198" s="109"/>
      <c r="N198" s="109"/>
      <c r="O198" s="109" t="str">
        <f t="shared" si="67"/>
        <v>pt_5-8 v 9-12</v>
      </c>
      <c r="P198" s="109"/>
      <c r="Q198" s="109"/>
      <c r="R198" s="109"/>
      <c r="S198" s="109"/>
      <c r="T198" s="109"/>
      <c r="U198" s="109"/>
      <c r="V198" s="109"/>
      <c r="W198" s="109"/>
      <c r="X198" s="109"/>
      <c r="Y198" s="109"/>
      <c r="Z198" s="109"/>
    </row>
    <row r="199" spans="1:26" ht="13.5" customHeight="1">
      <c r="A199" s="155">
        <f t="shared" si="64"/>
        <v>46223</v>
      </c>
      <c r="B199" s="156">
        <f>'CHICLETS MASTER S1'!AL56</f>
        <v>0.45833333333333298</v>
      </c>
      <c r="C199" s="122" t="s">
        <v>189</v>
      </c>
      <c r="D199" s="122" t="str">
        <f t="shared" si="65"/>
        <v>LONG BEACH CC 1</v>
      </c>
      <c r="E199" s="122">
        <v>129</v>
      </c>
      <c r="F199" s="169" t="s">
        <v>378</v>
      </c>
      <c r="G199" s="169"/>
      <c r="H199" s="169" t="str">
        <f>IF(G132 = "", "W109", IF(G132 &gt; I132, _xlfn.CONCAT("W109-", RIGHT(F132, LEN(F132) - FIND("-", F132))), _xlfn.CONCAT("W109-", RIGHT(H132, LEN(H132) - FIND("-", H132)))))</f>
        <v>W109</v>
      </c>
      <c r="I199" s="169"/>
      <c r="J199" s="169">
        <v>145</v>
      </c>
      <c r="K199" s="169">
        <v>153</v>
      </c>
      <c r="L199" s="169" t="str">
        <f t="shared" si="66"/>
        <v>16G-129</v>
      </c>
      <c r="M199" s="109"/>
      <c r="N199" s="109"/>
      <c r="O199" s="109" t="str">
        <f t="shared" si="67"/>
        <v>pt_5-8 v 9-12</v>
      </c>
      <c r="P199" s="109"/>
      <c r="Q199" s="109"/>
      <c r="R199" s="109"/>
      <c r="S199" s="109"/>
      <c r="T199" s="109"/>
      <c r="U199" s="109"/>
      <c r="V199" s="109"/>
      <c r="W199" s="109"/>
      <c r="X199" s="109"/>
      <c r="Y199" s="109"/>
      <c r="Z199" s="109"/>
    </row>
    <row r="200" spans="1:26" ht="13.5" customHeight="1">
      <c r="A200" s="155">
        <f t="shared" si="64"/>
        <v>46223</v>
      </c>
      <c r="B200" s="156">
        <f>'CHICLETS MASTER S1'!AL57</f>
        <v>0.5</v>
      </c>
      <c r="C200" s="122" t="s">
        <v>194</v>
      </c>
      <c r="D200" s="122" t="str">
        <f t="shared" si="65"/>
        <v>LONG BEACH CC 1</v>
      </c>
      <c r="E200" s="122">
        <v>133</v>
      </c>
      <c r="F200" s="169" t="s">
        <v>379</v>
      </c>
      <c r="G200" s="169"/>
      <c r="H200" s="169" t="s">
        <v>380</v>
      </c>
      <c r="I200" s="169"/>
      <c r="J200" s="169">
        <v>174</v>
      </c>
      <c r="K200" s="169">
        <v>157</v>
      </c>
      <c r="L200" s="169" t="str">
        <f t="shared" si="66"/>
        <v>16G-133</v>
      </c>
      <c r="M200" s="109"/>
      <c r="N200" s="109"/>
      <c r="O200" s="109" t="str">
        <f t="shared" si="67"/>
        <v>pt_1-2 v 3-4</v>
      </c>
      <c r="P200" s="109"/>
      <c r="Q200" s="109"/>
      <c r="R200" s="109"/>
      <c r="S200" s="109"/>
      <c r="T200" s="109"/>
      <c r="U200" s="109"/>
      <c r="V200" s="109"/>
      <c r="W200" s="109"/>
      <c r="X200" s="109"/>
      <c r="Y200" s="109"/>
      <c r="Z200" s="109"/>
    </row>
    <row r="201" spans="1:26" ht="13.5" customHeight="1">
      <c r="A201" s="155">
        <f t="shared" si="64"/>
        <v>46223</v>
      </c>
      <c r="B201" s="156">
        <f>'CHICLETS MASTER S1'!AL58</f>
        <v>0.54166666666666696</v>
      </c>
      <c r="C201" s="122" t="s">
        <v>194</v>
      </c>
      <c r="D201" s="122" t="str">
        <f t="shared" si="65"/>
        <v>LONG BEACH CC 1</v>
      </c>
      <c r="E201" s="122">
        <v>137</v>
      </c>
      <c r="F201" s="169" t="s">
        <v>381</v>
      </c>
      <c r="G201" s="171"/>
      <c r="H201" s="169" t="s">
        <v>382</v>
      </c>
      <c r="I201" s="169"/>
      <c r="J201" s="169">
        <v>173</v>
      </c>
      <c r="K201" s="169">
        <v>161</v>
      </c>
      <c r="L201" s="169" t="str">
        <f t="shared" si="66"/>
        <v>16G-137</v>
      </c>
      <c r="M201" s="109"/>
      <c r="N201" s="109"/>
      <c r="O201" s="109" t="str">
        <f t="shared" si="67"/>
        <v>pt_1-2 v 3-4</v>
      </c>
      <c r="P201" s="109"/>
      <c r="Q201" s="109"/>
      <c r="R201" s="109"/>
      <c r="S201" s="109"/>
      <c r="T201" s="109"/>
      <c r="U201" s="109"/>
      <c r="V201" s="109"/>
      <c r="W201" s="109"/>
      <c r="X201" s="109"/>
      <c r="Y201" s="109"/>
      <c r="Z201" s="109"/>
    </row>
    <row r="202" spans="1:26" ht="13.5" customHeight="1">
      <c r="A202" s="155">
        <f t="shared" si="64"/>
        <v>46223</v>
      </c>
      <c r="B202" s="156">
        <f>'CHICLETS MASTER S1'!AL59</f>
        <v>0.58333333333333304</v>
      </c>
      <c r="C202" s="122" t="s">
        <v>199</v>
      </c>
      <c r="D202" s="122" t="str">
        <f t="shared" si="65"/>
        <v>LONG BEACH CC 1</v>
      </c>
      <c r="E202" s="122">
        <v>141</v>
      </c>
      <c r="F202" s="169" t="str">
        <f>IF(G196 = "", "W117", IF(G196 &gt; I196, _xlfn.CONCAT("W117-", RIGHT(F196, LEN(F196) - FIND("-", F196))), _xlfn.CONCAT("W117-", RIGHT(H196, LEN(H196) - FIND("-", H196)))))</f>
        <v>W117</v>
      </c>
      <c r="G202" s="169"/>
      <c r="H202" s="169" t="str">
        <f>IF(G197 = "", "W121", IF(G197 &gt; I197, _xlfn.CONCAT("W121-", RIGHT(F197, LEN(F197) - FIND("-", F197))), _xlfn.CONCAT("W121-", RIGHT(H197, LEN(H197) - FIND("-", H197)))))</f>
        <v>W121</v>
      </c>
      <c r="I202" s="169"/>
      <c r="J202" s="169">
        <v>157</v>
      </c>
      <c r="K202" s="169">
        <v>185</v>
      </c>
      <c r="L202" s="169" t="str">
        <f t="shared" si="66"/>
        <v>16G-141</v>
      </c>
      <c r="M202" s="109"/>
      <c r="N202" s="109"/>
      <c r="O202" s="109" t="str">
        <f t="shared" si="67"/>
        <v>pt_5-6 v 7-8</v>
      </c>
      <c r="P202" s="109"/>
      <c r="Q202" s="109"/>
      <c r="R202" s="109"/>
      <c r="S202" s="109"/>
      <c r="T202" s="109"/>
      <c r="U202" s="109"/>
      <c r="V202" s="109"/>
      <c r="W202" s="109"/>
      <c r="X202" s="109"/>
      <c r="Y202" s="109"/>
      <c r="Z202" s="109"/>
    </row>
    <row r="203" spans="1:26" ht="13.5" customHeight="1">
      <c r="A203" s="155">
        <f t="shared" si="64"/>
        <v>46223</v>
      </c>
      <c r="B203" s="156">
        <f>'CHICLETS MASTER S1'!AL60</f>
        <v>0.625</v>
      </c>
      <c r="C203" s="122" t="s">
        <v>199</v>
      </c>
      <c r="D203" s="122" t="str">
        <f t="shared" si="65"/>
        <v>LONG BEACH CC 1</v>
      </c>
      <c r="E203" s="122">
        <v>145</v>
      </c>
      <c r="F203" s="169" t="str">
        <f>IF(G198 = "", "W125", IF(G198 &gt; I198, _xlfn.CONCAT("W125-", RIGHT(F198, LEN(F198) - FIND("-", F198))), _xlfn.CONCAT("W125-", RIGHT(H198, LEN(H198) - FIND("-", H198)))))</f>
        <v>W125</v>
      </c>
      <c r="G203" s="169"/>
      <c r="H203" s="169" t="str">
        <f>IF(G199 = "", "W129", IF(G199 &gt; I199, _xlfn.CONCAT("W129-", RIGHT(F199, LEN(F199) - FIND("-", F199))), _xlfn.CONCAT("W129-", RIGHT(H199, LEN(H199) - FIND("-", H199)))))</f>
        <v>W129</v>
      </c>
      <c r="I203" s="169"/>
      <c r="J203" s="169">
        <v>161</v>
      </c>
      <c r="K203" s="169">
        <v>185</v>
      </c>
      <c r="L203" s="169" t="str">
        <f t="shared" si="66"/>
        <v>16G-145</v>
      </c>
      <c r="M203" s="109"/>
      <c r="N203" s="109"/>
      <c r="O203" s="109" t="str">
        <f t="shared" si="67"/>
        <v>pt_5-6 v 7-8</v>
      </c>
      <c r="P203" s="109"/>
      <c r="Q203" s="109"/>
      <c r="R203" s="109"/>
      <c r="S203" s="109"/>
      <c r="T203" s="109"/>
      <c r="U203" s="109"/>
      <c r="V203" s="109"/>
      <c r="W203" s="109"/>
      <c r="X203" s="109"/>
      <c r="Y203" s="109"/>
      <c r="Z203" s="109"/>
    </row>
    <row r="204" spans="1:26" ht="13.5" customHeight="1">
      <c r="A204" s="155">
        <f t="shared" si="64"/>
        <v>46223</v>
      </c>
      <c r="B204" s="156">
        <f>'CHICLETS MASTER S1'!AL61</f>
        <v>0.66666666666666696</v>
      </c>
      <c r="C204" s="122" t="s">
        <v>200</v>
      </c>
      <c r="D204" s="122" t="str">
        <f t="shared" si="65"/>
        <v>LONG BEACH CC 1</v>
      </c>
      <c r="E204" s="122">
        <v>149</v>
      </c>
      <c r="F204" s="169" t="str">
        <f>IF(G197 = "", "L121", IF(G197 &lt; I197, _xlfn.CONCAT("L121-", RIGHT(F197, LEN(F197) - FIND("-", F197))), _xlfn.CONCAT("L121-", RIGHT(H197, LEN(H197) - FIND("-", H197)))))</f>
        <v>L121</v>
      </c>
      <c r="G204" s="169"/>
      <c r="H204" s="169" t="str">
        <f>IF(G196 = "", "L117", IF(G196 &lt; I196, _xlfn.CONCAT("L117-", RIGHT(F196, LEN(F196) - FIND("-", F196))), _xlfn.CONCAT("L117-", RIGHT(H196, LEN(H196) - FIND("-", H196)))))</f>
        <v>L117</v>
      </c>
      <c r="I204" s="169"/>
      <c r="J204" s="169">
        <v>182</v>
      </c>
      <c r="K204" s="169">
        <v>181</v>
      </c>
      <c r="L204" s="169" t="str">
        <f t="shared" si="66"/>
        <v>16G-149</v>
      </c>
      <c r="M204" s="109"/>
      <c r="N204" s="109"/>
      <c r="O204" s="109" t="str">
        <f t="shared" si="67"/>
        <v>pt_9-12 semi</v>
      </c>
      <c r="P204" s="109"/>
      <c r="Q204" s="109"/>
      <c r="R204" s="109"/>
      <c r="S204" s="109"/>
      <c r="T204" s="109"/>
      <c r="U204" s="109"/>
      <c r="V204" s="109"/>
      <c r="W204" s="109"/>
      <c r="X204" s="109"/>
      <c r="Y204" s="109"/>
      <c r="Z204" s="109"/>
    </row>
    <row r="205" spans="1:26" ht="13.5" customHeight="1">
      <c r="A205" s="155">
        <f t="shared" si="64"/>
        <v>46223</v>
      </c>
      <c r="B205" s="156">
        <f>'CHICLETS MASTER S1'!AL62</f>
        <v>0.70833333333333304</v>
      </c>
      <c r="C205" s="122" t="s">
        <v>200</v>
      </c>
      <c r="D205" s="122" t="str">
        <f t="shared" si="65"/>
        <v>LONG BEACH CC 1</v>
      </c>
      <c r="E205" s="122">
        <v>153</v>
      </c>
      <c r="F205" s="169" t="str">
        <f>IF(G199 = "", "L129", IF(G199 &lt; I199, _xlfn.CONCAT("L129-", RIGHT(F199, LEN(F199) - FIND("-", F199))), _xlfn.CONCAT("L129-", RIGHT(H199, LEN(H199) - FIND("-", H199)))))</f>
        <v>L129</v>
      </c>
      <c r="G205" s="169"/>
      <c r="H205" s="169" t="str">
        <f>IF(G198 = "", "L125", IF(G198 &lt; I198, _xlfn.CONCAT("L125-", RIGHT(F198, LEN(F198) - FIND("-", F198))), _xlfn.CONCAT("L125-", RIGHT(H198, LEN(H198) - FIND("-", H198)))))</f>
        <v>L125</v>
      </c>
      <c r="I205" s="169"/>
      <c r="J205" s="169">
        <v>182</v>
      </c>
      <c r="K205" s="169">
        <v>181</v>
      </c>
      <c r="L205" s="169" t="str">
        <f t="shared" si="66"/>
        <v>16G-153</v>
      </c>
      <c r="M205" s="109"/>
      <c r="N205" s="109"/>
      <c r="O205" s="109" t="str">
        <f t="shared" si="67"/>
        <v>pt_9-12 semi</v>
      </c>
      <c r="P205" s="109"/>
      <c r="Q205" s="109"/>
      <c r="R205" s="109"/>
      <c r="S205" s="109"/>
      <c r="T205" s="109"/>
      <c r="U205" s="109"/>
      <c r="V205" s="109"/>
      <c r="W205" s="109"/>
      <c r="X205" s="109"/>
      <c r="Y205" s="109"/>
      <c r="Z205" s="109"/>
    </row>
    <row r="206" spans="1:26" ht="13.5" customHeight="1">
      <c r="A206" s="155">
        <f t="shared" si="64"/>
        <v>46223</v>
      </c>
      <c r="B206" s="156">
        <f>'CHICLETS MASTER S1'!AL63</f>
        <v>0.75</v>
      </c>
      <c r="C206" s="122" t="s">
        <v>201</v>
      </c>
      <c r="D206" s="122" t="str">
        <f t="shared" si="65"/>
        <v>LONG BEACH CC 1</v>
      </c>
      <c r="E206" s="122">
        <v>157</v>
      </c>
      <c r="F206" s="169" t="str">
        <f>IF(G200 = "", "L133", IF(G200 &lt; I200, _xlfn.CONCAT("L133-", RIGHT(F200, LEN(F200) - FIND("-", F200))), _xlfn.CONCAT("L133-", RIGHT(H200, LEN(H200) - FIND("-", H200)))))</f>
        <v>L133</v>
      </c>
      <c r="G206" s="169"/>
      <c r="H206" s="169" t="str">
        <f>IF(G202 = "", "W141", IF(G202 &gt; I202, _xlfn.CONCAT("W141-", RIGHT(F202, LEN(F202) - FIND("-", F202))), _xlfn.CONCAT("W141-", RIGHT(H202, LEN(H202) - FIND("-", H202)))))</f>
        <v>W141</v>
      </c>
      <c r="I206" s="169"/>
      <c r="J206" s="169">
        <v>173</v>
      </c>
      <c r="K206" s="169">
        <v>186</v>
      </c>
      <c r="L206" s="169" t="str">
        <f t="shared" si="66"/>
        <v>16G-157</v>
      </c>
      <c r="M206" s="109"/>
      <c r="N206" s="109"/>
      <c r="O206" s="109" t="str">
        <f t="shared" si="67"/>
        <v>pt_play to semi</v>
      </c>
      <c r="P206" s="109"/>
      <c r="Q206" s="109"/>
      <c r="R206" s="109"/>
      <c r="S206" s="109"/>
      <c r="T206" s="109"/>
      <c r="U206" s="109"/>
      <c r="V206" s="109"/>
      <c r="W206" s="109"/>
      <c r="X206" s="109"/>
      <c r="Y206" s="109"/>
      <c r="Z206" s="109"/>
    </row>
    <row r="207" spans="1:26" ht="13.5" customHeight="1">
      <c r="A207" s="155">
        <f t="shared" si="64"/>
        <v>46223</v>
      </c>
      <c r="B207" s="156">
        <f>'CHICLETS MASTER S1'!AL64</f>
        <v>0.79166666666666696</v>
      </c>
      <c r="C207" s="122" t="s">
        <v>201</v>
      </c>
      <c r="D207" s="122" t="str">
        <f t="shared" si="65"/>
        <v>LONG BEACH CC 1</v>
      </c>
      <c r="E207" s="122">
        <v>161</v>
      </c>
      <c r="F207" s="169" t="str">
        <f>IF(G201 = "", "L137", IF(G201 &lt; I201, _xlfn.CONCAT("L137-", RIGHT(F201, LEN(F201) - FIND("-", F201))), _xlfn.CONCAT("L137-", RIGHT(H201, LEN(H201) - FIND("-", H201)))))</f>
        <v>L137</v>
      </c>
      <c r="G207" s="169"/>
      <c r="H207" s="169" t="str">
        <f>IF(G203 = "", "W145", IF(G203 &gt; I203, _xlfn.CONCAT("W145-", RIGHT(F203, LEN(F203) - FIND("-", F203))), _xlfn.CONCAT("W145-", RIGHT(H203, LEN(H203) - FIND("-", H203)))))</f>
        <v>W145</v>
      </c>
      <c r="I207" s="169"/>
      <c r="J207" s="169">
        <v>174</v>
      </c>
      <c r="K207" s="169">
        <v>186</v>
      </c>
      <c r="L207" s="169" t="str">
        <f t="shared" si="66"/>
        <v>16G-161</v>
      </c>
      <c r="M207" s="109"/>
      <c r="N207" s="109"/>
      <c r="O207" s="109" t="str">
        <f t="shared" si="67"/>
        <v>pt_play to semi</v>
      </c>
      <c r="P207" s="109"/>
      <c r="Q207" s="109"/>
      <c r="R207" s="109"/>
      <c r="S207" s="109"/>
      <c r="T207" s="109"/>
      <c r="U207" s="109"/>
      <c r="V207" s="109"/>
      <c r="W207" s="109"/>
      <c r="X207" s="109"/>
      <c r="Y207" s="109"/>
      <c r="Z207" s="109"/>
    </row>
    <row r="208" spans="1:26" ht="13.5" customHeight="1" thickBot="1">
      <c r="A208" s="109"/>
      <c r="B208" s="109"/>
      <c r="C208" s="109"/>
      <c r="D208" s="109"/>
      <c r="E208" s="109"/>
      <c r="F208" s="109"/>
      <c r="G208" s="109"/>
      <c r="H208" s="109"/>
      <c r="I208" s="109"/>
      <c r="J208" s="109"/>
      <c r="K208" s="109"/>
      <c r="L208" s="109"/>
      <c r="M208" s="109"/>
      <c r="N208" s="109"/>
      <c r="O208" s="109"/>
      <c r="P208" s="109"/>
      <c r="Q208" s="109"/>
      <c r="R208" s="109"/>
      <c r="S208" s="109"/>
      <c r="T208" s="109"/>
      <c r="U208" s="109"/>
      <c r="V208" s="109"/>
      <c r="W208" s="109"/>
      <c r="X208" s="109"/>
      <c r="Y208" s="109"/>
      <c r="Z208" s="109"/>
    </row>
    <row r="209" spans="1:26" ht="13.5" customHeight="1" thickBot="1">
      <c r="A209" s="159"/>
      <c r="B209" s="160"/>
      <c r="C209" s="109"/>
      <c r="D209" s="153" t="str">
        <f>'CHICLETS MASTER S1'!$AV$51</f>
        <v>SAN JUAN HILLS HS</v>
      </c>
      <c r="E209" s="109"/>
      <c r="F209" s="109" t="s">
        <v>173</v>
      </c>
      <c r="G209" s="161" t="s">
        <v>173</v>
      </c>
      <c r="H209" s="109" t="s">
        <v>173</v>
      </c>
      <c r="I209" s="106"/>
      <c r="J209" s="106"/>
      <c r="K209" s="106"/>
      <c r="L209" s="106"/>
      <c r="M209" s="109"/>
      <c r="N209" s="109"/>
      <c r="O209" s="109"/>
      <c r="P209" s="109"/>
      <c r="Q209" s="109"/>
      <c r="R209" s="109"/>
      <c r="S209" s="109"/>
      <c r="T209" s="109"/>
      <c r="U209" s="109"/>
      <c r="V209" s="109"/>
      <c r="W209" s="109"/>
      <c r="X209" s="109"/>
      <c r="Y209" s="109"/>
      <c r="Z209" s="109"/>
    </row>
    <row r="210" spans="1:26" ht="13.5" customHeight="1">
      <c r="A210" s="189" t="s">
        <v>110</v>
      </c>
      <c r="B210" s="190" t="s">
        <v>111</v>
      </c>
      <c r="C210" s="190" t="s">
        <v>112</v>
      </c>
      <c r="D210" s="190" t="s">
        <v>113</v>
      </c>
      <c r="E210" s="190" t="s">
        <v>114</v>
      </c>
      <c r="F210" s="190" t="s">
        <v>115</v>
      </c>
      <c r="G210" s="190" t="s">
        <v>116</v>
      </c>
      <c r="H210" s="190" t="s">
        <v>117</v>
      </c>
      <c r="I210" s="190" t="s">
        <v>116</v>
      </c>
      <c r="J210" s="190" t="s">
        <v>118</v>
      </c>
      <c r="K210" s="190" t="s">
        <v>119</v>
      </c>
      <c r="L210" s="190" t="s">
        <v>120</v>
      </c>
      <c r="M210" s="109"/>
      <c r="N210" s="109"/>
      <c r="O210" s="109"/>
      <c r="P210" s="109"/>
      <c r="Q210" s="109"/>
      <c r="R210" s="109"/>
      <c r="S210" s="109"/>
      <c r="T210" s="109"/>
      <c r="U210" s="109"/>
      <c r="V210" s="109"/>
      <c r="W210" s="109"/>
      <c r="X210" s="109"/>
      <c r="Y210" s="109"/>
      <c r="Z210" s="109"/>
    </row>
    <row r="211" spans="1:26" ht="13.5" customHeight="1">
      <c r="A211" s="155">
        <f t="shared" ref="A211:A222" si="68">$A$193</f>
        <v>46223</v>
      </c>
      <c r="B211" s="156">
        <f>'CHICLETS MASTER S1'!AL53</f>
        <v>0.33333333333333331</v>
      </c>
      <c r="C211" s="122" t="s">
        <v>383</v>
      </c>
      <c r="D211" s="122" t="str">
        <f t="shared" ref="D211:D222" si="69">$D$209</f>
        <v>SAN JUAN HILLS HS</v>
      </c>
      <c r="E211" s="122">
        <v>118</v>
      </c>
      <c r="F211" s="169" t="s">
        <v>386</v>
      </c>
      <c r="G211" s="169"/>
      <c r="H211" s="169" t="s">
        <v>387</v>
      </c>
      <c r="I211" s="169"/>
      <c r="J211" s="169"/>
      <c r="K211" s="169"/>
      <c r="L211" s="169" t="str">
        <f t="shared" ref="L211:L222" si="70">IF(E211="","",$L$15&amp;"-"&amp;TEXT(E211,"000"))</f>
        <v>16G-118</v>
      </c>
      <c r="M211" s="109"/>
      <c r="N211" s="109"/>
      <c r="O211" s="109" t="str">
        <f t="shared" ref="O211:O222" si="71">$K$262&amp;C211</f>
        <v>pt_21-24 RR</v>
      </c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</row>
    <row r="212" spans="1:26" ht="13.5" customHeight="1">
      <c r="A212" s="155">
        <f t="shared" si="68"/>
        <v>46223</v>
      </c>
      <c r="B212" s="156">
        <f>'CHICLETS MASTER S1'!AL54</f>
        <v>0.375</v>
      </c>
      <c r="C212" s="122" t="s">
        <v>383</v>
      </c>
      <c r="D212" s="122" t="str">
        <f t="shared" si="69"/>
        <v>SAN JUAN HILLS HS</v>
      </c>
      <c r="E212" s="122">
        <v>122</v>
      </c>
      <c r="F212" s="169" t="s">
        <v>384</v>
      </c>
      <c r="G212" s="169"/>
      <c r="H212" s="169" t="s">
        <v>385</v>
      </c>
      <c r="I212" s="169"/>
      <c r="J212" s="169"/>
      <c r="K212" s="169"/>
      <c r="L212" s="169" t="str">
        <f t="shared" si="70"/>
        <v>16G-122</v>
      </c>
      <c r="M212" s="109"/>
      <c r="N212" s="109"/>
      <c r="O212" s="109" t="str">
        <f t="shared" si="71"/>
        <v>pt_21-24 RR</v>
      </c>
      <c r="P212" s="109"/>
      <c r="Q212" s="109"/>
      <c r="R212" s="109"/>
      <c r="S212" s="109"/>
      <c r="T212" s="109"/>
      <c r="U212" s="109"/>
      <c r="V212" s="109"/>
      <c r="W212" s="109"/>
      <c r="X212" s="109"/>
      <c r="Y212" s="109"/>
      <c r="Z212" s="109"/>
    </row>
    <row r="213" spans="1:26" ht="13.5" customHeight="1">
      <c r="A213" s="155">
        <f t="shared" si="68"/>
        <v>46223</v>
      </c>
      <c r="B213" s="156">
        <f>'CHICLETS MASTER S1'!AL55</f>
        <v>0.41666666666666702</v>
      </c>
      <c r="C213" s="122" t="s">
        <v>388</v>
      </c>
      <c r="D213" s="122" t="str">
        <f t="shared" si="69"/>
        <v>SAN JUAN HILLS HS</v>
      </c>
      <c r="E213" s="122">
        <v>126</v>
      </c>
      <c r="F213" s="169" t="str">
        <f>IF(G133 = "", "L113", IF(G133 &lt; I133, _xlfn.CONCAT("L113-", RIGHT(F133, LEN(F133) - FIND("-", F133))), _xlfn.CONCAT("L113-", RIGHT(H133, LEN(H133) - FIND("-", H133)))))</f>
        <v>L113</v>
      </c>
      <c r="G213" s="169"/>
      <c r="H213" s="169" t="s">
        <v>389</v>
      </c>
      <c r="I213" s="169"/>
      <c r="J213" s="169">
        <v>150</v>
      </c>
      <c r="K213" s="169">
        <v>154</v>
      </c>
      <c r="L213" s="169" t="str">
        <f t="shared" si="70"/>
        <v>16G-126</v>
      </c>
      <c r="M213" s="109"/>
      <c r="N213" s="109"/>
      <c r="O213" s="109" t="str">
        <f t="shared" si="71"/>
        <v>pt_13-20 qtr</v>
      </c>
      <c r="P213" s="109"/>
      <c r="Q213" s="109"/>
      <c r="R213" s="109"/>
      <c r="S213" s="109"/>
      <c r="T213" s="109"/>
      <c r="U213" s="109"/>
      <c r="V213" s="109"/>
      <c r="W213" s="109"/>
      <c r="X213" s="109"/>
      <c r="Y213" s="109"/>
      <c r="Z213" s="109"/>
    </row>
    <row r="214" spans="1:26" ht="13.5" customHeight="1">
      <c r="A214" s="155">
        <f t="shared" si="68"/>
        <v>46223</v>
      </c>
      <c r="B214" s="156">
        <f>'CHICLETS MASTER S1'!AL56</f>
        <v>0.45833333333333298</v>
      </c>
      <c r="C214" s="122" t="s">
        <v>388</v>
      </c>
      <c r="D214" s="122" t="str">
        <f t="shared" si="69"/>
        <v>SAN JUAN HILLS HS</v>
      </c>
      <c r="E214" s="122">
        <v>130</v>
      </c>
      <c r="F214" s="169" t="str">
        <f>IF(G152 = "", "L114", IF(G152 &lt; I152, _xlfn.CONCAT("L114-", RIGHT(F152, LEN(F152) - FIND("-", F152))), _xlfn.CONCAT("L114-", RIGHT(H152, LEN(H152) - FIND("-", H152)))))</f>
        <v>L114</v>
      </c>
      <c r="G214" s="169"/>
      <c r="H214" s="169" t="s">
        <v>390</v>
      </c>
      <c r="I214" s="169"/>
      <c r="J214" s="169">
        <v>150</v>
      </c>
      <c r="K214" s="169">
        <v>154</v>
      </c>
      <c r="L214" s="169" t="str">
        <f t="shared" si="70"/>
        <v>16G-130</v>
      </c>
      <c r="M214" s="109"/>
      <c r="N214" s="109"/>
      <c r="O214" s="109" t="str">
        <f t="shared" si="71"/>
        <v>pt_13-20 qtr</v>
      </c>
      <c r="P214" s="109"/>
      <c r="Q214" s="109"/>
      <c r="R214" s="109"/>
      <c r="S214" s="109"/>
      <c r="T214" s="109"/>
      <c r="U214" s="109"/>
      <c r="V214" s="109"/>
      <c r="W214" s="109"/>
      <c r="X214" s="109"/>
      <c r="Y214" s="109"/>
      <c r="Z214" s="109"/>
    </row>
    <row r="215" spans="1:26" ht="13.5" customHeight="1">
      <c r="A215" s="155">
        <f t="shared" si="68"/>
        <v>46223</v>
      </c>
      <c r="B215" s="156">
        <f>'CHICLETS MASTER S1'!AL57</f>
        <v>0.5</v>
      </c>
      <c r="C215" s="122" t="s">
        <v>388</v>
      </c>
      <c r="D215" s="122" t="str">
        <f t="shared" si="69"/>
        <v>SAN JUAN HILLS HS</v>
      </c>
      <c r="E215" s="122">
        <v>134</v>
      </c>
      <c r="F215" s="169" t="str">
        <f>IF(G132 = "", "L109", IF(G132 &lt; I132, _xlfn.CONCAT("L109-", RIGHT(F132, LEN(F132) - FIND("-", F132))), _xlfn.CONCAT("L109-", RIGHT(H132, LEN(H132) - FIND("-", H132)))))</f>
        <v>L109</v>
      </c>
      <c r="G215" s="169"/>
      <c r="H215" s="169" t="s">
        <v>391</v>
      </c>
      <c r="I215" s="169"/>
      <c r="J215" s="169">
        <v>158</v>
      </c>
      <c r="K215" s="169">
        <v>162</v>
      </c>
      <c r="L215" s="169" t="str">
        <f t="shared" si="70"/>
        <v>16G-134</v>
      </c>
      <c r="M215" s="109"/>
      <c r="N215" s="109"/>
      <c r="O215" s="109" t="str">
        <f t="shared" si="71"/>
        <v>pt_13-20 qtr</v>
      </c>
      <c r="P215" s="109"/>
      <c r="Q215" s="109"/>
      <c r="R215" s="109"/>
      <c r="S215" s="109"/>
      <c r="T215" s="109"/>
      <c r="U215" s="109"/>
      <c r="V215" s="109"/>
      <c r="W215" s="109"/>
      <c r="X215" s="109"/>
      <c r="Y215" s="109"/>
      <c r="Z215" s="109"/>
    </row>
    <row r="216" spans="1:26" ht="13.5" customHeight="1">
      <c r="A216" s="155">
        <f t="shared" si="68"/>
        <v>46223</v>
      </c>
      <c r="B216" s="156">
        <f>'CHICLETS MASTER S1'!AL58</f>
        <v>0.54166666666666696</v>
      </c>
      <c r="C216" s="122" t="s">
        <v>388</v>
      </c>
      <c r="D216" s="122" t="str">
        <f t="shared" si="69"/>
        <v>SAN JUAN HILLS HS</v>
      </c>
      <c r="E216" s="122">
        <v>138</v>
      </c>
      <c r="F216" s="169" t="str">
        <f>IF(G151 = "", "L110", IF(G151 &lt; I151, _xlfn.CONCAT("L110-", RIGHT(F151, LEN(F151) - FIND("-", F151))), _xlfn.CONCAT("L110-", RIGHT(H151, LEN(H151) - FIND("-", H151)))))</f>
        <v>L110</v>
      </c>
      <c r="G216" s="169"/>
      <c r="H216" s="169" t="s">
        <v>392</v>
      </c>
      <c r="I216" s="169"/>
      <c r="J216" s="169">
        <v>158</v>
      </c>
      <c r="K216" s="169">
        <v>162</v>
      </c>
      <c r="L216" s="169" t="str">
        <f t="shared" si="70"/>
        <v>16G-138</v>
      </c>
      <c r="M216" s="109"/>
      <c r="N216" s="109"/>
      <c r="O216" s="109" t="str">
        <f t="shared" si="71"/>
        <v>pt_13-20 qtr</v>
      </c>
      <c r="P216" s="109"/>
      <c r="Q216" s="109"/>
      <c r="R216" s="109"/>
      <c r="S216" s="109"/>
      <c r="T216" s="109"/>
      <c r="U216" s="109"/>
      <c r="V216" s="109"/>
      <c r="W216" s="109"/>
      <c r="X216" s="109"/>
      <c r="Y216" s="109"/>
      <c r="Z216" s="109"/>
    </row>
    <row r="217" spans="1:26" ht="13.5" customHeight="1">
      <c r="A217" s="155">
        <f t="shared" si="68"/>
        <v>46223</v>
      </c>
      <c r="B217" s="156">
        <f>'CHICLETS MASTER S1'!AL59</f>
        <v>0.58333333333333304</v>
      </c>
      <c r="C217" s="122" t="s">
        <v>383</v>
      </c>
      <c r="D217" s="122" t="str">
        <f t="shared" si="69"/>
        <v>SAN JUAN HILLS HS</v>
      </c>
      <c r="E217" s="122">
        <v>142</v>
      </c>
      <c r="F217" s="169" t="s">
        <v>386</v>
      </c>
      <c r="G217" s="169"/>
      <c r="H217" s="169" t="s">
        <v>385</v>
      </c>
      <c r="I217" s="169"/>
      <c r="J217" s="169"/>
      <c r="K217" s="169"/>
      <c r="L217" s="169" t="str">
        <f t="shared" si="70"/>
        <v>16G-142</v>
      </c>
      <c r="M217" s="109"/>
      <c r="N217" s="109"/>
      <c r="O217" s="109" t="str">
        <f t="shared" si="71"/>
        <v>pt_21-24 RR</v>
      </c>
      <c r="P217" s="109"/>
      <c r="Q217" s="109"/>
      <c r="R217" s="109"/>
      <c r="S217" s="109"/>
      <c r="T217" s="109"/>
      <c r="U217" s="109"/>
      <c r="V217" s="109"/>
      <c r="W217" s="109"/>
      <c r="X217" s="109"/>
      <c r="Y217" s="109"/>
      <c r="Z217" s="109"/>
    </row>
    <row r="218" spans="1:26" ht="13.5" customHeight="1">
      <c r="A218" s="155">
        <f t="shared" si="68"/>
        <v>46223</v>
      </c>
      <c r="B218" s="156">
        <f>'CHICLETS MASTER S1'!AL60</f>
        <v>0.625</v>
      </c>
      <c r="C218" s="122" t="s">
        <v>383</v>
      </c>
      <c r="D218" s="122" t="str">
        <f t="shared" si="69"/>
        <v>SAN JUAN HILLS HS</v>
      </c>
      <c r="E218" s="122">
        <v>146</v>
      </c>
      <c r="F218" s="169" t="s">
        <v>384</v>
      </c>
      <c r="G218" s="169"/>
      <c r="H218" s="169" t="s">
        <v>387</v>
      </c>
      <c r="I218" s="169"/>
      <c r="J218" s="169"/>
      <c r="K218" s="169"/>
      <c r="L218" s="169" t="str">
        <f t="shared" si="70"/>
        <v>16G-146</v>
      </c>
      <c r="M218" s="109"/>
      <c r="N218" s="109"/>
      <c r="O218" s="109" t="str">
        <f t="shared" si="71"/>
        <v>pt_21-24 RR</v>
      </c>
      <c r="P218" s="109"/>
      <c r="Q218" s="109"/>
      <c r="R218" s="109"/>
      <c r="S218" s="109"/>
      <c r="T218" s="109"/>
      <c r="U218" s="109"/>
      <c r="V218" s="109"/>
      <c r="W218" s="109"/>
      <c r="X218" s="109"/>
      <c r="Y218" s="109"/>
      <c r="Z218" s="109"/>
    </row>
    <row r="219" spans="1:26" ht="13.5" customHeight="1">
      <c r="A219" s="155">
        <f t="shared" si="68"/>
        <v>46223</v>
      </c>
      <c r="B219" s="156">
        <f>'CHICLETS MASTER S1'!AL61</f>
        <v>0.66666666666666696</v>
      </c>
      <c r="C219" s="122" t="s">
        <v>393</v>
      </c>
      <c r="D219" s="122" t="str">
        <f t="shared" si="69"/>
        <v>SAN JUAN HILLS HS</v>
      </c>
      <c r="E219" s="122">
        <v>150</v>
      </c>
      <c r="F219" s="169" t="str">
        <f>IF(G213 = "", "W126", IF(G213 &gt; I213, _xlfn.CONCAT("W126-", RIGHT(F213, LEN(F213) - FIND("-", F213))), _xlfn.CONCAT("W126-", RIGHT(H213, LEN(H213) - FIND("-", H213)))))</f>
        <v>W126</v>
      </c>
      <c r="G219" s="169"/>
      <c r="H219" s="169" t="str">
        <f>IF(G214 = "", "W130", IF(G214 &gt; I214, _xlfn.CONCAT("W130-", RIGHT(F214, LEN(F214) - FIND("-", F214))), _xlfn.CONCAT("W130-", RIGHT(H214, LEN(H214) - FIND("-", H214)))))</f>
        <v>W130</v>
      </c>
      <c r="I219" s="169"/>
      <c r="J219" s="169">
        <v>178</v>
      </c>
      <c r="K219" s="169">
        <v>177</v>
      </c>
      <c r="L219" s="169" t="str">
        <f t="shared" si="70"/>
        <v>16G-150</v>
      </c>
      <c r="M219" s="109"/>
      <c r="N219" s="109"/>
      <c r="O219" s="109" t="str">
        <f t="shared" si="71"/>
        <v>pt_13-16 semi</v>
      </c>
      <c r="P219" s="109"/>
      <c r="Q219" s="109"/>
      <c r="R219" s="109"/>
      <c r="S219" s="109"/>
      <c r="T219" s="109"/>
      <c r="U219" s="109"/>
      <c r="V219" s="109"/>
      <c r="W219" s="109"/>
      <c r="X219" s="109"/>
      <c r="Y219" s="109"/>
      <c r="Z219" s="109"/>
    </row>
    <row r="220" spans="1:26" ht="13.5" customHeight="1">
      <c r="A220" s="155">
        <f t="shared" si="68"/>
        <v>46223</v>
      </c>
      <c r="B220" s="156">
        <f>'CHICLETS MASTER S1'!AL62</f>
        <v>0.70833333333333304</v>
      </c>
      <c r="C220" s="122" t="s">
        <v>394</v>
      </c>
      <c r="D220" s="122" t="str">
        <f t="shared" si="69"/>
        <v>SAN JUAN HILLS HS</v>
      </c>
      <c r="E220" s="122">
        <v>154</v>
      </c>
      <c r="F220" s="169" t="str">
        <f>IF(G214 = "", "L130", IF(G214 &lt; I214, _xlfn.CONCAT("L130-", RIGHT(F214, LEN(F214) - FIND("-", F214))), _xlfn.CONCAT("L130-", RIGHT(H214, LEN(H214) - FIND("-", H214)))))</f>
        <v>L130</v>
      </c>
      <c r="G220" s="169"/>
      <c r="H220" s="169" t="str">
        <f>IF(G213 = "", "L126", IF(G213 &lt; I213, _xlfn.CONCAT("L126-", RIGHT(F213, LEN(F213) - FIND("-", F213))), _xlfn.CONCAT("L126-", RIGHT(H213, LEN(H213) - FIND("-", H213)))))</f>
        <v>L126</v>
      </c>
      <c r="I220" s="169"/>
      <c r="J220" s="169">
        <v>170</v>
      </c>
      <c r="K220" s="169">
        <v>169</v>
      </c>
      <c r="L220" s="169" t="str">
        <f t="shared" si="70"/>
        <v>16G-154</v>
      </c>
      <c r="M220" s="109"/>
      <c r="N220" s="109"/>
      <c r="O220" s="109" t="str">
        <f t="shared" si="71"/>
        <v>pt_17-20 semi</v>
      </c>
      <c r="P220" s="109"/>
      <c r="Q220" s="109"/>
      <c r="R220" s="109"/>
      <c r="S220" s="109"/>
      <c r="T220" s="109"/>
      <c r="U220" s="109"/>
      <c r="V220" s="109"/>
      <c r="W220" s="109"/>
      <c r="X220" s="109"/>
      <c r="Y220" s="109"/>
      <c r="Z220" s="109"/>
    </row>
    <row r="221" spans="1:26" ht="13.5" customHeight="1">
      <c r="A221" s="155">
        <f t="shared" si="68"/>
        <v>46223</v>
      </c>
      <c r="B221" s="156">
        <f>'CHICLETS MASTER S1'!AL63</f>
        <v>0.75</v>
      </c>
      <c r="C221" s="122" t="s">
        <v>393</v>
      </c>
      <c r="D221" s="122" t="str">
        <f t="shared" si="69"/>
        <v>SAN JUAN HILLS HS</v>
      </c>
      <c r="E221" s="122">
        <v>158</v>
      </c>
      <c r="F221" s="169" t="str">
        <f>IF(G215 = "", "W134", IF(G215 &gt; I215, _xlfn.CONCAT("W134-", RIGHT(F215, LEN(F215) - FIND("-", F215))), _xlfn.CONCAT("W134-", RIGHT(H215, LEN(H215) - FIND("-", H215)))))</f>
        <v>W134</v>
      </c>
      <c r="G221" s="169"/>
      <c r="H221" s="169" t="str">
        <f>IF(G216 = "", "W138", IF(G216 &gt; I216, _xlfn.CONCAT("W138-", RIGHT(F216, LEN(F216) - FIND("-", F216))), _xlfn.CONCAT("W138-", RIGHT(H216, LEN(H216) - FIND("-", H216)))))</f>
        <v>W138</v>
      </c>
      <c r="I221" s="169"/>
      <c r="J221" s="169">
        <v>178</v>
      </c>
      <c r="K221" s="169">
        <v>177</v>
      </c>
      <c r="L221" s="169" t="str">
        <f t="shared" si="70"/>
        <v>16G-158</v>
      </c>
      <c r="M221" s="109"/>
      <c r="N221" s="109"/>
      <c r="O221" s="109" t="str">
        <f t="shared" si="71"/>
        <v>pt_13-16 semi</v>
      </c>
      <c r="P221" s="109"/>
      <c r="Q221" s="109"/>
      <c r="R221" s="109"/>
      <c r="S221" s="109"/>
      <c r="T221" s="109"/>
      <c r="U221" s="109"/>
      <c r="V221" s="109"/>
      <c r="W221" s="109"/>
      <c r="X221" s="109"/>
      <c r="Y221" s="109"/>
      <c r="Z221" s="109"/>
    </row>
    <row r="222" spans="1:26" ht="13.5" customHeight="1">
      <c r="A222" s="155">
        <f t="shared" si="68"/>
        <v>46223</v>
      </c>
      <c r="B222" s="156">
        <f>'CHICLETS MASTER S1'!AL64</f>
        <v>0.79166666666666696</v>
      </c>
      <c r="C222" s="122" t="s">
        <v>394</v>
      </c>
      <c r="D222" s="122" t="str">
        <f t="shared" si="69"/>
        <v>SAN JUAN HILLS HS</v>
      </c>
      <c r="E222" s="122">
        <v>162</v>
      </c>
      <c r="F222" s="169" t="str">
        <f>IF(G216 = "", "L138", IF(G216 &lt; I216, _xlfn.CONCAT("L138-", RIGHT(F216, LEN(F216) - FIND("-", F216))), _xlfn.CONCAT("L138-", RIGHT(H216, LEN(H216) - FIND("-", H216)))))</f>
        <v>L138</v>
      </c>
      <c r="G222" s="169"/>
      <c r="H222" s="169" t="str">
        <f>IF(G215 = "", "L134", IF(G215 &lt; I215, _xlfn.CONCAT("L134-", RIGHT(F215, LEN(F215) - FIND("-", F215))), _xlfn.CONCAT("L134-", RIGHT(H215, LEN(H215) - FIND("-", H215)))))</f>
        <v>L134</v>
      </c>
      <c r="I222" s="169"/>
      <c r="J222" s="169">
        <v>170</v>
      </c>
      <c r="K222" s="169">
        <v>169</v>
      </c>
      <c r="L222" s="169" t="str">
        <f t="shared" si="70"/>
        <v>16G-162</v>
      </c>
      <c r="M222" s="109"/>
      <c r="N222" s="109"/>
      <c r="O222" s="109" t="str">
        <f t="shared" si="71"/>
        <v>pt_17-20 semi</v>
      </c>
      <c r="P222" s="109"/>
      <c r="Q222" s="109"/>
      <c r="R222" s="109"/>
      <c r="S222" s="109"/>
      <c r="T222" s="109"/>
      <c r="U222" s="109"/>
      <c r="V222" s="109"/>
      <c r="W222" s="109"/>
      <c r="X222" s="109"/>
      <c r="Y222" s="109"/>
      <c r="Z222" s="109"/>
    </row>
    <row r="223" spans="1:26" ht="13.5" customHeight="1" thickBot="1">
      <c r="A223" s="159"/>
      <c r="B223" s="160"/>
      <c r="C223" s="106"/>
      <c r="D223" s="106"/>
      <c r="E223" s="106"/>
      <c r="F223" s="106"/>
      <c r="G223" s="110"/>
      <c r="H223" s="106"/>
      <c r="I223" s="106"/>
      <c r="J223" s="106"/>
      <c r="K223" s="106"/>
      <c r="L223" s="106"/>
      <c r="M223" s="109"/>
      <c r="N223" s="109"/>
      <c r="O223" s="109"/>
      <c r="P223" s="109"/>
      <c r="Q223" s="109"/>
      <c r="R223" s="109"/>
      <c r="S223" s="109"/>
      <c r="T223" s="109"/>
      <c r="U223" s="109"/>
      <c r="V223" s="109"/>
      <c r="W223" s="109"/>
      <c r="X223" s="109"/>
      <c r="Y223" s="109"/>
      <c r="Z223" s="109"/>
    </row>
    <row r="224" spans="1:26" ht="13.5" customHeight="1" thickBot="1">
      <c r="A224" s="109"/>
      <c r="B224" s="106"/>
      <c r="C224" s="106"/>
      <c r="D224" s="153" t="str">
        <f>'CHICLETS MASTER S1'!$AW$51</f>
        <v>EL MODENA HS</v>
      </c>
      <c r="E224" s="106"/>
      <c r="F224" s="106"/>
      <c r="G224" s="110"/>
      <c r="H224" s="106"/>
      <c r="I224" s="106"/>
      <c r="J224" s="106"/>
      <c r="K224" s="106"/>
      <c r="L224" s="106"/>
      <c r="M224" s="109"/>
      <c r="N224" s="109"/>
      <c r="O224" s="109"/>
      <c r="P224" s="109"/>
      <c r="Q224" s="109"/>
      <c r="R224" s="109"/>
      <c r="S224" s="109"/>
      <c r="T224" s="109"/>
      <c r="U224" s="109"/>
      <c r="V224" s="109"/>
      <c r="W224" s="109"/>
      <c r="X224" s="109"/>
      <c r="Y224" s="109"/>
      <c r="Z224" s="109"/>
    </row>
    <row r="225" spans="1:26" ht="13.5" customHeight="1">
      <c r="A225" s="189" t="s">
        <v>110</v>
      </c>
      <c r="B225" s="190" t="s">
        <v>111</v>
      </c>
      <c r="C225" s="190" t="s">
        <v>112</v>
      </c>
      <c r="D225" s="190" t="s">
        <v>113</v>
      </c>
      <c r="E225" s="190" t="s">
        <v>114</v>
      </c>
      <c r="F225" s="190" t="s">
        <v>115</v>
      </c>
      <c r="G225" s="190" t="s">
        <v>116</v>
      </c>
      <c r="H225" s="190" t="s">
        <v>117</v>
      </c>
      <c r="I225" s="190" t="s">
        <v>116</v>
      </c>
      <c r="J225" s="190" t="s">
        <v>118</v>
      </c>
      <c r="K225" s="190" t="s">
        <v>119</v>
      </c>
      <c r="L225" s="190" t="s">
        <v>120</v>
      </c>
      <c r="M225" s="109"/>
      <c r="N225" s="109"/>
      <c r="O225" s="109"/>
      <c r="P225" s="109"/>
      <c r="Q225" s="109"/>
      <c r="R225" s="109"/>
      <c r="S225" s="109"/>
      <c r="T225" s="109"/>
      <c r="U225" s="109"/>
      <c r="V225" s="109"/>
      <c r="W225" s="109"/>
      <c r="X225" s="109"/>
      <c r="Y225" s="109"/>
      <c r="Z225" s="109"/>
    </row>
    <row r="226" spans="1:26" ht="13.5" customHeight="1">
      <c r="A226" s="155">
        <f t="shared" ref="A226:A237" si="72">$A$193</f>
        <v>46223</v>
      </c>
      <c r="B226" s="156">
        <f>'CHICLETS MASTER S1'!AL53</f>
        <v>0.33333333333333331</v>
      </c>
      <c r="C226" s="122" t="s">
        <v>189</v>
      </c>
      <c r="D226" s="122" t="str">
        <f t="shared" ref="D226:D237" si="73">$D$224</f>
        <v>EL MODENA HS</v>
      </c>
      <c r="E226" s="122">
        <v>119</v>
      </c>
      <c r="F226" s="134" t="s">
        <v>395</v>
      </c>
      <c r="G226" s="134"/>
      <c r="H226" s="134" t="str">
        <f>IF(G189 = "", "W112", IF(G189 &gt; I189, _xlfn.CONCAT("W112-", RIGHT(F189, LEN(F189) - FIND("-", F189))), _xlfn.CONCAT("W112-", RIGHT(H189, LEN(H189) - FIND("-", H189)))))</f>
        <v>W112</v>
      </c>
      <c r="I226" s="134"/>
      <c r="J226" s="134">
        <v>143</v>
      </c>
      <c r="K226" s="134">
        <v>151</v>
      </c>
      <c r="L226" s="134" t="str">
        <f t="shared" ref="L226:L237" si="74">IF(E226="","",$L$15&amp;"-"&amp;TEXT(E226,"000"))</f>
        <v>16G-119</v>
      </c>
      <c r="M226" s="109"/>
      <c r="N226" s="109"/>
      <c r="O226" s="109" t="str">
        <f t="shared" ref="O226:O237" si="75">$L$262&amp;C226</f>
        <v>au_5-8 v 9-12</v>
      </c>
      <c r="P226" s="109"/>
      <c r="Q226" s="109"/>
      <c r="R226" s="109"/>
      <c r="S226" s="109"/>
      <c r="T226" s="109"/>
      <c r="U226" s="109"/>
      <c r="V226" s="109"/>
      <c r="W226" s="109"/>
      <c r="X226" s="109"/>
      <c r="Y226" s="109"/>
      <c r="Z226" s="109"/>
    </row>
    <row r="227" spans="1:26" ht="13.5" customHeight="1">
      <c r="A227" s="155">
        <f t="shared" si="72"/>
        <v>46223</v>
      </c>
      <c r="B227" s="156">
        <f>'CHICLETS MASTER S1'!AL54</f>
        <v>0.375</v>
      </c>
      <c r="C227" s="122" t="s">
        <v>189</v>
      </c>
      <c r="D227" s="122" t="str">
        <f t="shared" si="73"/>
        <v>EL MODENA HS</v>
      </c>
      <c r="E227" s="122">
        <v>123</v>
      </c>
      <c r="F227" s="134" t="s">
        <v>399</v>
      </c>
      <c r="G227" s="134"/>
      <c r="H227" s="134" t="str">
        <f>IF(G171 = "", "W115", IF(G171 &gt; I171, _xlfn.CONCAT("W115-", RIGHT(F171, LEN(F171) - FIND("-", F171))), _xlfn.CONCAT("W115-", RIGHT(H171, LEN(H171) - FIND("-", H171)))))</f>
        <v>W115</v>
      </c>
      <c r="I227" s="134"/>
      <c r="J227" s="134">
        <v>143</v>
      </c>
      <c r="K227" s="134">
        <v>151</v>
      </c>
      <c r="L227" s="134" t="str">
        <f t="shared" si="74"/>
        <v>16G-123</v>
      </c>
      <c r="M227" s="109"/>
      <c r="N227" s="109"/>
      <c r="O227" s="109" t="str">
        <f t="shared" si="75"/>
        <v>au_5-8 v 9-12</v>
      </c>
      <c r="P227" s="109"/>
      <c r="Q227" s="109"/>
      <c r="R227" s="109"/>
      <c r="S227" s="109"/>
      <c r="T227" s="109"/>
      <c r="U227" s="109"/>
      <c r="V227" s="109"/>
      <c r="W227" s="109"/>
      <c r="X227" s="109"/>
      <c r="Y227" s="109"/>
      <c r="Z227" s="109"/>
    </row>
    <row r="228" spans="1:26" ht="13.5" customHeight="1">
      <c r="A228" s="155">
        <f t="shared" si="72"/>
        <v>46223</v>
      </c>
      <c r="B228" s="156">
        <f>'CHICLETS MASTER S1'!AL55</f>
        <v>0.41666666666666702</v>
      </c>
      <c r="C228" s="122" t="s">
        <v>189</v>
      </c>
      <c r="D228" s="122" t="str">
        <f t="shared" si="73"/>
        <v>EL MODENA HS</v>
      </c>
      <c r="E228" s="122">
        <v>127</v>
      </c>
      <c r="F228" s="134" t="s">
        <v>397</v>
      </c>
      <c r="G228" s="134"/>
      <c r="H228" s="134" t="str">
        <f>IF(G190 = "", "W116", IF(G190 &gt; I190, _xlfn.CONCAT("W116-", RIGHT(F190, LEN(F190) - FIND("-", F190))), _xlfn.CONCAT("W116-", RIGHT(H190, LEN(H190) - FIND("-", H190)))))</f>
        <v>W116</v>
      </c>
      <c r="I228" s="134"/>
      <c r="J228" s="134">
        <v>147</v>
      </c>
      <c r="K228" s="134">
        <v>155</v>
      </c>
      <c r="L228" s="134" t="str">
        <f t="shared" si="74"/>
        <v>16G-127</v>
      </c>
      <c r="M228" s="109"/>
      <c r="N228" s="109"/>
      <c r="O228" s="109" t="str">
        <f t="shared" si="75"/>
        <v>au_5-8 v 9-12</v>
      </c>
      <c r="P228" s="109"/>
      <c r="Q228" s="109"/>
      <c r="R228" s="109"/>
      <c r="S228" s="109"/>
      <c r="T228" s="109"/>
      <c r="U228" s="109"/>
      <c r="V228" s="109"/>
      <c r="W228" s="109"/>
      <c r="X228" s="109"/>
      <c r="Y228" s="109"/>
      <c r="Z228" s="109"/>
    </row>
    <row r="229" spans="1:26" ht="13.5" customHeight="1">
      <c r="A229" s="155">
        <f t="shared" si="72"/>
        <v>46223</v>
      </c>
      <c r="B229" s="156">
        <f>'CHICLETS MASTER S1'!AL56</f>
        <v>0.45833333333333298</v>
      </c>
      <c r="C229" s="122" t="s">
        <v>189</v>
      </c>
      <c r="D229" s="122" t="str">
        <f t="shared" si="73"/>
        <v>EL MODENA HS</v>
      </c>
      <c r="E229" s="122">
        <v>131</v>
      </c>
      <c r="F229" s="134" t="s">
        <v>401</v>
      </c>
      <c r="G229" s="134"/>
      <c r="H229" s="134" t="str">
        <f>IF(G170 = "", "W111", IF(G170 &gt; I170, _xlfn.CONCAT("W111-", RIGHT(F170, LEN(F170) - FIND("-", F170))), _xlfn.CONCAT("W111-", RIGHT(H170, LEN(H170) - FIND("-", H170)))))</f>
        <v>W111</v>
      </c>
      <c r="I229" s="134"/>
      <c r="J229" s="134">
        <v>147</v>
      </c>
      <c r="K229" s="134">
        <v>155</v>
      </c>
      <c r="L229" s="134" t="str">
        <f t="shared" si="74"/>
        <v>16G-131</v>
      </c>
      <c r="M229" s="109"/>
      <c r="N229" s="109"/>
      <c r="O229" s="109" t="str">
        <f t="shared" si="75"/>
        <v>au_5-8 v 9-12</v>
      </c>
      <c r="P229" s="109"/>
      <c r="Q229" s="109"/>
      <c r="R229" s="109"/>
      <c r="S229" s="109"/>
      <c r="T229" s="109"/>
      <c r="U229" s="109"/>
      <c r="V229" s="109"/>
      <c r="W229" s="109"/>
      <c r="X229" s="109"/>
      <c r="Y229" s="109"/>
      <c r="Z229" s="109"/>
    </row>
    <row r="230" spans="1:26" ht="13.5" customHeight="1">
      <c r="A230" s="155">
        <f t="shared" si="72"/>
        <v>46223</v>
      </c>
      <c r="B230" s="156">
        <f>'CHICLETS MASTER S1'!AL57</f>
        <v>0.5</v>
      </c>
      <c r="C230" s="122" t="s">
        <v>194</v>
      </c>
      <c r="D230" s="122" t="str">
        <f t="shared" si="73"/>
        <v>EL MODENA HS</v>
      </c>
      <c r="E230" s="122">
        <v>135</v>
      </c>
      <c r="F230" s="134" t="s">
        <v>403</v>
      </c>
      <c r="G230" s="134"/>
      <c r="H230" s="134" t="s">
        <v>404</v>
      </c>
      <c r="I230" s="134"/>
      <c r="J230" s="134">
        <v>172</v>
      </c>
      <c r="K230" s="134">
        <v>159</v>
      </c>
      <c r="L230" s="134" t="str">
        <f t="shared" si="74"/>
        <v>16G-135</v>
      </c>
      <c r="M230" s="109"/>
      <c r="N230" s="109"/>
      <c r="O230" s="109" t="str">
        <f t="shared" si="75"/>
        <v>au_1-2 v 3-4</v>
      </c>
      <c r="P230" s="109"/>
      <c r="Q230" s="109"/>
      <c r="R230" s="109"/>
      <c r="S230" s="109"/>
      <c r="T230" s="109"/>
      <c r="U230" s="109"/>
      <c r="V230" s="109"/>
      <c r="W230" s="109"/>
      <c r="X230" s="109"/>
      <c r="Y230" s="109"/>
      <c r="Z230" s="109"/>
    </row>
    <row r="231" spans="1:26" ht="13.5" customHeight="1">
      <c r="A231" s="155">
        <f t="shared" si="72"/>
        <v>46223</v>
      </c>
      <c r="B231" s="156">
        <f>'CHICLETS MASTER S1'!AL58</f>
        <v>0.54166666666666696</v>
      </c>
      <c r="C231" s="122" t="s">
        <v>194</v>
      </c>
      <c r="D231" s="122" t="str">
        <f t="shared" si="73"/>
        <v>EL MODENA HS</v>
      </c>
      <c r="E231" s="122">
        <v>139</v>
      </c>
      <c r="F231" s="134" t="s">
        <v>405</v>
      </c>
      <c r="G231" s="134"/>
      <c r="H231" s="134" t="s">
        <v>406</v>
      </c>
      <c r="I231" s="134"/>
      <c r="J231" s="134">
        <v>171</v>
      </c>
      <c r="K231" s="134">
        <v>163</v>
      </c>
      <c r="L231" s="134" t="str">
        <f t="shared" si="74"/>
        <v>16G-139</v>
      </c>
      <c r="M231" s="109"/>
      <c r="N231" s="109"/>
      <c r="O231" s="109" t="str">
        <f t="shared" si="75"/>
        <v>au_1-2 v 3-4</v>
      </c>
      <c r="P231" s="109"/>
      <c r="Q231" s="109"/>
      <c r="R231" s="109"/>
      <c r="S231" s="109"/>
      <c r="T231" s="109"/>
      <c r="U231" s="109"/>
      <c r="V231" s="109"/>
      <c r="W231" s="109"/>
      <c r="X231" s="109"/>
      <c r="Y231" s="109"/>
      <c r="Z231" s="109"/>
    </row>
    <row r="232" spans="1:26" ht="13.5" customHeight="1">
      <c r="A232" s="155">
        <f t="shared" si="72"/>
        <v>46223</v>
      </c>
      <c r="B232" s="156">
        <f>'CHICLETS MASTER S1'!AL59</f>
        <v>0.58333333333333304</v>
      </c>
      <c r="C232" s="122" t="s">
        <v>199</v>
      </c>
      <c r="D232" s="122" t="str">
        <f t="shared" si="73"/>
        <v>EL MODENA HS</v>
      </c>
      <c r="E232" s="122">
        <v>143</v>
      </c>
      <c r="F232" s="134" t="str">
        <f>IF(G226 = "", "W119", IF(G226 &gt; I226, _xlfn.CONCAT("W119-", RIGHT(F226, LEN(F226) - FIND("-", F226))), _xlfn.CONCAT("W119-", RIGHT(H226, LEN(H226) - FIND("-", H226)))))</f>
        <v>W119</v>
      </c>
      <c r="G232" s="134"/>
      <c r="H232" s="134" t="str">
        <f>IF(G227 = "", "W123", IF(G227 &gt; I227, _xlfn.CONCAT("W123-", RIGHT(F227, LEN(F227) - FIND("-", F227))), _xlfn.CONCAT("W123-", RIGHT(H227, LEN(H227) - FIND("-", H227)))))</f>
        <v>W123</v>
      </c>
      <c r="I232" s="134"/>
      <c r="J232" s="134">
        <v>159</v>
      </c>
      <c r="K232" s="134">
        <v>188</v>
      </c>
      <c r="L232" s="134" t="str">
        <f t="shared" si="74"/>
        <v>16G-143</v>
      </c>
      <c r="M232" s="109"/>
      <c r="N232" s="109"/>
      <c r="O232" s="109" t="str">
        <f t="shared" si="75"/>
        <v>au_5-6 v 7-8</v>
      </c>
      <c r="P232" s="109"/>
      <c r="Q232" s="109"/>
      <c r="R232" s="109"/>
      <c r="S232" s="109"/>
      <c r="T232" s="109"/>
      <c r="U232" s="109"/>
      <c r="V232" s="109"/>
      <c r="W232" s="109"/>
      <c r="X232" s="109"/>
      <c r="Y232" s="109"/>
      <c r="Z232" s="109"/>
    </row>
    <row r="233" spans="1:26" ht="13.5" customHeight="1">
      <c r="A233" s="155">
        <f t="shared" si="72"/>
        <v>46223</v>
      </c>
      <c r="B233" s="156">
        <f>'CHICLETS MASTER S1'!AL60</f>
        <v>0.625</v>
      </c>
      <c r="C233" s="122" t="s">
        <v>199</v>
      </c>
      <c r="D233" s="122" t="str">
        <f t="shared" si="73"/>
        <v>EL MODENA HS</v>
      </c>
      <c r="E233" s="122">
        <v>147</v>
      </c>
      <c r="F233" s="134" t="str">
        <f>IF(G228 = "", "W127", IF(G228 &gt; I228, _xlfn.CONCAT("W127-", RIGHT(F228, LEN(F228) - FIND("-", F228))), _xlfn.CONCAT("W127-", RIGHT(H228, LEN(H228) - FIND("-", H228)))))</f>
        <v>W127</v>
      </c>
      <c r="G233" s="134"/>
      <c r="H233" s="134" t="str">
        <f>IF(G229 = "", "W131", IF(G229 &gt; I229, _xlfn.CONCAT("W131-", RIGHT(F229, LEN(F229) - FIND("-", F229))), _xlfn.CONCAT("W131-", RIGHT(H229, LEN(H229) - FIND("-", H229)))))</f>
        <v>W131</v>
      </c>
      <c r="I233" s="134"/>
      <c r="J233" s="134">
        <v>163</v>
      </c>
      <c r="K233" s="134">
        <v>188</v>
      </c>
      <c r="L233" s="134" t="str">
        <f t="shared" si="74"/>
        <v>16G-147</v>
      </c>
      <c r="M233" s="109"/>
      <c r="N233" s="109"/>
      <c r="O233" s="109" t="str">
        <f t="shared" si="75"/>
        <v>au_5-6 v 7-8</v>
      </c>
      <c r="P233" s="109"/>
      <c r="Q233" s="109"/>
      <c r="R233" s="109"/>
      <c r="S233" s="109"/>
      <c r="T233" s="109"/>
      <c r="U233" s="109"/>
      <c r="V233" s="109"/>
      <c r="W233" s="109"/>
      <c r="X233" s="109"/>
      <c r="Y233" s="109"/>
      <c r="Z233" s="109"/>
    </row>
    <row r="234" spans="1:26" ht="13.5" customHeight="1">
      <c r="A234" s="155">
        <f t="shared" si="72"/>
        <v>46223</v>
      </c>
      <c r="B234" s="156">
        <f>'CHICLETS MASTER S1'!AL61</f>
        <v>0.66666666666666696</v>
      </c>
      <c r="C234" s="122" t="s">
        <v>200</v>
      </c>
      <c r="D234" s="122" t="str">
        <f t="shared" si="73"/>
        <v>EL MODENA HS</v>
      </c>
      <c r="E234" s="122">
        <v>151</v>
      </c>
      <c r="F234" s="134" t="str">
        <f>IF(G227 = "", "L123", IF(G227 &lt; I227, _xlfn.CONCAT("L123-", RIGHT(F227, LEN(F227) - FIND("-", F227))), _xlfn.CONCAT("L123-", RIGHT(H227, LEN(H227) - FIND("-", H227)))))</f>
        <v>L123</v>
      </c>
      <c r="G234" s="134"/>
      <c r="H234" s="134" t="str">
        <f>IF(G226 = "", "L119", IF(G226 &lt; I226, _xlfn.CONCAT("L119-", RIGHT(F226, LEN(F226) - FIND("-", F226))), _xlfn.CONCAT("L119-", RIGHT(H226, LEN(H226) - FIND("-", H226)))))</f>
        <v>L119</v>
      </c>
      <c r="I234" s="134"/>
      <c r="J234" s="134">
        <v>183</v>
      </c>
      <c r="K234" s="134">
        <v>184</v>
      </c>
      <c r="L234" s="134" t="str">
        <f t="shared" si="74"/>
        <v>16G-151</v>
      </c>
      <c r="M234" s="109"/>
      <c r="N234" s="109"/>
      <c r="O234" s="109" t="str">
        <f t="shared" si="75"/>
        <v>au_9-12 semi</v>
      </c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</row>
    <row r="235" spans="1:26" ht="13.5" customHeight="1">
      <c r="A235" s="155">
        <f t="shared" si="72"/>
        <v>46223</v>
      </c>
      <c r="B235" s="156">
        <f>'CHICLETS MASTER S1'!AL62</f>
        <v>0.70833333333333304</v>
      </c>
      <c r="C235" s="122" t="s">
        <v>200</v>
      </c>
      <c r="D235" s="122" t="str">
        <f t="shared" si="73"/>
        <v>EL MODENA HS</v>
      </c>
      <c r="E235" s="122">
        <v>155</v>
      </c>
      <c r="F235" s="134" t="str">
        <f>IF(G229 = "", "L131", IF(G229 &lt; I229, _xlfn.CONCAT("L131-", RIGHT(F229, LEN(F229) - FIND("-", F229))), _xlfn.CONCAT("L131-", RIGHT(H229, LEN(H229) - FIND("-", H229)))))</f>
        <v>L131</v>
      </c>
      <c r="G235" s="134"/>
      <c r="H235" s="134" t="str">
        <f>IF(G228 = "", "L127", IF(G228 &lt; I228, _xlfn.CONCAT("L127-", RIGHT(F228, LEN(F228) - FIND("-", F228))), _xlfn.CONCAT("L127-", RIGHT(H228, LEN(H228) - FIND("-", H228)))))</f>
        <v>L127</v>
      </c>
      <c r="I235" s="134"/>
      <c r="J235" s="134">
        <v>183</v>
      </c>
      <c r="K235" s="134">
        <v>184</v>
      </c>
      <c r="L235" s="134" t="str">
        <f t="shared" si="74"/>
        <v>16G-155</v>
      </c>
      <c r="M235" s="109"/>
      <c r="N235" s="109"/>
      <c r="O235" s="109" t="str">
        <f t="shared" si="75"/>
        <v>au_9-12 semi</v>
      </c>
      <c r="P235" s="109"/>
      <c r="Q235" s="109"/>
      <c r="R235" s="109"/>
      <c r="S235" s="109"/>
      <c r="T235" s="109"/>
      <c r="U235" s="109"/>
      <c r="V235" s="109"/>
      <c r="W235" s="109"/>
      <c r="X235" s="109"/>
      <c r="Y235" s="109"/>
      <c r="Z235" s="109"/>
    </row>
    <row r="236" spans="1:26" ht="13.5" customHeight="1">
      <c r="A236" s="155">
        <f t="shared" si="72"/>
        <v>46223</v>
      </c>
      <c r="B236" s="156">
        <f>'CHICLETS MASTER S1'!AL63</f>
        <v>0.75</v>
      </c>
      <c r="C236" s="122" t="s">
        <v>201</v>
      </c>
      <c r="D236" s="122" t="str">
        <f t="shared" si="73"/>
        <v>EL MODENA HS</v>
      </c>
      <c r="E236" s="122">
        <v>159</v>
      </c>
      <c r="F236" s="134" t="str">
        <f>IF(G230 = "", "L135", IF(G230 &lt; I230, _xlfn.CONCAT("L135-", RIGHT(F230, LEN(F230) - FIND("-", F230))), _xlfn.CONCAT("L135-", RIGHT(H230, LEN(H230) - FIND("-", H230)))))</f>
        <v>L135</v>
      </c>
      <c r="G236" s="134"/>
      <c r="H236" s="134" t="str">
        <f>IF(G232 = "", "W143", IF(G232 &gt; I232, _xlfn.CONCAT("W143-", RIGHT(F232, LEN(F232) - FIND("-", F232))), _xlfn.CONCAT("W143-", RIGHT(H232, LEN(H232) - FIND("-", H232)))))</f>
        <v>W143</v>
      </c>
      <c r="I236" s="134"/>
      <c r="J236" s="134">
        <v>171</v>
      </c>
      <c r="K236" s="134">
        <v>187</v>
      </c>
      <c r="L236" s="134" t="str">
        <f t="shared" si="74"/>
        <v>16G-159</v>
      </c>
      <c r="M236" s="109"/>
      <c r="N236" s="109"/>
      <c r="O236" s="109" t="str">
        <f t="shared" si="75"/>
        <v>au_play to semi</v>
      </c>
      <c r="P236" s="109"/>
      <c r="Q236" s="109"/>
      <c r="R236" s="109"/>
      <c r="S236" s="109"/>
      <c r="T236" s="109"/>
      <c r="U236" s="109"/>
      <c r="V236" s="109"/>
      <c r="W236" s="109"/>
      <c r="X236" s="109"/>
      <c r="Y236" s="109"/>
      <c r="Z236" s="109"/>
    </row>
    <row r="237" spans="1:26" ht="13.5" customHeight="1">
      <c r="A237" s="155">
        <f t="shared" si="72"/>
        <v>46223</v>
      </c>
      <c r="B237" s="156">
        <f>'CHICLETS MASTER S1'!AL64</f>
        <v>0.79166666666666696</v>
      </c>
      <c r="C237" s="122" t="s">
        <v>201</v>
      </c>
      <c r="D237" s="122" t="str">
        <f t="shared" si="73"/>
        <v>EL MODENA HS</v>
      </c>
      <c r="E237" s="122">
        <v>163</v>
      </c>
      <c r="F237" s="134" t="str">
        <f>IF(G231 = "", "L139", IF(G231 &lt; I231, _xlfn.CONCAT("L139-", RIGHT(F231, LEN(F231) - FIND("-", F231))), _xlfn.CONCAT("L139-", RIGHT(H231, LEN(H231) - FIND("-", H231)))))</f>
        <v>L139</v>
      </c>
      <c r="G237" s="134"/>
      <c r="H237" s="134" t="str">
        <f>IF(G233 = "", "W147", IF(G233 &gt; I233, _xlfn.CONCAT("W147-", RIGHT(F233, LEN(F233) - FIND("-", F233))), _xlfn.CONCAT("W147-", RIGHT(H233, LEN(H233) - FIND("-", H233)))))</f>
        <v>W147</v>
      </c>
      <c r="I237" s="134"/>
      <c r="J237" s="134">
        <v>172</v>
      </c>
      <c r="K237" s="134">
        <v>187</v>
      </c>
      <c r="L237" s="134" t="str">
        <f t="shared" si="74"/>
        <v>16G-163</v>
      </c>
      <c r="M237" s="109"/>
      <c r="N237" s="109"/>
      <c r="O237" s="109" t="str">
        <f t="shared" si="75"/>
        <v>au_play to semi</v>
      </c>
      <c r="P237" s="109"/>
      <c r="Q237" s="109"/>
      <c r="R237" s="109"/>
      <c r="S237" s="109"/>
      <c r="T237" s="109"/>
      <c r="U237" s="109"/>
      <c r="V237" s="109"/>
      <c r="W237" s="109"/>
      <c r="X237" s="109"/>
      <c r="Y237" s="109"/>
      <c r="Z237" s="109"/>
    </row>
    <row r="238" spans="1:26" ht="13.5" customHeight="1" thickBot="1">
      <c r="A238" s="109"/>
      <c r="B238" s="109"/>
      <c r="C238" s="109"/>
      <c r="D238" s="109"/>
      <c r="E238" s="109"/>
      <c r="F238" s="109"/>
      <c r="G238" s="109"/>
      <c r="H238" s="109"/>
      <c r="I238" s="109"/>
      <c r="J238" s="109"/>
      <c r="K238" s="109"/>
      <c r="L238" s="109"/>
      <c r="M238" s="109"/>
      <c r="N238" s="109"/>
      <c r="O238" s="109"/>
      <c r="P238" s="109"/>
      <c r="Q238" s="109"/>
      <c r="R238" s="109"/>
      <c r="S238" s="109"/>
      <c r="T238" s="109"/>
      <c r="U238" s="109"/>
      <c r="V238" s="109"/>
      <c r="W238" s="109"/>
      <c r="X238" s="109"/>
      <c r="Y238" s="109"/>
      <c r="Z238" s="109"/>
    </row>
    <row r="239" spans="1:26" ht="13.5" customHeight="1" thickBot="1">
      <c r="A239" s="159"/>
      <c r="B239" s="160"/>
      <c r="C239" s="106"/>
      <c r="D239" s="119" t="str">
        <f>'CHICLETS MASTER S1'!$AE$51</f>
        <v>OCEAN VIEW HS 1</v>
      </c>
      <c r="E239" s="106"/>
      <c r="F239" s="106"/>
      <c r="G239" s="110"/>
      <c r="H239" s="106"/>
      <c r="I239" s="106"/>
      <c r="J239" s="106"/>
      <c r="K239" s="106"/>
      <c r="L239" s="106"/>
      <c r="M239" s="109"/>
      <c r="N239" s="109"/>
      <c r="O239" s="109"/>
      <c r="P239" s="109"/>
      <c r="Q239" s="109"/>
      <c r="R239" s="109"/>
      <c r="S239" s="109"/>
      <c r="T239" s="109"/>
      <c r="U239" s="109"/>
      <c r="V239" s="109"/>
      <c r="W239" s="109"/>
      <c r="X239" s="109"/>
      <c r="Y239" s="109"/>
      <c r="Z239" s="109"/>
    </row>
    <row r="240" spans="1:26" ht="13.5" customHeight="1">
      <c r="A240" s="189" t="s">
        <v>110</v>
      </c>
      <c r="B240" s="190" t="s">
        <v>111</v>
      </c>
      <c r="C240" s="190" t="s">
        <v>112</v>
      </c>
      <c r="D240" s="190" t="s">
        <v>113</v>
      </c>
      <c r="E240" s="190" t="s">
        <v>114</v>
      </c>
      <c r="F240" s="190" t="s">
        <v>115</v>
      </c>
      <c r="G240" s="190" t="s">
        <v>116</v>
      </c>
      <c r="H240" s="190" t="s">
        <v>117</v>
      </c>
      <c r="I240" s="190" t="s">
        <v>116</v>
      </c>
      <c r="J240" s="190" t="s">
        <v>118</v>
      </c>
      <c r="K240" s="190" t="s">
        <v>119</v>
      </c>
      <c r="L240" s="190" t="s">
        <v>120</v>
      </c>
      <c r="M240" s="109"/>
      <c r="N240" s="109"/>
      <c r="O240" s="109"/>
      <c r="P240" s="109"/>
      <c r="Q240" s="109"/>
      <c r="R240" s="109"/>
      <c r="S240" s="109"/>
      <c r="T240" s="109"/>
      <c r="U240" s="109"/>
      <c r="V240" s="109"/>
      <c r="W240" s="109"/>
      <c r="X240" s="109"/>
      <c r="Y240" s="109"/>
      <c r="Z240" s="109"/>
    </row>
    <row r="241" spans="1:26" ht="13.5" customHeight="1">
      <c r="A241" s="155">
        <f t="shared" ref="A241:A259" si="76">$A$193</f>
        <v>46223</v>
      </c>
      <c r="B241" s="156">
        <f>'CHICLETS MASTER S1'!U57</f>
        <v>0.5</v>
      </c>
      <c r="C241" s="122" t="s">
        <v>383</v>
      </c>
      <c r="D241" s="122" t="str">
        <f>$D$239</f>
        <v>OCEAN VIEW HS 1</v>
      </c>
      <c r="E241" s="122">
        <v>120</v>
      </c>
      <c r="F241" s="134" t="s">
        <v>1206</v>
      </c>
      <c r="G241" s="134"/>
      <c r="H241" s="134" t="s">
        <v>1205</v>
      </c>
      <c r="I241" s="134"/>
      <c r="J241" s="134"/>
      <c r="K241" s="134"/>
      <c r="L241" s="134" t="str">
        <f t="shared" ref="L241:L254" si="77">IF(E241="","",$L$15&amp;"-"&amp;TEXT(E241,"000"))</f>
        <v>16G-120</v>
      </c>
      <c r="M241" s="109"/>
      <c r="N241" s="109"/>
      <c r="O241" s="109" t="str">
        <f>$L$262&amp;C241</f>
        <v>au_21-24 RR</v>
      </c>
      <c r="P241" s="109"/>
      <c r="Q241" s="109"/>
      <c r="R241" s="109"/>
      <c r="S241" s="109"/>
      <c r="T241" s="109"/>
      <c r="U241" s="109"/>
      <c r="V241" s="109"/>
      <c r="W241" s="109"/>
      <c r="X241" s="109"/>
      <c r="Y241" s="109"/>
      <c r="Z241" s="109"/>
    </row>
    <row r="242" spans="1:26" ht="13.5" customHeight="1">
      <c r="A242" s="155">
        <f t="shared" si="76"/>
        <v>46223</v>
      </c>
      <c r="B242" s="156">
        <f>'CHICLETS MASTER S1'!U58</f>
        <v>0.54166666666666696</v>
      </c>
      <c r="C242" s="122" t="s">
        <v>383</v>
      </c>
      <c r="D242" s="122" t="str">
        <f>$D$239</f>
        <v>OCEAN VIEW HS 1</v>
      </c>
      <c r="E242" s="122">
        <v>124</v>
      </c>
      <c r="F242" s="134" t="s">
        <v>1295</v>
      </c>
      <c r="G242" s="134"/>
      <c r="H242" s="134" t="s">
        <v>1296</v>
      </c>
      <c r="I242" s="134"/>
      <c r="J242" s="134"/>
      <c r="K242" s="134"/>
      <c r="L242" s="134" t="str">
        <f t="shared" si="77"/>
        <v>16G-124</v>
      </c>
      <c r="M242" s="109"/>
      <c r="N242" s="109"/>
      <c r="O242" s="109" t="str">
        <f>$L$262&amp;C242</f>
        <v>au_21-24 RR</v>
      </c>
      <c r="P242" s="109"/>
      <c r="Q242" s="109"/>
      <c r="R242" s="109"/>
      <c r="S242" s="109"/>
      <c r="T242" s="109"/>
      <c r="U242" s="109"/>
      <c r="V242" s="109"/>
      <c r="W242" s="109"/>
      <c r="X242" s="109"/>
      <c r="Y242" s="109"/>
      <c r="Z242" s="109"/>
    </row>
    <row r="243" spans="1:26" ht="13.5" customHeight="1" thickBot="1">
      <c r="A243" s="109"/>
      <c r="B243" s="109"/>
      <c r="C243" s="109"/>
      <c r="D243" s="109"/>
      <c r="E243" s="109"/>
      <c r="F243" s="109"/>
      <c r="G243" s="109"/>
      <c r="H243" s="109"/>
      <c r="I243" s="109"/>
      <c r="J243" s="109"/>
      <c r="K243" s="109"/>
      <c r="L243" s="109"/>
      <c r="M243" s="109"/>
      <c r="N243" s="109"/>
      <c r="O243" s="109"/>
      <c r="P243" s="109"/>
      <c r="Q243" s="109"/>
      <c r="R243" s="109"/>
      <c r="S243" s="109"/>
      <c r="T243" s="109"/>
      <c r="U243" s="109"/>
      <c r="V243" s="109"/>
      <c r="W243" s="109"/>
      <c r="X243" s="109"/>
      <c r="Y243" s="109"/>
      <c r="Z243" s="109"/>
    </row>
    <row r="244" spans="1:26" ht="13.5" customHeight="1" thickBot="1">
      <c r="A244" s="159"/>
      <c r="B244" s="160"/>
      <c r="C244" s="106"/>
      <c r="D244" s="119" t="str">
        <f>'CHICLETS MASTER S1'!$AO$51</f>
        <v>YORBA LINDA HS</v>
      </c>
      <c r="E244" s="106"/>
      <c r="F244" s="106"/>
      <c r="G244" s="110"/>
      <c r="H244" s="106"/>
      <c r="I244" s="106"/>
      <c r="J244" s="106"/>
      <c r="K244" s="106"/>
      <c r="L244" s="106"/>
      <c r="M244" s="109"/>
      <c r="N244" s="109"/>
      <c r="O244" s="109"/>
      <c r="P244" s="109"/>
      <c r="Q244" s="109"/>
      <c r="R244" s="109"/>
      <c r="S244" s="109"/>
      <c r="T244" s="109"/>
      <c r="U244" s="109"/>
      <c r="V244" s="109"/>
      <c r="W244" s="109"/>
      <c r="X244" s="109"/>
      <c r="Y244" s="109"/>
      <c r="Z244" s="109"/>
    </row>
    <row r="245" spans="1:26" ht="13.5" customHeight="1">
      <c r="A245" s="189" t="s">
        <v>110</v>
      </c>
      <c r="B245" s="190" t="s">
        <v>111</v>
      </c>
      <c r="C245" s="190" t="s">
        <v>112</v>
      </c>
      <c r="D245" s="190" t="s">
        <v>113</v>
      </c>
      <c r="E245" s="190" t="s">
        <v>114</v>
      </c>
      <c r="F245" s="190" t="s">
        <v>115</v>
      </c>
      <c r="G245" s="190" t="s">
        <v>116</v>
      </c>
      <c r="H245" s="190" t="s">
        <v>117</v>
      </c>
      <c r="I245" s="190" t="s">
        <v>116</v>
      </c>
      <c r="J245" s="190" t="s">
        <v>118</v>
      </c>
      <c r="K245" s="190" t="s">
        <v>119</v>
      </c>
      <c r="L245" s="190" t="s">
        <v>120</v>
      </c>
      <c r="M245" s="109"/>
      <c r="N245" s="109"/>
      <c r="O245" s="109"/>
      <c r="P245" s="109"/>
      <c r="Q245" s="109"/>
      <c r="R245" s="109"/>
      <c r="S245" s="109"/>
      <c r="T245" s="109"/>
      <c r="U245" s="109"/>
      <c r="V245" s="109"/>
      <c r="W245" s="109"/>
      <c r="X245" s="109"/>
      <c r="Y245" s="109"/>
      <c r="Z245" s="109"/>
    </row>
    <row r="246" spans="1:26" ht="13.5" customHeight="1">
      <c r="A246" s="155">
        <f t="shared" si="76"/>
        <v>46223</v>
      </c>
      <c r="B246" s="156">
        <f>'CHICLETS MASTER S1'!AL52</f>
        <v>0.29166666666666669</v>
      </c>
      <c r="C246" s="122" t="s">
        <v>388</v>
      </c>
      <c r="D246" s="122" t="str">
        <f>$D$244</f>
        <v>YORBA LINDA HS</v>
      </c>
      <c r="E246" s="122">
        <v>128</v>
      </c>
      <c r="F246" s="134" t="str">
        <f>IF(G171 = "", "L115", IF(G171 &lt; I171, _xlfn.CONCAT("L115-", RIGHT(F171, LEN(F171) - FIND("-", F171))), _xlfn.CONCAT("L115-", RIGHT(H171, LEN(H171) - FIND("-", H171)))))</f>
        <v>L115</v>
      </c>
      <c r="G246" s="134"/>
      <c r="H246" s="134" t="s">
        <v>1212</v>
      </c>
      <c r="I246" s="134"/>
      <c r="J246" s="134">
        <v>152</v>
      </c>
      <c r="K246" s="134">
        <v>156</v>
      </c>
      <c r="L246" s="134" t="str">
        <f t="shared" si="77"/>
        <v>16G-128</v>
      </c>
      <c r="M246" s="109"/>
      <c r="N246" s="109"/>
      <c r="O246" s="109" t="str">
        <f>$L$262&amp;C246</f>
        <v>au_13-20 qtr</v>
      </c>
      <c r="P246" s="109"/>
      <c r="Q246" s="109"/>
      <c r="R246" s="109"/>
      <c r="S246" s="109"/>
      <c r="T246" s="109"/>
      <c r="U246" s="109"/>
      <c r="V246" s="109"/>
      <c r="W246" s="109"/>
      <c r="X246" s="109"/>
      <c r="Y246" s="109"/>
      <c r="Z246" s="109"/>
    </row>
    <row r="247" spans="1:26" ht="13.5" customHeight="1">
      <c r="A247" s="155">
        <f t="shared" si="76"/>
        <v>46223</v>
      </c>
      <c r="B247" s="156">
        <f>'CHICLETS MASTER S1'!AL53</f>
        <v>0.33333333333333331</v>
      </c>
      <c r="C247" s="122" t="s">
        <v>388</v>
      </c>
      <c r="D247" s="122" t="str">
        <f t="shared" ref="D247:D254" si="78">$D$244</f>
        <v>YORBA LINDA HS</v>
      </c>
      <c r="E247" s="122">
        <v>132</v>
      </c>
      <c r="F247" s="134" t="str">
        <f>IF(G190 = "", "L116", IF(G190 &lt; I190, _xlfn.CONCAT("L116-", RIGHT(F190, LEN(F190) - FIND("-", F190))), _xlfn.CONCAT("L116-", RIGHT(H190, LEN(H190) - FIND("-", H190)))))</f>
        <v>L116</v>
      </c>
      <c r="G247" s="134"/>
      <c r="H247" s="134" t="s">
        <v>1297</v>
      </c>
      <c r="I247" s="134"/>
      <c r="J247" s="134">
        <v>152</v>
      </c>
      <c r="K247" s="134">
        <v>156</v>
      </c>
      <c r="L247" s="134" t="str">
        <f t="shared" si="77"/>
        <v>16G-132</v>
      </c>
      <c r="M247" s="109"/>
      <c r="N247" s="109"/>
      <c r="O247" s="109" t="str">
        <f>$L$262&amp;C247</f>
        <v>au_13-20 qtr</v>
      </c>
      <c r="P247" s="109"/>
      <c r="Q247" s="109"/>
      <c r="R247" s="109"/>
      <c r="S247" s="109"/>
      <c r="T247" s="109"/>
      <c r="U247" s="109"/>
      <c r="V247" s="109"/>
      <c r="W247" s="109"/>
      <c r="X247" s="109"/>
      <c r="Y247" s="109"/>
      <c r="Z247" s="109"/>
    </row>
    <row r="248" spans="1:26" ht="13.5" customHeight="1">
      <c r="A248" s="155">
        <f t="shared" si="76"/>
        <v>46223</v>
      </c>
      <c r="B248" s="156">
        <f>'CHICLETS MASTER S1'!AL54</f>
        <v>0.375</v>
      </c>
      <c r="C248" s="122" t="s">
        <v>388</v>
      </c>
      <c r="D248" s="122" t="str">
        <f t="shared" si="78"/>
        <v>YORBA LINDA HS</v>
      </c>
      <c r="E248" s="122">
        <v>136</v>
      </c>
      <c r="F248" s="134" t="str">
        <f>IF(G170 = "", "L111", IF(G170 &lt; I170, _xlfn.CONCAT("L111-", RIGHT(F170, LEN(F170) - FIND("-", F170))), _xlfn.CONCAT("L111-", RIGHT(H170, LEN(H170) - FIND("-", H170)))))</f>
        <v>L111</v>
      </c>
      <c r="G248" s="134"/>
      <c r="H248" s="134" t="s">
        <v>1298</v>
      </c>
      <c r="I248" s="134"/>
      <c r="J248" s="134">
        <v>160</v>
      </c>
      <c r="K248" s="134">
        <v>164</v>
      </c>
      <c r="L248" s="134" t="str">
        <f t="shared" si="77"/>
        <v>16G-136</v>
      </c>
      <c r="M248" s="109"/>
      <c r="N248" s="109"/>
      <c r="O248" s="109" t="str">
        <f>$L$262&amp;C248</f>
        <v>au_13-20 qtr</v>
      </c>
      <c r="P248" s="109"/>
      <c r="Q248" s="109"/>
      <c r="R248" s="109"/>
      <c r="S248" s="109"/>
      <c r="T248" s="109"/>
      <c r="U248" s="109"/>
      <c r="V248" s="109"/>
      <c r="W248" s="109"/>
      <c r="X248" s="109"/>
      <c r="Y248" s="109"/>
      <c r="Z248" s="109"/>
    </row>
    <row r="249" spans="1:26" ht="13.5" customHeight="1">
      <c r="A249" s="155">
        <f t="shared" si="76"/>
        <v>46223</v>
      </c>
      <c r="B249" s="156">
        <f>'CHICLETS MASTER S1'!AL55</f>
        <v>0.41666666666666702</v>
      </c>
      <c r="C249" s="122" t="s">
        <v>388</v>
      </c>
      <c r="D249" s="122" t="str">
        <f t="shared" si="78"/>
        <v>YORBA LINDA HS</v>
      </c>
      <c r="E249" s="122">
        <v>140</v>
      </c>
      <c r="F249" s="134" t="str">
        <f>IF(G189 = "", "L112", IF(G189 &lt; I189, _xlfn.CONCAT("L112-", RIGHT(F189, LEN(F189) - FIND("-", F189))), _xlfn.CONCAT("L112-", RIGHT(H189, LEN(H189) - FIND("-", H189)))))</f>
        <v>L112</v>
      </c>
      <c r="G249" s="134"/>
      <c r="H249" s="134" t="s">
        <v>1211</v>
      </c>
      <c r="I249" s="134"/>
      <c r="J249" s="134">
        <v>160</v>
      </c>
      <c r="K249" s="134">
        <v>164</v>
      </c>
      <c r="L249" s="134" t="str">
        <f t="shared" si="77"/>
        <v>16G-140</v>
      </c>
      <c r="M249" s="109"/>
      <c r="N249" s="109"/>
      <c r="O249" s="109" t="str">
        <f>$L$262&amp;C249</f>
        <v>au_13-20 qtr</v>
      </c>
      <c r="P249" s="109"/>
      <c r="Q249" s="109"/>
      <c r="R249" s="109"/>
      <c r="S249" s="109"/>
      <c r="T249" s="109"/>
      <c r="U249" s="109"/>
      <c r="V249" s="109"/>
      <c r="W249" s="109"/>
      <c r="X249" s="109"/>
      <c r="Y249" s="109"/>
      <c r="Z249" s="109"/>
    </row>
    <row r="250" spans="1:26" ht="13.5" customHeight="1">
      <c r="A250" s="109"/>
      <c r="B250" s="109"/>
      <c r="C250" s="109"/>
      <c r="D250" s="109"/>
      <c r="E250" s="109"/>
      <c r="F250" s="109"/>
      <c r="G250" s="109"/>
      <c r="H250" s="109"/>
      <c r="I250" s="109"/>
      <c r="J250" s="109"/>
      <c r="K250" s="109"/>
      <c r="L250" s="109"/>
      <c r="M250" s="109"/>
      <c r="N250" s="109"/>
      <c r="O250" s="109"/>
      <c r="P250" s="109"/>
      <c r="Q250" s="109"/>
      <c r="R250" s="109"/>
      <c r="S250" s="109"/>
      <c r="T250" s="109"/>
      <c r="U250" s="109"/>
      <c r="V250" s="109"/>
      <c r="W250" s="109"/>
      <c r="X250" s="109"/>
      <c r="Y250" s="109"/>
      <c r="Z250" s="109"/>
    </row>
    <row r="251" spans="1:26" ht="13.5" customHeight="1">
      <c r="A251" s="155">
        <f t="shared" si="76"/>
        <v>46223</v>
      </c>
      <c r="B251" s="156">
        <f>'CHICLETS MASTER S1'!AL61</f>
        <v>0.66666666666666696</v>
      </c>
      <c r="C251" s="122" t="s">
        <v>393</v>
      </c>
      <c r="D251" s="122" t="str">
        <f t="shared" si="78"/>
        <v>YORBA LINDA HS</v>
      </c>
      <c r="E251" s="122">
        <v>152</v>
      </c>
      <c r="F251" s="134" t="str">
        <f>IF(G246 = "", "W128", IF(G246 &gt; I246, _xlfn.CONCAT("W128-", RIGHT(F246, LEN(F246) - FIND("-", F246))), _xlfn.CONCAT("W128-", RIGHT(H246, LEN(H246) - FIND("-", H246)))))</f>
        <v>W128</v>
      </c>
      <c r="G251" s="174"/>
      <c r="H251" s="134" t="str">
        <f>IF(G247 = "", "W132", IF(G247 &gt; I247, _xlfn.CONCAT("W132-", RIGHT(F247, LEN(F247) - FIND("-", F247))), _xlfn.CONCAT("W132-", RIGHT(H247, LEN(H247) - FIND("-", H247)))))</f>
        <v>W132</v>
      </c>
      <c r="I251" s="134"/>
      <c r="J251" s="134">
        <v>179</v>
      </c>
      <c r="K251" s="134">
        <v>180</v>
      </c>
      <c r="L251" s="134" t="str">
        <f t="shared" si="77"/>
        <v>16G-152</v>
      </c>
      <c r="M251" s="109"/>
      <c r="N251" s="109"/>
      <c r="O251" s="109" t="str">
        <f>$L$262&amp;C251</f>
        <v>au_13-16 semi</v>
      </c>
      <c r="P251" s="109"/>
      <c r="Q251" s="109"/>
      <c r="R251" s="109"/>
      <c r="S251" s="109"/>
      <c r="T251" s="109"/>
      <c r="U251" s="109"/>
      <c r="V251" s="109"/>
      <c r="W251" s="109"/>
      <c r="X251" s="109"/>
      <c r="Y251" s="109"/>
      <c r="Z251" s="109"/>
    </row>
    <row r="252" spans="1:26" ht="13.5" customHeight="1">
      <c r="A252" s="155">
        <f t="shared" si="76"/>
        <v>46223</v>
      </c>
      <c r="B252" s="156">
        <f>'CHICLETS MASTER S1'!AL62</f>
        <v>0.70833333333333304</v>
      </c>
      <c r="C252" s="122" t="s">
        <v>394</v>
      </c>
      <c r="D252" s="122" t="str">
        <f t="shared" si="78"/>
        <v>YORBA LINDA HS</v>
      </c>
      <c r="E252" s="122">
        <v>156</v>
      </c>
      <c r="F252" s="175" t="str">
        <f>IF(G247 = "", "L132", IF(G247 &lt; I247, _xlfn.CONCAT("L132-", RIGHT(F247, LEN(F247) - FIND("-", F247))), _xlfn.CONCAT("L132-", RIGHT(H247, LEN(H247) - FIND("-", H247)))))</f>
        <v>L132</v>
      </c>
      <c r="G252" s="134"/>
      <c r="H252" s="134" t="str">
        <f>IF(G246 = "", "L128", IF(G246 &lt; I246, _xlfn.CONCAT("L128-", RIGHT(F246, LEN(F246) - FIND("-", F246))), _xlfn.CONCAT("L128-", RIGHT(H246, LEN(H246) - FIND("-", H246)))))</f>
        <v>L128</v>
      </c>
      <c r="I252" s="134"/>
      <c r="J252" s="134">
        <v>175</v>
      </c>
      <c r="K252" s="134">
        <v>176</v>
      </c>
      <c r="L252" s="134" t="str">
        <f t="shared" si="77"/>
        <v>16G-156</v>
      </c>
      <c r="M252" s="109"/>
      <c r="N252" s="109"/>
      <c r="O252" s="109" t="str">
        <f>$L$262&amp;C252</f>
        <v>au_17-20 semi</v>
      </c>
      <c r="P252" s="109"/>
      <c r="Q252" s="109"/>
      <c r="R252" s="109"/>
      <c r="S252" s="109"/>
      <c r="T252" s="109"/>
      <c r="U252" s="109"/>
      <c r="V252" s="109"/>
      <c r="W252" s="109"/>
      <c r="X252" s="109"/>
      <c r="Y252" s="109"/>
      <c r="Z252" s="109"/>
    </row>
    <row r="253" spans="1:26" ht="13.5" customHeight="1">
      <c r="A253" s="155">
        <f t="shared" si="76"/>
        <v>46223</v>
      </c>
      <c r="B253" s="156">
        <f>'CHICLETS MASTER S1'!AL63</f>
        <v>0.75</v>
      </c>
      <c r="C253" s="122" t="s">
        <v>393</v>
      </c>
      <c r="D253" s="122" t="str">
        <f t="shared" si="78"/>
        <v>YORBA LINDA HS</v>
      </c>
      <c r="E253" s="122">
        <v>160</v>
      </c>
      <c r="F253" s="175" t="str">
        <f>IF(G248 = "", "W136", IF(G248 &gt; I248, _xlfn.CONCAT("W136-", RIGHT(F248, LEN(F248) - FIND("-", F248))), _xlfn.CONCAT("W136-", RIGHT(H248, LEN(H248) - FIND("-", H248)))))</f>
        <v>W136</v>
      </c>
      <c r="G253" s="134"/>
      <c r="H253" s="134" t="str">
        <f>IF(G249 = "", "W140", IF(G249 &gt; I249, _xlfn.CONCAT("W140-", RIGHT(F249, LEN(F249) - FIND("-", F249))), _xlfn.CONCAT("W140-", RIGHT(H249, LEN(H249) - FIND("-", H249)))))</f>
        <v>W140</v>
      </c>
      <c r="I253" s="134"/>
      <c r="J253" s="134">
        <v>179</v>
      </c>
      <c r="K253" s="134">
        <v>180</v>
      </c>
      <c r="L253" s="134" t="str">
        <f t="shared" si="77"/>
        <v>16G-160</v>
      </c>
      <c r="M253" s="109"/>
      <c r="N253" s="109"/>
      <c r="O253" s="109" t="str">
        <f>$L$262&amp;C253</f>
        <v>au_13-16 semi</v>
      </c>
      <c r="P253" s="109"/>
      <c r="Q253" s="109"/>
      <c r="R253" s="109"/>
      <c r="S253" s="109"/>
      <c r="T253" s="109"/>
      <c r="U253" s="109"/>
      <c r="V253" s="109"/>
      <c r="W253" s="109"/>
      <c r="X253" s="109"/>
      <c r="Y253" s="109"/>
      <c r="Z253" s="109"/>
    </row>
    <row r="254" spans="1:26" ht="13.5" customHeight="1">
      <c r="A254" s="155">
        <f t="shared" si="76"/>
        <v>46223</v>
      </c>
      <c r="B254" s="156">
        <f>'CHICLETS MASTER S1'!AL64</f>
        <v>0.79166666666666696</v>
      </c>
      <c r="C254" s="122" t="s">
        <v>394</v>
      </c>
      <c r="D254" s="122" t="str">
        <f t="shared" si="78"/>
        <v>YORBA LINDA HS</v>
      </c>
      <c r="E254" s="122">
        <v>164</v>
      </c>
      <c r="F254" s="175" t="str">
        <f>IF(G249 = "", "L140", IF(G249 &lt; I249, _xlfn.CONCAT("L140-", RIGHT(F249, LEN(F249) - FIND("-", F249))), _xlfn.CONCAT("L140-", RIGHT(H249, LEN(H249) - FIND("-", H249)))))</f>
        <v>L140</v>
      </c>
      <c r="G254" s="134"/>
      <c r="H254" s="134" t="str">
        <f>IF(G248 = "", "L136", IF(G248 &lt; I248, _xlfn.CONCAT("L136-", RIGHT(F248, LEN(F248) - FIND("-", F248))), _xlfn.CONCAT("L136-", RIGHT(H248, LEN(H248) - FIND("-", H248)))))</f>
        <v>L136</v>
      </c>
      <c r="I254" s="134"/>
      <c r="J254" s="134">
        <v>175</v>
      </c>
      <c r="K254" s="134">
        <v>176</v>
      </c>
      <c r="L254" s="134" t="str">
        <f t="shared" si="77"/>
        <v>16G-164</v>
      </c>
      <c r="M254" s="109"/>
      <c r="N254" s="109"/>
      <c r="O254" s="109" t="str">
        <f>$L$262&amp;C254</f>
        <v>au_17-20 semi</v>
      </c>
      <c r="P254" s="109"/>
      <c r="Q254" s="109"/>
      <c r="R254" s="109"/>
      <c r="S254" s="109"/>
      <c r="T254" s="109"/>
      <c r="U254" s="109"/>
      <c r="V254" s="109"/>
      <c r="W254" s="109"/>
      <c r="X254" s="109"/>
      <c r="Y254" s="109"/>
      <c r="Z254" s="109"/>
    </row>
    <row r="255" spans="1:26" ht="13.5" customHeight="1" thickBot="1">
      <c r="A255" s="109"/>
      <c r="B255" s="109"/>
      <c r="C255" s="109"/>
      <c r="D255" s="109"/>
      <c r="E255" s="109"/>
      <c r="F255" s="109"/>
      <c r="G255" s="109"/>
      <c r="H255" s="109"/>
      <c r="I255" s="109"/>
      <c r="J255" s="109"/>
      <c r="K255" s="109"/>
      <c r="L255" s="109"/>
      <c r="M255" s="109"/>
      <c r="N255" s="109"/>
      <c r="O255" s="109"/>
      <c r="P255" s="109"/>
      <c r="Q255" s="109"/>
      <c r="R255" s="109"/>
      <c r="S255" s="109"/>
      <c r="T255" s="109"/>
      <c r="U255" s="109"/>
      <c r="V255" s="109"/>
      <c r="W255" s="109"/>
      <c r="X255" s="109"/>
      <c r="Y255" s="109"/>
      <c r="Z255" s="109"/>
    </row>
    <row r="256" spans="1:26" ht="13.5" customHeight="1" thickBot="1">
      <c r="A256" s="159"/>
      <c r="B256" s="160"/>
      <c r="C256" s="106"/>
      <c r="D256" s="119" t="str">
        <f>'CHICLETS MASTER S1'!$AQ$51</f>
        <v>EDISON HS</v>
      </c>
      <c r="E256" s="106"/>
      <c r="F256" s="106"/>
      <c r="G256" s="110"/>
      <c r="H256" s="106"/>
      <c r="I256" s="106"/>
      <c r="J256" s="106"/>
      <c r="K256" s="106"/>
      <c r="L256" s="106"/>
      <c r="M256" s="109"/>
      <c r="N256" s="109"/>
      <c r="O256" s="109"/>
      <c r="P256" s="109"/>
      <c r="Q256" s="109"/>
      <c r="R256" s="109"/>
      <c r="S256" s="109"/>
      <c r="T256" s="109"/>
      <c r="U256" s="109"/>
      <c r="V256" s="109"/>
      <c r="W256" s="109"/>
      <c r="X256" s="109"/>
      <c r="Y256" s="109"/>
      <c r="Z256" s="109"/>
    </row>
    <row r="257" spans="1:26" ht="13.5" customHeight="1">
      <c r="A257" s="189" t="s">
        <v>110</v>
      </c>
      <c r="B257" s="190" t="s">
        <v>111</v>
      </c>
      <c r="C257" s="190" t="s">
        <v>112</v>
      </c>
      <c r="D257" s="190" t="s">
        <v>113</v>
      </c>
      <c r="E257" s="190" t="s">
        <v>114</v>
      </c>
      <c r="F257" s="190" t="s">
        <v>115</v>
      </c>
      <c r="G257" s="190" t="s">
        <v>116</v>
      </c>
      <c r="H257" s="190" t="s">
        <v>117</v>
      </c>
      <c r="I257" s="190" t="s">
        <v>116</v>
      </c>
      <c r="J257" s="190" t="s">
        <v>118</v>
      </c>
      <c r="K257" s="190" t="s">
        <v>119</v>
      </c>
      <c r="L257" s="190" t="s">
        <v>120</v>
      </c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</row>
    <row r="258" spans="1:26" ht="13.5" customHeight="1">
      <c r="A258" s="155">
        <f t="shared" si="76"/>
        <v>46223</v>
      </c>
      <c r="B258" s="156">
        <f>'CHICLETS MASTER S1'!AL63</f>
        <v>0.75</v>
      </c>
      <c r="C258" s="122" t="s">
        <v>383</v>
      </c>
      <c r="D258" s="122" t="str">
        <f>$D$256</f>
        <v>EDISON HS</v>
      </c>
      <c r="E258" s="122">
        <v>144</v>
      </c>
      <c r="F258" s="134" t="s">
        <v>1206</v>
      </c>
      <c r="G258" s="134"/>
      <c r="H258" s="134" t="s">
        <v>1296</v>
      </c>
      <c r="I258" s="134"/>
      <c r="J258" s="134"/>
      <c r="K258" s="134"/>
      <c r="L258" s="134" t="str">
        <f>IF(E258="","",$L$15&amp;"-"&amp;TEXT(E258,"000"))</f>
        <v>16G-144</v>
      </c>
      <c r="M258" s="109"/>
      <c r="N258" s="109"/>
      <c r="O258" s="109" t="str">
        <f>$L$262&amp;C258</f>
        <v>au_21-24 RR</v>
      </c>
      <c r="P258" s="109"/>
      <c r="Q258" s="109"/>
      <c r="R258" s="109"/>
      <c r="S258" s="109"/>
      <c r="T258" s="109"/>
      <c r="U258" s="109"/>
      <c r="V258" s="109"/>
      <c r="W258" s="109"/>
      <c r="X258" s="109"/>
      <c r="Y258" s="109"/>
      <c r="Z258" s="109"/>
    </row>
    <row r="259" spans="1:26" ht="13.5" customHeight="1">
      <c r="A259" s="155">
        <f t="shared" si="76"/>
        <v>46223</v>
      </c>
      <c r="B259" s="156">
        <f>'CHICLETS MASTER S1'!AL64</f>
        <v>0.79166666666666696</v>
      </c>
      <c r="C259" s="122" t="s">
        <v>383</v>
      </c>
      <c r="D259" s="122" t="str">
        <f>$D$256</f>
        <v>EDISON HS</v>
      </c>
      <c r="E259" s="122">
        <v>148</v>
      </c>
      <c r="F259" s="134" t="s">
        <v>1295</v>
      </c>
      <c r="G259" s="134"/>
      <c r="H259" s="134" t="s">
        <v>1205</v>
      </c>
      <c r="I259" s="134"/>
      <c r="J259" s="134"/>
      <c r="K259" s="134"/>
      <c r="L259" s="134" t="str">
        <f>IF(E259="","",$L$15&amp;"-"&amp;TEXT(E259,"000"))</f>
        <v>16G-148</v>
      </c>
      <c r="M259" s="109"/>
      <c r="N259" s="109"/>
      <c r="O259" s="109" t="str">
        <f>$L$262&amp;C259</f>
        <v>au_21-24 RR</v>
      </c>
      <c r="P259" s="109"/>
      <c r="Q259" s="109"/>
      <c r="R259" s="109"/>
      <c r="S259" s="109"/>
      <c r="T259" s="109"/>
      <c r="U259" s="109"/>
      <c r="V259" s="109"/>
      <c r="W259" s="109"/>
      <c r="X259" s="109"/>
      <c r="Y259" s="109"/>
      <c r="Z259" s="109"/>
    </row>
    <row r="260" spans="1:26" ht="13.5" customHeight="1" thickBot="1">
      <c r="A260" s="109"/>
      <c r="B260" s="109"/>
      <c r="C260" s="109"/>
      <c r="D260" s="109"/>
      <c r="E260" s="109"/>
      <c r="F260" s="109"/>
      <c r="G260" s="109"/>
      <c r="H260" s="109"/>
      <c r="I260" s="109"/>
      <c r="J260" s="109"/>
      <c r="K260" s="109"/>
      <c r="L260" s="109"/>
      <c r="M260" s="109"/>
      <c r="N260" s="109"/>
      <c r="O260" s="109"/>
      <c r="P260" s="109"/>
      <c r="Q260" s="109"/>
      <c r="R260" s="109"/>
      <c r="S260" s="109"/>
      <c r="T260" s="109"/>
      <c r="U260" s="109"/>
      <c r="V260" s="109"/>
      <c r="W260" s="109"/>
      <c r="X260" s="109"/>
      <c r="Y260" s="109"/>
      <c r="Z260" s="109"/>
    </row>
    <row r="261" spans="1:26" ht="13.5" customHeight="1" thickTop="1" thickBot="1">
      <c r="A261" s="153" t="s">
        <v>205</v>
      </c>
      <c r="B261" s="165"/>
      <c r="C261" s="165"/>
      <c r="D261" s="165"/>
      <c r="E261" s="165"/>
      <c r="F261" s="165"/>
      <c r="G261" s="166"/>
      <c r="H261" s="165"/>
      <c r="I261" s="165"/>
      <c r="J261" s="165"/>
      <c r="K261" s="165"/>
      <c r="L261" s="165"/>
      <c r="M261" s="109"/>
      <c r="N261" s="109"/>
      <c r="O261" s="109"/>
      <c r="P261" s="109"/>
      <c r="Q261" s="109"/>
      <c r="R261" s="109"/>
      <c r="S261" s="109"/>
      <c r="T261" s="109"/>
      <c r="U261" s="109"/>
      <c r="V261" s="109"/>
      <c r="W261" s="109"/>
      <c r="X261" s="109"/>
      <c r="Y261" s="109"/>
      <c r="Z261" s="109"/>
    </row>
    <row r="262" spans="1:26" ht="13.5" customHeight="1" thickBot="1">
      <c r="A262" s="108">
        <v>46224</v>
      </c>
      <c r="B262" s="109"/>
      <c r="C262" s="109"/>
      <c r="D262" s="109"/>
      <c r="E262" s="109"/>
      <c r="F262" s="109"/>
      <c r="G262" s="109"/>
      <c r="H262" s="109"/>
      <c r="I262" s="109"/>
      <c r="J262" s="109"/>
      <c r="K262" s="109" t="s">
        <v>373</v>
      </c>
      <c r="L262" s="109" t="s">
        <v>374</v>
      </c>
      <c r="M262" s="109"/>
      <c r="N262" s="109"/>
      <c r="O262" s="109"/>
      <c r="P262" s="109"/>
      <c r="Q262" s="109"/>
      <c r="R262" s="109"/>
      <c r="S262" s="109"/>
      <c r="T262" s="109"/>
      <c r="U262" s="109"/>
      <c r="V262" s="109"/>
      <c r="W262" s="109"/>
      <c r="X262" s="109"/>
      <c r="Y262" s="109"/>
      <c r="Z262" s="109"/>
    </row>
    <row r="263" spans="1:26" ht="13.5" customHeight="1" thickBot="1">
      <c r="A263" s="106"/>
      <c r="B263" s="106"/>
      <c r="C263" s="106"/>
      <c r="D263" s="150" t="str">
        <f>'CHICLETS MASTER S1'!$AW$72</f>
        <v>EL MODENA HS</v>
      </c>
      <c r="E263" s="106"/>
      <c r="F263" s="106"/>
      <c r="G263" s="110"/>
      <c r="H263" s="106"/>
      <c r="I263" s="110"/>
      <c r="J263" s="106"/>
      <c r="K263" s="106"/>
      <c r="L263" s="106"/>
      <c r="M263" s="109"/>
      <c r="N263" s="109"/>
      <c r="O263" s="109"/>
      <c r="P263" s="109"/>
      <c r="Q263" s="109"/>
      <c r="R263" s="109"/>
      <c r="S263" s="109"/>
      <c r="T263" s="109"/>
      <c r="U263" s="109"/>
      <c r="V263" s="109"/>
      <c r="W263" s="109"/>
      <c r="X263" s="109"/>
      <c r="Y263" s="109"/>
      <c r="Z263" s="109"/>
    </row>
    <row r="264" spans="1:26" ht="13.5" customHeight="1">
      <c r="A264" s="189" t="s">
        <v>110</v>
      </c>
      <c r="B264" s="190" t="s">
        <v>111</v>
      </c>
      <c r="C264" s="190" t="s">
        <v>112</v>
      </c>
      <c r="D264" s="190" t="s">
        <v>113</v>
      </c>
      <c r="E264" s="190" t="s">
        <v>114</v>
      </c>
      <c r="F264" s="190" t="s">
        <v>115</v>
      </c>
      <c r="G264" s="190" t="s">
        <v>116</v>
      </c>
      <c r="H264" s="190" t="s">
        <v>117</v>
      </c>
      <c r="I264" s="190" t="s">
        <v>116</v>
      </c>
      <c r="J264" s="190" t="s">
        <v>118</v>
      </c>
      <c r="K264" s="190" t="s">
        <v>119</v>
      </c>
      <c r="L264" s="190" t="s">
        <v>120</v>
      </c>
      <c r="M264" s="109"/>
      <c r="N264" s="109"/>
      <c r="O264" s="109"/>
      <c r="P264" s="109"/>
      <c r="Q264" s="109"/>
      <c r="R264" s="109"/>
      <c r="S264" s="109"/>
      <c r="T264" s="109"/>
      <c r="U264" s="109"/>
      <c r="V264" s="109"/>
      <c r="W264" s="109"/>
      <c r="X264" s="109"/>
      <c r="Y264" s="109"/>
      <c r="Z264" s="109"/>
    </row>
    <row r="265" spans="1:26" ht="13.5" customHeight="1">
      <c r="A265" s="155">
        <f t="shared" ref="A265:A279" si="79">$A$262</f>
        <v>46224</v>
      </c>
      <c r="B265" s="156">
        <f>'CHICLETS MASTER S1'!AL73</f>
        <v>0.29166666666666669</v>
      </c>
      <c r="C265" s="122" t="s">
        <v>220</v>
      </c>
      <c r="D265" s="122" t="str">
        <f t="shared" ref="D265:D270" si="80">$D$263</f>
        <v>EL MODENA HS</v>
      </c>
      <c r="E265" s="122">
        <v>185</v>
      </c>
      <c r="F265" s="169" t="str">
        <f>IF(G202 = "", "L141", IF(G202 &lt; I202, _xlfn.CONCAT("L141-", RIGHT(F202, LEN(F202) - FIND("-", F202))), _xlfn.CONCAT("L141-", RIGHT(H202, LEN(H202) - FIND("-", H202)))))</f>
        <v>L141</v>
      </c>
      <c r="G265" s="171"/>
      <c r="H265" s="169" t="str">
        <f>IF(G203 = "", "L145", IF(G203 &lt; I203, _xlfn.CONCAT("L145-", RIGHT(F203, LEN(F203) - FIND("-", F203))), _xlfn.CONCAT("L145-", RIGHT(H203, LEN(H203) - FIND("-", H203)))))</f>
        <v>L145</v>
      </c>
      <c r="I265" s="171"/>
      <c r="J265" s="169" t="s">
        <v>220</v>
      </c>
      <c r="K265" s="169" t="s">
        <v>221</v>
      </c>
      <c r="L265" s="169" t="str">
        <f>$L$15&amp;"-"&amp;TEXT(E265,"000")</f>
        <v>16G-185</v>
      </c>
      <c r="M265" s="109"/>
      <c r="N265" s="109"/>
      <c r="O265" s="109" t="str">
        <f>$K$262&amp;C265</f>
        <v>pt_7th</v>
      </c>
      <c r="P265" s="109"/>
      <c r="Q265" s="109"/>
      <c r="R265" s="109"/>
      <c r="S265" s="109"/>
      <c r="T265" s="109"/>
      <c r="U265" s="109"/>
      <c r="V265" s="109"/>
      <c r="W265" s="109"/>
      <c r="X265" s="109"/>
      <c r="Y265" s="109"/>
      <c r="Z265" s="109"/>
    </row>
    <row r="266" spans="1:26" ht="13.5" customHeight="1">
      <c r="A266" s="155">
        <f t="shared" si="79"/>
        <v>46224</v>
      </c>
      <c r="B266" s="156">
        <f>'CHICLETS MASTER S1'!AL74</f>
        <v>0.33333333333333298</v>
      </c>
      <c r="C266" s="122" t="s">
        <v>206</v>
      </c>
      <c r="D266" s="122" t="str">
        <f t="shared" si="80"/>
        <v>EL MODENA HS</v>
      </c>
      <c r="E266" s="122">
        <v>186</v>
      </c>
      <c r="F266" s="169" t="str">
        <f>IF(G206 = "", "L157", IF(G206 &lt; I206, _xlfn.CONCAT("L157-", RIGHT(F206, LEN(F206) - FIND("-", F206))), _xlfn.CONCAT("L157-", RIGHT(H206, LEN(H206) - FIND("-", H206)))))</f>
        <v>L157</v>
      </c>
      <c r="G266" s="171"/>
      <c r="H266" s="169" t="str">
        <f>IF(G207 = "", "L161", IF(G207 &lt; I207, _xlfn.CONCAT("L161-", RIGHT(F207, LEN(F207) - FIND("-", F207))), _xlfn.CONCAT("L161-", RIGHT(H207, LEN(H207) - FIND("-", H207)))))</f>
        <v>L161</v>
      </c>
      <c r="I266" s="171"/>
      <c r="J266" s="169" t="s">
        <v>206</v>
      </c>
      <c r="K266" s="169" t="s">
        <v>209</v>
      </c>
      <c r="L266" s="169" t="str">
        <f t="shared" ref="L266:L269" si="81">$L$15&amp;"-"&amp;TEXT(E266,"000")</f>
        <v>16G-186</v>
      </c>
      <c r="M266" s="109"/>
      <c r="N266" s="109"/>
      <c r="O266" s="109" t="str">
        <f t="shared" ref="O266:O269" si="82">$K$262&amp;C266</f>
        <v>pt_5th</v>
      </c>
      <c r="P266" s="109"/>
      <c r="Q266" s="109"/>
      <c r="R266" s="109"/>
      <c r="S266" s="109"/>
      <c r="T266" s="109"/>
      <c r="U266" s="109"/>
      <c r="V266" s="109"/>
      <c r="W266" s="109"/>
      <c r="X266" s="109"/>
      <c r="Y266" s="109"/>
      <c r="Z266" s="109"/>
    </row>
    <row r="267" spans="1:26" ht="13.5" customHeight="1">
      <c r="A267" s="155">
        <f t="shared" si="79"/>
        <v>46224</v>
      </c>
      <c r="B267" s="156">
        <f>'CHICLETS MASTER S1'!AL75</f>
        <v>0.375</v>
      </c>
      <c r="C267" s="122" t="s">
        <v>224</v>
      </c>
      <c r="D267" s="122" t="str">
        <f t="shared" si="80"/>
        <v>EL MODENA HS</v>
      </c>
      <c r="E267" s="122">
        <v>173</v>
      </c>
      <c r="F267" s="169" t="str">
        <f>IF(G201 = "", "W137", IF(G201 &gt; I201, _xlfn.CONCAT("W137-", RIGHT(F201, LEN(F201) - FIND("-", F201))), _xlfn.CONCAT("W137-", RIGHT(H201, LEN(H201) - FIND("-", H201)))))</f>
        <v>W137</v>
      </c>
      <c r="G267" s="171"/>
      <c r="H267" s="169" t="str">
        <f>IF(G206 = "", "W157", IF(G206 &gt; I206, _xlfn.CONCAT("W157-", RIGHT(F206, LEN(F206) - FIND("-", F206))), _xlfn.CONCAT("W157-", RIGHT(H206, LEN(H206) - FIND("-", H206)))))</f>
        <v>W157</v>
      </c>
      <c r="I267" s="171"/>
      <c r="J267" s="169">
        <v>192</v>
      </c>
      <c r="K267" s="169">
        <v>191</v>
      </c>
      <c r="L267" s="169" t="str">
        <f>$L$15&amp;"-"&amp;TEXT(E267,"000")</f>
        <v>16G-173</v>
      </c>
      <c r="M267" s="109"/>
      <c r="N267" s="109"/>
      <c r="O267" s="109" t="str">
        <f>$K$262&amp;C267</f>
        <v>pt_semi</v>
      </c>
      <c r="P267" s="109"/>
      <c r="Q267" s="109"/>
      <c r="R267" s="109"/>
      <c r="S267" s="109"/>
      <c r="T267" s="109"/>
      <c r="U267" s="109"/>
      <c r="V267" s="109"/>
      <c r="W267" s="109"/>
      <c r="X267" s="109"/>
      <c r="Y267" s="109"/>
      <c r="Z267" s="109"/>
    </row>
    <row r="268" spans="1:26" ht="13.5" customHeight="1">
      <c r="A268" s="155">
        <f t="shared" ref="A268:A277" si="83">$A$262</f>
        <v>46224</v>
      </c>
      <c r="B268" s="156">
        <f>'CHICLETS MASTER S1'!AL76</f>
        <v>0.41666666666666702</v>
      </c>
      <c r="C268" s="122" t="s">
        <v>224</v>
      </c>
      <c r="D268" s="122" t="str">
        <f t="shared" si="80"/>
        <v>EL MODENA HS</v>
      </c>
      <c r="E268" s="122">
        <v>174</v>
      </c>
      <c r="F268" s="169" t="str">
        <f>IF(G200 = "", "W133", IF(G200 &gt; I200, _xlfn.CONCAT("W133-", RIGHT(F200, LEN(F200) - FIND("-", F200))), _xlfn.CONCAT("W133-", RIGHT(H200, LEN(H200) - FIND("-", H200)))))</f>
        <v>W133</v>
      </c>
      <c r="G268" s="171"/>
      <c r="H268" s="169" t="str">
        <f>IF(G207 = "", "W161", IF(G207 &gt; I207, _xlfn.CONCAT("W161-", RIGHT(F207, LEN(F207) - FIND("-", F207))), _xlfn.CONCAT("W161-", RIGHT(H207, LEN(H207) - FIND("-", H207)))))</f>
        <v>W161</v>
      </c>
      <c r="I268" s="171"/>
      <c r="J268" s="169">
        <v>192</v>
      </c>
      <c r="K268" s="169">
        <v>191</v>
      </c>
      <c r="L268" s="169" t="str">
        <f>$L$15&amp;"-"&amp;TEXT(E268,"000")</f>
        <v>16G-174</v>
      </c>
      <c r="M268" s="109"/>
      <c r="N268" s="109"/>
      <c r="O268" s="109" t="str">
        <f>$K$262&amp;C268</f>
        <v>pt_semi</v>
      </c>
      <c r="P268" s="109"/>
      <c r="Q268" s="109"/>
      <c r="R268" s="109"/>
      <c r="S268" s="109"/>
      <c r="T268" s="109"/>
      <c r="U268" s="109"/>
      <c r="V268" s="109"/>
      <c r="W268" s="109"/>
      <c r="X268" s="109"/>
      <c r="Y268" s="109"/>
      <c r="Z268" s="109"/>
    </row>
    <row r="269" spans="1:26" ht="13.5" customHeight="1">
      <c r="A269" s="155">
        <f t="shared" si="79"/>
        <v>46224</v>
      </c>
      <c r="B269" s="156">
        <f>'CHICLETS MASTER S1'!AL77</f>
        <v>0.45833333333333298</v>
      </c>
      <c r="C269" s="122" t="s">
        <v>222</v>
      </c>
      <c r="D269" s="122" t="str">
        <f t="shared" si="80"/>
        <v>EL MODENA HS</v>
      </c>
      <c r="E269" s="122">
        <v>182</v>
      </c>
      <c r="F269" s="169" t="str">
        <f>IF(G204 = "", "W149", IF(G204 &gt; I204, _xlfn.CONCAT("W149-", RIGHT(F204, LEN(F204) - FIND("-", F204))), _xlfn.CONCAT("W149-", RIGHT(H204, LEN(H204) - FIND("-", H204)))))</f>
        <v>W149</v>
      </c>
      <c r="G269" s="171"/>
      <c r="H269" s="169" t="str">
        <f>IF(G205 = "", "W153", IF(G205 &gt; I205, _xlfn.CONCAT("W153-", RIGHT(F205, LEN(F205) - FIND("-", F205))), _xlfn.CONCAT("W153-", RIGHT(H205, LEN(H205) - FIND("-", H205)))))</f>
        <v>W153</v>
      </c>
      <c r="I269" s="171"/>
      <c r="J269" s="169" t="s">
        <v>222</v>
      </c>
      <c r="K269" s="169" t="s">
        <v>223</v>
      </c>
      <c r="L269" s="169" t="str">
        <f t="shared" si="81"/>
        <v>16G-182</v>
      </c>
      <c r="M269" s="109"/>
      <c r="N269" s="109"/>
      <c r="O269" s="109" t="str">
        <f t="shared" si="82"/>
        <v>pt_9th</v>
      </c>
      <c r="P269" s="109"/>
      <c r="Q269" s="109"/>
      <c r="R269" s="109"/>
      <c r="S269" s="109"/>
      <c r="T269" s="109"/>
      <c r="U269" s="109"/>
      <c r="V269" s="109"/>
      <c r="W269" s="109"/>
      <c r="X269" s="109"/>
      <c r="Y269" s="109"/>
      <c r="Z269" s="109"/>
    </row>
    <row r="270" spans="1:26" ht="13.5" customHeight="1">
      <c r="A270" s="155">
        <f t="shared" si="83"/>
        <v>46224</v>
      </c>
      <c r="B270" s="156">
        <f>'CHICLETS MASTER S1'!AL78</f>
        <v>0.5</v>
      </c>
      <c r="C270" s="122" t="s">
        <v>218</v>
      </c>
      <c r="D270" s="122" t="str">
        <f t="shared" si="80"/>
        <v>EL MODENA HS</v>
      </c>
      <c r="E270" s="173">
        <v>181</v>
      </c>
      <c r="F270" s="169" t="str">
        <f>IF(G204 = "", "L149", IF(G204 &lt; I204, _xlfn.CONCAT("L149-", RIGHT(F204, LEN(F204) - FIND("-", F204))), _xlfn.CONCAT("L149-", RIGHT(H204, LEN(H204) - FIND("-", H204)))))</f>
        <v>L149</v>
      </c>
      <c r="G270" s="192"/>
      <c r="H270" s="169" t="str">
        <f>IF(G205 = "", "L153", IF(G205 &lt; I205, _xlfn.CONCAT("L153-", RIGHT(F205, LEN(F205) - FIND("-", F205))), _xlfn.CONCAT("L153-", RIGHT(H205, LEN(H205) - FIND("-", H205)))))</f>
        <v>L153</v>
      </c>
      <c r="I270" s="171"/>
      <c r="J270" s="169" t="s">
        <v>218</v>
      </c>
      <c r="K270" s="169" t="s">
        <v>219</v>
      </c>
      <c r="L270" s="169" t="str">
        <f>$L$15&amp;"-"&amp;TEXT(E270,"000")</f>
        <v>16G-181</v>
      </c>
      <c r="M270" s="109"/>
      <c r="N270" s="109"/>
      <c r="O270" s="109" t="str">
        <f>$K$262&amp;C270</f>
        <v>pt_11th</v>
      </c>
      <c r="P270" s="109"/>
      <c r="Q270" s="109"/>
      <c r="R270" s="109"/>
      <c r="S270" s="109"/>
      <c r="T270" s="109"/>
      <c r="U270" s="109"/>
      <c r="V270" s="109"/>
      <c r="W270" s="109"/>
      <c r="X270" s="109"/>
      <c r="Y270" s="109"/>
      <c r="Z270" s="109"/>
    </row>
    <row r="271" spans="1:26" ht="13.5" customHeight="1" thickBot="1">
      <c r="A271" s="109"/>
      <c r="B271" s="109"/>
      <c r="C271" s="109"/>
      <c r="D271" s="109"/>
      <c r="E271" s="109"/>
      <c r="F271" s="109"/>
      <c r="G271" s="161"/>
      <c r="H271" s="109"/>
      <c r="I271" s="109"/>
      <c r="J271" s="109"/>
      <c r="K271" s="109"/>
      <c r="L271" s="109"/>
      <c r="M271" s="109"/>
      <c r="N271" s="109"/>
      <c r="O271" s="109"/>
      <c r="P271" s="109"/>
      <c r="Q271" s="109"/>
      <c r="R271" s="109"/>
      <c r="S271" s="109"/>
      <c r="T271" s="109"/>
      <c r="U271" s="109"/>
      <c r="V271" s="109"/>
      <c r="W271" s="109"/>
      <c r="X271" s="109"/>
      <c r="Y271" s="109"/>
      <c r="Z271" s="109"/>
    </row>
    <row r="272" spans="1:26" ht="13.5" customHeight="1" thickBot="1">
      <c r="A272" s="106"/>
      <c r="B272" s="106"/>
      <c r="C272" s="106"/>
      <c r="D272" s="150" t="str">
        <f>'CHICLETS MASTER S1'!$AP$72</f>
        <v>FULLERTON HS</v>
      </c>
      <c r="E272" s="106"/>
      <c r="F272" s="106"/>
      <c r="G272" s="110"/>
      <c r="H272" s="106"/>
      <c r="I272" s="110"/>
      <c r="J272" s="106"/>
      <c r="K272" s="106"/>
      <c r="L272" s="106"/>
      <c r="M272" s="109"/>
      <c r="N272" s="109"/>
      <c r="O272" s="109"/>
      <c r="P272" s="109"/>
      <c r="Q272" s="109"/>
      <c r="R272" s="109"/>
      <c r="S272" s="109"/>
      <c r="T272" s="109"/>
      <c r="U272" s="109"/>
      <c r="V272" s="109"/>
      <c r="W272" s="109"/>
      <c r="X272" s="109"/>
      <c r="Y272" s="109"/>
      <c r="Z272" s="109"/>
    </row>
    <row r="273" spans="1:26" ht="13.5" customHeight="1">
      <c r="A273" s="189" t="s">
        <v>110</v>
      </c>
      <c r="B273" s="190" t="s">
        <v>111</v>
      </c>
      <c r="C273" s="190" t="s">
        <v>112</v>
      </c>
      <c r="D273" s="190" t="s">
        <v>113</v>
      </c>
      <c r="E273" s="190" t="s">
        <v>114</v>
      </c>
      <c r="F273" s="190" t="s">
        <v>115</v>
      </c>
      <c r="G273" s="190" t="s">
        <v>116</v>
      </c>
      <c r="H273" s="191" t="s">
        <v>117</v>
      </c>
      <c r="I273" s="190" t="s">
        <v>116</v>
      </c>
      <c r="J273" s="190" t="s">
        <v>118</v>
      </c>
      <c r="K273" s="190" t="s">
        <v>119</v>
      </c>
      <c r="L273" s="190" t="s">
        <v>120</v>
      </c>
      <c r="M273" s="109"/>
      <c r="N273" s="109"/>
      <c r="O273" s="109"/>
      <c r="P273" s="109"/>
      <c r="Q273" s="109"/>
      <c r="R273" s="109"/>
      <c r="S273" s="109"/>
      <c r="T273" s="109"/>
      <c r="U273" s="109"/>
      <c r="V273" s="109"/>
      <c r="W273" s="109"/>
      <c r="X273" s="109"/>
      <c r="Y273" s="109"/>
      <c r="Z273" s="109"/>
    </row>
    <row r="274" spans="1:26" ht="13.5" customHeight="1">
      <c r="A274" s="155">
        <f t="shared" si="83"/>
        <v>46224</v>
      </c>
      <c r="B274" s="156">
        <f>'CHICLETS MASTER S1'!AL73</f>
        <v>0.29166666666666669</v>
      </c>
      <c r="C274" s="122" t="s">
        <v>409</v>
      </c>
      <c r="D274" s="122" t="str">
        <f t="shared" ref="D274:D281" si="84">$D$272</f>
        <v>FULLERTON HS</v>
      </c>
      <c r="E274" s="122">
        <v>169</v>
      </c>
      <c r="F274" s="169" t="str">
        <f>IF(G220 = "", "L154", IF(G220 &lt; I220, _xlfn.CONCAT("L154-", RIGHT(F220, LEN(F220) - FIND("-", F220))), _xlfn.CONCAT("L154-", RIGHT(H220, LEN(H220) - FIND("-", H220)))))</f>
        <v>L154</v>
      </c>
      <c r="G274" s="171"/>
      <c r="H274" s="169" t="str">
        <f>IF(G222 = "", "L162", IF(G222 &lt; I222, _xlfn.CONCAT("L162-", RIGHT(F222, LEN(F222) - FIND("-", F222))), _xlfn.CONCAT("L162-", RIGHT(H222, LEN(H222) - FIND("-", H222)))))</f>
        <v>L162</v>
      </c>
      <c r="I274" s="171"/>
      <c r="J274" s="169" t="s">
        <v>409</v>
      </c>
      <c r="K274" s="169" t="s">
        <v>410</v>
      </c>
      <c r="L274" s="169" t="str">
        <f>$L$15&amp;"-"&amp;TEXT(E274,"000")</f>
        <v>16G-169</v>
      </c>
      <c r="M274" s="109"/>
      <c r="N274" s="109"/>
      <c r="O274" s="109" t="str">
        <f>$K$262&amp;C274</f>
        <v>pt_19th</v>
      </c>
      <c r="P274" s="109"/>
      <c r="Q274" s="109"/>
      <c r="R274" s="109"/>
      <c r="S274" s="109"/>
      <c r="T274" s="109"/>
      <c r="U274" s="109"/>
      <c r="V274" s="109"/>
      <c r="W274" s="109"/>
      <c r="X274" s="109"/>
      <c r="Y274" s="109"/>
      <c r="Z274" s="109"/>
    </row>
    <row r="275" spans="1:26" ht="13.5" customHeight="1">
      <c r="A275" s="155">
        <f t="shared" si="83"/>
        <v>46224</v>
      </c>
      <c r="B275" s="156">
        <f>'CHICLETS MASTER S1'!AL74</f>
        <v>0.33333333333333298</v>
      </c>
      <c r="C275" s="122" t="s">
        <v>411</v>
      </c>
      <c r="D275" s="122" t="str">
        <f t="shared" si="84"/>
        <v>FULLERTON HS</v>
      </c>
      <c r="E275" s="122">
        <v>170</v>
      </c>
      <c r="F275" s="169" t="str">
        <f>IF(G220 = "", "W154", IF(G220 &gt; I220, _xlfn.CONCAT("W154-", RIGHT(F220, LEN(F220) - FIND("-", F220))), _xlfn.CONCAT("W154-", RIGHT(H220, LEN(H220) - FIND("-", H220)))))</f>
        <v>W154</v>
      </c>
      <c r="G275" s="171"/>
      <c r="H275" s="169" t="str">
        <f>IF(G222 = "", "W162", IF(G222 &gt; I222, _xlfn.CONCAT("W162-", RIGHT(F222, LEN(F222) - FIND("-", F222))), _xlfn.CONCAT("W162-", RIGHT(H222, LEN(H222) - FIND("-", H222)))))</f>
        <v>W162</v>
      </c>
      <c r="I275" s="171"/>
      <c r="J275" s="169" t="s">
        <v>411</v>
      </c>
      <c r="K275" s="169" t="s">
        <v>412</v>
      </c>
      <c r="L275" s="169" t="str">
        <f>$L$15&amp;"-"&amp;TEXT(E275,"000")</f>
        <v>16G-170</v>
      </c>
      <c r="M275" s="109"/>
      <c r="N275" s="109"/>
      <c r="O275" s="109" t="str">
        <f>$K$262&amp;C275</f>
        <v>pt_17th</v>
      </c>
      <c r="P275" s="109"/>
      <c r="Q275" s="109"/>
      <c r="R275" s="109"/>
      <c r="S275" s="109"/>
      <c r="T275" s="109"/>
      <c r="U275" s="109"/>
      <c r="V275" s="109"/>
      <c r="W275" s="109"/>
      <c r="X275" s="109"/>
      <c r="Y275" s="109"/>
      <c r="Z275" s="109"/>
    </row>
    <row r="276" spans="1:26" ht="13.5" customHeight="1">
      <c r="A276" s="155">
        <f t="shared" si="83"/>
        <v>46224</v>
      </c>
      <c r="B276" s="156">
        <f>'CHICLETS MASTER S1'!AL75</f>
        <v>0.375</v>
      </c>
      <c r="C276" s="122" t="s">
        <v>407</v>
      </c>
      <c r="D276" s="122" t="str">
        <f t="shared" si="84"/>
        <v>FULLERTON HS</v>
      </c>
      <c r="E276" s="122">
        <v>177</v>
      </c>
      <c r="F276" s="169" t="str">
        <f>IF(G219 = "", "L150", IF(G219 &lt; I219, _xlfn.CONCAT("L150-", RIGHT(F219, LEN(F219) - FIND("-", F219))), _xlfn.CONCAT("L150-", RIGHT(H219, LEN(H219) - FIND("-", H219)))))</f>
        <v>L150</v>
      </c>
      <c r="G276" s="171"/>
      <c r="H276" s="169" t="str">
        <f>IF(G221 = "", "L158", IF(G221 &lt; I221, _xlfn.CONCAT("L158-", RIGHT(F221, LEN(F221) - FIND("-", F221))), _xlfn.CONCAT("L158-", RIGHT(H221, LEN(H221) - FIND("-", H221)))))</f>
        <v>L158</v>
      </c>
      <c r="I276" s="171"/>
      <c r="J276" s="169" t="s">
        <v>407</v>
      </c>
      <c r="K276" s="169" t="s">
        <v>408</v>
      </c>
      <c r="L276" s="169" t="str">
        <f>$L$15&amp;"-"&amp;TEXT(E276,"000")</f>
        <v>16G-177</v>
      </c>
      <c r="M276" s="109"/>
      <c r="N276" s="109"/>
      <c r="O276" s="109" t="str">
        <f>$K$262&amp;C276</f>
        <v>pt_15th</v>
      </c>
      <c r="P276" s="109"/>
      <c r="Q276" s="109"/>
      <c r="R276" s="109"/>
      <c r="S276" s="109"/>
      <c r="T276" s="109"/>
      <c r="U276" s="109"/>
      <c r="V276" s="109"/>
      <c r="W276" s="109"/>
      <c r="X276" s="109"/>
      <c r="Y276" s="109"/>
      <c r="Z276" s="109"/>
    </row>
    <row r="277" spans="1:26" ht="13.5" customHeight="1">
      <c r="A277" s="155">
        <f t="shared" si="83"/>
        <v>46224</v>
      </c>
      <c r="B277" s="156">
        <f>'CHICLETS MASTER S1'!AL76</f>
        <v>0.41666666666666702</v>
      </c>
      <c r="C277" s="122" t="s">
        <v>413</v>
      </c>
      <c r="D277" s="122" t="str">
        <f t="shared" si="84"/>
        <v>FULLERTON HS</v>
      </c>
      <c r="E277" s="122">
        <v>178</v>
      </c>
      <c r="F277" s="169" t="str">
        <f>IF(G219 = "", "W150", IF(G219 &gt; I219, _xlfn.CONCAT("W150-", RIGHT(F219, LEN(F219) - FIND("-", F219))), _xlfn.CONCAT("W150-", RIGHT(H219, LEN(H219) - FIND("-", H219)))))</f>
        <v>W150</v>
      </c>
      <c r="G277" s="171"/>
      <c r="H277" s="169" t="str">
        <f>IF(G221 = "", "W158", IF(G221 &gt; I221, _xlfn.CONCAT("W158-", RIGHT(F221, LEN(F221) - FIND("-", F221))), _xlfn.CONCAT("W158-", RIGHT(H221, LEN(H221) - FIND("-", H221)))))</f>
        <v>W158</v>
      </c>
      <c r="I277" s="171"/>
      <c r="J277" s="169" t="s">
        <v>413</v>
      </c>
      <c r="K277" s="169" t="s">
        <v>414</v>
      </c>
      <c r="L277" s="169" t="str">
        <f t="shared" ref="L277" si="85">$L$15&amp;"-"&amp;TEXT(E277,"000")</f>
        <v>16G-178</v>
      </c>
      <c r="M277" s="109"/>
      <c r="N277" s="109"/>
      <c r="O277" s="109" t="str">
        <f t="shared" ref="O277" si="86">$K$262&amp;C277</f>
        <v>pt_13th</v>
      </c>
      <c r="P277" s="109"/>
      <c r="Q277" s="109"/>
      <c r="R277" s="109"/>
      <c r="S277" s="109"/>
      <c r="T277" s="109"/>
      <c r="U277" s="109"/>
      <c r="V277" s="109"/>
      <c r="W277" s="109"/>
      <c r="X277" s="109"/>
      <c r="Y277" s="109"/>
      <c r="Z277" s="109"/>
    </row>
    <row r="278" spans="1:26" ht="13.5" customHeight="1">
      <c r="A278" s="155">
        <f t="shared" si="79"/>
        <v>46224</v>
      </c>
      <c r="B278" s="156">
        <f>'CHICLETS MASTER S1'!AL77</f>
        <v>0.45833333333333298</v>
      </c>
      <c r="C278" s="122" t="s">
        <v>383</v>
      </c>
      <c r="D278" s="122" t="str">
        <f t="shared" si="84"/>
        <v>FULLERTON HS</v>
      </c>
      <c r="E278" s="122">
        <v>165</v>
      </c>
      <c r="F278" s="169" t="s">
        <v>384</v>
      </c>
      <c r="G278" s="171"/>
      <c r="H278" s="169" t="s">
        <v>386</v>
      </c>
      <c r="I278" s="171"/>
      <c r="J278" s="169"/>
      <c r="K278" s="169"/>
      <c r="L278" s="169" t="str">
        <f>$L$15&amp;"-"&amp;TEXT(E278,"000")</f>
        <v>16G-165</v>
      </c>
      <c r="M278" s="109"/>
      <c r="N278" s="109"/>
      <c r="O278" s="109" t="str">
        <f>$K$262&amp;C278</f>
        <v>pt_21-24 RR</v>
      </c>
      <c r="P278" s="109"/>
      <c r="Q278" s="109"/>
      <c r="R278" s="109"/>
      <c r="S278" s="109"/>
      <c r="T278" s="109"/>
      <c r="U278" s="109"/>
      <c r="V278" s="109"/>
      <c r="W278" s="109"/>
      <c r="X278" s="109"/>
      <c r="Y278" s="109"/>
      <c r="Z278" s="109"/>
    </row>
    <row r="279" spans="1:26" ht="13.5" customHeight="1">
      <c r="A279" s="155">
        <f t="shared" si="79"/>
        <v>46224</v>
      </c>
      <c r="B279" s="156">
        <f>'CHICLETS MASTER S1'!AL78</f>
        <v>0.5</v>
      </c>
      <c r="C279" s="122" t="s">
        <v>383</v>
      </c>
      <c r="D279" s="122" t="str">
        <f t="shared" si="84"/>
        <v>FULLERTON HS</v>
      </c>
      <c r="E279" s="122">
        <v>166</v>
      </c>
      <c r="F279" s="169" t="s">
        <v>387</v>
      </c>
      <c r="G279" s="171"/>
      <c r="H279" s="169" t="s">
        <v>385</v>
      </c>
      <c r="I279" s="171"/>
      <c r="J279" s="169"/>
      <c r="K279" s="169"/>
      <c r="L279" s="169" t="str">
        <f>$L$15&amp;"-"&amp;TEXT(E279,"000")</f>
        <v>16G-166</v>
      </c>
      <c r="M279" s="109"/>
      <c r="N279" s="109"/>
      <c r="O279" s="109" t="str">
        <f>$K$262&amp;C279</f>
        <v>pt_21-24 RR</v>
      </c>
      <c r="P279" s="109"/>
      <c r="Q279" s="109"/>
      <c r="R279" s="109"/>
      <c r="S279" s="109"/>
      <c r="T279" s="109"/>
      <c r="U279" s="109"/>
      <c r="V279" s="109"/>
      <c r="W279" s="109"/>
      <c r="X279" s="109"/>
      <c r="Y279" s="109"/>
      <c r="Z279" s="109"/>
    </row>
    <row r="280" spans="1:26" ht="13.5" customHeight="1">
      <c r="A280" s="155">
        <f t="shared" ref="A280:A299" si="87">$A$262</f>
        <v>46224</v>
      </c>
      <c r="B280" s="156">
        <f>'CHICLETS MASTER S1'!AL79</f>
        <v>0.54166666666666696</v>
      </c>
      <c r="C280" s="122" t="s">
        <v>383</v>
      </c>
      <c r="D280" s="122" t="str">
        <f t="shared" si="84"/>
        <v>FULLERTON HS</v>
      </c>
      <c r="E280" s="122">
        <v>167</v>
      </c>
      <c r="F280" s="134" t="s">
        <v>1295</v>
      </c>
      <c r="G280" s="193"/>
      <c r="H280" s="134" t="s">
        <v>1206</v>
      </c>
      <c r="I280" s="194"/>
      <c r="J280" s="134"/>
      <c r="K280" s="134"/>
      <c r="L280" s="134" t="str">
        <f t="shared" ref="L280" si="88">$L$15&amp;"-"&amp;TEXT(E280,"000")</f>
        <v>16G-167</v>
      </c>
      <c r="M280" s="109"/>
      <c r="N280" s="109"/>
      <c r="O280" s="109" t="str">
        <f t="shared" ref="O280" si="89">$L$262&amp;C280</f>
        <v>au_21-24 RR</v>
      </c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</row>
    <row r="281" spans="1:26" ht="13.5" customHeight="1">
      <c r="A281" s="155">
        <f t="shared" si="87"/>
        <v>46224</v>
      </c>
      <c r="B281" s="156">
        <f>'CHICLETS MASTER S1'!AL80</f>
        <v>0.58333333333333304</v>
      </c>
      <c r="C281" s="122" t="s">
        <v>383</v>
      </c>
      <c r="D281" s="122" t="str">
        <f t="shared" si="84"/>
        <v>FULLERTON HS</v>
      </c>
      <c r="E281" s="122">
        <v>168</v>
      </c>
      <c r="F281" s="134" t="s">
        <v>1205</v>
      </c>
      <c r="G281" s="170"/>
      <c r="H281" s="175" t="s">
        <v>1296</v>
      </c>
      <c r="I281" s="170"/>
      <c r="J281" s="134"/>
      <c r="K281" s="134"/>
      <c r="L281" s="134" t="str">
        <f>$L$15&amp;"-"&amp;TEXT(E281,"000")</f>
        <v>16G-168</v>
      </c>
      <c r="M281" s="109"/>
      <c r="N281" s="109"/>
      <c r="O281" s="109" t="str">
        <f>$L$262&amp;C281</f>
        <v>au_21-24 RR</v>
      </c>
      <c r="P281" s="109"/>
      <c r="Q281" s="109"/>
      <c r="R281" s="109"/>
      <c r="S281" s="109"/>
      <c r="T281" s="109"/>
      <c r="U281" s="109"/>
      <c r="V281" s="109"/>
      <c r="W281" s="109"/>
      <c r="X281" s="109"/>
      <c r="Y281" s="109"/>
      <c r="Z281" s="109"/>
    </row>
    <row r="282" spans="1:26" ht="13.5" customHeight="1" thickBot="1">
      <c r="A282" s="109"/>
      <c r="B282" s="109"/>
      <c r="C282" s="109"/>
      <c r="D282" s="109"/>
      <c r="E282" s="109"/>
      <c r="F282" s="109"/>
      <c r="G282" s="161"/>
      <c r="H282" s="109"/>
      <c r="I282" s="109"/>
      <c r="J282" s="109"/>
      <c r="K282" s="109"/>
      <c r="L282" s="109"/>
      <c r="M282" s="109"/>
      <c r="N282" s="109"/>
      <c r="O282" s="109"/>
      <c r="P282" s="109"/>
      <c r="Q282" s="109"/>
      <c r="R282" s="109"/>
      <c r="S282" s="109"/>
      <c r="T282" s="109"/>
      <c r="U282" s="109"/>
      <c r="V282" s="109"/>
      <c r="W282" s="109"/>
      <c r="X282" s="109"/>
      <c r="Y282" s="109"/>
      <c r="Z282" s="109"/>
    </row>
    <row r="283" spans="1:26" ht="13.5" customHeight="1" thickBot="1">
      <c r="A283" s="106"/>
      <c r="B283" s="106"/>
      <c r="C283" s="106"/>
      <c r="D283" s="150" t="str">
        <f>'CHICLETS MASTER S1'!$AO$72</f>
        <v>YORBA LINDA HS</v>
      </c>
      <c r="E283" s="106"/>
      <c r="F283" s="106"/>
      <c r="G283" s="110"/>
      <c r="H283" s="106"/>
      <c r="I283" s="110"/>
      <c r="J283" s="106"/>
      <c r="K283" s="106"/>
      <c r="L283" s="106"/>
      <c r="M283" s="109"/>
      <c r="N283" s="109"/>
      <c r="O283" s="109"/>
      <c r="P283" s="109"/>
      <c r="Q283" s="109"/>
      <c r="R283" s="109"/>
      <c r="S283" s="109"/>
      <c r="T283" s="109"/>
      <c r="U283" s="109"/>
      <c r="V283" s="109"/>
      <c r="W283" s="109"/>
      <c r="X283" s="109"/>
      <c r="Y283" s="109"/>
      <c r="Z283" s="109"/>
    </row>
    <row r="284" spans="1:26" ht="13.5" customHeight="1">
      <c r="A284" s="189" t="s">
        <v>110</v>
      </c>
      <c r="B284" s="190" t="s">
        <v>111</v>
      </c>
      <c r="C284" s="190" t="s">
        <v>112</v>
      </c>
      <c r="D284" s="190" t="s">
        <v>113</v>
      </c>
      <c r="E284" s="190" t="s">
        <v>114</v>
      </c>
      <c r="F284" s="190" t="s">
        <v>115</v>
      </c>
      <c r="G284" s="190" t="s">
        <v>116</v>
      </c>
      <c r="H284" s="191" t="s">
        <v>117</v>
      </c>
      <c r="I284" s="190" t="s">
        <v>116</v>
      </c>
      <c r="J284" s="190" t="s">
        <v>118</v>
      </c>
      <c r="K284" s="190" t="s">
        <v>119</v>
      </c>
      <c r="L284" s="190" t="s">
        <v>120</v>
      </c>
      <c r="M284" s="109"/>
      <c r="N284" s="109"/>
      <c r="O284" s="109"/>
      <c r="P284" s="109"/>
      <c r="Q284" s="109"/>
      <c r="R284" s="109"/>
      <c r="S284" s="109"/>
      <c r="T284" s="109"/>
      <c r="U284" s="109"/>
      <c r="V284" s="109"/>
      <c r="W284" s="109"/>
      <c r="X284" s="109"/>
      <c r="Y284" s="109"/>
      <c r="Z284" s="109"/>
    </row>
    <row r="285" spans="1:26" ht="13.5" customHeight="1">
      <c r="A285" s="155">
        <f t="shared" si="87"/>
        <v>46224</v>
      </c>
      <c r="B285" s="156">
        <f>'CHICLETS MASTER S1'!AL73</f>
        <v>0.29166666666666669</v>
      </c>
      <c r="C285" s="122" t="s">
        <v>218</v>
      </c>
      <c r="D285" s="122" t="str">
        <f>$D$283</f>
        <v>YORBA LINDA HS</v>
      </c>
      <c r="E285" s="122">
        <v>184</v>
      </c>
      <c r="F285" s="134" t="str">
        <f>IF(G234 = "", "L151", IF(G234 &lt; I234, _xlfn.CONCAT("L151-", RIGHT(F234, LEN(F234) - FIND("-", F234))), _xlfn.CONCAT("L151-", RIGHT(H234, LEN(H234) - FIND("-", H234)))))</f>
        <v>L151</v>
      </c>
      <c r="G285" s="170"/>
      <c r="H285" s="134" t="str">
        <f>IF(G235 = "", "L155", IF(G235 &lt; I235, _xlfn.CONCAT("L155-", RIGHT(F235, LEN(F235) - FIND("-", F235))), _xlfn.CONCAT("L155-", RIGHT(H235, LEN(H235) - FIND("-", H235)))))</f>
        <v>L155</v>
      </c>
      <c r="I285" s="170"/>
      <c r="J285" s="134" t="s">
        <v>218</v>
      </c>
      <c r="K285" s="134" t="s">
        <v>219</v>
      </c>
      <c r="L285" s="134" t="str">
        <f>$L$15&amp;"-"&amp;TEXT(E285,"000")</f>
        <v>16G-184</v>
      </c>
      <c r="M285" s="109"/>
      <c r="N285" s="109"/>
      <c r="O285" s="109" t="str">
        <f>$L$262&amp;C285</f>
        <v>au_11th</v>
      </c>
      <c r="P285" s="109"/>
      <c r="Q285" s="109"/>
      <c r="R285" s="109"/>
      <c r="S285" s="109"/>
      <c r="T285" s="109"/>
      <c r="U285" s="109"/>
      <c r="V285" s="109"/>
      <c r="W285" s="109"/>
      <c r="X285" s="109"/>
      <c r="Y285" s="109"/>
      <c r="Z285" s="109"/>
    </row>
    <row r="286" spans="1:26" ht="13.5" customHeight="1">
      <c r="A286" s="155">
        <f t="shared" si="87"/>
        <v>46224</v>
      </c>
      <c r="B286" s="156">
        <f>'CHICLETS MASTER S1'!AL74</f>
        <v>0.33333333333333298</v>
      </c>
      <c r="C286" s="122" t="s">
        <v>413</v>
      </c>
      <c r="D286" s="122" t="str">
        <f>$D$283</f>
        <v>YORBA LINDA HS</v>
      </c>
      <c r="E286" s="122">
        <v>179</v>
      </c>
      <c r="F286" s="172" t="str">
        <f>IF(G251 = "", "W152", IF(G251 &gt; I251, _xlfn.CONCAT("W152-", RIGHT(F251, LEN(F251) - FIND("-", F251))), _xlfn.CONCAT("W152-", RIGHT(H251, LEN(H251) - FIND("-", H251)))))</f>
        <v>W152</v>
      </c>
      <c r="G286" s="170"/>
      <c r="H286" s="134" t="str">
        <f>IF(G253 = "", "W160", IF(G253 &gt; I253, _xlfn.CONCAT("W160-", RIGHT(F253, LEN(F253) - FIND("-", F253))), _xlfn.CONCAT("W160-", RIGHT(H253, LEN(H253) - FIND("-", H253)))))</f>
        <v>W160</v>
      </c>
      <c r="I286" s="170"/>
      <c r="J286" s="134" t="s">
        <v>413</v>
      </c>
      <c r="K286" s="134" t="s">
        <v>414</v>
      </c>
      <c r="L286" s="134" t="str">
        <f>$L$15&amp;"-"&amp;TEXT(E286,"000")</f>
        <v>16G-179</v>
      </c>
      <c r="M286" s="109"/>
      <c r="N286" s="109"/>
      <c r="O286" s="109" t="str">
        <f>$L$262&amp;C286</f>
        <v>au_13th</v>
      </c>
      <c r="P286" s="109"/>
      <c r="Q286" s="109"/>
      <c r="R286" s="109"/>
      <c r="S286" s="109"/>
      <c r="T286" s="109"/>
      <c r="U286" s="109"/>
      <c r="V286" s="109"/>
      <c r="W286" s="109"/>
      <c r="X286" s="109"/>
      <c r="Y286" s="109"/>
      <c r="Z286" s="109"/>
    </row>
    <row r="287" spans="1:26" ht="13.5" customHeight="1">
      <c r="A287" s="155">
        <f t="shared" ref="A287:A298" si="90">$A$262</f>
        <v>46224</v>
      </c>
      <c r="B287" s="156">
        <f>'CHICLETS MASTER S1'!AL75</f>
        <v>0.375</v>
      </c>
      <c r="C287" s="122" t="s">
        <v>407</v>
      </c>
      <c r="D287" s="122" t="str">
        <f>$D$283</f>
        <v>YORBA LINDA HS</v>
      </c>
      <c r="E287" s="173">
        <v>180</v>
      </c>
      <c r="F287" s="196" t="str">
        <f>IF(G251 = "", "L152", IF(G251 &lt; I251, _xlfn.CONCAT("L152-", RIGHT(F251, LEN(F251) - FIND("-", F251))), _xlfn.CONCAT("L152-", RIGHT(H251, LEN(H251) - FIND("-", H251)))))</f>
        <v>L152</v>
      </c>
      <c r="G287" s="194"/>
      <c r="H287" s="134" t="str">
        <f>IF(G253 = "", "L160", IF(G253 &lt; I253, _xlfn.CONCAT("L160-", RIGHT(F253, LEN(F253) - FIND("-", F253))), _xlfn.CONCAT("L160-", RIGHT(H253, LEN(H253) - FIND("-", H253)))))</f>
        <v>L160</v>
      </c>
      <c r="I287" s="170"/>
      <c r="J287" s="134" t="s">
        <v>407</v>
      </c>
      <c r="K287" s="134" t="s">
        <v>408</v>
      </c>
      <c r="L287" s="134" t="str">
        <f>$L$15&amp;"-"&amp;TEXT(E287,"000")</f>
        <v>16G-180</v>
      </c>
      <c r="M287" s="109"/>
      <c r="N287" s="109"/>
      <c r="O287" s="109" t="str">
        <f>$L$262&amp;C287</f>
        <v>au_15th</v>
      </c>
      <c r="P287" s="109"/>
      <c r="Q287" s="109"/>
      <c r="R287" s="109"/>
      <c r="S287" s="109"/>
      <c r="T287" s="109"/>
      <c r="U287" s="109"/>
      <c r="V287" s="109"/>
      <c r="W287" s="109"/>
      <c r="X287" s="109"/>
      <c r="Y287" s="109"/>
      <c r="Z287" s="109"/>
    </row>
    <row r="288" spans="1:26" ht="13.5" customHeight="1">
      <c r="A288" s="155">
        <f t="shared" si="90"/>
        <v>46224</v>
      </c>
      <c r="B288" s="156">
        <f>'CHICLETS MASTER S1'!AL76</f>
        <v>0.41666666666666702</v>
      </c>
      <c r="C288" s="122" t="s">
        <v>411</v>
      </c>
      <c r="D288" s="122" t="str">
        <f>$D$283</f>
        <v>YORBA LINDA HS</v>
      </c>
      <c r="E288" s="122">
        <v>175</v>
      </c>
      <c r="F288" s="134" t="str">
        <f>IF(G252 = "", "W156", IF(G252 &gt; I252, _xlfn.CONCAT("W156-", RIGHT(F252, LEN(F252) - FIND("-", F252))), _xlfn.CONCAT("W156-", RIGHT(H252, LEN(H252) - FIND("-", H252)))))</f>
        <v>W156</v>
      </c>
      <c r="G288" s="170"/>
      <c r="H288" s="134" t="str">
        <f>IF(G254 = "", "W164", IF(G254 &gt; I254, _xlfn.CONCAT("W164-", RIGHT(F254, LEN(F254) - FIND("-", F254))), _xlfn.CONCAT("W164-", RIGHT(H254, LEN(H254) - FIND("-", H254)))))</f>
        <v>W164</v>
      </c>
      <c r="I288" s="170"/>
      <c r="J288" s="134" t="s">
        <v>411</v>
      </c>
      <c r="K288" s="134" t="s">
        <v>412</v>
      </c>
      <c r="L288" s="134" t="str">
        <f>$L$15&amp;"-"&amp;TEXT(E288,"000")</f>
        <v>16G-175</v>
      </c>
      <c r="M288" s="109"/>
      <c r="N288" s="109"/>
      <c r="O288" s="109" t="str">
        <f>$L$262&amp;C288</f>
        <v>au_17th</v>
      </c>
      <c r="P288" s="109"/>
      <c r="Q288" s="109"/>
      <c r="R288" s="109"/>
      <c r="S288" s="109"/>
      <c r="T288" s="109"/>
      <c r="U288" s="109"/>
      <c r="V288" s="109"/>
      <c r="W288" s="109"/>
      <c r="X288" s="109"/>
      <c r="Y288" s="109"/>
      <c r="Z288" s="109"/>
    </row>
    <row r="289" spans="1:26" ht="13.5" customHeight="1" thickBot="1">
      <c r="A289" s="195"/>
      <c r="B289" s="106"/>
      <c r="C289" s="106"/>
      <c r="D289" s="106"/>
      <c r="E289" s="106"/>
      <c r="F289" s="106"/>
      <c r="G289" s="110"/>
      <c r="H289" s="106"/>
      <c r="I289" s="110"/>
      <c r="J289" s="106"/>
      <c r="K289" s="106"/>
      <c r="L289" s="106"/>
      <c r="M289" s="109"/>
      <c r="N289" s="109"/>
      <c r="O289" s="109"/>
      <c r="P289" s="109"/>
      <c r="Q289" s="109"/>
      <c r="R289" s="109"/>
      <c r="S289" s="109"/>
      <c r="T289" s="109"/>
      <c r="U289" s="109"/>
      <c r="V289" s="109"/>
      <c r="W289" s="109"/>
      <c r="X289" s="109"/>
      <c r="Y289" s="109"/>
      <c r="Z289" s="109"/>
    </row>
    <row r="290" spans="1:26" ht="13.5" customHeight="1" thickBot="1">
      <c r="A290" s="106"/>
      <c r="B290" s="106"/>
      <c r="C290" s="106"/>
      <c r="D290" s="150" t="str">
        <f>'CHICLETS MASTER S1'!$AN$72</f>
        <v>LONG BEACH CC 1</v>
      </c>
      <c r="E290" s="106"/>
      <c r="F290" s="106"/>
      <c r="G290" s="110"/>
      <c r="H290" s="106"/>
      <c r="I290" s="110"/>
      <c r="J290" s="106"/>
      <c r="K290" s="106"/>
      <c r="L290" s="106"/>
      <c r="M290" s="109"/>
      <c r="N290" s="109"/>
      <c r="O290" s="109"/>
      <c r="P290" s="109"/>
      <c r="Q290" s="109"/>
      <c r="R290" s="109"/>
      <c r="S290" s="109"/>
      <c r="T290" s="109"/>
      <c r="U290" s="109"/>
      <c r="V290" s="109"/>
      <c r="W290" s="109"/>
      <c r="X290" s="109"/>
      <c r="Y290" s="109"/>
      <c r="Z290" s="109"/>
    </row>
    <row r="291" spans="1:26" ht="13.5" customHeight="1">
      <c r="A291" s="189" t="s">
        <v>110</v>
      </c>
      <c r="B291" s="189" t="s">
        <v>111</v>
      </c>
      <c r="C291" s="189" t="s">
        <v>112</v>
      </c>
      <c r="D291" s="189" t="s">
        <v>113</v>
      </c>
      <c r="E291" s="189" t="s">
        <v>114</v>
      </c>
      <c r="F291" s="189" t="s">
        <v>115</v>
      </c>
      <c r="G291" s="189" t="s">
        <v>116</v>
      </c>
      <c r="H291" s="189" t="s">
        <v>117</v>
      </c>
      <c r="I291" s="189" t="s">
        <v>116</v>
      </c>
      <c r="J291" s="189" t="s">
        <v>118</v>
      </c>
      <c r="K291" s="189" t="s">
        <v>119</v>
      </c>
      <c r="L291" s="189" t="s">
        <v>120</v>
      </c>
      <c r="M291" s="109"/>
      <c r="N291" s="109"/>
      <c r="O291" s="109"/>
      <c r="P291" s="109"/>
      <c r="Q291" s="109"/>
      <c r="R291" s="109"/>
      <c r="S291" s="109"/>
      <c r="T291" s="109"/>
      <c r="U291" s="109"/>
      <c r="V291" s="109"/>
      <c r="W291" s="109"/>
      <c r="X291" s="109"/>
      <c r="Y291" s="109"/>
      <c r="Z291" s="109"/>
    </row>
    <row r="292" spans="1:26" ht="13.5" customHeight="1">
      <c r="A292" s="155">
        <f t="shared" si="90"/>
        <v>46224</v>
      </c>
      <c r="B292" s="156">
        <f>'CHICLETS MASTER S1'!AL73</f>
        <v>0.29166666666666669</v>
      </c>
      <c r="C292" s="122" t="s">
        <v>409</v>
      </c>
      <c r="D292" s="122" t="str">
        <f>$D$290</f>
        <v>LONG BEACH CC 1</v>
      </c>
      <c r="E292" s="122">
        <v>176</v>
      </c>
      <c r="F292" s="134" t="str">
        <f>IF(G252 = "", "L156", IF(G252 &lt; I252, _xlfn.CONCAT("L156-", RIGHT(F252, LEN(F252) - FIND("-", F252))), _xlfn.CONCAT("L156-", RIGHT(H252, LEN(H252) - FIND("-", H252)))))</f>
        <v>L156</v>
      </c>
      <c r="G292" s="170"/>
      <c r="H292" s="134" t="str">
        <f>IF(G254 = "", "L164", IF(G254 &lt; I254, _xlfn.CONCAT("L164-", RIGHT(F254, LEN(F254) - FIND("-", F254))), _xlfn.CONCAT("L164-", RIGHT(H254, LEN(H254) - FIND("-", H254)))))</f>
        <v>L164</v>
      </c>
      <c r="I292" s="170"/>
      <c r="J292" s="134" t="s">
        <v>409</v>
      </c>
      <c r="K292" s="134" t="s">
        <v>410</v>
      </c>
      <c r="L292" s="134" t="str">
        <f t="shared" ref="L292:L298" si="91">$L$15&amp;"-"&amp;TEXT(E292,"000")</f>
        <v>16G-176</v>
      </c>
      <c r="M292" s="109"/>
      <c r="N292" s="109"/>
      <c r="O292" s="109" t="str">
        <f t="shared" ref="O292:O298" si="92">$L$262&amp;C292</f>
        <v>au_19th</v>
      </c>
      <c r="P292" s="109"/>
      <c r="Q292" s="109"/>
      <c r="R292" s="109"/>
      <c r="S292" s="109"/>
      <c r="T292" s="109"/>
      <c r="U292" s="109"/>
      <c r="V292" s="109"/>
      <c r="W292" s="109"/>
      <c r="X292" s="109"/>
      <c r="Y292" s="109"/>
      <c r="Z292" s="109"/>
    </row>
    <row r="293" spans="1:26" ht="13.5" customHeight="1">
      <c r="A293" s="155">
        <f t="shared" si="90"/>
        <v>46224</v>
      </c>
      <c r="B293" s="156">
        <f>'CHICLETS MASTER S1'!AL74</f>
        <v>0.33333333333333298</v>
      </c>
      <c r="C293" s="122" t="s">
        <v>224</v>
      </c>
      <c r="D293" s="122" t="str">
        <f>$D$290</f>
        <v>LONG BEACH CC 1</v>
      </c>
      <c r="E293" s="122">
        <v>171</v>
      </c>
      <c r="F293" s="134" t="str">
        <f>IF(G231 = "", "W139", IF(G231 &gt; I231, _xlfn.CONCAT("W139-", RIGHT(F231, LEN(F231) - FIND("-", F231))), _xlfn.CONCAT("W139-", RIGHT(H231, LEN(H231) - FIND("-", H231)))))</f>
        <v>W139</v>
      </c>
      <c r="G293" s="170"/>
      <c r="H293" s="134" t="str">
        <f>IF(G236 = "", "W159", IF(G236 &gt; I236, _xlfn.CONCAT("W159-", RIGHT(F236, LEN(F236) - FIND("-", F236))), _xlfn.CONCAT("W159-", RIGHT(H236, LEN(H236) - FIND("-", H236)))))</f>
        <v>W159</v>
      </c>
      <c r="I293" s="170"/>
      <c r="J293" s="134">
        <v>190</v>
      </c>
      <c r="K293" s="134">
        <v>189</v>
      </c>
      <c r="L293" s="134" t="str">
        <f t="shared" si="91"/>
        <v>16G-171</v>
      </c>
      <c r="M293" s="109"/>
      <c r="N293" s="109"/>
      <c r="O293" s="109" t="str">
        <f t="shared" si="92"/>
        <v>au_semi</v>
      </c>
      <c r="P293" s="109"/>
      <c r="Q293" s="109"/>
      <c r="R293" s="109"/>
      <c r="S293" s="109"/>
      <c r="T293" s="109"/>
      <c r="U293" s="109"/>
      <c r="V293" s="109"/>
      <c r="W293" s="109"/>
      <c r="X293" s="109"/>
      <c r="Y293" s="109"/>
      <c r="Z293" s="109"/>
    </row>
    <row r="294" spans="1:26" ht="13.5" customHeight="1">
      <c r="A294" s="155">
        <f t="shared" si="90"/>
        <v>46224</v>
      </c>
      <c r="B294" s="156">
        <f>'CHICLETS MASTER S1'!AL75</f>
        <v>0.375</v>
      </c>
      <c r="C294" s="122" t="s">
        <v>224</v>
      </c>
      <c r="D294" s="122" t="str">
        <f>$D$290</f>
        <v>LONG BEACH CC 1</v>
      </c>
      <c r="E294" s="122">
        <v>172</v>
      </c>
      <c r="F294" s="134" t="str">
        <f>IF(G230 = "", "W135", IF(G230 &gt; I230, _xlfn.CONCAT("W135-", RIGHT(F230, LEN(F230) - FIND("-", F230))), _xlfn.CONCAT("W135-", RIGHT(H230, LEN(H230) - FIND("-", H230)))))</f>
        <v>W135</v>
      </c>
      <c r="G294" s="170"/>
      <c r="H294" s="134" t="str">
        <f>IF(G237 = "", "W163", IF(G237 &gt; I237, _xlfn.CONCAT("W163-", RIGHT(F237, LEN(F237) - FIND("-", F237))), _xlfn.CONCAT("W163-", RIGHT(H237, LEN(H237) - FIND("-", H237)))))</f>
        <v>W163</v>
      </c>
      <c r="I294" s="170"/>
      <c r="J294" s="134">
        <v>190</v>
      </c>
      <c r="K294" s="134">
        <v>189</v>
      </c>
      <c r="L294" s="134" t="str">
        <f t="shared" si="91"/>
        <v>16G-172</v>
      </c>
      <c r="M294" s="109"/>
      <c r="N294" s="109"/>
      <c r="O294" s="109" t="str">
        <f t="shared" si="92"/>
        <v>au_semi</v>
      </c>
      <c r="P294" s="109"/>
      <c r="Q294" s="109"/>
      <c r="R294" s="109"/>
      <c r="S294" s="109"/>
      <c r="T294" s="109"/>
      <c r="U294" s="109"/>
      <c r="V294" s="109"/>
      <c r="W294" s="109"/>
      <c r="X294" s="109"/>
      <c r="Y294" s="109"/>
      <c r="Z294" s="109"/>
    </row>
    <row r="295" spans="1:26" ht="13.5" customHeight="1">
      <c r="A295" s="155">
        <f t="shared" si="87"/>
        <v>46224</v>
      </c>
      <c r="B295" s="156">
        <f>'CHICLETS MASTER S1'!AL76</f>
        <v>0.41666666666666702</v>
      </c>
      <c r="C295" s="122" t="s">
        <v>220</v>
      </c>
      <c r="D295" s="122" t="str">
        <f t="shared" ref="D295:D297" si="93">$D$290</f>
        <v>LONG BEACH CC 1</v>
      </c>
      <c r="E295" s="122">
        <v>188</v>
      </c>
      <c r="F295" s="134" t="str">
        <f>IF(G232 = "", "L143", IF(G232 &lt; I232, _xlfn.CONCAT("L143-", RIGHT(F232, LEN(F232) - FIND("-", F232))), _xlfn.CONCAT("L143-", RIGHT(H232, LEN(H232) - FIND("-", H232)))))</f>
        <v>L143</v>
      </c>
      <c r="G295" s="170"/>
      <c r="H295" s="134" t="str">
        <f>IF(G233 = "", "L147", IF(G233 &lt; I233, _xlfn.CONCAT("L147-", RIGHT(F233, LEN(F233) - FIND("-", F233))), _xlfn.CONCAT("L147-", RIGHT(H233, LEN(H233) - FIND("-", H233)))))</f>
        <v>L147</v>
      </c>
      <c r="I295" s="170"/>
      <c r="J295" s="134" t="s">
        <v>220</v>
      </c>
      <c r="K295" s="134" t="s">
        <v>221</v>
      </c>
      <c r="L295" s="134" t="str">
        <f>$L$15&amp;"-"&amp;TEXT(E295,"000")</f>
        <v>16G-188</v>
      </c>
      <c r="M295" s="109"/>
      <c r="N295" s="109"/>
      <c r="O295" s="109" t="str">
        <f>$L$262&amp;C295</f>
        <v>au_7th</v>
      </c>
      <c r="P295" s="109"/>
      <c r="Q295" s="109"/>
      <c r="R295" s="109"/>
      <c r="S295" s="109"/>
      <c r="T295" s="109"/>
      <c r="U295" s="109"/>
      <c r="V295" s="109"/>
      <c r="W295" s="109"/>
      <c r="X295" s="109"/>
      <c r="Y295" s="109"/>
      <c r="Z295" s="109"/>
    </row>
    <row r="296" spans="1:26" ht="13.5" customHeight="1">
      <c r="A296" s="155">
        <f t="shared" si="87"/>
        <v>46224</v>
      </c>
      <c r="B296" s="156">
        <f>'CHICLETS MASTER S1'!AL77</f>
        <v>0.45833333333333298</v>
      </c>
      <c r="C296" s="122" t="s">
        <v>206</v>
      </c>
      <c r="D296" s="122" t="str">
        <f t="shared" si="93"/>
        <v>LONG BEACH CC 1</v>
      </c>
      <c r="E296" s="122">
        <v>187</v>
      </c>
      <c r="F296" s="134" t="str">
        <f>IF(G236 = "", "L159", IF(G236 &lt; I236, _xlfn.CONCAT("L159-", RIGHT(F236, LEN(F236) - FIND("-", F236))), _xlfn.CONCAT("L159-", RIGHT(H236, LEN(H236) - FIND("-", H236)))))</f>
        <v>L159</v>
      </c>
      <c r="G296" s="170"/>
      <c r="H296" s="134" t="str">
        <f>IF(G237 = "", "L163", IF(G237 &lt; I237, _xlfn.CONCAT("L163-", RIGHT(F237, LEN(F237) - FIND("-", F237))), _xlfn.CONCAT("L163-", RIGHT(H237, LEN(H237) - FIND("-", H237)))))</f>
        <v>L163</v>
      </c>
      <c r="I296" s="170"/>
      <c r="J296" s="134" t="s">
        <v>206</v>
      </c>
      <c r="K296" s="134" t="s">
        <v>209</v>
      </c>
      <c r="L296" s="134" t="str">
        <f>$L$15&amp;"-"&amp;TEXT(E296,"000")</f>
        <v>16G-187</v>
      </c>
      <c r="M296" s="109"/>
      <c r="N296" s="109"/>
      <c r="O296" s="109" t="str">
        <f>$L$262&amp;C296</f>
        <v>au_5th</v>
      </c>
      <c r="P296" s="109"/>
      <c r="Q296" s="109"/>
      <c r="R296" s="109"/>
      <c r="S296" s="109"/>
      <c r="T296" s="109"/>
      <c r="U296" s="109"/>
      <c r="V296" s="109"/>
      <c r="W296" s="109"/>
      <c r="X296" s="109"/>
      <c r="Y296" s="109"/>
      <c r="Z296" s="109"/>
    </row>
    <row r="297" spans="1:26" ht="13.5" customHeight="1">
      <c r="A297" s="197">
        <f t="shared" si="90"/>
        <v>46224</v>
      </c>
      <c r="B297" s="156">
        <f>'CHICLETS MASTER S1'!AL78</f>
        <v>0.5</v>
      </c>
      <c r="C297" s="176" t="s">
        <v>210</v>
      </c>
      <c r="D297" s="122" t="str">
        <f t="shared" si="93"/>
        <v>LONG BEACH CC 1</v>
      </c>
      <c r="E297" s="122">
        <v>189</v>
      </c>
      <c r="F297" s="134" t="str">
        <f>IF(G293 = "", "L171", IF(G293 &lt; I293, _xlfn.CONCAT("L171-", RIGHT(F293, LEN(F293) - FIND("-", F293))), _xlfn.CONCAT("L171-", RIGHT(H293, LEN(H293) - FIND("-", H293)))))</f>
        <v>L171</v>
      </c>
      <c r="G297" s="170"/>
      <c r="H297" s="134" t="str">
        <f>IF(G294 = "", "L172", IF(G294 &lt; I294, _xlfn.CONCAT("L172-", RIGHT(F294, LEN(F294) - FIND("-", F294))), _xlfn.CONCAT("L172-", RIGHT(H294, LEN(H294) - FIND("-", H294)))))</f>
        <v>L172</v>
      </c>
      <c r="I297" s="170"/>
      <c r="J297" s="134" t="s">
        <v>210</v>
      </c>
      <c r="K297" s="134" t="s">
        <v>213</v>
      </c>
      <c r="L297" s="134" t="str">
        <f t="shared" si="91"/>
        <v>16G-189</v>
      </c>
      <c r="M297" s="109"/>
      <c r="N297" s="109"/>
      <c r="O297" s="109" t="str">
        <f t="shared" si="92"/>
        <v>au_3rd</v>
      </c>
      <c r="P297" s="109"/>
      <c r="Q297" s="109"/>
      <c r="R297" s="109"/>
      <c r="S297" s="109"/>
      <c r="T297" s="109"/>
      <c r="U297" s="109"/>
      <c r="V297" s="109"/>
      <c r="W297" s="109"/>
      <c r="X297" s="109"/>
      <c r="Y297" s="109"/>
      <c r="Z297" s="109"/>
    </row>
    <row r="298" spans="1:26" ht="13.5" customHeight="1">
      <c r="A298" s="155">
        <f t="shared" si="90"/>
        <v>46224</v>
      </c>
      <c r="B298" s="156">
        <f>'CHICLETS MASTER S1'!AL79</f>
        <v>0.54166666666666696</v>
      </c>
      <c r="C298" s="122" t="s">
        <v>214</v>
      </c>
      <c r="D298" s="122" t="str">
        <f>$D$290</f>
        <v>LONG BEACH CC 1</v>
      </c>
      <c r="E298" s="122">
        <v>190</v>
      </c>
      <c r="F298" s="134" t="str">
        <f>IF(G293 = "", "W171", IF(G293 &gt; I293, _xlfn.CONCAT("W171-", RIGHT(F293, LEN(F293) - FIND("-", F293))), _xlfn.CONCAT("W171-", RIGHT(H293, LEN(H293) - FIND("-", H293)))))</f>
        <v>W171</v>
      </c>
      <c r="G298" s="170"/>
      <c r="H298" s="134" t="str">
        <f>IF(G294 = "", "W172", IF(G294 &gt; I294, _xlfn.CONCAT("W172-", RIGHT(F294, LEN(F294) - FIND("-", F294))), _xlfn.CONCAT("W172-", RIGHT(H294, LEN(H294) - FIND("-", H294)))))</f>
        <v>W172</v>
      </c>
      <c r="I298" s="170"/>
      <c r="J298" s="134" t="s">
        <v>214</v>
      </c>
      <c r="K298" s="134" t="s">
        <v>217</v>
      </c>
      <c r="L298" s="134" t="str">
        <f t="shared" si="91"/>
        <v>16G-190</v>
      </c>
      <c r="M298" s="109"/>
      <c r="N298" s="109"/>
      <c r="O298" s="109" t="str">
        <f t="shared" si="92"/>
        <v>au_1st</v>
      </c>
      <c r="P298" s="109"/>
      <c r="Q298" s="109"/>
      <c r="R298" s="109"/>
      <c r="S298" s="109"/>
      <c r="T298" s="109"/>
      <c r="U298" s="109"/>
      <c r="V298" s="109"/>
      <c r="W298" s="109"/>
      <c r="X298" s="109"/>
      <c r="Y298" s="109"/>
      <c r="Z298" s="109"/>
    </row>
    <row r="299" spans="1:26" ht="13.5" customHeight="1">
      <c r="A299" s="155">
        <f t="shared" si="87"/>
        <v>46224</v>
      </c>
      <c r="B299" s="156">
        <f>'CHICLETS MASTER S1'!AL80</f>
        <v>0.58333333333333304</v>
      </c>
      <c r="C299" s="122" t="s">
        <v>222</v>
      </c>
      <c r="D299" s="122" t="str">
        <f>$D$290</f>
        <v>LONG BEACH CC 1</v>
      </c>
      <c r="E299" s="122">
        <v>183</v>
      </c>
      <c r="F299" s="134" t="str">
        <f>IF(G234 = "", "W151", IF(G234 &gt; I234, _xlfn.CONCAT("W151-", RIGHT(F234, LEN(F234) - FIND("-", F234))), _xlfn.CONCAT("W151-", RIGHT(H234, LEN(H234) - FIND("-", H234)))))</f>
        <v>W151</v>
      </c>
      <c r="G299" s="170"/>
      <c r="H299" s="134" t="str">
        <f>IF(G235 = "", "W155", IF(G235 &gt; I235, _xlfn.CONCAT("W155-", RIGHT(F235, LEN(F235) - FIND("-", F235))), _xlfn.CONCAT("W155-", RIGHT(H235, LEN(H235) - FIND("-", H235)))))</f>
        <v>W155</v>
      </c>
      <c r="I299" s="170"/>
      <c r="J299" s="134" t="s">
        <v>222</v>
      </c>
      <c r="K299" s="134" t="s">
        <v>223</v>
      </c>
      <c r="L299" s="134" t="str">
        <f>$L$15&amp;"-"&amp;TEXT(E299,"000")</f>
        <v>16G-183</v>
      </c>
      <c r="M299" s="109"/>
      <c r="N299" s="109"/>
      <c r="O299" s="109" t="str">
        <f>$L$262&amp;C299</f>
        <v>au_9th</v>
      </c>
      <c r="P299" s="109"/>
      <c r="Q299" s="109"/>
      <c r="R299" s="109"/>
      <c r="S299" s="109"/>
      <c r="T299" s="109"/>
      <c r="U299" s="109"/>
      <c r="V299" s="109"/>
      <c r="W299" s="109"/>
      <c r="X299" s="109"/>
      <c r="Y299" s="109"/>
      <c r="Z299" s="109"/>
    </row>
    <row r="300" spans="1:26" ht="13.5" customHeight="1" thickBot="1">
      <c r="A300" s="106"/>
      <c r="B300" s="106"/>
      <c r="C300" s="106"/>
      <c r="D300" s="106"/>
      <c r="E300" s="106"/>
      <c r="F300" s="106"/>
      <c r="G300" s="110"/>
      <c r="H300" s="106"/>
      <c r="I300" s="110"/>
      <c r="J300" s="106"/>
      <c r="K300" s="106"/>
      <c r="L300" s="106"/>
      <c r="M300" s="109"/>
      <c r="N300" s="109"/>
      <c r="O300" s="109"/>
      <c r="P300" s="109"/>
      <c r="Q300" s="109"/>
      <c r="R300" s="109"/>
      <c r="S300" s="109"/>
      <c r="T300" s="109"/>
      <c r="U300" s="109"/>
      <c r="V300" s="109"/>
      <c r="W300" s="109"/>
      <c r="X300" s="109"/>
      <c r="Y300" s="109"/>
      <c r="Z300" s="109"/>
    </row>
    <row r="301" spans="1:26" ht="13.5" customHeight="1" thickBot="1">
      <c r="A301" s="106"/>
      <c r="B301" s="106"/>
      <c r="C301" s="106"/>
      <c r="D301" s="150" t="str">
        <f>'CHICLETS MASTER S1'!$B$84</f>
        <v>WOOLLETT LEFT</v>
      </c>
      <c r="E301" s="106"/>
      <c r="F301" s="106"/>
      <c r="G301" s="110"/>
      <c r="H301" s="106"/>
      <c r="I301" s="110"/>
      <c r="J301" s="106"/>
      <c r="K301" s="106"/>
      <c r="L301" s="106"/>
      <c r="M301" s="109"/>
      <c r="N301" s="109"/>
      <c r="O301" s="109"/>
      <c r="P301" s="109"/>
      <c r="Q301" s="109"/>
      <c r="R301" s="109"/>
      <c r="S301" s="109"/>
      <c r="T301" s="109"/>
      <c r="U301" s="109"/>
      <c r="V301" s="109"/>
      <c r="W301" s="109"/>
      <c r="X301" s="109"/>
      <c r="Y301" s="109"/>
      <c r="Z301" s="109"/>
    </row>
    <row r="302" spans="1:26" ht="13.5" customHeight="1">
      <c r="A302" s="189" t="s">
        <v>110</v>
      </c>
      <c r="B302" s="189" t="s">
        <v>111</v>
      </c>
      <c r="C302" s="189" t="s">
        <v>112</v>
      </c>
      <c r="D302" s="189" t="s">
        <v>113</v>
      </c>
      <c r="E302" s="189" t="s">
        <v>114</v>
      </c>
      <c r="F302" s="189" t="s">
        <v>115</v>
      </c>
      <c r="G302" s="189" t="s">
        <v>116</v>
      </c>
      <c r="H302" s="189" t="s">
        <v>117</v>
      </c>
      <c r="I302" s="189" t="s">
        <v>116</v>
      </c>
      <c r="J302" s="189" t="s">
        <v>118</v>
      </c>
      <c r="K302" s="189" t="s">
        <v>119</v>
      </c>
      <c r="L302" s="189" t="s">
        <v>120</v>
      </c>
      <c r="M302" s="109"/>
      <c r="N302" s="109"/>
      <c r="O302" s="109"/>
      <c r="P302" s="109"/>
      <c r="Q302" s="109"/>
      <c r="R302" s="109"/>
      <c r="S302" s="109"/>
      <c r="T302" s="109"/>
      <c r="U302" s="109"/>
      <c r="V302" s="109"/>
      <c r="W302" s="109"/>
      <c r="X302" s="109"/>
      <c r="Y302" s="109"/>
      <c r="Z302" s="109"/>
    </row>
    <row r="303" spans="1:26" ht="13.5" customHeight="1">
      <c r="A303" s="155">
        <f>$A$262</f>
        <v>46224</v>
      </c>
      <c r="B303" s="177">
        <v>0.65625</v>
      </c>
      <c r="C303" s="122" t="s">
        <v>210</v>
      </c>
      <c r="D303" s="122" t="str">
        <f>$D$301</f>
        <v>WOOLLETT LEFT</v>
      </c>
      <c r="E303" s="122">
        <v>191</v>
      </c>
      <c r="F303" s="169" t="str">
        <f>IF(G267 = "", "L173", IF(G267 &lt; I267, _xlfn.CONCAT("L173-", RIGHT(F267, LEN(F267) - FIND("-", F267))), _xlfn.CONCAT("L173-", RIGHT(H267, LEN(H267) - FIND("-", H267)))))</f>
        <v>L173</v>
      </c>
      <c r="G303" s="171"/>
      <c r="H303" s="169" t="str">
        <f>IF(G268 = "", "L174", IF(G268 &lt; I268, _xlfn.CONCAT("L174-", RIGHT(F268, LEN(F268) - FIND("-", F268))), _xlfn.CONCAT("L174-", RIGHT(H268, LEN(H268) - FIND("-", H268)))))</f>
        <v>L174</v>
      </c>
      <c r="I303" s="171"/>
      <c r="J303" s="169" t="s">
        <v>210</v>
      </c>
      <c r="K303" s="169" t="s">
        <v>213</v>
      </c>
      <c r="L303" s="169" t="str">
        <f>$L$15&amp;"-"&amp;TEXT(E303,"000")</f>
        <v>16G-191</v>
      </c>
      <c r="M303" s="109"/>
      <c r="N303" s="109"/>
      <c r="O303" s="109" t="str">
        <f>$K$262&amp;C303</f>
        <v>pt_3rd</v>
      </c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</row>
    <row r="304" spans="1:26" ht="13.5" customHeight="1" thickBot="1">
      <c r="A304" s="109"/>
      <c r="B304" s="109"/>
      <c r="C304" s="109"/>
      <c r="D304" s="109"/>
      <c r="E304" s="109"/>
      <c r="F304" s="109"/>
      <c r="G304" s="161"/>
      <c r="H304" s="109"/>
      <c r="I304" s="109"/>
      <c r="J304" s="109"/>
      <c r="K304" s="109"/>
      <c r="L304" s="109"/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109"/>
      <c r="Y304" s="109"/>
      <c r="Z304" s="109"/>
    </row>
    <row r="305" spans="1:26" ht="13.5" customHeight="1" thickBot="1">
      <c r="A305" s="106"/>
      <c r="B305" s="106"/>
      <c r="C305" s="106"/>
      <c r="D305" s="150" t="str">
        <f>'CHICLETS MASTER S1'!$C$84</f>
        <v>WOOLLETT RIGHT</v>
      </c>
      <c r="E305" s="109"/>
      <c r="F305" s="109"/>
      <c r="G305" s="109"/>
      <c r="H305" s="109"/>
      <c r="I305" s="109"/>
      <c r="J305" s="109"/>
      <c r="K305" s="109"/>
      <c r="L305" s="109"/>
      <c r="M305" s="109"/>
      <c r="N305" s="109"/>
      <c r="O305" s="109"/>
      <c r="P305" s="109"/>
      <c r="Q305" s="109"/>
      <c r="R305" s="109"/>
      <c r="S305" s="109"/>
      <c r="T305" s="109"/>
      <c r="U305" s="109"/>
      <c r="V305" s="109"/>
      <c r="W305" s="109"/>
      <c r="X305" s="109"/>
      <c r="Y305" s="109"/>
      <c r="Z305" s="109"/>
    </row>
    <row r="306" spans="1:26" ht="13.5" customHeight="1">
      <c r="A306" s="189" t="s">
        <v>110</v>
      </c>
      <c r="B306" s="189" t="s">
        <v>111</v>
      </c>
      <c r="C306" s="189" t="s">
        <v>112</v>
      </c>
      <c r="D306" s="189" t="s">
        <v>113</v>
      </c>
      <c r="E306" s="189" t="s">
        <v>114</v>
      </c>
      <c r="F306" s="189" t="s">
        <v>115</v>
      </c>
      <c r="G306" s="189" t="s">
        <v>116</v>
      </c>
      <c r="H306" s="189" t="s">
        <v>117</v>
      </c>
      <c r="I306" s="189" t="s">
        <v>116</v>
      </c>
      <c r="J306" s="189" t="s">
        <v>118</v>
      </c>
      <c r="K306" s="189" t="s">
        <v>119</v>
      </c>
      <c r="L306" s="189" t="s">
        <v>120</v>
      </c>
      <c r="M306" s="109"/>
      <c r="N306" s="109"/>
      <c r="O306" s="109"/>
      <c r="P306" s="109"/>
      <c r="Q306" s="109"/>
      <c r="R306" s="109"/>
      <c r="S306" s="109"/>
      <c r="T306" s="109"/>
      <c r="U306" s="109"/>
      <c r="V306" s="109"/>
      <c r="W306" s="109"/>
      <c r="X306" s="109"/>
      <c r="Y306" s="109"/>
      <c r="Z306" s="109"/>
    </row>
    <row r="307" spans="1:26" ht="13.5" customHeight="1">
      <c r="A307" s="155">
        <f>$A$262</f>
        <v>46224</v>
      </c>
      <c r="B307" s="177">
        <v>0.65625</v>
      </c>
      <c r="C307" s="122" t="s">
        <v>214</v>
      </c>
      <c r="D307" s="122" t="str">
        <f>$D$305</f>
        <v>WOOLLETT RIGHT</v>
      </c>
      <c r="E307" s="122">
        <v>192</v>
      </c>
      <c r="F307" s="169" t="str">
        <f>IF(G267 = "", "W173", IF(G267 &gt; I267, _xlfn.CONCAT("W173-", RIGHT(F267, LEN(F267) - FIND("-", F267))), _xlfn.CONCAT("W173-", RIGHT(H267, LEN(H267) - FIND("-", H267)))))</f>
        <v>W173</v>
      </c>
      <c r="G307" s="171"/>
      <c r="H307" s="169" t="str">
        <f>IF(G268 = "", "W174", IF(G268 &gt; I268, _xlfn.CONCAT("W174-", RIGHT(F268, LEN(F268) - FIND("-", F268))), _xlfn.CONCAT("W174-", RIGHT(H268, LEN(H268) - FIND("-", H268)))))</f>
        <v>W174</v>
      </c>
      <c r="I307" s="171"/>
      <c r="J307" s="169" t="s">
        <v>214</v>
      </c>
      <c r="K307" s="169" t="s">
        <v>217</v>
      </c>
      <c r="L307" s="169" t="str">
        <f>$L$15&amp;"-"&amp;TEXT(E307,"000")</f>
        <v>16G-192</v>
      </c>
      <c r="M307" s="109"/>
      <c r="N307" s="109"/>
      <c r="O307" s="109" t="str">
        <f>$K$262&amp;C307</f>
        <v>pt_1st</v>
      </c>
      <c r="P307" s="109"/>
      <c r="Q307" s="109"/>
      <c r="R307" s="109"/>
      <c r="S307" s="109"/>
      <c r="T307" s="109"/>
      <c r="U307" s="109"/>
      <c r="V307" s="109"/>
      <c r="W307" s="109"/>
      <c r="X307" s="109"/>
      <c r="Y307" s="109"/>
      <c r="Z307" s="109"/>
    </row>
    <row r="308" spans="1:26" ht="13.5" customHeight="1">
      <c r="A308" s="109"/>
      <c r="B308" s="109"/>
      <c r="C308" s="109"/>
      <c r="D308" s="109"/>
      <c r="E308" s="109"/>
      <c r="F308" s="109"/>
      <c r="G308" s="161"/>
      <c r="H308" s="109"/>
      <c r="I308" s="109"/>
      <c r="J308" s="109"/>
      <c r="K308" s="109"/>
      <c r="L308" s="109"/>
      <c r="M308" s="109"/>
      <c r="N308" s="109"/>
      <c r="O308" s="109"/>
      <c r="P308" s="109"/>
      <c r="Q308" s="109"/>
      <c r="R308" s="109"/>
      <c r="S308" s="109"/>
      <c r="T308" s="109"/>
      <c r="U308" s="109"/>
      <c r="V308" s="109"/>
      <c r="W308" s="109"/>
      <c r="X308" s="109"/>
      <c r="Y308" s="109"/>
      <c r="Z308" s="109"/>
    </row>
    <row r="309" spans="1:26" ht="13.5" customHeight="1">
      <c r="A309" s="169" t="s">
        <v>225</v>
      </c>
      <c r="B309" s="109"/>
      <c r="C309" s="134" t="s">
        <v>226</v>
      </c>
      <c r="D309" s="109"/>
      <c r="E309" s="109"/>
      <c r="F309" s="109"/>
      <c r="G309" s="161"/>
      <c r="H309" s="109"/>
      <c r="I309" s="109"/>
      <c r="J309" s="109"/>
      <c r="K309" s="109"/>
      <c r="L309" s="109"/>
      <c r="M309" s="109"/>
      <c r="N309" s="109"/>
      <c r="O309" s="109"/>
      <c r="P309" s="109"/>
      <c r="Q309" s="109"/>
      <c r="R309" s="109"/>
      <c r="S309" s="109"/>
      <c r="T309" s="109"/>
      <c r="U309" s="109"/>
      <c r="V309" s="109"/>
      <c r="W309" s="109"/>
      <c r="X309" s="109"/>
      <c r="Y309" s="109"/>
      <c r="Z309" s="109"/>
    </row>
    <row r="310" spans="1:26" ht="13.5" customHeight="1">
      <c r="A310" s="169" t="s">
        <v>214</v>
      </c>
      <c r="B310" s="178" t="str">
        <f>IF(G307 = "", "W192", IF(G307 &gt; I307, _xlfn.CONCAT("W192-", RIGHT(F307, LEN(F307) - FIND("-", F307))), _xlfn.CONCAT("W192-", RIGHT(H307, LEN(H307) - FIND("-", H307)))))</f>
        <v>W192</v>
      </c>
      <c r="C310" s="134" t="s">
        <v>214</v>
      </c>
      <c r="D310" s="179" t="str">
        <f>IF(G298 = "", "W190", IF(G298 &gt; I298, _xlfn.CONCAT("W190-", RIGHT(F298, LEN(F298) - FIND("-", F298))), _xlfn.CONCAT("W190-", RIGHT(H298, LEN(H298) - FIND("-", H298)))))</f>
        <v>W190</v>
      </c>
      <c r="E310" s="109"/>
      <c r="F310" s="109"/>
      <c r="G310" s="161"/>
      <c r="H310" s="109"/>
      <c r="I310" s="109"/>
      <c r="J310" s="109"/>
      <c r="K310" s="109"/>
      <c r="L310" s="109"/>
      <c r="M310" s="109"/>
      <c r="N310" s="109"/>
      <c r="O310" s="109"/>
      <c r="P310" s="109"/>
      <c r="Q310" s="109"/>
      <c r="R310" s="109"/>
      <c r="S310" s="109"/>
      <c r="T310" s="109"/>
      <c r="U310" s="109"/>
      <c r="V310" s="109"/>
      <c r="W310" s="109"/>
      <c r="X310" s="109"/>
      <c r="Y310" s="109"/>
      <c r="Z310" s="109"/>
    </row>
    <row r="311" spans="1:26" ht="13.5" customHeight="1">
      <c r="A311" s="169" t="s">
        <v>217</v>
      </c>
      <c r="B311" s="180" t="str">
        <f>IF(G307 = "", "L192", IF(G307 &lt; I307, _xlfn.CONCAT("L192-", RIGHT(F307, LEN(F307) - FIND("-", F307))), _xlfn.CONCAT("L192-", RIGHT(H307, LEN(H307) - FIND("-", H307)))))</f>
        <v>L192</v>
      </c>
      <c r="C311" s="134" t="s">
        <v>217</v>
      </c>
      <c r="D311" s="178" t="str">
        <f>IF(G298 = "", "L190", IF(G298 &lt; I298, _xlfn.CONCAT("L190-", RIGHT(F298, LEN(F298) - FIND("-", F298))), _xlfn.CONCAT("L190-", RIGHT(H298, LEN(H298) - FIND("-", H298)))))</f>
        <v>L190</v>
      </c>
      <c r="E311" s="109"/>
      <c r="F311" s="109"/>
      <c r="G311" s="161"/>
      <c r="H311" s="109"/>
      <c r="I311" s="109"/>
      <c r="J311" s="109"/>
      <c r="K311" s="109"/>
      <c r="L311" s="109"/>
      <c r="M311" s="109"/>
      <c r="N311" s="109"/>
      <c r="O311" s="109"/>
      <c r="P311" s="109"/>
      <c r="Q311" s="109"/>
      <c r="R311" s="109"/>
      <c r="S311" s="109"/>
      <c r="T311" s="109"/>
      <c r="U311" s="109"/>
      <c r="V311" s="109"/>
      <c r="W311" s="109"/>
      <c r="X311" s="109"/>
      <c r="Y311" s="109"/>
      <c r="Z311" s="109"/>
    </row>
    <row r="312" spans="1:26" ht="13.5" customHeight="1">
      <c r="A312" s="169" t="s">
        <v>210</v>
      </c>
      <c r="B312" s="178" t="str">
        <f>IF(G303 = "", "W191", IF(G303 &gt; I303, _xlfn.CONCAT("W191-", RIGHT(F303, LEN(F303) - FIND("-", F303))), _xlfn.CONCAT("W191-", RIGHT(H303, LEN(H303) - FIND("-", H303)))))</f>
        <v>W191</v>
      </c>
      <c r="C312" s="134" t="s">
        <v>210</v>
      </c>
      <c r="D312" s="179" t="str">
        <f>IF(G297 = "", "W189", IF(G297 &gt; I297, _xlfn.CONCAT("W189-", RIGHT(F297, LEN(F297) - FIND("-", F297))), _xlfn.CONCAT("W189-", RIGHT(H297, LEN(H297) - FIND("-", H297)))))</f>
        <v>W189</v>
      </c>
      <c r="E312" s="109"/>
      <c r="F312" s="109"/>
      <c r="G312" s="161"/>
      <c r="H312" s="109"/>
      <c r="I312" s="109"/>
      <c r="J312" s="109"/>
      <c r="K312" s="109"/>
      <c r="L312" s="109"/>
      <c r="M312" s="109"/>
      <c r="N312" s="109"/>
      <c r="O312" s="109"/>
      <c r="P312" s="109"/>
      <c r="Q312" s="109"/>
      <c r="R312" s="109"/>
      <c r="S312" s="109"/>
      <c r="T312" s="109"/>
      <c r="U312" s="109"/>
      <c r="V312" s="109"/>
      <c r="W312" s="109"/>
      <c r="X312" s="109"/>
      <c r="Y312" s="109"/>
      <c r="Z312" s="109"/>
    </row>
    <row r="313" spans="1:26" ht="13.5" customHeight="1">
      <c r="A313" s="169" t="s">
        <v>213</v>
      </c>
      <c r="B313" s="178" t="str">
        <f>IF(G303 = "", "L191", IF(G303 &lt; I303, _xlfn.CONCAT("L191-", RIGHT(F303, LEN(F303) - FIND("-", F303))), _xlfn.CONCAT("L191-", RIGHT(H303, LEN(H303) - FIND("-", H303)))))</f>
        <v>L191</v>
      </c>
      <c r="C313" s="134" t="s">
        <v>213</v>
      </c>
      <c r="D313" s="178" t="str">
        <f>IF(G297 = "", "L189", IF(G297 &lt; I297, _xlfn.CONCAT("L189-", RIGHT(F297, LEN(F297) - FIND("-", F297))), _xlfn.CONCAT("L189-", RIGHT(H297, LEN(H297) - FIND("-", H297)))))</f>
        <v>L189</v>
      </c>
      <c r="E313" s="109"/>
      <c r="F313" s="109"/>
      <c r="G313" s="161"/>
      <c r="H313" s="109"/>
      <c r="I313" s="109"/>
      <c r="J313" s="109"/>
      <c r="K313" s="109"/>
      <c r="L313" s="109"/>
      <c r="M313" s="109"/>
      <c r="N313" s="109"/>
      <c r="O313" s="109"/>
      <c r="P313" s="109"/>
      <c r="Q313" s="109"/>
      <c r="R313" s="109"/>
      <c r="S313" s="109"/>
      <c r="T313" s="109"/>
      <c r="U313" s="109"/>
      <c r="V313" s="109"/>
      <c r="W313" s="109"/>
      <c r="X313" s="109"/>
      <c r="Y313" s="109"/>
      <c r="Z313" s="109"/>
    </row>
    <row r="314" spans="1:26" ht="13.5" customHeight="1">
      <c r="A314" s="169" t="s">
        <v>206</v>
      </c>
      <c r="B314" s="178" t="str">
        <f>IF(G266 = "", "W186", IF(G266 &gt; I266, _xlfn.CONCAT("W186-", RIGHT(F266, LEN(F266) - FIND("-", F266))), _xlfn.CONCAT("W186-", RIGHT(H266, LEN(H266) - FIND("-", H266)))))</f>
        <v>W186</v>
      </c>
      <c r="C314" s="134" t="s">
        <v>206</v>
      </c>
      <c r="D314" s="182" t="str">
        <f>IF(G296 = "", "W187", IF(G296 &gt; I296, _xlfn.CONCAT("W187-", RIGHT(F296, LEN(F296) - FIND("-", F296))), _xlfn.CONCAT("W187-", RIGHT(H296, LEN(H296) - FIND("-", H296)))))</f>
        <v>W187</v>
      </c>
      <c r="E314" s="109"/>
      <c r="F314" s="109"/>
      <c r="G314" s="161"/>
      <c r="H314" s="109"/>
      <c r="I314" s="109"/>
      <c r="J314" s="109"/>
      <c r="K314" s="109"/>
      <c r="L314" s="109"/>
      <c r="M314" s="109"/>
      <c r="N314" s="109"/>
      <c r="O314" s="109"/>
      <c r="P314" s="109"/>
      <c r="Q314" s="109"/>
      <c r="R314" s="109"/>
      <c r="S314" s="109"/>
      <c r="T314" s="109"/>
      <c r="U314" s="109"/>
      <c r="V314" s="109"/>
      <c r="W314" s="109"/>
      <c r="X314" s="109"/>
      <c r="Y314" s="109"/>
      <c r="Z314" s="109"/>
    </row>
    <row r="315" spans="1:26" ht="13.5" customHeight="1">
      <c r="A315" s="169" t="s">
        <v>209</v>
      </c>
      <c r="B315" s="180" t="str">
        <f>IF(G266 = "", "L186", IF(G266 &lt; I266, _xlfn.CONCAT("L186-", RIGHT(F266, LEN(F266) - FIND("-", F266))), _xlfn.CONCAT("L186-", RIGHT(H266, LEN(H266) - FIND("-", H266)))))</f>
        <v>L186</v>
      </c>
      <c r="C315" s="134" t="s">
        <v>209</v>
      </c>
      <c r="D315" s="179" t="str">
        <f>IF(G296 = "", "L187", IF(G296 &lt; I296, _xlfn.CONCAT("L187-", RIGHT(F296, LEN(F296) - FIND("-", F296))), _xlfn.CONCAT("L187-", RIGHT(H296, LEN(H296) - FIND("-", H296)))))</f>
        <v>L187</v>
      </c>
      <c r="E315" s="109"/>
      <c r="F315" s="109"/>
      <c r="G315" s="161"/>
      <c r="H315" s="109"/>
      <c r="I315" s="109"/>
      <c r="J315" s="109"/>
      <c r="K315" s="109"/>
      <c r="L315" s="109"/>
      <c r="M315" s="109"/>
      <c r="N315" s="109"/>
      <c r="O315" s="109"/>
      <c r="P315" s="109"/>
      <c r="Q315" s="109"/>
      <c r="R315" s="109"/>
      <c r="S315" s="109"/>
      <c r="T315" s="109"/>
      <c r="U315" s="109"/>
      <c r="V315" s="109"/>
      <c r="W315" s="109"/>
      <c r="X315" s="109"/>
      <c r="Y315" s="109"/>
      <c r="Z315" s="109"/>
    </row>
    <row r="316" spans="1:26" ht="13.5" customHeight="1">
      <c r="A316" s="169" t="s">
        <v>220</v>
      </c>
      <c r="B316" s="178" t="str">
        <f>IF(G265 = "", "W185", IF(G265 &gt; I265, _xlfn.CONCAT("W185-", RIGHT(F265, LEN(F265) - FIND("-", F265))), _xlfn.CONCAT("W185-", RIGHT(H265, LEN(H265) - FIND("-", H265)))))</f>
        <v>W185</v>
      </c>
      <c r="C316" s="134" t="s">
        <v>220</v>
      </c>
      <c r="D316" s="178" t="str">
        <f>IF(G295 = "", "W188", IF(G295 &gt; I295, _xlfn.CONCAT("W188-", RIGHT(F295, LEN(F295) - FIND("-", F295))), _xlfn.CONCAT("W188-", RIGHT(H295, LEN(H295) - FIND("-", H295)))))</f>
        <v>W188</v>
      </c>
      <c r="E316" s="109"/>
      <c r="F316" s="109"/>
      <c r="G316" s="161"/>
      <c r="H316" s="109"/>
      <c r="I316" s="109"/>
      <c r="J316" s="109"/>
      <c r="K316" s="109"/>
      <c r="L316" s="109"/>
      <c r="M316" s="109"/>
      <c r="N316" s="109"/>
      <c r="O316" s="109"/>
      <c r="P316" s="109"/>
      <c r="Q316" s="109"/>
      <c r="R316" s="109"/>
      <c r="S316" s="109"/>
      <c r="T316" s="109"/>
      <c r="U316" s="109"/>
      <c r="V316" s="109"/>
      <c r="W316" s="109"/>
      <c r="X316" s="109"/>
      <c r="Y316" s="109"/>
      <c r="Z316" s="109"/>
    </row>
    <row r="317" spans="1:26" ht="13.5" customHeight="1">
      <c r="A317" s="169" t="s">
        <v>221</v>
      </c>
      <c r="B317" s="180" t="str">
        <f>IF(G265 = "", "L185", IF(G265 &lt; I265, _xlfn.CONCAT("L185-", RIGHT(F265, LEN(F265) - FIND("-", F265))), _xlfn.CONCAT("L185-", RIGHT(H265, LEN(H265) - FIND("-", H265)))))</f>
        <v>L185</v>
      </c>
      <c r="C317" s="134" t="s">
        <v>221</v>
      </c>
      <c r="D317" s="183" t="str">
        <f>IF(G295 = "", "L188", IF(G295 &lt; I295, _xlfn.CONCAT("L188-", RIGHT(F295, LEN(F295) - FIND("-", F295))), _xlfn.CONCAT("L188-", RIGHT(H295, LEN(H295) - FIND("-", H295)))))</f>
        <v>L188</v>
      </c>
      <c r="E317" s="109"/>
      <c r="F317" s="109"/>
      <c r="G317" s="161"/>
      <c r="H317" s="109"/>
      <c r="I317" s="109"/>
      <c r="J317" s="109"/>
      <c r="K317" s="109"/>
      <c r="L317" s="109"/>
      <c r="M317" s="109"/>
      <c r="N317" s="109"/>
      <c r="O317" s="109"/>
      <c r="P317" s="109"/>
      <c r="Q317" s="109"/>
      <c r="R317" s="109"/>
      <c r="S317" s="109"/>
      <c r="T317" s="109"/>
      <c r="U317" s="109"/>
      <c r="V317" s="109"/>
      <c r="W317" s="109"/>
      <c r="X317" s="109"/>
      <c r="Y317" s="109"/>
      <c r="Z317" s="109"/>
    </row>
    <row r="318" spans="1:26" ht="13.5" customHeight="1">
      <c r="A318" s="169" t="s">
        <v>222</v>
      </c>
      <c r="B318" s="178" t="str">
        <f>IF(G269 = "", "W182", IF(G269 &gt; I269, _xlfn.CONCAT("W182-", RIGHT(F269, LEN(F269) - FIND("-", F269))), _xlfn.CONCAT("W182-", RIGHT(H269, LEN(H269) - FIND("-", H269)))))</f>
        <v>W182</v>
      </c>
      <c r="C318" s="134" t="s">
        <v>222</v>
      </c>
      <c r="D318" s="178" t="str">
        <f>IF(G299 = "", "W183", IF(G299 &gt; I299, _xlfn.CONCAT("W183-", RIGHT(F299, LEN(F299) - FIND("-", F299))), _xlfn.CONCAT("W183-", RIGHT(H299, LEN(H299) - FIND("-", H299)))))</f>
        <v>W183</v>
      </c>
      <c r="E318" s="109"/>
      <c r="F318" s="109"/>
      <c r="G318" s="161"/>
      <c r="H318" s="109"/>
      <c r="I318" s="109"/>
      <c r="J318" s="109"/>
      <c r="K318" s="109"/>
      <c r="L318" s="109"/>
      <c r="M318" s="109"/>
      <c r="N318" s="109"/>
      <c r="O318" s="109"/>
      <c r="P318" s="109"/>
      <c r="Q318" s="109"/>
      <c r="R318" s="109"/>
      <c r="S318" s="109"/>
      <c r="T318" s="109"/>
      <c r="U318" s="109"/>
      <c r="V318" s="109"/>
      <c r="W318" s="109"/>
      <c r="X318" s="109"/>
      <c r="Y318" s="109"/>
      <c r="Z318" s="109"/>
    </row>
    <row r="319" spans="1:26" ht="13.5" customHeight="1">
      <c r="A319" s="169" t="s">
        <v>223</v>
      </c>
      <c r="B319" s="180" t="str">
        <f>IF(G269 = "", "L182", IF(G269 &lt; I269, _xlfn.CONCAT("L182-", RIGHT(F269, LEN(F269) - FIND("-", F269))), _xlfn.CONCAT("L182-", RIGHT(H269, LEN(H269) - FIND("-", H269)))))</f>
        <v>L182</v>
      </c>
      <c r="C319" s="134" t="s">
        <v>223</v>
      </c>
      <c r="D319" s="183" t="str">
        <f>IF(G299 = "", "L183", IF(G299 &lt; I299, _xlfn.CONCAT("L183-", RIGHT(F299, LEN(F299) - FIND("-", F299))), _xlfn.CONCAT("L183-", RIGHT(H299, LEN(H299) - FIND("-", H299)))))</f>
        <v>L183</v>
      </c>
      <c r="E319" s="109"/>
      <c r="F319" s="109"/>
      <c r="G319" s="161"/>
      <c r="H319" s="109"/>
      <c r="I319" s="109"/>
      <c r="J319" s="109"/>
      <c r="K319" s="109"/>
      <c r="L319" s="109"/>
      <c r="M319" s="109"/>
      <c r="N319" s="109"/>
      <c r="O319" s="109"/>
      <c r="P319" s="109"/>
      <c r="Q319" s="109"/>
      <c r="R319" s="109"/>
      <c r="S319" s="109"/>
      <c r="T319" s="109"/>
      <c r="U319" s="109"/>
      <c r="V319" s="109"/>
      <c r="W319" s="109"/>
      <c r="X319" s="109"/>
      <c r="Y319" s="109"/>
      <c r="Z319" s="109"/>
    </row>
    <row r="320" spans="1:26" ht="13.5" customHeight="1">
      <c r="A320" s="169" t="s">
        <v>218</v>
      </c>
      <c r="B320" s="178" t="str">
        <f>IF(G270 = "", "W181", IF(G270 &gt; I270, _xlfn.CONCAT("W181-", RIGHT(F270, LEN(F270) - FIND("-", F270))), _xlfn.CONCAT("W181-", RIGHT(H270, LEN(H270) - FIND("-", H270)))))</f>
        <v>W181</v>
      </c>
      <c r="C320" s="134" t="s">
        <v>218</v>
      </c>
      <c r="D320" s="178" t="str">
        <f>IF(G285 = "", "W184", IF(G285 &gt; I285, _xlfn.CONCAT("W184-", RIGHT(F285, LEN(F285) - FIND("-", F285))), _xlfn.CONCAT("W184-", RIGHT(H285, LEN(H285) - FIND("-", H285)))))</f>
        <v>W184</v>
      </c>
      <c r="E320" s="109"/>
      <c r="F320" s="109"/>
      <c r="G320" s="161"/>
      <c r="H320" s="109"/>
      <c r="I320" s="109"/>
      <c r="J320" s="109"/>
      <c r="K320" s="109"/>
      <c r="L320" s="109"/>
      <c r="M320" s="109"/>
      <c r="N320" s="109"/>
      <c r="O320" s="109"/>
      <c r="P320" s="109"/>
      <c r="Q320" s="109"/>
      <c r="R320" s="109"/>
      <c r="S320" s="109"/>
      <c r="T320" s="109"/>
      <c r="U320" s="109"/>
      <c r="V320" s="109"/>
      <c r="W320" s="109"/>
      <c r="X320" s="109"/>
      <c r="Y320" s="109"/>
      <c r="Z320" s="109"/>
    </row>
    <row r="321" spans="1:26" ht="13.5" customHeight="1">
      <c r="A321" s="169" t="s">
        <v>219</v>
      </c>
      <c r="B321" s="180" t="str">
        <f>IF(G270 = "", "L181", IF(G270 &lt; I270, _xlfn.CONCAT("L181-", RIGHT(F270, LEN(F270) - FIND("-", F270))), _xlfn.CONCAT("L181-", RIGHT(H270, LEN(H270) - FIND("-", H270)))))</f>
        <v>L181</v>
      </c>
      <c r="C321" s="134" t="s">
        <v>219</v>
      </c>
      <c r="D321" s="182" t="str">
        <f>IF(G285 = "", "L184", IF(G285 &lt; I285, _xlfn.CONCAT("L184-", RIGHT(F285, LEN(F285) - FIND("-", F285))), _xlfn.CONCAT("L184-", RIGHT(H285, LEN(H285) - FIND("-", H285)))))</f>
        <v>L184</v>
      </c>
      <c r="E321" s="109"/>
      <c r="F321" s="109"/>
      <c r="G321" s="161"/>
      <c r="H321" s="109"/>
      <c r="I321" s="109"/>
      <c r="J321" s="109"/>
      <c r="K321" s="109"/>
      <c r="L321" s="109"/>
      <c r="M321" s="109"/>
      <c r="N321" s="109"/>
      <c r="O321" s="109"/>
      <c r="P321" s="109"/>
      <c r="Q321" s="109"/>
      <c r="R321" s="109"/>
      <c r="S321" s="109"/>
      <c r="T321" s="109"/>
      <c r="U321" s="109"/>
      <c r="V321" s="109"/>
      <c r="W321" s="109"/>
      <c r="X321" s="109"/>
      <c r="Y321" s="109"/>
      <c r="Z321" s="109"/>
    </row>
    <row r="322" spans="1:26" ht="13.5" customHeight="1">
      <c r="A322" s="169" t="s">
        <v>413</v>
      </c>
      <c r="B322" s="178" t="str">
        <f>IF(G277 = "", "W178", IF(G277 &gt; I277, _xlfn.CONCAT("W178-", RIGHT(F277, LEN(F277) - FIND("-", F277))), _xlfn.CONCAT("W178-", RIGHT(H277, LEN(H277) - FIND("-", H277)))))</f>
        <v>W178</v>
      </c>
      <c r="C322" s="134" t="s">
        <v>413</v>
      </c>
      <c r="D322" s="178" t="str">
        <f>IF(G286 = "", "W179", IF(G286 &gt; I286, _xlfn.CONCAT("W179-", RIGHT(F286, LEN(F286) - FIND("-", F286))), _xlfn.CONCAT("W179-", RIGHT(H286, LEN(H286) - FIND("-", H286)))))</f>
        <v>W179</v>
      </c>
      <c r="E322" s="109"/>
      <c r="F322" s="109"/>
      <c r="G322" s="161"/>
      <c r="H322" s="109"/>
      <c r="I322" s="109"/>
      <c r="J322" s="109"/>
      <c r="K322" s="109"/>
      <c r="L322" s="109"/>
      <c r="M322" s="109"/>
      <c r="N322" s="109"/>
      <c r="O322" s="109"/>
      <c r="P322" s="109"/>
      <c r="Q322" s="109"/>
      <c r="R322" s="109"/>
      <c r="S322" s="109"/>
      <c r="T322" s="109"/>
      <c r="U322" s="109"/>
      <c r="V322" s="109"/>
      <c r="W322" s="109"/>
      <c r="X322" s="109"/>
      <c r="Y322" s="109"/>
      <c r="Z322" s="109"/>
    </row>
    <row r="323" spans="1:26" ht="13.5" customHeight="1">
      <c r="A323" s="169" t="s">
        <v>414</v>
      </c>
      <c r="B323" s="180" t="str">
        <f>IF(G277 = "", "L178", IF(G277 &lt; I277, _xlfn.CONCAT("L178-", RIGHT(F277, LEN(F277) - FIND("-", F277))), _xlfn.CONCAT("L178-", RIGHT(H277, LEN(H277) - FIND("-", H277)))))</f>
        <v>L178</v>
      </c>
      <c r="C323" s="134" t="s">
        <v>414</v>
      </c>
      <c r="D323" s="183" t="str">
        <f>IF(G286 = "", "L179", IF(G286 &lt; I286, _xlfn.CONCAT("L179-", RIGHT(F286, LEN(F286) - FIND("-", F286))), _xlfn.CONCAT("L179-", RIGHT(H286, LEN(H286) - FIND("-", H286)))))</f>
        <v>L179</v>
      </c>
      <c r="E323" s="109"/>
      <c r="F323" s="109"/>
      <c r="G323" s="161"/>
      <c r="H323" s="109"/>
      <c r="I323" s="109"/>
      <c r="J323" s="109"/>
      <c r="K323" s="109"/>
      <c r="L323" s="109"/>
      <c r="M323" s="109"/>
      <c r="N323" s="109"/>
      <c r="O323" s="109"/>
      <c r="P323" s="109"/>
      <c r="Q323" s="109"/>
      <c r="R323" s="109"/>
      <c r="S323" s="109"/>
      <c r="T323" s="109"/>
      <c r="U323" s="109"/>
      <c r="V323" s="109"/>
      <c r="W323" s="109"/>
      <c r="X323" s="109"/>
      <c r="Y323" s="109"/>
      <c r="Z323" s="109"/>
    </row>
    <row r="324" spans="1:26" ht="13.5" customHeight="1">
      <c r="A324" s="169" t="s">
        <v>407</v>
      </c>
      <c r="B324" s="178" t="str">
        <f>IF(G276 = "", "W177", IF(G276 &gt; I276, _xlfn.CONCAT("W177-", RIGHT(F276, LEN(F276) - FIND("-", F276))), _xlfn.CONCAT("W177-", RIGHT(H276, LEN(H276) - FIND("-", H276)))))</f>
        <v>W177</v>
      </c>
      <c r="C324" s="134" t="s">
        <v>407</v>
      </c>
      <c r="D324" s="178" t="str">
        <f>IF(G287 = "", "W180", IF(G287 &gt; I287, _xlfn.CONCAT("W180-", RIGHT(F287, LEN(F287) - FIND("-", F287))), _xlfn.CONCAT("W180-", RIGHT(H287, LEN(H287) - FIND("-", H287)))))</f>
        <v>W180</v>
      </c>
      <c r="E324" s="109"/>
      <c r="F324" s="109"/>
      <c r="G324" s="161"/>
      <c r="H324" s="109"/>
      <c r="I324" s="109"/>
      <c r="J324" s="109"/>
      <c r="K324" s="109"/>
      <c r="L324" s="109"/>
      <c r="M324" s="109"/>
      <c r="N324" s="109"/>
      <c r="O324" s="109"/>
      <c r="P324" s="109"/>
      <c r="Q324" s="109"/>
      <c r="R324" s="109"/>
      <c r="S324" s="109"/>
      <c r="T324" s="109"/>
      <c r="U324" s="109"/>
      <c r="V324" s="109"/>
      <c r="W324" s="109"/>
      <c r="X324" s="109"/>
      <c r="Y324" s="109"/>
      <c r="Z324" s="109"/>
    </row>
    <row r="325" spans="1:26" ht="13.5" customHeight="1">
      <c r="A325" s="169" t="s">
        <v>408</v>
      </c>
      <c r="B325" s="180" t="str">
        <f>IF(G276 = "", "L177", IF(G276 &lt; I276, _xlfn.CONCAT("L177-", RIGHT(F276, LEN(F276) - FIND("-", F276))), _xlfn.CONCAT("L177-", RIGHT(H276, LEN(H276) - FIND("-", H276)))))</f>
        <v>L177</v>
      </c>
      <c r="C325" s="134" t="s">
        <v>408</v>
      </c>
      <c r="D325" s="183" t="str">
        <f>IF(G287 = "", "L180", IF(G287 &lt; I287, _xlfn.CONCAT("L180-", RIGHT(F287, LEN(F287) - FIND("-", F287))), _xlfn.CONCAT("L180-", RIGHT(H287, LEN(H287) - FIND("-", H287)))))</f>
        <v>L180</v>
      </c>
      <c r="E325" s="109"/>
      <c r="F325" s="109"/>
      <c r="G325" s="161"/>
      <c r="H325" s="109"/>
      <c r="I325" s="109"/>
      <c r="J325" s="109"/>
      <c r="K325" s="109"/>
      <c r="L325" s="109"/>
      <c r="M325" s="109"/>
      <c r="N325" s="109"/>
      <c r="O325" s="109"/>
      <c r="P325" s="109"/>
      <c r="Q325" s="109"/>
      <c r="R325" s="109"/>
      <c r="S325" s="109"/>
      <c r="T325" s="109"/>
      <c r="U325" s="109"/>
      <c r="V325" s="109"/>
      <c r="W325" s="109"/>
      <c r="X325" s="109"/>
      <c r="Y325" s="109"/>
      <c r="Z325" s="109"/>
    </row>
    <row r="326" spans="1:26" ht="13.5" customHeight="1">
      <c r="A326" s="169" t="s">
        <v>411</v>
      </c>
      <c r="B326" s="178" t="str">
        <f>IF(G275 = "", "W170", IF(G275 &gt; I275, _xlfn.CONCAT("W170-", RIGHT(F275, LEN(F275) - FIND("-", F275))), _xlfn.CONCAT("W170-", RIGHT(H275, LEN(H275) - FIND("-", H275)))))</f>
        <v>W170</v>
      </c>
      <c r="C326" s="134" t="s">
        <v>411</v>
      </c>
      <c r="D326" s="178" t="str">
        <f>IF(G288 = "", "W175", IF(G288 &gt; I288, _xlfn.CONCAT("W175-", RIGHT(F288, LEN(F288) - FIND("-", F288))), _xlfn.CONCAT("W175-", RIGHT(H288, LEN(H288) - FIND("-", H288)))))</f>
        <v>W175</v>
      </c>
      <c r="E326" s="109"/>
      <c r="F326" s="109"/>
      <c r="G326" s="161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</row>
    <row r="327" spans="1:26" ht="13.5" customHeight="1">
      <c r="A327" s="169" t="s">
        <v>412</v>
      </c>
      <c r="B327" s="180" t="str">
        <f>IF(G275 = "", "L170", IF(G275 &lt; I275, _xlfn.CONCAT("L170-", RIGHT(F275, LEN(F275) - FIND("-", F275))), _xlfn.CONCAT("L170-", RIGHT(H275, LEN(H275) - FIND("-", H275)))))</f>
        <v>L170</v>
      </c>
      <c r="C327" s="134" t="s">
        <v>412</v>
      </c>
      <c r="D327" s="183" t="str">
        <f>IF(G288 = "", "L175", IF(G288 &lt; I288, _xlfn.CONCAT("L175-", RIGHT(F288, LEN(F288) - FIND("-", F288))), _xlfn.CONCAT("L175-", RIGHT(H288, LEN(H288) - FIND("-", H288)))))</f>
        <v>L175</v>
      </c>
      <c r="E327" s="109"/>
      <c r="F327" s="109"/>
      <c r="G327" s="161"/>
      <c r="H327" s="109"/>
      <c r="I327" s="109"/>
      <c r="J327" s="109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109"/>
      <c r="Y327" s="109"/>
      <c r="Z327" s="109"/>
    </row>
    <row r="328" spans="1:26" ht="13.5" customHeight="1">
      <c r="A328" s="169" t="s">
        <v>409</v>
      </c>
      <c r="B328" s="179" t="str">
        <f>IF(G274 = "", "W169", IF(G274 &gt; I274, _xlfn.CONCAT("W169-", RIGHT(F274, LEN(F274) - FIND("-", F274))), _xlfn.CONCAT("W169-", RIGHT(H274, LEN(H274) - FIND("-", H274)))))</f>
        <v>W169</v>
      </c>
      <c r="C328" s="134" t="s">
        <v>409</v>
      </c>
      <c r="D328" s="179" t="str">
        <f>IF(G292 = "", "W176", IF(G292 &gt; I292, _xlfn.CONCAT("W176-", RIGHT(F292, LEN(F292) - FIND("-", F292))), _xlfn.CONCAT("W176-", RIGHT(H292, LEN(H292) - FIND("-", H292)))))</f>
        <v>W176</v>
      </c>
      <c r="E328" s="109"/>
      <c r="F328" s="109"/>
      <c r="G328" s="161"/>
      <c r="H328" s="109"/>
      <c r="I328" s="109"/>
      <c r="J328" s="109"/>
      <c r="K328" s="109"/>
      <c r="L328" s="109"/>
      <c r="M328" s="109"/>
      <c r="N328" s="109"/>
      <c r="O328" s="109"/>
      <c r="P328" s="109"/>
      <c r="Q328" s="109"/>
      <c r="R328" s="109"/>
      <c r="S328" s="109"/>
      <c r="T328" s="109"/>
      <c r="U328" s="109"/>
      <c r="V328" s="109"/>
      <c r="W328" s="109"/>
      <c r="X328" s="109"/>
      <c r="Y328" s="109"/>
      <c r="Z328" s="109"/>
    </row>
    <row r="329" spans="1:26" ht="13.5" customHeight="1">
      <c r="A329" s="185" t="s">
        <v>410</v>
      </c>
      <c r="B329" s="179" t="str">
        <f>IF(G274 = "", "L169", IF(G274 &lt; I274, _xlfn.CONCAT("L169-", RIGHT(F274, LEN(F274) - FIND("-", F274))), _xlfn.CONCAT("L169-", RIGHT(H274, LEN(H274) - FIND("-", H274)))))</f>
        <v>L169</v>
      </c>
      <c r="C329" s="187" t="s">
        <v>410</v>
      </c>
      <c r="D329" s="178" t="str">
        <f>IF(G292 = "", "L176", IF(G292 &lt; I292, _xlfn.CONCAT("L176-", RIGHT(F292, LEN(F292) - FIND("-", F292))), _xlfn.CONCAT("L176-", RIGHT(H292, LEN(H292) - FIND("-", H292)))))</f>
        <v>L176</v>
      </c>
      <c r="E329" s="109"/>
      <c r="F329" s="109"/>
      <c r="G329" s="161"/>
      <c r="H329" s="109"/>
      <c r="I329" s="109"/>
      <c r="J329" s="109"/>
      <c r="K329" s="109"/>
      <c r="L329" s="109"/>
      <c r="M329" s="109"/>
      <c r="N329" s="109"/>
      <c r="O329" s="109"/>
      <c r="P329" s="109"/>
      <c r="Q329" s="109"/>
      <c r="R329" s="109"/>
      <c r="S329" s="109"/>
      <c r="T329" s="109"/>
      <c r="U329" s="109"/>
      <c r="V329" s="109"/>
      <c r="W329" s="109"/>
      <c r="X329" s="109"/>
      <c r="Y329" s="109"/>
      <c r="Z329" s="109"/>
    </row>
    <row r="330" spans="1:26" ht="13.5" customHeight="1">
      <c r="A330" s="185" t="s">
        <v>415</v>
      </c>
      <c r="B330" s="113"/>
      <c r="C330" s="187" t="s">
        <v>415</v>
      </c>
      <c r="D330" s="113"/>
      <c r="E330" s="109"/>
      <c r="F330" s="109"/>
      <c r="G330" s="161"/>
      <c r="H330" s="109"/>
      <c r="I330" s="109"/>
      <c r="J330" s="109"/>
      <c r="K330" s="109"/>
      <c r="L330" s="109"/>
      <c r="M330" s="109"/>
      <c r="N330" s="109"/>
      <c r="O330" s="109"/>
      <c r="P330" s="109"/>
      <c r="Q330" s="109"/>
      <c r="R330" s="109"/>
      <c r="S330" s="109"/>
      <c r="T330" s="109"/>
      <c r="U330" s="109"/>
      <c r="V330" s="109"/>
      <c r="W330" s="109"/>
      <c r="X330" s="109"/>
      <c r="Y330" s="109"/>
      <c r="Z330" s="109"/>
    </row>
    <row r="331" spans="1:26" ht="13.5" customHeight="1">
      <c r="A331" s="185" t="s">
        <v>416</v>
      </c>
      <c r="B331" s="188"/>
      <c r="C331" s="187" t="s">
        <v>416</v>
      </c>
      <c r="D331" s="188"/>
      <c r="E331" s="109"/>
      <c r="F331" s="109"/>
      <c r="G331" s="161"/>
      <c r="H331" s="109"/>
      <c r="I331" s="109"/>
      <c r="J331" s="109"/>
      <c r="K331" s="109"/>
      <c r="L331" s="109"/>
      <c r="M331" s="109"/>
      <c r="N331" s="109"/>
      <c r="O331" s="109"/>
      <c r="P331" s="109"/>
      <c r="Q331" s="109"/>
      <c r="R331" s="109"/>
      <c r="S331" s="109"/>
      <c r="T331" s="109"/>
      <c r="U331" s="109"/>
      <c r="V331" s="109"/>
      <c r="W331" s="109"/>
      <c r="X331" s="109"/>
      <c r="Y331" s="109"/>
      <c r="Z331" s="109"/>
    </row>
    <row r="332" spans="1:26" ht="13.5" customHeight="1">
      <c r="A332" s="185" t="s">
        <v>417</v>
      </c>
      <c r="B332" s="188"/>
      <c r="C332" s="187" t="s">
        <v>417</v>
      </c>
      <c r="D332" s="188"/>
      <c r="E332" s="109"/>
      <c r="F332" s="109"/>
      <c r="G332" s="161"/>
      <c r="H332" s="109"/>
      <c r="I332" s="109"/>
      <c r="J332" s="109"/>
      <c r="K332" s="109"/>
      <c r="L332" s="109"/>
      <c r="M332" s="109"/>
      <c r="N332" s="109"/>
      <c r="O332" s="109"/>
      <c r="P332" s="109"/>
      <c r="Q332" s="109"/>
      <c r="R332" s="109"/>
      <c r="S332" s="109"/>
      <c r="T332" s="109"/>
      <c r="U332" s="109"/>
      <c r="V332" s="109"/>
      <c r="W332" s="109"/>
      <c r="X332" s="109"/>
      <c r="Y332" s="109"/>
      <c r="Z332" s="109"/>
    </row>
    <row r="333" spans="1:26" ht="13.5" customHeight="1">
      <c r="A333" s="185" t="s">
        <v>418</v>
      </c>
      <c r="B333" s="188"/>
      <c r="C333" s="187" t="s">
        <v>418</v>
      </c>
      <c r="D333" s="188"/>
      <c r="E333" s="109"/>
      <c r="F333" s="109"/>
      <c r="G333" s="161"/>
      <c r="H333" s="109"/>
      <c r="I333" s="109"/>
      <c r="J333" s="109"/>
      <c r="K333" s="109"/>
      <c r="L333" s="109"/>
      <c r="M333" s="109"/>
      <c r="N333" s="109"/>
      <c r="O333" s="109"/>
      <c r="P333" s="109"/>
      <c r="Q333" s="109"/>
      <c r="R333" s="109"/>
      <c r="S333" s="109"/>
      <c r="T333" s="109"/>
      <c r="U333" s="109"/>
      <c r="V333" s="109"/>
      <c r="W333" s="109"/>
      <c r="X333" s="109"/>
      <c r="Y333" s="109"/>
      <c r="Z333" s="109"/>
    </row>
    <row r="334" spans="1:26" ht="13.5" customHeight="1">
      <c r="A334" s="109"/>
      <c r="B334" s="109"/>
      <c r="C334" s="109"/>
      <c r="D334" s="109"/>
      <c r="E334" s="109"/>
      <c r="F334" s="109"/>
      <c r="G334" s="161"/>
      <c r="H334" s="109"/>
      <c r="I334" s="109"/>
      <c r="J334" s="109"/>
      <c r="K334" s="109"/>
      <c r="L334" s="109"/>
      <c r="M334" s="109"/>
      <c r="N334" s="109"/>
      <c r="O334" s="109"/>
      <c r="P334" s="109"/>
      <c r="Q334" s="109"/>
      <c r="R334" s="109"/>
      <c r="S334" s="109"/>
      <c r="T334" s="109"/>
      <c r="U334" s="109"/>
      <c r="V334" s="109"/>
      <c r="W334" s="109"/>
      <c r="X334" s="109"/>
      <c r="Y334" s="109"/>
      <c r="Z334" s="109"/>
    </row>
    <row r="335" spans="1:26" ht="13.5" customHeight="1">
      <c r="A335" s="109"/>
      <c r="B335" s="109"/>
      <c r="C335" s="109"/>
      <c r="D335" s="109"/>
      <c r="E335" s="109"/>
      <c r="F335" s="109"/>
      <c r="G335" s="161"/>
      <c r="H335" s="109"/>
      <c r="I335" s="109"/>
      <c r="J335" s="109"/>
      <c r="K335" s="109"/>
      <c r="L335" s="109"/>
      <c r="M335" s="109"/>
      <c r="N335" s="109"/>
      <c r="O335" s="109"/>
      <c r="P335" s="109"/>
      <c r="Q335" s="109"/>
      <c r="R335" s="109"/>
      <c r="S335" s="109"/>
      <c r="T335" s="109"/>
      <c r="U335" s="109"/>
      <c r="V335" s="109"/>
      <c r="W335" s="109"/>
      <c r="X335" s="109"/>
      <c r="Y335" s="109"/>
      <c r="Z335" s="109"/>
    </row>
    <row r="336" spans="1:26" ht="13.5" customHeight="1">
      <c r="A336" s="109"/>
      <c r="B336" s="109"/>
      <c r="C336" s="109"/>
      <c r="D336" s="109"/>
      <c r="E336" s="109"/>
      <c r="F336" s="109"/>
      <c r="G336" s="161"/>
      <c r="H336" s="109"/>
      <c r="I336" s="109"/>
      <c r="J336" s="109"/>
      <c r="K336" s="109"/>
      <c r="L336" s="109"/>
      <c r="M336" s="109"/>
      <c r="N336" s="109"/>
      <c r="O336" s="109"/>
      <c r="P336" s="109"/>
      <c r="Q336" s="109"/>
      <c r="R336" s="109"/>
      <c r="S336" s="109"/>
      <c r="T336" s="109"/>
      <c r="U336" s="109"/>
      <c r="V336" s="109"/>
      <c r="W336" s="109"/>
      <c r="X336" s="109"/>
      <c r="Y336" s="109"/>
      <c r="Z336" s="109"/>
    </row>
    <row r="337" spans="1:26" ht="13.5" customHeight="1">
      <c r="A337" s="109"/>
      <c r="B337" s="109"/>
      <c r="C337" s="109"/>
      <c r="D337" s="109"/>
      <c r="E337" s="109"/>
      <c r="F337" s="109"/>
      <c r="G337" s="161"/>
      <c r="H337" s="109"/>
      <c r="I337" s="109"/>
      <c r="J337" s="109"/>
      <c r="K337" s="109"/>
      <c r="L337" s="109"/>
      <c r="M337" s="109"/>
      <c r="N337" s="109"/>
      <c r="O337" s="109"/>
      <c r="P337" s="109"/>
      <c r="Q337" s="109"/>
      <c r="R337" s="109"/>
      <c r="S337" s="109"/>
      <c r="T337" s="109"/>
      <c r="U337" s="109"/>
      <c r="V337" s="109"/>
      <c r="W337" s="109"/>
      <c r="X337" s="109"/>
      <c r="Y337" s="109"/>
      <c r="Z337" s="109"/>
    </row>
    <row r="338" spans="1:26" ht="13.5" customHeight="1">
      <c r="A338" s="109"/>
      <c r="B338" s="109"/>
      <c r="C338" s="109"/>
      <c r="D338" s="109"/>
      <c r="E338" s="109"/>
      <c r="F338" s="109"/>
      <c r="G338" s="161"/>
      <c r="H338" s="109"/>
      <c r="I338" s="109"/>
      <c r="J338" s="109"/>
      <c r="K338" s="109"/>
      <c r="L338" s="109"/>
      <c r="M338" s="109"/>
      <c r="N338" s="109"/>
      <c r="O338" s="109"/>
      <c r="P338" s="109"/>
      <c r="Q338" s="109"/>
      <c r="R338" s="109"/>
      <c r="S338" s="109"/>
      <c r="T338" s="109"/>
      <c r="U338" s="109"/>
      <c r="V338" s="109"/>
      <c r="W338" s="109"/>
      <c r="X338" s="109"/>
      <c r="Y338" s="109"/>
      <c r="Z338" s="109"/>
    </row>
    <row r="339" spans="1:26" ht="13.5" customHeight="1">
      <c r="A339" s="109"/>
      <c r="B339" s="109"/>
      <c r="C339" s="109"/>
      <c r="D339" s="109"/>
      <c r="E339" s="109"/>
      <c r="F339" s="109"/>
      <c r="G339" s="161"/>
      <c r="H339" s="109"/>
      <c r="I339" s="109"/>
      <c r="J339" s="109"/>
      <c r="K339" s="109"/>
      <c r="L339" s="109"/>
      <c r="M339" s="109"/>
      <c r="N339" s="109"/>
      <c r="O339" s="109"/>
      <c r="P339" s="109"/>
      <c r="Q339" s="109"/>
      <c r="R339" s="109"/>
      <c r="S339" s="109"/>
      <c r="T339" s="109"/>
      <c r="U339" s="109"/>
      <c r="V339" s="109"/>
      <c r="W339" s="109"/>
      <c r="X339" s="109"/>
      <c r="Y339" s="109"/>
      <c r="Z339" s="109"/>
    </row>
    <row r="340" spans="1:26" ht="13.5" customHeight="1">
      <c r="A340" s="109"/>
      <c r="B340" s="109"/>
      <c r="C340" s="109"/>
      <c r="D340" s="109"/>
      <c r="E340" s="109"/>
      <c r="F340" s="109"/>
      <c r="G340" s="161"/>
      <c r="H340" s="109"/>
      <c r="I340" s="109"/>
      <c r="J340" s="109"/>
      <c r="K340" s="109"/>
      <c r="L340" s="109"/>
      <c r="M340" s="109"/>
      <c r="N340" s="109"/>
      <c r="O340" s="109"/>
      <c r="P340" s="109"/>
      <c r="Q340" s="109"/>
      <c r="R340" s="109"/>
      <c r="S340" s="109"/>
      <c r="T340" s="109"/>
      <c r="U340" s="109"/>
      <c r="V340" s="109"/>
      <c r="W340" s="109"/>
      <c r="X340" s="109"/>
      <c r="Y340" s="109"/>
      <c r="Z340" s="109"/>
    </row>
    <row r="341" spans="1:26" ht="13.5" customHeight="1">
      <c r="A341" s="109"/>
      <c r="B341" s="109"/>
      <c r="C341" s="109"/>
      <c r="D341" s="109"/>
      <c r="E341" s="109"/>
      <c r="F341" s="109"/>
      <c r="G341" s="161"/>
      <c r="H341" s="109"/>
      <c r="I341" s="109"/>
      <c r="J341" s="109"/>
      <c r="K341" s="109"/>
      <c r="L341" s="109"/>
      <c r="M341" s="109"/>
      <c r="N341" s="109"/>
      <c r="O341" s="109"/>
      <c r="P341" s="109"/>
      <c r="Q341" s="109"/>
      <c r="R341" s="109"/>
      <c r="S341" s="109"/>
      <c r="T341" s="109"/>
      <c r="U341" s="109"/>
      <c r="V341" s="109"/>
      <c r="W341" s="109"/>
      <c r="X341" s="109"/>
      <c r="Y341" s="109"/>
      <c r="Z341" s="109"/>
    </row>
    <row r="342" spans="1:26" ht="13.5" customHeight="1">
      <c r="A342" s="109"/>
      <c r="B342" s="109"/>
      <c r="C342" s="109"/>
      <c r="D342" s="109"/>
      <c r="E342" s="109"/>
      <c r="F342" s="109"/>
      <c r="G342" s="161"/>
      <c r="H342" s="109"/>
      <c r="I342" s="109"/>
      <c r="J342" s="109"/>
      <c r="K342" s="109"/>
      <c r="L342" s="109"/>
      <c r="M342" s="109"/>
      <c r="N342" s="109"/>
      <c r="O342" s="109"/>
      <c r="P342" s="109"/>
      <c r="Q342" s="109"/>
      <c r="R342" s="109"/>
      <c r="S342" s="109"/>
      <c r="T342" s="109"/>
      <c r="U342" s="109"/>
      <c r="V342" s="109"/>
      <c r="W342" s="109"/>
      <c r="X342" s="109"/>
      <c r="Y342" s="109"/>
      <c r="Z342" s="109"/>
    </row>
    <row r="343" spans="1:26" ht="13.5" customHeight="1">
      <c r="A343" s="109"/>
      <c r="B343" s="109"/>
      <c r="C343" s="109"/>
      <c r="D343" s="109"/>
      <c r="E343" s="109"/>
      <c r="F343" s="109"/>
      <c r="G343" s="161"/>
      <c r="H343" s="109"/>
      <c r="I343" s="109"/>
      <c r="J343" s="109"/>
      <c r="K343" s="109"/>
      <c r="L343" s="109"/>
      <c r="M343" s="109"/>
      <c r="N343" s="109"/>
      <c r="O343" s="109"/>
      <c r="P343" s="109"/>
      <c r="Q343" s="109"/>
      <c r="R343" s="109"/>
      <c r="S343" s="109"/>
      <c r="T343" s="109"/>
      <c r="U343" s="109"/>
      <c r="V343" s="109"/>
      <c r="W343" s="109"/>
      <c r="X343" s="109"/>
      <c r="Y343" s="109"/>
      <c r="Z343" s="109"/>
    </row>
    <row r="344" spans="1:26" ht="13.5" customHeight="1">
      <c r="A344" s="109"/>
      <c r="B344" s="109"/>
      <c r="C344" s="109"/>
      <c r="D344" s="109"/>
      <c r="E344" s="109"/>
      <c r="F344" s="109"/>
      <c r="G344" s="161"/>
      <c r="H344" s="109"/>
      <c r="I344" s="109"/>
      <c r="J344" s="109"/>
      <c r="K344" s="109"/>
      <c r="L344" s="109"/>
      <c r="M344" s="109"/>
      <c r="N344" s="109"/>
      <c r="O344" s="109"/>
      <c r="P344" s="109"/>
      <c r="Q344" s="109"/>
      <c r="R344" s="109"/>
      <c r="S344" s="109"/>
      <c r="T344" s="109"/>
      <c r="U344" s="109"/>
      <c r="V344" s="109"/>
      <c r="W344" s="109"/>
      <c r="X344" s="109"/>
      <c r="Y344" s="109"/>
      <c r="Z344" s="109"/>
    </row>
    <row r="345" spans="1:26" ht="13.5" customHeight="1">
      <c r="A345" s="109"/>
      <c r="B345" s="109"/>
      <c r="C345" s="109"/>
      <c r="D345" s="109"/>
      <c r="E345" s="109"/>
      <c r="F345" s="109"/>
      <c r="G345" s="161"/>
      <c r="H345" s="109"/>
      <c r="I345" s="109"/>
      <c r="J345" s="109"/>
      <c r="K345" s="109"/>
      <c r="L345" s="109"/>
      <c r="M345" s="109"/>
      <c r="N345" s="109"/>
      <c r="O345" s="109"/>
      <c r="P345" s="109"/>
      <c r="Q345" s="109"/>
      <c r="R345" s="109"/>
      <c r="S345" s="109"/>
      <c r="T345" s="109"/>
      <c r="U345" s="109"/>
      <c r="V345" s="109"/>
      <c r="W345" s="109"/>
      <c r="X345" s="109"/>
      <c r="Y345" s="109"/>
      <c r="Z345" s="109"/>
    </row>
    <row r="346" spans="1:26" ht="13.5" customHeight="1">
      <c r="A346" s="109"/>
      <c r="B346" s="109"/>
      <c r="C346" s="109"/>
      <c r="D346" s="109"/>
      <c r="E346" s="109"/>
      <c r="F346" s="109"/>
      <c r="G346" s="161"/>
      <c r="H346" s="109"/>
      <c r="I346" s="109"/>
      <c r="J346" s="109"/>
      <c r="K346" s="109"/>
      <c r="L346" s="109"/>
      <c r="M346" s="109"/>
      <c r="N346" s="109"/>
      <c r="O346" s="109"/>
      <c r="P346" s="109"/>
      <c r="Q346" s="109"/>
      <c r="R346" s="109"/>
      <c r="S346" s="109"/>
      <c r="T346" s="109"/>
      <c r="U346" s="109"/>
      <c r="V346" s="109"/>
      <c r="W346" s="109"/>
      <c r="X346" s="109"/>
      <c r="Y346" s="109"/>
      <c r="Z346" s="109"/>
    </row>
    <row r="347" spans="1:26" ht="13.5" customHeight="1">
      <c r="A347" s="109"/>
      <c r="B347" s="109"/>
      <c r="C347" s="109"/>
      <c r="D347" s="109"/>
      <c r="E347" s="109"/>
      <c r="F347" s="109"/>
      <c r="G347" s="161"/>
      <c r="H347" s="109"/>
      <c r="I347" s="109"/>
      <c r="J347" s="109"/>
      <c r="K347" s="109"/>
      <c r="L347" s="109"/>
      <c r="M347" s="109"/>
      <c r="N347" s="109"/>
      <c r="O347" s="109"/>
      <c r="P347" s="109"/>
      <c r="Q347" s="109"/>
      <c r="R347" s="109"/>
      <c r="S347" s="109"/>
      <c r="T347" s="109"/>
      <c r="U347" s="109"/>
      <c r="V347" s="109"/>
      <c r="W347" s="109"/>
      <c r="X347" s="109"/>
      <c r="Y347" s="109"/>
      <c r="Z347" s="109"/>
    </row>
    <row r="348" spans="1:26" ht="13.5" customHeight="1">
      <c r="A348" s="109"/>
      <c r="B348" s="109"/>
      <c r="C348" s="109"/>
      <c r="D348" s="109"/>
      <c r="E348" s="109"/>
      <c r="F348" s="109"/>
      <c r="G348" s="161"/>
      <c r="H348" s="109"/>
      <c r="I348" s="109"/>
      <c r="J348" s="109"/>
      <c r="K348" s="109"/>
      <c r="L348" s="109"/>
      <c r="M348" s="109"/>
      <c r="N348" s="109"/>
      <c r="O348" s="109"/>
      <c r="P348" s="109"/>
      <c r="Q348" s="109"/>
      <c r="R348" s="109"/>
      <c r="S348" s="109"/>
      <c r="T348" s="109"/>
      <c r="U348" s="109"/>
      <c r="V348" s="109"/>
      <c r="W348" s="109"/>
      <c r="X348" s="109"/>
      <c r="Y348" s="109"/>
      <c r="Z348" s="109"/>
    </row>
    <row r="349" spans="1:26" ht="13.5" customHeight="1">
      <c r="A349" s="109"/>
      <c r="B349" s="109"/>
      <c r="C349" s="109"/>
      <c r="D349" s="109"/>
      <c r="E349" s="109"/>
      <c r="F349" s="109"/>
      <c r="G349" s="161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</row>
    <row r="350" spans="1:26" ht="13.5" customHeight="1">
      <c r="A350" s="109"/>
      <c r="B350" s="109"/>
      <c r="C350" s="109"/>
      <c r="D350" s="109"/>
      <c r="E350" s="109"/>
      <c r="F350" s="109"/>
      <c r="G350" s="161"/>
      <c r="H350" s="109"/>
      <c r="I350" s="109"/>
      <c r="J350" s="109"/>
      <c r="K350" s="109"/>
      <c r="L350" s="109"/>
      <c r="M350" s="109"/>
      <c r="N350" s="109"/>
      <c r="O350" s="109"/>
      <c r="P350" s="109"/>
      <c r="Q350" s="109"/>
      <c r="R350" s="109"/>
      <c r="S350" s="109"/>
      <c r="T350" s="109"/>
      <c r="U350" s="109"/>
      <c r="V350" s="109"/>
      <c r="W350" s="109"/>
      <c r="X350" s="109"/>
      <c r="Y350" s="109"/>
      <c r="Z350" s="109"/>
    </row>
    <row r="351" spans="1:26" ht="13.5" customHeight="1">
      <c r="A351" s="109"/>
      <c r="B351" s="109"/>
      <c r="C351" s="109"/>
      <c r="D351" s="109"/>
      <c r="E351" s="109"/>
      <c r="F351" s="109"/>
      <c r="G351" s="161"/>
      <c r="H351" s="109"/>
      <c r="I351" s="109"/>
      <c r="J351" s="109"/>
      <c r="K351" s="109"/>
      <c r="L351" s="109"/>
      <c r="M351" s="109"/>
      <c r="N351" s="109"/>
      <c r="O351" s="109"/>
      <c r="P351" s="109"/>
      <c r="Q351" s="109"/>
      <c r="R351" s="109"/>
      <c r="S351" s="109"/>
      <c r="T351" s="109"/>
      <c r="U351" s="109"/>
      <c r="V351" s="109"/>
      <c r="W351" s="109"/>
      <c r="X351" s="109"/>
      <c r="Y351" s="109"/>
      <c r="Z351" s="109"/>
    </row>
    <row r="352" spans="1:26" ht="13.5" customHeight="1">
      <c r="A352" s="109"/>
      <c r="B352" s="109"/>
      <c r="C352" s="109"/>
      <c r="D352" s="109"/>
      <c r="E352" s="109"/>
      <c r="F352" s="109"/>
      <c r="G352" s="161"/>
      <c r="H352" s="109"/>
      <c r="I352" s="109"/>
      <c r="J352" s="109"/>
      <c r="K352" s="109"/>
      <c r="L352" s="109"/>
      <c r="M352" s="109"/>
      <c r="N352" s="109"/>
      <c r="O352" s="109"/>
      <c r="P352" s="109"/>
      <c r="Q352" s="109"/>
      <c r="R352" s="109"/>
      <c r="S352" s="109"/>
      <c r="T352" s="109"/>
      <c r="U352" s="109"/>
      <c r="V352" s="109"/>
      <c r="W352" s="109"/>
      <c r="X352" s="109"/>
      <c r="Y352" s="109"/>
      <c r="Z352" s="109"/>
    </row>
    <row r="353" spans="1:26" ht="13.5" customHeight="1">
      <c r="A353" s="109"/>
      <c r="B353" s="109"/>
      <c r="C353" s="109"/>
      <c r="D353" s="109"/>
      <c r="E353" s="109"/>
      <c r="F353" s="109"/>
      <c r="G353" s="161"/>
      <c r="H353" s="109"/>
      <c r="I353" s="109"/>
      <c r="J353" s="109"/>
      <c r="K353" s="109"/>
      <c r="L353" s="109"/>
      <c r="M353" s="109"/>
      <c r="N353" s="109"/>
      <c r="O353" s="109"/>
      <c r="P353" s="109"/>
      <c r="Q353" s="109"/>
      <c r="R353" s="109"/>
      <c r="S353" s="109"/>
      <c r="T353" s="109"/>
      <c r="U353" s="109"/>
      <c r="V353" s="109"/>
      <c r="W353" s="109"/>
      <c r="X353" s="109"/>
      <c r="Y353" s="109"/>
      <c r="Z353" s="109"/>
    </row>
    <row r="354" spans="1:26" ht="13.5" customHeight="1">
      <c r="A354" s="109"/>
      <c r="B354" s="109"/>
      <c r="C354" s="109"/>
      <c r="D354" s="109"/>
      <c r="E354" s="109"/>
      <c r="F354" s="109"/>
      <c r="G354" s="161"/>
      <c r="H354" s="109"/>
      <c r="I354" s="109"/>
      <c r="J354" s="109"/>
      <c r="K354" s="109"/>
      <c r="L354" s="109"/>
      <c r="M354" s="109"/>
      <c r="N354" s="109"/>
      <c r="O354" s="109"/>
      <c r="P354" s="109"/>
      <c r="Q354" s="109"/>
      <c r="R354" s="109"/>
      <c r="S354" s="109"/>
      <c r="T354" s="109"/>
      <c r="U354" s="109"/>
      <c r="V354" s="109"/>
      <c r="W354" s="109"/>
      <c r="X354" s="109"/>
      <c r="Y354" s="109"/>
      <c r="Z354" s="109"/>
    </row>
    <row r="355" spans="1:26" ht="13.5" customHeight="1">
      <c r="A355" s="109"/>
      <c r="B355" s="109"/>
      <c r="C355" s="109"/>
      <c r="D355" s="109"/>
      <c r="E355" s="109"/>
      <c r="F355" s="109"/>
      <c r="G355" s="161"/>
      <c r="H355" s="109"/>
      <c r="I355" s="109"/>
      <c r="J355" s="109"/>
      <c r="K355" s="109"/>
      <c r="L355" s="109"/>
      <c r="M355" s="109"/>
      <c r="N355" s="109"/>
      <c r="O355" s="109"/>
      <c r="P355" s="109"/>
      <c r="Q355" s="109"/>
      <c r="R355" s="109"/>
      <c r="S355" s="109"/>
      <c r="T355" s="109"/>
      <c r="U355" s="109"/>
      <c r="V355" s="109"/>
      <c r="W355" s="109"/>
      <c r="X355" s="109"/>
      <c r="Y355" s="109"/>
      <c r="Z355" s="109"/>
    </row>
    <row r="356" spans="1:26" ht="13.5" customHeight="1">
      <c r="A356" s="109"/>
      <c r="B356" s="109"/>
      <c r="C356" s="109"/>
      <c r="D356" s="109"/>
      <c r="E356" s="109"/>
      <c r="F356" s="109"/>
      <c r="G356" s="161"/>
      <c r="H356" s="109"/>
      <c r="I356" s="109"/>
      <c r="J356" s="109"/>
      <c r="K356" s="109"/>
      <c r="L356" s="109"/>
      <c r="M356" s="109"/>
      <c r="N356" s="109"/>
      <c r="O356" s="109"/>
      <c r="P356" s="109"/>
      <c r="Q356" s="109"/>
      <c r="R356" s="109"/>
      <c r="S356" s="109"/>
      <c r="T356" s="109"/>
      <c r="U356" s="109"/>
      <c r="V356" s="109"/>
      <c r="W356" s="109"/>
      <c r="X356" s="109"/>
      <c r="Y356" s="109"/>
      <c r="Z356" s="109"/>
    </row>
    <row r="357" spans="1:26" ht="13.5" customHeight="1">
      <c r="A357" s="109"/>
      <c r="B357" s="109"/>
      <c r="C357" s="109"/>
      <c r="D357" s="109"/>
      <c r="E357" s="109"/>
      <c r="F357" s="109"/>
      <c r="G357" s="161"/>
      <c r="H357" s="109"/>
      <c r="I357" s="109"/>
      <c r="J357" s="109"/>
      <c r="K357" s="109"/>
      <c r="L357" s="109"/>
      <c r="M357" s="109"/>
      <c r="N357" s="109"/>
      <c r="O357" s="109"/>
      <c r="P357" s="109"/>
      <c r="Q357" s="109"/>
      <c r="R357" s="109"/>
      <c r="S357" s="109"/>
      <c r="T357" s="109"/>
      <c r="U357" s="109"/>
      <c r="V357" s="109"/>
      <c r="W357" s="109"/>
      <c r="X357" s="109"/>
      <c r="Y357" s="109"/>
      <c r="Z357" s="109"/>
    </row>
    <row r="358" spans="1:26" ht="13.5" customHeight="1">
      <c r="A358" s="109"/>
      <c r="B358" s="109"/>
      <c r="C358" s="109"/>
      <c r="D358" s="109"/>
      <c r="E358" s="109"/>
      <c r="F358" s="109"/>
      <c r="G358" s="161"/>
      <c r="H358" s="109"/>
      <c r="I358" s="109"/>
      <c r="J358" s="109"/>
      <c r="K358" s="109"/>
      <c r="L358" s="109"/>
      <c r="M358" s="109"/>
      <c r="N358" s="109"/>
      <c r="O358" s="109"/>
      <c r="P358" s="109"/>
      <c r="Q358" s="109"/>
      <c r="R358" s="109"/>
      <c r="S358" s="109"/>
      <c r="T358" s="109"/>
      <c r="U358" s="109"/>
      <c r="V358" s="109"/>
      <c r="W358" s="109"/>
      <c r="X358" s="109"/>
      <c r="Y358" s="109"/>
      <c r="Z358" s="109"/>
    </row>
    <row r="359" spans="1:26" ht="13.5" customHeight="1">
      <c r="A359" s="109"/>
      <c r="B359" s="109"/>
      <c r="C359" s="109"/>
      <c r="D359" s="109"/>
      <c r="E359" s="109"/>
      <c r="F359" s="109"/>
      <c r="G359" s="161"/>
      <c r="H359" s="109"/>
      <c r="I359" s="109"/>
      <c r="J359" s="109"/>
      <c r="K359" s="109"/>
      <c r="L359" s="109"/>
      <c r="M359" s="109"/>
      <c r="N359" s="109"/>
      <c r="O359" s="109"/>
      <c r="P359" s="109"/>
      <c r="Q359" s="109"/>
      <c r="R359" s="109"/>
      <c r="S359" s="109"/>
      <c r="T359" s="109"/>
      <c r="U359" s="109"/>
      <c r="V359" s="109"/>
      <c r="W359" s="109"/>
      <c r="X359" s="109"/>
      <c r="Y359" s="109"/>
      <c r="Z359" s="109"/>
    </row>
    <row r="360" spans="1:26" ht="13.5" customHeight="1">
      <c r="A360" s="109"/>
      <c r="B360" s="109"/>
      <c r="C360" s="109"/>
      <c r="D360" s="109"/>
      <c r="E360" s="109"/>
      <c r="F360" s="109"/>
      <c r="G360" s="161"/>
      <c r="H360" s="109"/>
      <c r="I360" s="109"/>
      <c r="J360" s="109"/>
      <c r="K360" s="109"/>
      <c r="L360" s="109"/>
      <c r="M360" s="109"/>
      <c r="N360" s="109"/>
      <c r="O360" s="109"/>
      <c r="P360" s="109"/>
      <c r="Q360" s="109"/>
      <c r="R360" s="109"/>
      <c r="S360" s="109"/>
      <c r="T360" s="109"/>
      <c r="U360" s="109"/>
      <c r="V360" s="109"/>
      <c r="W360" s="109"/>
      <c r="X360" s="109"/>
      <c r="Y360" s="109"/>
      <c r="Z360" s="109"/>
    </row>
    <row r="361" spans="1:26" ht="13.5" customHeight="1">
      <c r="A361" s="109"/>
      <c r="B361" s="109"/>
      <c r="C361" s="109"/>
      <c r="D361" s="109"/>
      <c r="E361" s="109"/>
      <c r="F361" s="109"/>
      <c r="G361" s="161"/>
      <c r="H361" s="109"/>
      <c r="I361" s="109"/>
      <c r="J361" s="109"/>
      <c r="K361" s="109"/>
      <c r="L361" s="109"/>
      <c r="M361" s="109"/>
      <c r="N361" s="109"/>
      <c r="O361" s="109"/>
      <c r="P361" s="109"/>
      <c r="Q361" s="109"/>
      <c r="R361" s="109"/>
      <c r="S361" s="109"/>
      <c r="T361" s="109"/>
      <c r="U361" s="109"/>
      <c r="V361" s="109"/>
      <c r="W361" s="109"/>
      <c r="X361" s="109"/>
      <c r="Y361" s="109"/>
      <c r="Z361" s="109"/>
    </row>
    <row r="362" spans="1:26" ht="13.5" customHeight="1">
      <c r="A362" s="109"/>
      <c r="B362" s="109"/>
      <c r="C362" s="109"/>
      <c r="D362" s="109"/>
      <c r="E362" s="109"/>
      <c r="F362" s="109"/>
      <c r="G362" s="161"/>
      <c r="H362" s="109"/>
      <c r="I362" s="109"/>
      <c r="J362" s="109"/>
      <c r="K362" s="109"/>
      <c r="L362" s="109"/>
      <c r="M362" s="109"/>
      <c r="N362" s="109"/>
      <c r="O362" s="109"/>
      <c r="P362" s="109"/>
      <c r="Q362" s="109"/>
      <c r="R362" s="109"/>
      <c r="S362" s="109"/>
      <c r="T362" s="109"/>
      <c r="U362" s="109"/>
      <c r="V362" s="109"/>
      <c r="W362" s="109"/>
      <c r="X362" s="109"/>
      <c r="Y362" s="109"/>
      <c r="Z362" s="109"/>
    </row>
    <row r="363" spans="1:26" ht="13.5" customHeight="1">
      <c r="A363" s="109"/>
      <c r="B363" s="109"/>
      <c r="C363" s="109"/>
      <c r="D363" s="109"/>
      <c r="E363" s="109"/>
      <c r="F363" s="109"/>
      <c r="G363" s="161"/>
      <c r="H363" s="109"/>
      <c r="I363" s="109"/>
      <c r="J363" s="109"/>
      <c r="K363" s="109"/>
      <c r="L363" s="109"/>
      <c r="M363" s="109"/>
      <c r="N363" s="109"/>
      <c r="O363" s="109"/>
      <c r="P363" s="109"/>
      <c r="Q363" s="109"/>
      <c r="R363" s="109"/>
      <c r="S363" s="109"/>
      <c r="T363" s="109"/>
      <c r="U363" s="109"/>
      <c r="V363" s="109"/>
      <c r="W363" s="109"/>
      <c r="X363" s="109"/>
      <c r="Y363" s="109"/>
      <c r="Z363" s="109"/>
    </row>
    <row r="364" spans="1:26" ht="13.5" customHeight="1">
      <c r="A364" s="109"/>
      <c r="B364" s="109"/>
      <c r="C364" s="109"/>
      <c r="D364" s="109"/>
      <c r="E364" s="109"/>
      <c r="F364" s="109"/>
      <c r="G364" s="161"/>
      <c r="H364" s="109"/>
      <c r="I364" s="109"/>
      <c r="J364" s="109"/>
      <c r="K364" s="109"/>
      <c r="L364" s="109"/>
      <c r="M364" s="109"/>
      <c r="N364" s="109"/>
      <c r="O364" s="109"/>
      <c r="P364" s="109"/>
      <c r="Q364" s="109"/>
      <c r="R364" s="109"/>
      <c r="S364" s="109"/>
      <c r="T364" s="109"/>
      <c r="U364" s="109"/>
      <c r="V364" s="109"/>
      <c r="W364" s="109"/>
      <c r="X364" s="109"/>
      <c r="Y364" s="109"/>
      <c r="Z364" s="109"/>
    </row>
    <row r="365" spans="1:26" ht="13.5" customHeight="1">
      <c r="A365" s="109"/>
      <c r="B365" s="109"/>
      <c r="C365" s="109"/>
      <c r="D365" s="109"/>
      <c r="E365" s="109"/>
      <c r="F365" s="109"/>
      <c r="G365" s="161"/>
      <c r="H365" s="109"/>
      <c r="I365" s="109"/>
      <c r="J365" s="109"/>
      <c r="K365" s="109"/>
      <c r="L365" s="109"/>
      <c r="M365" s="109"/>
      <c r="N365" s="109"/>
      <c r="O365" s="109"/>
      <c r="P365" s="109"/>
      <c r="Q365" s="109"/>
      <c r="R365" s="109"/>
      <c r="S365" s="109"/>
      <c r="T365" s="109"/>
      <c r="U365" s="109"/>
      <c r="V365" s="109"/>
      <c r="W365" s="109"/>
      <c r="X365" s="109"/>
      <c r="Y365" s="109"/>
      <c r="Z365" s="109"/>
    </row>
    <row r="366" spans="1:26" ht="13.5" customHeight="1">
      <c r="A366" s="109"/>
      <c r="B366" s="109"/>
      <c r="C366" s="109"/>
      <c r="D366" s="109"/>
      <c r="E366" s="109"/>
      <c r="F366" s="109"/>
      <c r="G366" s="161"/>
      <c r="H366" s="109"/>
      <c r="I366" s="109"/>
      <c r="J366" s="109"/>
      <c r="K366" s="109"/>
      <c r="L366" s="109"/>
      <c r="M366" s="109"/>
      <c r="N366" s="109"/>
      <c r="O366" s="109"/>
      <c r="P366" s="109"/>
      <c r="Q366" s="109"/>
      <c r="R366" s="109"/>
      <c r="S366" s="109"/>
      <c r="T366" s="109"/>
      <c r="U366" s="109"/>
      <c r="V366" s="109"/>
      <c r="W366" s="109"/>
      <c r="X366" s="109"/>
      <c r="Y366" s="109"/>
      <c r="Z366" s="109"/>
    </row>
    <row r="367" spans="1:26" ht="13.5" customHeight="1">
      <c r="A367" s="109"/>
      <c r="B367" s="109"/>
      <c r="C367" s="109"/>
      <c r="D367" s="109"/>
      <c r="E367" s="109"/>
      <c r="F367" s="109"/>
      <c r="G367" s="161"/>
      <c r="H367" s="109"/>
      <c r="I367" s="109"/>
      <c r="J367" s="109"/>
      <c r="K367" s="109"/>
      <c r="L367" s="109"/>
      <c r="M367" s="109"/>
      <c r="N367" s="109"/>
      <c r="O367" s="109"/>
      <c r="P367" s="109"/>
      <c r="Q367" s="109"/>
      <c r="R367" s="109"/>
      <c r="S367" s="109"/>
      <c r="T367" s="109"/>
      <c r="U367" s="109"/>
      <c r="V367" s="109"/>
      <c r="W367" s="109"/>
      <c r="X367" s="109"/>
      <c r="Y367" s="109"/>
      <c r="Z367" s="109"/>
    </row>
    <row r="368" spans="1:26" ht="13.5" customHeight="1">
      <c r="A368" s="109"/>
      <c r="B368" s="109"/>
      <c r="C368" s="109"/>
      <c r="D368" s="109"/>
      <c r="E368" s="109"/>
      <c r="F368" s="109"/>
      <c r="G368" s="161"/>
      <c r="H368" s="109"/>
      <c r="I368" s="109"/>
      <c r="J368" s="109"/>
      <c r="K368" s="109"/>
      <c r="L368" s="109"/>
      <c r="M368" s="109"/>
      <c r="N368" s="109"/>
      <c r="O368" s="109"/>
      <c r="P368" s="109"/>
      <c r="Q368" s="109"/>
      <c r="R368" s="109"/>
      <c r="S368" s="109"/>
      <c r="T368" s="109"/>
      <c r="U368" s="109"/>
      <c r="V368" s="109"/>
      <c r="W368" s="109"/>
      <c r="X368" s="109"/>
      <c r="Y368" s="109"/>
      <c r="Z368" s="109"/>
    </row>
    <row r="369" spans="1:26" ht="13.5" customHeight="1">
      <c r="A369" s="109"/>
      <c r="B369" s="109"/>
      <c r="C369" s="109"/>
      <c r="D369" s="109"/>
      <c r="E369" s="109"/>
      <c r="F369" s="109"/>
      <c r="G369" s="161"/>
      <c r="H369" s="109"/>
      <c r="I369" s="109"/>
      <c r="J369" s="109"/>
      <c r="K369" s="109"/>
      <c r="L369" s="109"/>
      <c r="M369" s="109"/>
      <c r="N369" s="109"/>
      <c r="O369" s="109"/>
      <c r="P369" s="109"/>
      <c r="Q369" s="109"/>
      <c r="R369" s="109"/>
      <c r="S369" s="109"/>
      <c r="T369" s="109"/>
      <c r="U369" s="109"/>
      <c r="V369" s="109"/>
      <c r="W369" s="109"/>
      <c r="X369" s="109"/>
      <c r="Y369" s="109"/>
      <c r="Z369" s="109"/>
    </row>
    <row r="370" spans="1:26" ht="13.5" customHeight="1">
      <c r="A370" s="109"/>
      <c r="B370" s="109"/>
      <c r="C370" s="109"/>
      <c r="D370" s="109"/>
      <c r="E370" s="109"/>
      <c r="F370" s="109"/>
      <c r="G370" s="161"/>
      <c r="H370" s="109"/>
      <c r="I370" s="109"/>
      <c r="J370" s="109"/>
      <c r="K370" s="109"/>
      <c r="L370" s="109"/>
      <c r="M370" s="109"/>
      <c r="N370" s="109"/>
      <c r="O370" s="109"/>
      <c r="P370" s="109"/>
      <c r="Q370" s="109"/>
      <c r="R370" s="109"/>
      <c r="S370" s="109"/>
      <c r="T370" s="109"/>
      <c r="U370" s="109"/>
      <c r="V370" s="109"/>
      <c r="W370" s="109"/>
      <c r="X370" s="109"/>
      <c r="Y370" s="109"/>
      <c r="Z370" s="109"/>
    </row>
    <row r="371" spans="1:26" ht="13.5" customHeight="1">
      <c r="A371" s="109"/>
      <c r="B371" s="109"/>
      <c r="C371" s="109"/>
      <c r="D371" s="109"/>
      <c r="E371" s="109"/>
      <c r="F371" s="109"/>
      <c r="G371" s="161"/>
      <c r="H371" s="109"/>
      <c r="I371" s="109"/>
      <c r="J371" s="109"/>
      <c r="K371" s="109"/>
      <c r="L371" s="109"/>
      <c r="M371" s="109"/>
      <c r="N371" s="109"/>
      <c r="O371" s="109"/>
      <c r="P371" s="109"/>
      <c r="Q371" s="109"/>
      <c r="R371" s="109"/>
      <c r="S371" s="109"/>
      <c r="T371" s="109"/>
      <c r="U371" s="109"/>
      <c r="V371" s="109"/>
      <c r="W371" s="109"/>
      <c r="X371" s="109"/>
      <c r="Y371" s="109"/>
      <c r="Z371" s="109"/>
    </row>
    <row r="372" spans="1:26" ht="13.5" customHeight="1">
      <c r="A372" s="109"/>
      <c r="B372" s="109"/>
      <c r="C372" s="109"/>
      <c r="D372" s="109"/>
      <c r="E372" s="109"/>
      <c r="F372" s="109"/>
      <c r="G372" s="161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</row>
    <row r="373" spans="1:26" ht="13.5" customHeight="1">
      <c r="A373" s="109"/>
      <c r="B373" s="109"/>
      <c r="C373" s="109"/>
      <c r="D373" s="109"/>
      <c r="E373" s="109"/>
      <c r="F373" s="109"/>
      <c r="G373" s="161"/>
      <c r="H373" s="109"/>
      <c r="I373" s="109"/>
      <c r="J373" s="109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  <c r="Y373" s="109"/>
      <c r="Z373" s="109"/>
    </row>
    <row r="374" spans="1:26" ht="13.5" customHeight="1">
      <c r="A374" s="109"/>
      <c r="B374" s="109"/>
      <c r="C374" s="109"/>
      <c r="D374" s="109"/>
      <c r="E374" s="109"/>
      <c r="F374" s="109"/>
      <c r="G374" s="161"/>
      <c r="H374" s="109"/>
      <c r="I374" s="109"/>
      <c r="J374" s="109"/>
      <c r="K374" s="109"/>
      <c r="L374" s="109"/>
      <c r="M374" s="109"/>
      <c r="N374" s="109"/>
      <c r="O374" s="109"/>
      <c r="P374" s="109"/>
      <c r="Q374" s="109"/>
      <c r="R374" s="109"/>
      <c r="S374" s="109"/>
      <c r="T374" s="109"/>
      <c r="U374" s="109"/>
      <c r="V374" s="109"/>
      <c r="W374" s="109"/>
      <c r="X374" s="109"/>
      <c r="Y374" s="109"/>
      <c r="Z374" s="109"/>
    </row>
    <row r="375" spans="1:26" ht="13.5" customHeight="1">
      <c r="A375" s="109"/>
      <c r="B375" s="109"/>
      <c r="C375" s="109"/>
      <c r="D375" s="109"/>
      <c r="E375" s="109"/>
      <c r="F375" s="109"/>
      <c r="G375" s="161"/>
      <c r="H375" s="109"/>
      <c r="I375" s="109"/>
      <c r="J375" s="109"/>
      <c r="K375" s="109"/>
      <c r="L375" s="109"/>
      <c r="M375" s="109"/>
      <c r="N375" s="109"/>
      <c r="O375" s="109"/>
      <c r="P375" s="109"/>
      <c r="Q375" s="109"/>
      <c r="R375" s="109"/>
      <c r="S375" s="109"/>
      <c r="T375" s="109"/>
      <c r="U375" s="109"/>
      <c r="V375" s="109"/>
      <c r="W375" s="109"/>
      <c r="X375" s="109"/>
      <c r="Y375" s="109"/>
      <c r="Z375" s="109"/>
    </row>
    <row r="376" spans="1:26" ht="13.5" customHeight="1">
      <c r="A376" s="109"/>
      <c r="B376" s="109"/>
      <c r="C376" s="109"/>
      <c r="D376" s="109"/>
      <c r="E376" s="109"/>
      <c r="F376" s="109"/>
      <c r="G376" s="161"/>
      <c r="H376" s="109"/>
      <c r="I376" s="109"/>
      <c r="J376" s="109"/>
      <c r="K376" s="109"/>
      <c r="L376" s="109"/>
      <c r="M376" s="109"/>
      <c r="N376" s="109"/>
      <c r="O376" s="109"/>
      <c r="P376" s="109"/>
      <c r="Q376" s="109"/>
      <c r="R376" s="109"/>
      <c r="S376" s="109"/>
      <c r="T376" s="109"/>
      <c r="U376" s="109"/>
      <c r="V376" s="109"/>
      <c r="W376" s="109"/>
      <c r="X376" s="109"/>
      <c r="Y376" s="109"/>
      <c r="Z376" s="109"/>
    </row>
    <row r="377" spans="1:26" ht="13.5" customHeight="1">
      <c r="A377" s="109"/>
      <c r="B377" s="109"/>
      <c r="C377" s="109"/>
      <c r="D377" s="109"/>
      <c r="E377" s="109"/>
      <c r="F377" s="109"/>
      <c r="G377" s="161"/>
      <c r="H377" s="109"/>
      <c r="I377" s="109"/>
      <c r="J377" s="109"/>
      <c r="K377" s="109"/>
      <c r="L377" s="109"/>
      <c r="M377" s="109"/>
      <c r="N377" s="109"/>
      <c r="O377" s="109"/>
      <c r="P377" s="109"/>
      <c r="Q377" s="109"/>
      <c r="R377" s="109"/>
      <c r="S377" s="109"/>
      <c r="T377" s="109"/>
      <c r="U377" s="109"/>
      <c r="V377" s="109"/>
      <c r="W377" s="109"/>
      <c r="X377" s="109"/>
      <c r="Y377" s="109"/>
      <c r="Z377" s="109"/>
    </row>
    <row r="378" spans="1:26" ht="13.5" customHeight="1">
      <c r="A378" s="109"/>
      <c r="B378" s="109"/>
      <c r="C378" s="109"/>
      <c r="D378" s="109"/>
      <c r="E378" s="109"/>
      <c r="F378" s="109"/>
      <c r="G378" s="161"/>
      <c r="H378" s="109"/>
      <c r="I378" s="109"/>
      <c r="J378" s="109"/>
      <c r="K378" s="109"/>
      <c r="L378" s="109"/>
      <c r="M378" s="109"/>
      <c r="N378" s="109"/>
      <c r="O378" s="109"/>
      <c r="P378" s="109"/>
      <c r="Q378" s="109"/>
      <c r="R378" s="109"/>
      <c r="S378" s="109"/>
      <c r="T378" s="109"/>
      <c r="U378" s="109"/>
      <c r="V378" s="109"/>
      <c r="W378" s="109"/>
      <c r="X378" s="109"/>
      <c r="Y378" s="109"/>
      <c r="Z378" s="109"/>
    </row>
    <row r="379" spans="1:26" ht="13.5" customHeight="1">
      <c r="A379" s="109"/>
      <c r="B379" s="109"/>
      <c r="C379" s="109"/>
      <c r="D379" s="109"/>
      <c r="E379" s="109"/>
      <c r="F379" s="109"/>
      <c r="G379" s="161"/>
      <c r="H379" s="109"/>
      <c r="I379" s="109"/>
      <c r="J379" s="109"/>
      <c r="K379" s="109"/>
      <c r="L379" s="109"/>
      <c r="M379" s="109"/>
      <c r="N379" s="109"/>
      <c r="O379" s="109"/>
      <c r="P379" s="109"/>
      <c r="Q379" s="109"/>
      <c r="R379" s="109"/>
      <c r="S379" s="109"/>
      <c r="T379" s="109"/>
      <c r="U379" s="109"/>
      <c r="V379" s="109"/>
      <c r="W379" s="109"/>
      <c r="X379" s="109"/>
      <c r="Y379" s="109"/>
      <c r="Z379" s="109"/>
    </row>
    <row r="380" spans="1:26" ht="13.5" customHeight="1">
      <c r="A380" s="109"/>
      <c r="B380" s="109"/>
      <c r="C380" s="109"/>
      <c r="D380" s="109"/>
      <c r="E380" s="109"/>
      <c r="F380" s="109"/>
      <c r="G380" s="161"/>
      <c r="H380" s="109"/>
      <c r="I380" s="109"/>
      <c r="J380" s="109"/>
      <c r="K380" s="109"/>
      <c r="L380" s="109"/>
      <c r="M380" s="109"/>
      <c r="N380" s="109"/>
      <c r="O380" s="109"/>
      <c r="P380" s="109"/>
      <c r="Q380" s="109"/>
      <c r="R380" s="109"/>
      <c r="S380" s="109"/>
      <c r="T380" s="109"/>
      <c r="U380" s="109"/>
      <c r="V380" s="109"/>
      <c r="W380" s="109"/>
      <c r="X380" s="109"/>
      <c r="Y380" s="109"/>
      <c r="Z380" s="109"/>
    </row>
    <row r="381" spans="1:26" ht="13.5" customHeight="1">
      <c r="A381" s="109"/>
      <c r="B381" s="109"/>
      <c r="C381" s="109"/>
      <c r="D381" s="109"/>
      <c r="E381" s="109"/>
      <c r="F381" s="109"/>
      <c r="G381" s="161"/>
      <c r="H381" s="109"/>
      <c r="I381" s="109"/>
      <c r="J381" s="109"/>
      <c r="K381" s="109"/>
      <c r="L381" s="109"/>
      <c r="M381" s="109"/>
      <c r="N381" s="109"/>
      <c r="O381" s="109"/>
      <c r="P381" s="109"/>
      <c r="Q381" s="109"/>
      <c r="R381" s="109"/>
      <c r="S381" s="109"/>
      <c r="T381" s="109"/>
      <c r="U381" s="109"/>
      <c r="V381" s="109"/>
      <c r="W381" s="109"/>
      <c r="X381" s="109"/>
      <c r="Y381" s="109"/>
      <c r="Z381" s="109"/>
    </row>
    <row r="382" spans="1:26" ht="13.5" customHeight="1">
      <c r="A382" s="109"/>
      <c r="B382" s="109"/>
      <c r="C382" s="109"/>
      <c r="D382" s="109"/>
      <c r="E382" s="109"/>
      <c r="F382" s="109"/>
      <c r="G382" s="161"/>
      <c r="H382" s="109"/>
      <c r="I382" s="109"/>
      <c r="J382" s="109"/>
      <c r="K382" s="109"/>
      <c r="L382" s="109"/>
      <c r="M382" s="109"/>
      <c r="N382" s="109"/>
      <c r="O382" s="109"/>
      <c r="P382" s="109"/>
      <c r="Q382" s="109"/>
      <c r="R382" s="109"/>
      <c r="S382" s="109"/>
      <c r="T382" s="109"/>
      <c r="U382" s="109"/>
      <c r="V382" s="109"/>
      <c r="W382" s="109"/>
      <c r="X382" s="109"/>
      <c r="Y382" s="109"/>
      <c r="Z382" s="109"/>
    </row>
    <row r="383" spans="1:26" ht="13.5" customHeight="1">
      <c r="A383" s="109"/>
      <c r="B383" s="109"/>
      <c r="C383" s="109"/>
      <c r="D383" s="109"/>
      <c r="E383" s="109"/>
      <c r="F383" s="109"/>
      <c r="G383" s="161"/>
      <c r="H383" s="109"/>
      <c r="I383" s="109"/>
      <c r="J383" s="109"/>
      <c r="K383" s="109"/>
      <c r="L383" s="109"/>
      <c r="M383" s="109"/>
      <c r="N383" s="109"/>
      <c r="O383" s="109"/>
      <c r="P383" s="109"/>
      <c r="Q383" s="109"/>
      <c r="R383" s="109"/>
      <c r="S383" s="109"/>
      <c r="T383" s="109"/>
      <c r="U383" s="109"/>
      <c r="V383" s="109"/>
      <c r="W383" s="109"/>
      <c r="X383" s="109"/>
      <c r="Y383" s="109"/>
      <c r="Z383" s="109"/>
    </row>
    <row r="384" spans="1:26" ht="13.5" customHeight="1">
      <c r="A384" s="109"/>
      <c r="B384" s="109"/>
      <c r="C384" s="109"/>
      <c r="D384" s="109"/>
      <c r="E384" s="109"/>
      <c r="F384" s="109"/>
      <c r="G384" s="161"/>
      <c r="H384" s="109"/>
      <c r="I384" s="109"/>
      <c r="J384" s="109"/>
      <c r="K384" s="109"/>
      <c r="L384" s="109"/>
      <c r="M384" s="109"/>
      <c r="N384" s="109"/>
      <c r="O384" s="109"/>
      <c r="P384" s="109"/>
      <c r="Q384" s="109"/>
      <c r="R384" s="109"/>
      <c r="S384" s="109"/>
      <c r="T384" s="109"/>
      <c r="U384" s="109"/>
      <c r="V384" s="109"/>
      <c r="W384" s="109"/>
      <c r="X384" s="109"/>
      <c r="Y384" s="109"/>
      <c r="Z384" s="109"/>
    </row>
    <row r="385" spans="1:26" ht="13.5" customHeight="1">
      <c r="A385" s="109"/>
      <c r="B385" s="109"/>
      <c r="C385" s="109"/>
      <c r="D385" s="109"/>
      <c r="E385" s="109"/>
      <c r="F385" s="109"/>
      <c r="G385" s="161"/>
      <c r="H385" s="109"/>
      <c r="I385" s="109"/>
      <c r="J385" s="109"/>
      <c r="K385" s="109"/>
      <c r="L385" s="109"/>
      <c r="M385" s="109"/>
      <c r="N385" s="109"/>
      <c r="O385" s="109"/>
      <c r="P385" s="109"/>
      <c r="Q385" s="109"/>
      <c r="R385" s="109"/>
      <c r="S385" s="109"/>
      <c r="T385" s="109"/>
      <c r="U385" s="109"/>
      <c r="V385" s="109"/>
      <c r="W385" s="109"/>
      <c r="X385" s="109"/>
      <c r="Y385" s="109"/>
      <c r="Z385" s="109"/>
    </row>
    <row r="386" spans="1:26" ht="13.5" customHeight="1">
      <c r="A386" s="109"/>
      <c r="B386" s="109"/>
      <c r="C386" s="109"/>
      <c r="D386" s="109"/>
      <c r="E386" s="109"/>
      <c r="F386" s="109"/>
      <c r="G386" s="161"/>
      <c r="H386" s="109"/>
      <c r="I386" s="109"/>
      <c r="J386" s="109"/>
      <c r="K386" s="109"/>
      <c r="L386" s="109"/>
      <c r="M386" s="109"/>
      <c r="N386" s="109"/>
      <c r="O386" s="109"/>
      <c r="P386" s="109"/>
      <c r="Q386" s="109"/>
      <c r="R386" s="109"/>
      <c r="S386" s="109"/>
      <c r="T386" s="109"/>
      <c r="U386" s="109"/>
      <c r="V386" s="109"/>
      <c r="W386" s="109"/>
      <c r="X386" s="109"/>
      <c r="Y386" s="109"/>
      <c r="Z386" s="109"/>
    </row>
    <row r="387" spans="1:26" ht="13.5" customHeight="1">
      <c r="A387" s="109"/>
      <c r="B387" s="109"/>
      <c r="C387" s="109"/>
      <c r="D387" s="109"/>
      <c r="E387" s="109"/>
      <c r="F387" s="109"/>
      <c r="G387" s="161"/>
      <c r="H387" s="109"/>
      <c r="I387" s="109"/>
      <c r="J387" s="109"/>
      <c r="K387" s="109"/>
      <c r="L387" s="109"/>
      <c r="M387" s="109"/>
      <c r="N387" s="109"/>
      <c r="O387" s="109"/>
      <c r="P387" s="109"/>
      <c r="Q387" s="109"/>
      <c r="R387" s="109"/>
      <c r="S387" s="109"/>
      <c r="T387" s="109"/>
      <c r="U387" s="109"/>
      <c r="V387" s="109"/>
      <c r="W387" s="109"/>
      <c r="X387" s="109"/>
      <c r="Y387" s="109"/>
      <c r="Z387" s="109"/>
    </row>
    <row r="388" spans="1:26" ht="13.5" customHeight="1">
      <c r="A388" s="109"/>
      <c r="B388" s="109"/>
      <c r="C388" s="109"/>
      <c r="D388" s="109"/>
      <c r="E388" s="109"/>
      <c r="F388" s="109"/>
      <c r="G388" s="161"/>
      <c r="H388" s="109"/>
      <c r="I388" s="109"/>
      <c r="J388" s="109"/>
      <c r="K388" s="109"/>
      <c r="L388" s="109"/>
      <c r="M388" s="109"/>
      <c r="N388" s="109"/>
      <c r="O388" s="109"/>
      <c r="P388" s="109"/>
      <c r="Q388" s="109"/>
      <c r="R388" s="109"/>
      <c r="S388" s="109"/>
      <c r="T388" s="109"/>
      <c r="U388" s="109"/>
      <c r="V388" s="109"/>
      <c r="W388" s="109"/>
      <c r="X388" s="109"/>
      <c r="Y388" s="109"/>
      <c r="Z388" s="109"/>
    </row>
    <row r="389" spans="1:26" ht="13.5" customHeight="1">
      <c r="A389" s="109"/>
      <c r="B389" s="109"/>
      <c r="C389" s="109"/>
      <c r="D389" s="109"/>
      <c r="E389" s="109"/>
      <c r="F389" s="109"/>
      <c r="G389" s="161"/>
      <c r="H389" s="109"/>
      <c r="I389" s="109"/>
      <c r="J389" s="109"/>
      <c r="K389" s="109"/>
      <c r="L389" s="109"/>
      <c r="M389" s="109"/>
      <c r="N389" s="109"/>
      <c r="O389" s="109"/>
      <c r="P389" s="109"/>
      <c r="Q389" s="109"/>
      <c r="R389" s="109"/>
      <c r="S389" s="109"/>
      <c r="T389" s="109"/>
      <c r="U389" s="109"/>
      <c r="V389" s="109"/>
      <c r="W389" s="109"/>
      <c r="X389" s="109"/>
      <c r="Y389" s="109"/>
      <c r="Z389" s="109"/>
    </row>
    <row r="390" spans="1:26" ht="13.5" customHeight="1">
      <c r="A390" s="109"/>
      <c r="B390" s="109"/>
      <c r="C390" s="109"/>
      <c r="D390" s="109"/>
      <c r="E390" s="109"/>
      <c r="F390" s="109"/>
      <c r="G390" s="161"/>
      <c r="H390" s="109"/>
      <c r="I390" s="109"/>
      <c r="J390" s="109"/>
      <c r="K390" s="109"/>
      <c r="L390" s="109"/>
      <c r="M390" s="109"/>
      <c r="N390" s="109"/>
      <c r="O390" s="109"/>
      <c r="P390" s="109"/>
      <c r="Q390" s="109"/>
      <c r="R390" s="109"/>
      <c r="S390" s="109"/>
      <c r="T390" s="109"/>
      <c r="U390" s="109"/>
      <c r="V390" s="109"/>
      <c r="W390" s="109"/>
      <c r="X390" s="109"/>
      <c r="Y390" s="109"/>
      <c r="Z390" s="109"/>
    </row>
    <row r="391" spans="1:26" ht="13.5" customHeight="1">
      <c r="A391" s="109"/>
      <c r="B391" s="109"/>
      <c r="C391" s="109"/>
      <c r="D391" s="109"/>
      <c r="E391" s="109"/>
      <c r="F391" s="109"/>
      <c r="G391" s="161"/>
      <c r="H391" s="109"/>
      <c r="I391" s="109"/>
      <c r="J391" s="109"/>
      <c r="K391" s="109"/>
      <c r="L391" s="109"/>
      <c r="M391" s="109"/>
      <c r="N391" s="109"/>
      <c r="O391" s="109"/>
      <c r="P391" s="109"/>
      <c r="Q391" s="109"/>
      <c r="R391" s="109"/>
      <c r="S391" s="109"/>
      <c r="T391" s="109"/>
      <c r="U391" s="109"/>
      <c r="V391" s="109"/>
      <c r="W391" s="109"/>
      <c r="X391" s="109"/>
      <c r="Y391" s="109"/>
      <c r="Z391" s="109"/>
    </row>
    <row r="392" spans="1:26" ht="13.5" customHeight="1">
      <c r="A392" s="109"/>
      <c r="B392" s="109"/>
      <c r="C392" s="109"/>
      <c r="D392" s="109"/>
      <c r="E392" s="109"/>
      <c r="F392" s="109"/>
      <c r="G392" s="161"/>
      <c r="H392" s="109"/>
      <c r="I392" s="109"/>
      <c r="J392" s="109"/>
      <c r="K392" s="109"/>
      <c r="L392" s="109"/>
      <c r="M392" s="109"/>
      <c r="N392" s="109"/>
      <c r="O392" s="109"/>
      <c r="P392" s="109"/>
      <c r="Q392" s="109"/>
      <c r="R392" s="109"/>
      <c r="S392" s="109"/>
      <c r="T392" s="109"/>
      <c r="U392" s="109"/>
      <c r="V392" s="109"/>
      <c r="W392" s="109"/>
      <c r="X392" s="109"/>
      <c r="Y392" s="109"/>
      <c r="Z392" s="109"/>
    </row>
    <row r="393" spans="1:26" ht="13.5" customHeight="1">
      <c r="A393" s="109"/>
      <c r="B393" s="109"/>
      <c r="C393" s="109"/>
      <c r="D393" s="109"/>
      <c r="E393" s="109"/>
      <c r="F393" s="109"/>
      <c r="G393" s="161"/>
      <c r="H393" s="109"/>
      <c r="I393" s="109"/>
      <c r="J393" s="109"/>
      <c r="K393" s="109"/>
      <c r="L393" s="109"/>
      <c r="M393" s="109"/>
      <c r="N393" s="109"/>
      <c r="O393" s="109"/>
      <c r="P393" s="109"/>
      <c r="Q393" s="109"/>
      <c r="R393" s="109"/>
      <c r="S393" s="109"/>
      <c r="T393" s="109"/>
      <c r="U393" s="109"/>
      <c r="V393" s="109"/>
      <c r="W393" s="109"/>
      <c r="X393" s="109"/>
      <c r="Y393" s="109"/>
      <c r="Z393" s="109"/>
    </row>
    <row r="394" spans="1:26" ht="13.5" customHeight="1">
      <c r="A394" s="109"/>
      <c r="B394" s="109"/>
      <c r="C394" s="109"/>
      <c r="D394" s="109"/>
      <c r="E394" s="109"/>
      <c r="F394" s="109"/>
      <c r="G394" s="161"/>
      <c r="H394" s="109"/>
      <c r="I394" s="109"/>
      <c r="J394" s="109"/>
      <c r="K394" s="109"/>
      <c r="L394" s="109"/>
      <c r="M394" s="109"/>
      <c r="N394" s="109"/>
      <c r="O394" s="109"/>
      <c r="P394" s="109"/>
      <c r="Q394" s="109"/>
      <c r="R394" s="109"/>
      <c r="S394" s="109"/>
      <c r="T394" s="109"/>
      <c r="U394" s="109"/>
      <c r="V394" s="109"/>
      <c r="W394" s="109"/>
      <c r="X394" s="109"/>
      <c r="Y394" s="109"/>
      <c r="Z394" s="109"/>
    </row>
    <row r="395" spans="1:26" ht="13.5" customHeight="1">
      <c r="A395" s="109"/>
      <c r="B395" s="109"/>
      <c r="C395" s="109"/>
      <c r="D395" s="109"/>
      <c r="E395" s="109"/>
      <c r="F395" s="109"/>
      <c r="G395" s="161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</row>
    <row r="396" spans="1:26" ht="13.5" customHeight="1">
      <c r="A396" s="109"/>
      <c r="B396" s="109"/>
      <c r="C396" s="109"/>
      <c r="D396" s="109"/>
      <c r="E396" s="109"/>
      <c r="F396" s="109"/>
      <c r="G396" s="161"/>
      <c r="H396" s="109"/>
      <c r="I396" s="109"/>
      <c r="J396" s="109"/>
      <c r="K396" s="109"/>
      <c r="L396" s="109"/>
      <c r="M396" s="109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  <c r="Y396" s="109"/>
      <c r="Z396" s="109"/>
    </row>
    <row r="397" spans="1:26" ht="13.5" customHeight="1">
      <c r="A397" s="109"/>
      <c r="B397" s="109"/>
      <c r="C397" s="109"/>
      <c r="D397" s="109"/>
      <c r="E397" s="109"/>
      <c r="F397" s="109"/>
      <c r="G397" s="161"/>
      <c r="H397" s="109"/>
      <c r="I397" s="109"/>
      <c r="J397" s="109"/>
      <c r="K397" s="109"/>
      <c r="L397" s="109"/>
      <c r="M397" s="109"/>
      <c r="N397" s="109"/>
      <c r="O397" s="109"/>
      <c r="P397" s="109"/>
      <c r="Q397" s="109"/>
      <c r="R397" s="109"/>
      <c r="S397" s="109"/>
      <c r="T397" s="109"/>
      <c r="U397" s="109"/>
      <c r="V397" s="109"/>
      <c r="W397" s="109"/>
      <c r="X397" s="109"/>
      <c r="Y397" s="109"/>
      <c r="Z397" s="109"/>
    </row>
    <row r="398" spans="1:26" ht="13.5" customHeight="1">
      <c r="A398" s="109"/>
      <c r="B398" s="109"/>
      <c r="C398" s="109"/>
      <c r="D398" s="109"/>
      <c r="E398" s="109"/>
      <c r="F398" s="109"/>
      <c r="G398" s="161"/>
      <c r="H398" s="109"/>
      <c r="I398" s="109"/>
      <c r="J398" s="109"/>
      <c r="K398" s="109"/>
      <c r="L398" s="109"/>
      <c r="M398" s="109"/>
      <c r="N398" s="109"/>
      <c r="O398" s="109"/>
      <c r="P398" s="109"/>
      <c r="Q398" s="109"/>
      <c r="R398" s="109"/>
      <c r="S398" s="109"/>
      <c r="T398" s="109"/>
      <c r="U398" s="109"/>
      <c r="V398" s="109"/>
      <c r="W398" s="109"/>
      <c r="X398" s="109"/>
      <c r="Y398" s="109"/>
      <c r="Z398" s="109"/>
    </row>
    <row r="399" spans="1:26" ht="13.5" customHeight="1">
      <c r="A399" s="109"/>
      <c r="B399" s="109"/>
      <c r="C399" s="109"/>
      <c r="D399" s="109"/>
      <c r="E399" s="109"/>
      <c r="F399" s="109"/>
      <c r="G399" s="161"/>
      <c r="H399" s="109"/>
      <c r="I399" s="109"/>
      <c r="J399" s="109"/>
      <c r="K399" s="109"/>
      <c r="L399" s="109"/>
      <c r="M399" s="109"/>
      <c r="N399" s="109"/>
      <c r="O399" s="109"/>
      <c r="P399" s="109"/>
      <c r="Q399" s="109"/>
      <c r="R399" s="109"/>
      <c r="S399" s="109"/>
      <c r="T399" s="109"/>
      <c r="U399" s="109"/>
      <c r="V399" s="109"/>
      <c r="W399" s="109"/>
      <c r="X399" s="109"/>
      <c r="Y399" s="109"/>
      <c r="Z399" s="109"/>
    </row>
    <row r="400" spans="1:26" ht="13.5" customHeight="1">
      <c r="A400" s="109"/>
      <c r="B400" s="109"/>
      <c r="C400" s="109"/>
      <c r="D400" s="109"/>
      <c r="E400" s="109"/>
      <c r="F400" s="109"/>
      <c r="G400" s="161"/>
      <c r="H400" s="109"/>
      <c r="I400" s="109"/>
      <c r="J400" s="109"/>
      <c r="K400" s="109"/>
      <c r="L400" s="109"/>
      <c r="M400" s="109"/>
      <c r="N400" s="109"/>
      <c r="O400" s="109"/>
      <c r="P400" s="109"/>
      <c r="Q400" s="109"/>
      <c r="R400" s="109"/>
      <c r="S400" s="109"/>
      <c r="T400" s="109"/>
      <c r="U400" s="109"/>
      <c r="V400" s="109"/>
      <c r="W400" s="109"/>
      <c r="X400" s="109"/>
      <c r="Y400" s="109"/>
      <c r="Z400" s="109"/>
    </row>
    <row r="401" spans="1:26" ht="13.5" customHeight="1">
      <c r="A401" s="109"/>
      <c r="B401" s="109"/>
      <c r="C401" s="109"/>
      <c r="D401" s="109"/>
      <c r="E401" s="109"/>
      <c r="F401" s="109"/>
      <c r="G401" s="161"/>
      <c r="H401" s="109"/>
      <c r="I401" s="109"/>
      <c r="J401" s="109"/>
      <c r="K401" s="109"/>
      <c r="L401" s="109"/>
      <c r="M401" s="109"/>
      <c r="N401" s="109"/>
      <c r="O401" s="109"/>
      <c r="P401" s="109"/>
      <c r="Q401" s="109"/>
      <c r="R401" s="109"/>
      <c r="S401" s="109"/>
      <c r="T401" s="109"/>
      <c r="U401" s="109"/>
      <c r="V401" s="109"/>
      <c r="W401" s="109"/>
      <c r="X401" s="109"/>
      <c r="Y401" s="109"/>
      <c r="Z401" s="109"/>
    </row>
    <row r="402" spans="1:26" ht="13.5" customHeight="1">
      <c r="A402" s="109"/>
      <c r="B402" s="109"/>
      <c r="C402" s="109"/>
      <c r="D402" s="109"/>
      <c r="E402" s="109"/>
      <c r="F402" s="109"/>
      <c r="G402" s="161"/>
      <c r="H402" s="109"/>
      <c r="I402" s="109"/>
      <c r="J402" s="109"/>
      <c r="K402" s="109"/>
      <c r="L402" s="109"/>
      <c r="M402" s="109"/>
      <c r="N402" s="109"/>
      <c r="O402" s="109"/>
      <c r="P402" s="109"/>
      <c r="Q402" s="109"/>
      <c r="R402" s="109"/>
      <c r="S402" s="109"/>
      <c r="T402" s="109"/>
      <c r="U402" s="109"/>
      <c r="V402" s="109"/>
      <c r="W402" s="109"/>
      <c r="X402" s="109"/>
      <c r="Y402" s="109"/>
      <c r="Z402" s="109"/>
    </row>
    <row r="403" spans="1:26" ht="13.5" customHeight="1">
      <c r="A403" s="109"/>
      <c r="B403" s="109"/>
      <c r="C403" s="109"/>
      <c r="D403" s="109"/>
      <c r="E403" s="109"/>
      <c r="F403" s="109"/>
      <c r="G403" s="161"/>
      <c r="H403" s="109"/>
      <c r="I403" s="109"/>
      <c r="J403" s="109"/>
      <c r="K403" s="109"/>
      <c r="L403" s="109"/>
      <c r="M403" s="109"/>
      <c r="N403" s="109"/>
      <c r="O403" s="109"/>
      <c r="P403" s="109"/>
      <c r="Q403" s="109"/>
      <c r="R403" s="109"/>
      <c r="S403" s="109"/>
      <c r="T403" s="109"/>
      <c r="U403" s="109"/>
      <c r="V403" s="109"/>
      <c r="W403" s="109"/>
      <c r="X403" s="109"/>
      <c r="Y403" s="109"/>
      <c r="Z403" s="109"/>
    </row>
    <row r="404" spans="1:26" ht="13.5" customHeight="1">
      <c r="A404" s="109"/>
      <c r="B404" s="109"/>
      <c r="C404" s="109"/>
      <c r="D404" s="109"/>
      <c r="E404" s="109"/>
      <c r="F404" s="109"/>
      <c r="G404" s="161"/>
      <c r="H404" s="109"/>
      <c r="I404" s="109"/>
      <c r="J404" s="109"/>
      <c r="K404" s="109"/>
      <c r="L404" s="109"/>
      <c r="M404" s="109"/>
      <c r="N404" s="109"/>
      <c r="O404" s="109"/>
      <c r="P404" s="109"/>
      <c r="Q404" s="109"/>
      <c r="R404" s="109"/>
      <c r="S404" s="109"/>
      <c r="T404" s="109"/>
      <c r="U404" s="109"/>
      <c r="V404" s="109"/>
      <c r="W404" s="109"/>
      <c r="X404" s="109"/>
      <c r="Y404" s="109"/>
      <c r="Z404" s="109"/>
    </row>
    <row r="405" spans="1:26" ht="13.5" customHeight="1">
      <c r="A405" s="109"/>
      <c r="B405" s="109"/>
      <c r="C405" s="109"/>
      <c r="D405" s="109"/>
      <c r="E405" s="109"/>
      <c r="F405" s="109"/>
      <c r="G405" s="161"/>
      <c r="H405" s="109"/>
      <c r="I405" s="109"/>
      <c r="J405" s="109"/>
      <c r="K405" s="109"/>
      <c r="L405" s="109"/>
      <c r="M405" s="109"/>
      <c r="N405" s="109"/>
      <c r="O405" s="109"/>
      <c r="P405" s="109"/>
      <c r="Q405" s="109"/>
      <c r="R405" s="109"/>
      <c r="S405" s="109"/>
      <c r="T405" s="109"/>
      <c r="U405" s="109"/>
      <c r="V405" s="109"/>
      <c r="W405" s="109"/>
      <c r="X405" s="109"/>
      <c r="Y405" s="109"/>
      <c r="Z405" s="109"/>
    </row>
    <row r="406" spans="1:26" ht="13.5" customHeight="1">
      <c r="A406" s="109"/>
      <c r="B406" s="109"/>
      <c r="C406" s="109"/>
      <c r="D406" s="109"/>
      <c r="E406" s="109"/>
      <c r="F406" s="109"/>
      <c r="G406" s="161"/>
      <c r="H406" s="109"/>
      <c r="I406" s="109"/>
      <c r="J406" s="109"/>
      <c r="K406" s="109"/>
      <c r="L406" s="109"/>
      <c r="M406" s="109"/>
      <c r="N406" s="109"/>
      <c r="O406" s="109"/>
      <c r="P406" s="109"/>
      <c r="Q406" s="109"/>
      <c r="R406" s="109"/>
      <c r="S406" s="109"/>
      <c r="T406" s="109"/>
      <c r="U406" s="109"/>
      <c r="V406" s="109"/>
      <c r="W406" s="109"/>
      <c r="X406" s="109"/>
      <c r="Y406" s="109"/>
      <c r="Z406" s="109"/>
    </row>
    <row r="407" spans="1:26" ht="13.5" customHeight="1">
      <c r="A407" s="109"/>
      <c r="B407" s="109"/>
      <c r="C407" s="109"/>
      <c r="D407" s="109"/>
      <c r="E407" s="109"/>
      <c r="F407" s="109"/>
      <c r="G407" s="161"/>
      <c r="H407" s="109"/>
      <c r="I407" s="109"/>
      <c r="J407" s="109"/>
      <c r="K407" s="109"/>
      <c r="L407" s="109"/>
      <c r="M407" s="109"/>
      <c r="N407" s="109"/>
      <c r="O407" s="109"/>
      <c r="P407" s="109"/>
      <c r="Q407" s="109"/>
      <c r="R407" s="109"/>
      <c r="S407" s="109"/>
      <c r="T407" s="109"/>
      <c r="U407" s="109"/>
      <c r="V407" s="109"/>
      <c r="W407" s="109"/>
      <c r="X407" s="109"/>
      <c r="Y407" s="109"/>
      <c r="Z407" s="109"/>
    </row>
    <row r="408" spans="1:26" ht="13.5" customHeight="1">
      <c r="A408" s="109"/>
      <c r="B408" s="109"/>
      <c r="C408" s="109"/>
      <c r="D408" s="109"/>
      <c r="E408" s="109"/>
      <c r="F408" s="109"/>
      <c r="G408" s="161"/>
      <c r="H408" s="109"/>
      <c r="I408" s="109"/>
      <c r="J408" s="109"/>
      <c r="K408" s="109"/>
      <c r="L408" s="109"/>
      <c r="M408" s="109"/>
      <c r="N408" s="109"/>
      <c r="O408" s="109"/>
      <c r="P408" s="109"/>
      <c r="Q408" s="109"/>
      <c r="R408" s="109"/>
      <c r="S408" s="109"/>
      <c r="T408" s="109"/>
      <c r="U408" s="109"/>
      <c r="V408" s="109"/>
      <c r="W408" s="109"/>
      <c r="X408" s="109"/>
      <c r="Y408" s="109"/>
      <c r="Z408" s="109"/>
    </row>
    <row r="409" spans="1:26" ht="13.5" customHeight="1">
      <c r="A409" s="109"/>
      <c r="B409" s="109"/>
      <c r="C409" s="109"/>
      <c r="D409" s="109"/>
      <c r="E409" s="109"/>
      <c r="F409" s="109"/>
      <c r="G409" s="161"/>
      <c r="H409" s="109"/>
      <c r="I409" s="109"/>
      <c r="J409" s="109"/>
      <c r="K409" s="109"/>
      <c r="L409" s="109"/>
      <c r="M409" s="109"/>
      <c r="N409" s="109"/>
      <c r="O409" s="109"/>
      <c r="P409" s="109"/>
      <c r="Q409" s="109"/>
      <c r="R409" s="109"/>
      <c r="S409" s="109"/>
      <c r="T409" s="109"/>
      <c r="U409" s="109"/>
      <c r="V409" s="109"/>
      <c r="W409" s="109"/>
      <c r="X409" s="109"/>
      <c r="Y409" s="109"/>
      <c r="Z409" s="109"/>
    </row>
    <row r="410" spans="1:26" ht="13.5" customHeight="1">
      <c r="A410" s="109"/>
      <c r="B410" s="109"/>
      <c r="C410" s="109"/>
      <c r="D410" s="109"/>
      <c r="E410" s="109"/>
      <c r="F410" s="109"/>
      <c r="G410" s="161"/>
      <c r="H410" s="109"/>
      <c r="I410" s="109"/>
      <c r="J410" s="109"/>
      <c r="K410" s="109"/>
      <c r="L410" s="109"/>
      <c r="M410" s="109"/>
      <c r="N410" s="109"/>
      <c r="O410" s="109"/>
      <c r="P410" s="109"/>
      <c r="Q410" s="109"/>
      <c r="R410" s="109"/>
      <c r="S410" s="109"/>
      <c r="T410" s="109"/>
      <c r="U410" s="109"/>
      <c r="V410" s="109"/>
      <c r="W410" s="109"/>
      <c r="X410" s="109"/>
      <c r="Y410" s="109"/>
      <c r="Z410" s="109"/>
    </row>
    <row r="411" spans="1:26" ht="13.5" customHeight="1">
      <c r="A411" s="109"/>
      <c r="B411" s="109"/>
      <c r="C411" s="109"/>
      <c r="D411" s="109"/>
      <c r="E411" s="109"/>
      <c r="F411" s="109"/>
      <c r="G411" s="161"/>
      <c r="H411" s="109"/>
      <c r="I411" s="109"/>
      <c r="J411" s="109"/>
      <c r="K411" s="109"/>
      <c r="L411" s="109"/>
      <c r="M411" s="109"/>
      <c r="N411" s="109"/>
      <c r="O411" s="109"/>
      <c r="P411" s="109"/>
      <c r="Q411" s="109"/>
      <c r="R411" s="109"/>
      <c r="S411" s="109"/>
      <c r="T411" s="109"/>
      <c r="U411" s="109"/>
      <c r="V411" s="109"/>
      <c r="W411" s="109"/>
      <c r="X411" s="109"/>
      <c r="Y411" s="109"/>
      <c r="Z411" s="109"/>
    </row>
    <row r="412" spans="1:26" ht="13.5" customHeight="1">
      <c r="A412" s="109"/>
      <c r="B412" s="109"/>
      <c r="C412" s="109"/>
      <c r="D412" s="109"/>
      <c r="E412" s="109"/>
      <c r="F412" s="109"/>
      <c r="G412" s="161"/>
      <c r="H412" s="109"/>
      <c r="I412" s="109"/>
      <c r="J412" s="109"/>
      <c r="K412" s="109"/>
      <c r="L412" s="109"/>
      <c r="M412" s="109"/>
      <c r="N412" s="109"/>
      <c r="O412" s="109"/>
      <c r="P412" s="109"/>
      <c r="Q412" s="109"/>
      <c r="R412" s="109"/>
      <c r="S412" s="109"/>
      <c r="T412" s="109"/>
      <c r="U412" s="109"/>
      <c r="V412" s="109"/>
      <c r="W412" s="109"/>
      <c r="X412" s="109"/>
      <c r="Y412" s="109"/>
      <c r="Z412" s="109"/>
    </row>
    <row r="413" spans="1:26" ht="13.5" customHeight="1">
      <c r="A413" s="109"/>
      <c r="B413" s="109"/>
      <c r="C413" s="109"/>
      <c r="D413" s="109"/>
      <c r="E413" s="109"/>
      <c r="F413" s="109"/>
      <c r="G413" s="161"/>
      <c r="H413" s="109"/>
      <c r="I413" s="109"/>
      <c r="J413" s="109"/>
      <c r="K413" s="109"/>
      <c r="L413" s="109"/>
      <c r="M413" s="109"/>
      <c r="N413" s="109"/>
      <c r="O413" s="109"/>
      <c r="P413" s="109"/>
      <c r="Q413" s="109"/>
      <c r="R413" s="109"/>
      <c r="S413" s="109"/>
      <c r="T413" s="109"/>
      <c r="U413" s="109"/>
      <c r="V413" s="109"/>
      <c r="W413" s="109"/>
      <c r="X413" s="109"/>
      <c r="Y413" s="109"/>
      <c r="Z413" s="109"/>
    </row>
    <row r="414" spans="1:26" ht="13.5" customHeight="1">
      <c r="A414" s="109"/>
      <c r="B414" s="109"/>
      <c r="C414" s="109"/>
      <c r="D414" s="109"/>
      <c r="E414" s="109"/>
      <c r="F414" s="109"/>
      <c r="G414" s="161"/>
      <c r="H414" s="109"/>
      <c r="I414" s="109"/>
      <c r="J414" s="109"/>
      <c r="K414" s="109"/>
      <c r="L414" s="109"/>
      <c r="M414" s="109"/>
      <c r="N414" s="109"/>
      <c r="O414" s="109"/>
      <c r="P414" s="109"/>
      <c r="Q414" s="109"/>
      <c r="R414" s="109"/>
      <c r="S414" s="109"/>
      <c r="T414" s="109"/>
      <c r="U414" s="109"/>
      <c r="V414" s="109"/>
      <c r="W414" s="109"/>
      <c r="X414" s="109"/>
      <c r="Y414" s="109"/>
      <c r="Z414" s="109"/>
    </row>
    <row r="415" spans="1:26" ht="13.5" customHeight="1">
      <c r="A415" s="109"/>
      <c r="B415" s="109"/>
      <c r="C415" s="109"/>
      <c r="D415" s="109"/>
      <c r="E415" s="109"/>
      <c r="F415" s="109"/>
      <c r="G415" s="161"/>
      <c r="H415" s="109"/>
      <c r="I415" s="109"/>
      <c r="J415" s="109"/>
      <c r="K415" s="109"/>
      <c r="L415" s="109"/>
      <c r="M415" s="109"/>
      <c r="N415" s="109"/>
      <c r="O415" s="109"/>
      <c r="P415" s="109"/>
      <c r="Q415" s="109"/>
      <c r="R415" s="109"/>
      <c r="S415" s="109"/>
      <c r="T415" s="109"/>
      <c r="U415" s="109"/>
      <c r="V415" s="109"/>
      <c r="W415" s="109"/>
      <c r="X415" s="109"/>
      <c r="Y415" s="109"/>
      <c r="Z415" s="109"/>
    </row>
    <row r="416" spans="1:26" ht="13.5" customHeight="1">
      <c r="A416" s="109"/>
      <c r="B416" s="109"/>
      <c r="C416" s="109"/>
      <c r="D416" s="109"/>
      <c r="E416" s="109"/>
      <c r="F416" s="109"/>
      <c r="G416" s="161"/>
      <c r="H416" s="109"/>
      <c r="I416" s="109"/>
      <c r="J416" s="109"/>
      <c r="K416" s="109"/>
      <c r="L416" s="109"/>
      <c r="M416" s="109"/>
      <c r="N416" s="109"/>
      <c r="O416" s="109"/>
      <c r="P416" s="109"/>
      <c r="Q416" s="109"/>
      <c r="R416" s="109"/>
      <c r="S416" s="109"/>
      <c r="T416" s="109"/>
      <c r="U416" s="109"/>
      <c r="V416" s="109"/>
      <c r="W416" s="109"/>
      <c r="X416" s="109"/>
      <c r="Y416" s="109"/>
      <c r="Z416" s="109"/>
    </row>
    <row r="417" spans="1:26" ht="13.5" customHeight="1">
      <c r="A417" s="109"/>
      <c r="B417" s="109"/>
      <c r="C417" s="109"/>
      <c r="D417" s="109"/>
      <c r="E417" s="109"/>
      <c r="F417" s="109"/>
      <c r="G417" s="161"/>
      <c r="H417" s="109"/>
      <c r="I417" s="109"/>
      <c r="J417" s="109"/>
      <c r="K417" s="109"/>
      <c r="L417" s="109"/>
      <c r="M417" s="109"/>
      <c r="N417" s="109"/>
      <c r="O417" s="109"/>
      <c r="P417" s="109"/>
      <c r="Q417" s="109"/>
      <c r="R417" s="109"/>
      <c r="S417" s="109"/>
      <c r="T417" s="109"/>
      <c r="U417" s="109"/>
      <c r="V417" s="109"/>
      <c r="W417" s="109"/>
      <c r="X417" s="109"/>
      <c r="Y417" s="109"/>
      <c r="Z417" s="109"/>
    </row>
    <row r="418" spans="1:26" ht="13.5" customHeight="1">
      <c r="A418" s="109"/>
      <c r="B418" s="109"/>
      <c r="C418" s="109"/>
      <c r="D418" s="109"/>
      <c r="E418" s="109"/>
      <c r="F418" s="109"/>
      <c r="G418" s="161"/>
      <c r="H418" s="109"/>
      <c r="I418" s="109"/>
      <c r="J418" s="109"/>
      <c r="K418" s="109"/>
      <c r="L418" s="109"/>
      <c r="M418" s="109"/>
      <c r="N418" s="109"/>
      <c r="O418" s="109"/>
      <c r="P418" s="109"/>
      <c r="Q418" s="109"/>
      <c r="R418" s="109"/>
      <c r="S418" s="109"/>
      <c r="T418" s="109"/>
      <c r="U418" s="109"/>
      <c r="V418" s="109"/>
      <c r="W418" s="109"/>
      <c r="X418" s="109"/>
      <c r="Y418" s="109"/>
      <c r="Z418" s="109"/>
    </row>
    <row r="419" spans="1:26" ht="13.5" customHeight="1">
      <c r="A419" s="109"/>
      <c r="B419" s="109"/>
      <c r="C419" s="109"/>
      <c r="D419" s="109"/>
      <c r="E419" s="109"/>
      <c r="F419" s="109"/>
      <c r="G419" s="161"/>
      <c r="H419" s="109"/>
      <c r="I419" s="109"/>
      <c r="J419" s="109"/>
      <c r="K419" s="109"/>
      <c r="L419" s="109"/>
      <c r="M419" s="109"/>
      <c r="N419" s="109"/>
      <c r="O419" s="109"/>
      <c r="P419" s="109"/>
      <c r="Q419" s="109"/>
      <c r="R419" s="109"/>
      <c r="S419" s="109"/>
      <c r="T419" s="109"/>
      <c r="U419" s="109"/>
      <c r="V419" s="109"/>
      <c r="W419" s="109"/>
      <c r="X419" s="109"/>
      <c r="Y419" s="109"/>
      <c r="Z419" s="109"/>
    </row>
    <row r="420" spans="1:26" ht="13.5" customHeight="1">
      <c r="A420" s="109"/>
      <c r="B420" s="109"/>
      <c r="C420" s="109"/>
      <c r="D420" s="109"/>
      <c r="E420" s="109"/>
      <c r="F420" s="109"/>
      <c r="G420" s="161"/>
      <c r="H420" s="109"/>
      <c r="I420" s="109"/>
      <c r="J420" s="109"/>
      <c r="K420" s="109"/>
      <c r="L420" s="109"/>
      <c r="M420" s="109"/>
      <c r="N420" s="109"/>
      <c r="O420" s="109"/>
      <c r="P420" s="109"/>
      <c r="Q420" s="109"/>
      <c r="R420" s="109"/>
      <c r="S420" s="109"/>
      <c r="T420" s="109"/>
      <c r="U420" s="109"/>
      <c r="V420" s="109"/>
      <c r="W420" s="109"/>
      <c r="X420" s="109"/>
      <c r="Y420" s="109"/>
      <c r="Z420" s="109"/>
    </row>
    <row r="421" spans="1:26" ht="13.5" customHeight="1">
      <c r="A421" s="109"/>
      <c r="B421" s="109"/>
      <c r="C421" s="109"/>
      <c r="D421" s="109"/>
      <c r="E421" s="109"/>
      <c r="F421" s="109"/>
      <c r="G421" s="161"/>
      <c r="H421" s="109"/>
      <c r="I421" s="109"/>
      <c r="J421" s="109"/>
      <c r="K421" s="109"/>
      <c r="L421" s="109"/>
      <c r="M421" s="109"/>
      <c r="N421" s="109"/>
      <c r="O421" s="109"/>
      <c r="P421" s="109"/>
      <c r="Q421" s="109"/>
      <c r="R421" s="109"/>
      <c r="S421" s="109"/>
      <c r="T421" s="109"/>
      <c r="U421" s="109"/>
      <c r="V421" s="109"/>
      <c r="W421" s="109"/>
      <c r="X421" s="109"/>
      <c r="Y421" s="109"/>
      <c r="Z421" s="109"/>
    </row>
    <row r="422" spans="1:26" ht="13.5" customHeight="1">
      <c r="A422" s="109"/>
      <c r="B422" s="109"/>
      <c r="C422" s="109"/>
      <c r="D422" s="109"/>
      <c r="E422" s="109"/>
      <c r="F422" s="109"/>
      <c r="G422" s="161"/>
      <c r="H422" s="109"/>
      <c r="I422" s="109"/>
      <c r="J422" s="109"/>
      <c r="K422" s="109"/>
      <c r="L422" s="109"/>
      <c r="M422" s="109"/>
      <c r="N422" s="109"/>
      <c r="O422" s="109"/>
      <c r="P422" s="109"/>
      <c r="Q422" s="109"/>
      <c r="R422" s="109"/>
      <c r="S422" s="109"/>
      <c r="T422" s="109"/>
      <c r="U422" s="109"/>
      <c r="V422" s="109"/>
      <c r="W422" s="109"/>
      <c r="X422" s="109"/>
      <c r="Y422" s="109"/>
      <c r="Z422" s="109"/>
    </row>
    <row r="423" spans="1:26" ht="13.5" customHeight="1">
      <c r="A423" s="109"/>
      <c r="B423" s="109"/>
      <c r="C423" s="109"/>
      <c r="D423" s="109"/>
      <c r="E423" s="109"/>
      <c r="F423" s="109"/>
      <c r="G423" s="161"/>
      <c r="H423" s="109"/>
      <c r="I423" s="109"/>
      <c r="J423" s="109"/>
      <c r="K423" s="109"/>
      <c r="L423" s="109"/>
      <c r="M423" s="109"/>
      <c r="N423" s="109"/>
      <c r="O423" s="109"/>
      <c r="P423" s="109"/>
      <c r="Q423" s="109"/>
      <c r="R423" s="109"/>
      <c r="S423" s="109"/>
      <c r="T423" s="109"/>
      <c r="U423" s="109"/>
      <c r="V423" s="109"/>
      <c r="W423" s="109"/>
      <c r="X423" s="109"/>
      <c r="Y423" s="109"/>
      <c r="Z423" s="109"/>
    </row>
    <row r="424" spans="1:26" ht="13.5" customHeight="1">
      <c r="A424" s="109"/>
      <c r="B424" s="109"/>
      <c r="C424" s="109"/>
      <c r="D424" s="109"/>
      <c r="E424" s="109"/>
      <c r="F424" s="109"/>
      <c r="G424" s="161"/>
      <c r="H424" s="109"/>
      <c r="I424" s="109"/>
      <c r="J424" s="109"/>
      <c r="K424" s="109"/>
      <c r="L424" s="109"/>
      <c r="M424" s="109"/>
      <c r="N424" s="109"/>
      <c r="O424" s="109"/>
      <c r="P424" s="109"/>
      <c r="Q424" s="109"/>
      <c r="R424" s="109"/>
      <c r="S424" s="109"/>
      <c r="T424" s="109"/>
      <c r="U424" s="109"/>
      <c r="V424" s="109"/>
      <c r="W424" s="109"/>
      <c r="X424" s="109"/>
      <c r="Y424" s="109"/>
      <c r="Z424" s="109"/>
    </row>
    <row r="425" spans="1:26" ht="13.5" customHeight="1">
      <c r="A425" s="109"/>
      <c r="B425" s="109"/>
      <c r="C425" s="109"/>
      <c r="D425" s="109"/>
      <c r="E425" s="109"/>
      <c r="F425" s="109"/>
      <c r="G425" s="161"/>
      <c r="H425" s="109"/>
      <c r="I425" s="109"/>
      <c r="J425" s="109"/>
      <c r="K425" s="109"/>
      <c r="L425" s="109"/>
      <c r="M425" s="109"/>
      <c r="N425" s="109"/>
      <c r="O425" s="109"/>
      <c r="P425" s="109"/>
      <c r="Q425" s="109"/>
      <c r="R425" s="109"/>
      <c r="S425" s="109"/>
      <c r="T425" s="109"/>
      <c r="U425" s="109"/>
      <c r="V425" s="109"/>
      <c r="W425" s="109"/>
      <c r="X425" s="109"/>
      <c r="Y425" s="109"/>
      <c r="Z425" s="109"/>
    </row>
    <row r="426" spans="1:26" ht="13.5" customHeight="1">
      <c r="A426" s="109"/>
      <c r="B426" s="109"/>
      <c r="C426" s="109"/>
      <c r="D426" s="109"/>
      <c r="E426" s="109"/>
      <c r="F426" s="109"/>
      <c r="G426" s="161"/>
      <c r="H426" s="109"/>
      <c r="I426" s="109"/>
      <c r="J426" s="109"/>
      <c r="K426" s="109"/>
      <c r="L426" s="109"/>
      <c r="M426" s="109"/>
      <c r="N426" s="109"/>
      <c r="O426" s="109"/>
      <c r="P426" s="109"/>
      <c r="Q426" s="109"/>
      <c r="R426" s="109"/>
      <c r="S426" s="109"/>
      <c r="T426" s="109"/>
      <c r="U426" s="109"/>
      <c r="V426" s="109"/>
      <c r="W426" s="109"/>
      <c r="X426" s="109"/>
      <c r="Y426" s="109"/>
      <c r="Z426" s="109"/>
    </row>
    <row r="427" spans="1:26" ht="13.5" customHeight="1">
      <c r="A427" s="109"/>
      <c r="B427" s="109"/>
      <c r="C427" s="109"/>
      <c r="D427" s="109"/>
      <c r="E427" s="109"/>
      <c r="F427" s="109"/>
      <c r="G427" s="161"/>
      <c r="H427" s="109"/>
      <c r="I427" s="109"/>
      <c r="J427" s="109"/>
      <c r="K427" s="109"/>
      <c r="L427" s="109"/>
      <c r="M427" s="109"/>
      <c r="N427" s="109"/>
      <c r="O427" s="109"/>
      <c r="P427" s="109"/>
      <c r="Q427" s="109"/>
      <c r="R427" s="109"/>
      <c r="S427" s="109"/>
      <c r="T427" s="109"/>
      <c r="U427" s="109"/>
      <c r="V427" s="109"/>
      <c r="W427" s="109"/>
      <c r="X427" s="109"/>
      <c r="Y427" s="109"/>
      <c r="Z427" s="109"/>
    </row>
    <row r="428" spans="1:26" ht="13.5" customHeight="1">
      <c r="A428" s="109"/>
      <c r="B428" s="109"/>
      <c r="C428" s="109"/>
      <c r="D428" s="109"/>
      <c r="E428" s="109"/>
      <c r="F428" s="109"/>
      <c r="G428" s="161"/>
      <c r="H428" s="109"/>
      <c r="I428" s="109"/>
      <c r="J428" s="109"/>
      <c r="K428" s="109"/>
      <c r="L428" s="109"/>
      <c r="M428" s="109"/>
      <c r="N428" s="109"/>
      <c r="O428" s="109"/>
      <c r="P428" s="109"/>
      <c r="Q428" s="109"/>
      <c r="R428" s="109"/>
      <c r="S428" s="109"/>
      <c r="T428" s="109"/>
      <c r="U428" s="109"/>
      <c r="V428" s="109"/>
      <c r="W428" s="109"/>
      <c r="X428" s="109"/>
      <c r="Y428" s="109"/>
      <c r="Z428" s="109"/>
    </row>
    <row r="429" spans="1:26" ht="13.5" customHeight="1">
      <c r="A429" s="109"/>
      <c r="B429" s="109"/>
      <c r="C429" s="109"/>
      <c r="D429" s="109"/>
      <c r="E429" s="109"/>
      <c r="F429" s="109"/>
      <c r="G429" s="161"/>
      <c r="H429" s="109"/>
      <c r="I429" s="109"/>
      <c r="J429" s="109"/>
      <c r="K429" s="109"/>
      <c r="L429" s="109"/>
      <c r="M429" s="109"/>
      <c r="N429" s="109"/>
      <c r="O429" s="109"/>
      <c r="P429" s="109"/>
      <c r="Q429" s="109"/>
      <c r="R429" s="109"/>
      <c r="S429" s="109"/>
      <c r="T429" s="109"/>
      <c r="U429" s="109"/>
      <c r="V429" s="109"/>
      <c r="W429" s="109"/>
      <c r="X429" s="109"/>
      <c r="Y429" s="109"/>
      <c r="Z429" s="109"/>
    </row>
    <row r="430" spans="1:26" ht="13.5" customHeight="1">
      <c r="A430" s="109"/>
      <c r="B430" s="109"/>
      <c r="C430" s="109"/>
      <c r="D430" s="109"/>
      <c r="E430" s="109"/>
      <c r="F430" s="109"/>
      <c r="G430" s="161"/>
      <c r="H430" s="109"/>
      <c r="I430" s="109"/>
      <c r="J430" s="109"/>
      <c r="K430" s="109"/>
      <c r="L430" s="109"/>
      <c r="M430" s="109"/>
      <c r="N430" s="109"/>
      <c r="O430" s="109"/>
      <c r="P430" s="109"/>
      <c r="Q430" s="109"/>
      <c r="R430" s="109"/>
      <c r="S430" s="109"/>
      <c r="T430" s="109"/>
      <c r="U430" s="109"/>
      <c r="V430" s="109"/>
      <c r="W430" s="109"/>
      <c r="X430" s="109"/>
      <c r="Y430" s="109"/>
      <c r="Z430" s="109"/>
    </row>
    <row r="431" spans="1:26" ht="13.5" customHeight="1">
      <c r="A431" s="109"/>
      <c r="B431" s="109"/>
      <c r="C431" s="109"/>
      <c r="D431" s="109"/>
      <c r="E431" s="109"/>
      <c r="F431" s="109"/>
      <c r="G431" s="161"/>
      <c r="H431" s="109"/>
      <c r="I431" s="109"/>
      <c r="J431" s="109"/>
      <c r="K431" s="109"/>
      <c r="L431" s="109"/>
      <c r="M431" s="109"/>
      <c r="N431" s="109"/>
      <c r="O431" s="109"/>
      <c r="P431" s="109"/>
      <c r="Q431" s="109"/>
      <c r="R431" s="109"/>
      <c r="S431" s="109"/>
      <c r="T431" s="109"/>
      <c r="U431" s="109"/>
      <c r="V431" s="109"/>
      <c r="W431" s="109"/>
      <c r="X431" s="109"/>
      <c r="Y431" s="109"/>
      <c r="Z431" s="109"/>
    </row>
    <row r="432" spans="1:26" ht="13.5" customHeight="1">
      <c r="A432" s="109"/>
      <c r="B432" s="109"/>
      <c r="C432" s="109"/>
      <c r="D432" s="109"/>
      <c r="E432" s="109"/>
      <c r="F432" s="109"/>
      <c r="G432" s="161"/>
      <c r="H432" s="109"/>
      <c r="I432" s="109"/>
      <c r="J432" s="109"/>
      <c r="K432" s="109"/>
      <c r="L432" s="109"/>
      <c r="M432" s="109"/>
      <c r="N432" s="109"/>
      <c r="O432" s="109"/>
      <c r="P432" s="109"/>
      <c r="Q432" s="109"/>
      <c r="R432" s="109"/>
      <c r="S432" s="109"/>
      <c r="T432" s="109"/>
      <c r="U432" s="109"/>
      <c r="V432" s="109"/>
      <c r="W432" s="109"/>
      <c r="X432" s="109"/>
      <c r="Y432" s="109"/>
      <c r="Z432" s="109"/>
    </row>
    <row r="433" spans="1:26" ht="13.5" customHeight="1">
      <c r="A433" s="109"/>
      <c r="B433" s="109"/>
      <c r="C433" s="109"/>
      <c r="D433" s="109"/>
      <c r="E433" s="109"/>
      <c r="F433" s="109"/>
      <c r="G433" s="161"/>
      <c r="H433" s="109"/>
      <c r="I433" s="109"/>
      <c r="J433" s="109"/>
      <c r="K433" s="109"/>
      <c r="L433" s="109"/>
      <c r="M433" s="109"/>
      <c r="N433" s="109"/>
      <c r="O433" s="109"/>
      <c r="P433" s="109"/>
      <c r="Q433" s="109"/>
      <c r="R433" s="109"/>
      <c r="S433" s="109"/>
      <c r="T433" s="109"/>
      <c r="U433" s="109"/>
      <c r="V433" s="109"/>
      <c r="W433" s="109"/>
      <c r="X433" s="109"/>
      <c r="Y433" s="109"/>
      <c r="Z433" s="109"/>
    </row>
    <row r="434" spans="1:26" ht="13.5" customHeight="1">
      <c r="A434" s="109"/>
      <c r="B434" s="109"/>
      <c r="C434" s="109"/>
      <c r="D434" s="109"/>
      <c r="E434" s="109"/>
      <c r="F434" s="109"/>
      <c r="G434" s="161"/>
      <c r="H434" s="109"/>
      <c r="I434" s="109"/>
      <c r="J434" s="109"/>
      <c r="K434" s="109"/>
      <c r="L434" s="109"/>
      <c r="M434" s="109"/>
      <c r="N434" s="109"/>
      <c r="O434" s="109"/>
      <c r="P434" s="109"/>
      <c r="Q434" s="109"/>
      <c r="R434" s="109"/>
      <c r="S434" s="109"/>
      <c r="T434" s="109"/>
      <c r="U434" s="109"/>
      <c r="V434" s="109"/>
      <c r="W434" s="109"/>
      <c r="X434" s="109"/>
      <c r="Y434" s="109"/>
      <c r="Z434" s="109"/>
    </row>
    <row r="435" spans="1:26" ht="13.5" customHeight="1">
      <c r="A435" s="109"/>
      <c r="B435" s="109"/>
      <c r="C435" s="109"/>
      <c r="D435" s="109"/>
      <c r="E435" s="109"/>
      <c r="F435" s="109"/>
      <c r="G435" s="161"/>
      <c r="H435" s="109"/>
      <c r="I435" s="109"/>
      <c r="J435" s="109"/>
      <c r="K435" s="109"/>
      <c r="L435" s="109"/>
      <c r="M435" s="109"/>
      <c r="N435" s="109"/>
      <c r="O435" s="109"/>
      <c r="P435" s="109"/>
      <c r="Q435" s="109"/>
      <c r="R435" s="109"/>
      <c r="S435" s="109"/>
      <c r="T435" s="109"/>
      <c r="U435" s="109"/>
      <c r="V435" s="109"/>
      <c r="W435" s="109"/>
      <c r="X435" s="109"/>
      <c r="Y435" s="109"/>
      <c r="Z435" s="109"/>
    </row>
    <row r="436" spans="1:26" ht="13.5" customHeight="1">
      <c r="A436" s="109"/>
      <c r="B436" s="109"/>
      <c r="C436" s="109"/>
      <c r="D436" s="109"/>
      <c r="E436" s="109"/>
      <c r="F436" s="109"/>
      <c r="G436" s="161"/>
      <c r="H436" s="109"/>
      <c r="I436" s="109"/>
      <c r="J436" s="109"/>
      <c r="K436" s="109"/>
      <c r="L436" s="109"/>
      <c r="M436" s="109"/>
      <c r="N436" s="109"/>
      <c r="O436" s="109"/>
      <c r="P436" s="109"/>
      <c r="Q436" s="109"/>
      <c r="R436" s="109"/>
      <c r="S436" s="109"/>
      <c r="T436" s="109"/>
      <c r="U436" s="109"/>
      <c r="V436" s="109"/>
      <c r="W436" s="109"/>
      <c r="X436" s="109"/>
      <c r="Y436" s="109"/>
      <c r="Z436" s="109"/>
    </row>
    <row r="437" spans="1:26" ht="13.5" customHeight="1">
      <c r="A437" s="109"/>
      <c r="B437" s="109"/>
      <c r="C437" s="109"/>
      <c r="D437" s="109"/>
      <c r="E437" s="109"/>
      <c r="F437" s="109"/>
      <c r="G437" s="161"/>
      <c r="H437" s="109"/>
      <c r="I437" s="109"/>
      <c r="J437" s="109"/>
      <c r="K437" s="109"/>
      <c r="L437" s="109"/>
      <c r="M437" s="109"/>
      <c r="N437" s="109"/>
      <c r="O437" s="109"/>
      <c r="P437" s="109"/>
      <c r="Q437" s="109"/>
      <c r="R437" s="109"/>
      <c r="S437" s="109"/>
      <c r="T437" s="109"/>
      <c r="U437" s="109"/>
      <c r="V437" s="109"/>
      <c r="W437" s="109"/>
      <c r="X437" s="109"/>
      <c r="Y437" s="109"/>
      <c r="Z437" s="109"/>
    </row>
    <row r="438" spans="1:26" ht="13.5" customHeight="1">
      <c r="A438" s="109"/>
      <c r="B438" s="109"/>
      <c r="C438" s="109"/>
      <c r="D438" s="109"/>
      <c r="E438" s="109"/>
      <c r="F438" s="109"/>
      <c r="G438" s="161"/>
      <c r="H438" s="109"/>
      <c r="I438" s="109"/>
      <c r="J438" s="109"/>
      <c r="K438" s="109"/>
      <c r="L438" s="109"/>
      <c r="M438" s="109"/>
      <c r="N438" s="109"/>
      <c r="O438" s="109"/>
      <c r="P438" s="109"/>
      <c r="Q438" s="109"/>
      <c r="R438" s="109"/>
      <c r="S438" s="109"/>
      <c r="T438" s="109"/>
      <c r="U438" s="109"/>
      <c r="V438" s="109"/>
      <c r="W438" s="109"/>
      <c r="X438" s="109"/>
      <c r="Y438" s="109"/>
      <c r="Z438" s="109"/>
    </row>
    <row r="439" spans="1:26" ht="13.5" customHeight="1">
      <c r="A439" s="109"/>
      <c r="B439" s="109"/>
      <c r="C439" s="109"/>
      <c r="D439" s="109"/>
      <c r="E439" s="109"/>
      <c r="F439" s="109"/>
      <c r="G439" s="161"/>
      <c r="H439" s="109"/>
      <c r="I439" s="109"/>
      <c r="J439" s="109"/>
      <c r="K439" s="109"/>
      <c r="L439" s="109"/>
      <c r="M439" s="109"/>
      <c r="N439" s="109"/>
      <c r="O439" s="109"/>
      <c r="P439" s="109"/>
      <c r="Q439" s="109"/>
      <c r="R439" s="109"/>
      <c r="S439" s="109"/>
      <c r="T439" s="109"/>
      <c r="U439" s="109"/>
      <c r="V439" s="109"/>
      <c r="W439" s="109"/>
      <c r="X439" s="109"/>
      <c r="Y439" s="109"/>
      <c r="Z439" s="109"/>
    </row>
    <row r="440" spans="1:26" ht="13.5" customHeight="1">
      <c r="A440" s="109"/>
      <c r="B440" s="109"/>
      <c r="C440" s="109"/>
      <c r="D440" s="109"/>
      <c r="E440" s="109"/>
      <c r="F440" s="109"/>
      <c r="G440" s="161"/>
      <c r="H440" s="109"/>
      <c r="I440" s="109"/>
      <c r="J440" s="109"/>
      <c r="K440" s="109"/>
      <c r="L440" s="109"/>
      <c r="M440" s="109"/>
      <c r="N440" s="109"/>
      <c r="O440" s="109"/>
      <c r="P440" s="109"/>
      <c r="Q440" s="109"/>
      <c r="R440" s="109"/>
      <c r="S440" s="109"/>
      <c r="T440" s="109"/>
      <c r="U440" s="109"/>
      <c r="V440" s="109"/>
      <c r="W440" s="109"/>
      <c r="X440" s="109"/>
      <c r="Y440" s="109"/>
      <c r="Z440" s="109"/>
    </row>
    <row r="441" spans="1:26" ht="13.5" customHeight="1">
      <c r="A441" s="109"/>
      <c r="B441" s="109"/>
      <c r="C441" s="109"/>
      <c r="D441" s="109"/>
      <c r="E441" s="109"/>
      <c r="F441" s="109"/>
      <c r="G441" s="161"/>
      <c r="H441" s="109"/>
      <c r="I441" s="109"/>
      <c r="J441" s="109"/>
      <c r="K441" s="109"/>
      <c r="L441" s="109"/>
      <c r="M441" s="109"/>
      <c r="N441" s="109"/>
      <c r="O441" s="109"/>
      <c r="P441" s="109"/>
      <c r="Q441" s="109"/>
      <c r="R441" s="109"/>
      <c r="S441" s="109"/>
      <c r="T441" s="109"/>
      <c r="U441" s="109"/>
      <c r="V441" s="109"/>
      <c r="W441" s="109"/>
      <c r="X441" s="109"/>
      <c r="Y441" s="109"/>
      <c r="Z441" s="109"/>
    </row>
    <row r="442" spans="1:26" ht="13.5" customHeight="1">
      <c r="A442" s="109"/>
      <c r="B442" s="109"/>
      <c r="C442" s="109"/>
      <c r="D442" s="109"/>
      <c r="E442" s="109"/>
      <c r="F442" s="109"/>
      <c r="G442" s="161"/>
      <c r="H442" s="109"/>
      <c r="I442" s="109"/>
      <c r="J442" s="109"/>
      <c r="K442" s="109"/>
      <c r="L442" s="109"/>
      <c r="M442" s="109"/>
      <c r="N442" s="109"/>
      <c r="O442" s="109"/>
      <c r="P442" s="109"/>
      <c r="Q442" s="109"/>
      <c r="R442" s="109"/>
      <c r="S442" s="109"/>
      <c r="T442" s="109"/>
      <c r="U442" s="109"/>
      <c r="V442" s="109"/>
      <c r="W442" s="109"/>
      <c r="X442" s="109"/>
      <c r="Y442" s="109"/>
      <c r="Z442" s="109"/>
    </row>
    <row r="443" spans="1:26" ht="13.5" customHeight="1">
      <c r="A443" s="109"/>
      <c r="B443" s="109"/>
      <c r="C443" s="109"/>
      <c r="D443" s="109"/>
      <c r="E443" s="109"/>
      <c r="F443" s="109"/>
      <c r="G443" s="161"/>
      <c r="H443" s="109"/>
      <c r="I443" s="109"/>
      <c r="J443" s="109"/>
      <c r="K443" s="109"/>
      <c r="L443" s="109"/>
      <c r="M443" s="109"/>
      <c r="N443" s="109"/>
      <c r="O443" s="109"/>
      <c r="P443" s="109"/>
      <c r="Q443" s="109"/>
      <c r="R443" s="109"/>
      <c r="S443" s="109"/>
      <c r="T443" s="109"/>
      <c r="U443" s="109"/>
      <c r="V443" s="109"/>
      <c r="W443" s="109"/>
      <c r="X443" s="109"/>
      <c r="Y443" s="109"/>
      <c r="Z443" s="109"/>
    </row>
    <row r="444" spans="1:26" ht="13.5" customHeight="1">
      <c r="A444" s="109"/>
      <c r="B444" s="109"/>
      <c r="C444" s="109"/>
      <c r="D444" s="109"/>
      <c r="E444" s="109"/>
      <c r="F444" s="109"/>
      <c r="G444" s="161"/>
      <c r="H444" s="109"/>
      <c r="I444" s="109"/>
      <c r="J444" s="109"/>
      <c r="K444" s="109"/>
      <c r="L444" s="109"/>
      <c r="M444" s="109"/>
      <c r="N444" s="109"/>
      <c r="O444" s="109"/>
      <c r="P444" s="109"/>
      <c r="Q444" s="109"/>
      <c r="R444" s="109"/>
      <c r="S444" s="109"/>
      <c r="T444" s="109"/>
      <c r="U444" s="109"/>
      <c r="V444" s="109"/>
      <c r="W444" s="109"/>
      <c r="X444" s="109"/>
      <c r="Y444" s="109"/>
      <c r="Z444" s="109"/>
    </row>
    <row r="445" spans="1:26" ht="13.5" customHeight="1">
      <c r="A445" s="109"/>
      <c r="B445" s="109"/>
      <c r="C445" s="109"/>
      <c r="D445" s="109"/>
      <c r="E445" s="109"/>
      <c r="F445" s="109"/>
      <c r="G445" s="161"/>
      <c r="H445" s="109"/>
      <c r="I445" s="109"/>
      <c r="J445" s="109"/>
      <c r="K445" s="109"/>
      <c r="L445" s="109"/>
      <c r="M445" s="109"/>
      <c r="N445" s="109"/>
      <c r="O445" s="109"/>
      <c r="P445" s="109"/>
      <c r="Q445" s="109"/>
      <c r="R445" s="109"/>
      <c r="S445" s="109"/>
      <c r="T445" s="109"/>
      <c r="U445" s="109"/>
      <c r="V445" s="109"/>
      <c r="W445" s="109"/>
      <c r="X445" s="109"/>
      <c r="Y445" s="109"/>
      <c r="Z445" s="109"/>
    </row>
    <row r="446" spans="1:26" ht="13.5" customHeight="1">
      <c r="A446" s="109"/>
      <c r="B446" s="109"/>
      <c r="C446" s="109"/>
      <c r="D446" s="109"/>
      <c r="E446" s="109"/>
      <c r="F446" s="109"/>
      <c r="G446" s="161"/>
      <c r="H446" s="109"/>
      <c r="I446" s="109"/>
      <c r="J446" s="109"/>
      <c r="K446" s="109"/>
      <c r="L446" s="109"/>
      <c r="M446" s="109"/>
      <c r="N446" s="109"/>
      <c r="O446" s="109"/>
      <c r="P446" s="109"/>
      <c r="Q446" s="109"/>
      <c r="R446" s="109"/>
      <c r="S446" s="109"/>
      <c r="T446" s="109"/>
      <c r="U446" s="109"/>
      <c r="V446" s="109"/>
      <c r="W446" s="109"/>
      <c r="X446" s="109"/>
      <c r="Y446" s="109"/>
      <c r="Z446" s="109"/>
    </row>
    <row r="447" spans="1:26" ht="13.5" customHeight="1">
      <c r="A447" s="109"/>
      <c r="B447" s="109"/>
      <c r="C447" s="109"/>
      <c r="D447" s="109"/>
      <c r="E447" s="109"/>
      <c r="F447" s="109"/>
      <c r="G447" s="161"/>
      <c r="H447" s="109"/>
      <c r="I447" s="109"/>
      <c r="J447" s="109"/>
      <c r="K447" s="109"/>
      <c r="L447" s="109"/>
      <c r="M447" s="109"/>
      <c r="N447" s="109"/>
      <c r="O447" s="109"/>
      <c r="P447" s="109"/>
      <c r="Q447" s="109"/>
      <c r="R447" s="109"/>
      <c r="S447" s="109"/>
      <c r="T447" s="109"/>
      <c r="U447" s="109"/>
      <c r="V447" s="109"/>
      <c r="W447" s="109"/>
      <c r="X447" s="109"/>
      <c r="Y447" s="109"/>
      <c r="Z447" s="109"/>
    </row>
    <row r="448" spans="1:26" ht="13.5" customHeight="1">
      <c r="A448" s="109"/>
      <c r="B448" s="109"/>
      <c r="C448" s="109"/>
      <c r="D448" s="109"/>
      <c r="E448" s="109"/>
      <c r="F448" s="109"/>
      <c r="G448" s="161"/>
      <c r="H448" s="109"/>
      <c r="I448" s="109"/>
      <c r="J448" s="109"/>
      <c r="K448" s="109"/>
      <c r="L448" s="109"/>
      <c r="M448" s="109"/>
      <c r="N448" s="109"/>
      <c r="O448" s="109"/>
      <c r="P448" s="109"/>
      <c r="Q448" s="109"/>
      <c r="R448" s="109"/>
      <c r="S448" s="109"/>
      <c r="T448" s="109"/>
      <c r="U448" s="109"/>
      <c r="V448" s="109"/>
      <c r="W448" s="109"/>
      <c r="X448" s="109"/>
      <c r="Y448" s="109"/>
      <c r="Z448" s="109"/>
    </row>
    <row r="449" spans="1:26" ht="13.5" customHeight="1">
      <c r="A449" s="109"/>
      <c r="B449" s="109"/>
      <c r="C449" s="109"/>
      <c r="D449" s="109"/>
      <c r="E449" s="109"/>
      <c r="F449" s="109"/>
      <c r="G449" s="161"/>
      <c r="H449" s="109"/>
      <c r="I449" s="109"/>
      <c r="J449" s="109"/>
      <c r="K449" s="109"/>
      <c r="L449" s="109"/>
      <c r="M449" s="109"/>
      <c r="N449" s="109"/>
      <c r="O449" s="109"/>
      <c r="P449" s="109"/>
      <c r="Q449" s="109"/>
      <c r="R449" s="109"/>
      <c r="S449" s="109"/>
      <c r="T449" s="109"/>
      <c r="U449" s="109"/>
      <c r="V449" s="109"/>
      <c r="W449" s="109"/>
      <c r="X449" s="109"/>
      <c r="Y449" s="109"/>
      <c r="Z449" s="109"/>
    </row>
    <row r="450" spans="1:26" ht="13.5" customHeight="1">
      <c r="A450" s="109"/>
      <c r="B450" s="109"/>
      <c r="C450" s="109"/>
      <c r="D450" s="109"/>
      <c r="E450" s="109"/>
      <c r="F450" s="109"/>
      <c r="G450" s="161"/>
      <c r="H450" s="109"/>
      <c r="I450" s="109"/>
      <c r="J450" s="109"/>
      <c r="K450" s="109"/>
      <c r="L450" s="109"/>
      <c r="M450" s="109"/>
      <c r="N450" s="109"/>
      <c r="O450" s="109"/>
      <c r="P450" s="109"/>
      <c r="Q450" s="109"/>
      <c r="R450" s="109"/>
      <c r="S450" s="109"/>
      <c r="T450" s="109"/>
      <c r="U450" s="109"/>
      <c r="V450" s="109"/>
      <c r="W450" s="109"/>
      <c r="X450" s="109"/>
      <c r="Y450" s="109"/>
      <c r="Z450" s="109"/>
    </row>
    <row r="451" spans="1:26" ht="13.5" customHeight="1">
      <c r="A451" s="109"/>
      <c r="B451" s="109"/>
      <c r="C451" s="109"/>
      <c r="D451" s="109"/>
      <c r="E451" s="109"/>
      <c r="F451" s="109"/>
      <c r="G451" s="161"/>
      <c r="H451" s="109"/>
      <c r="I451" s="109"/>
      <c r="J451" s="109"/>
      <c r="K451" s="109"/>
      <c r="L451" s="109"/>
      <c r="M451" s="109"/>
      <c r="N451" s="109"/>
      <c r="O451" s="109"/>
      <c r="P451" s="109"/>
      <c r="Q451" s="109"/>
      <c r="R451" s="109"/>
      <c r="S451" s="109"/>
      <c r="T451" s="109"/>
      <c r="U451" s="109"/>
      <c r="V451" s="109"/>
      <c r="W451" s="109"/>
      <c r="X451" s="109"/>
      <c r="Y451" s="109"/>
      <c r="Z451" s="109"/>
    </row>
    <row r="452" spans="1:26" ht="13.5" customHeight="1">
      <c r="A452" s="109"/>
      <c r="B452" s="109"/>
      <c r="C452" s="109"/>
      <c r="D452" s="109"/>
      <c r="E452" s="109"/>
      <c r="F452" s="109"/>
      <c r="G452" s="161"/>
      <c r="H452" s="109"/>
      <c r="I452" s="109"/>
      <c r="J452" s="109"/>
      <c r="K452" s="109"/>
      <c r="L452" s="109"/>
      <c r="M452" s="109"/>
      <c r="N452" s="109"/>
      <c r="O452" s="109"/>
      <c r="P452" s="109"/>
      <c r="Q452" s="109"/>
      <c r="R452" s="109"/>
      <c r="S452" s="109"/>
      <c r="T452" s="109"/>
      <c r="U452" s="109"/>
      <c r="V452" s="109"/>
      <c r="W452" s="109"/>
      <c r="X452" s="109"/>
      <c r="Y452" s="109"/>
      <c r="Z452" s="109"/>
    </row>
    <row r="453" spans="1:26" ht="13.5" customHeight="1">
      <c r="A453" s="109"/>
      <c r="B453" s="109"/>
      <c r="C453" s="109"/>
      <c r="D453" s="109"/>
      <c r="E453" s="109"/>
      <c r="F453" s="109"/>
      <c r="G453" s="161"/>
      <c r="H453" s="109"/>
      <c r="I453" s="109"/>
      <c r="J453" s="109"/>
      <c r="K453" s="109"/>
      <c r="L453" s="109"/>
      <c r="M453" s="109"/>
      <c r="N453" s="109"/>
      <c r="O453" s="109"/>
      <c r="P453" s="109"/>
      <c r="Q453" s="109"/>
      <c r="R453" s="109"/>
      <c r="S453" s="109"/>
      <c r="T453" s="109"/>
      <c r="U453" s="109"/>
      <c r="V453" s="109"/>
      <c r="W453" s="109"/>
      <c r="X453" s="109"/>
      <c r="Y453" s="109"/>
      <c r="Z453" s="109"/>
    </row>
    <row r="454" spans="1:26" ht="13.5" customHeight="1">
      <c r="A454" s="109"/>
      <c r="B454" s="109"/>
      <c r="C454" s="109"/>
      <c r="D454" s="109"/>
      <c r="E454" s="109"/>
      <c r="F454" s="109"/>
      <c r="G454" s="161"/>
      <c r="H454" s="109"/>
      <c r="I454" s="109"/>
      <c r="J454" s="109"/>
      <c r="K454" s="109"/>
      <c r="L454" s="109"/>
      <c r="M454" s="109"/>
      <c r="N454" s="109"/>
      <c r="O454" s="109"/>
      <c r="P454" s="109"/>
      <c r="Q454" s="109"/>
      <c r="R454" s="109"/>
      <c r="S454" s="109"/>
      <c r="T454" s="109"/>
      <c r="U454" s="109"/>
      <c r="V454" s="109"/>
      <c r="W454" s="109"/>
      <c r="X454" s="109"/>
      <c r="Y454" s="109"/>
      <c r="Z454" s="109"/>
    </row>
    <row r="455" spans="1:26" ht="13.5" customHeight="1">
      <c r="A455" s="109"/>
      <c r="B455" s="109"/>
      <c r="C455" s="109"/>
      <c r="D455" s="109"/>
      <c r="E455" s="109"/>
      <c r="F455" s="109"/>
      <c r="G455" s="161"/>
      <c r="H455" s="109"/>
      <c r="I455" s="109"/>
      <c r="J455" s="109"/>
      <c r="K455" s="109"/>
      <c r="L455" s="109"/>
      <c r="M455" s="109"/>
      <c r="N455" s="109"/>
      <c r="O455" s="109"/>
      <c r="P455" s="109"/>
      <c r="Q455" s="109"/>
      <c r="R455" s="109"/>
      <c r="S455" s="109"/>
      <c r="T455" s="109"/>
      <c r="U455" s="109"/>
      <c r="V455" s="109"/>
      <c r="W455" s="109"/>
      <c r="X455" s="109"/>
      <c r="Y455" s="109"/>
      <c r="Z455" s="109"/>
    </row>
    <row r="456" spans="1:26" ht="13.5" customHeight="1">
      <c r="A456" s="109"/>
      <c r="B456" s="109"/>
      <c r="C456" s="109"/>
      <c r="D456" s="109"/>
      <c r="E456" s="109"/>
      <c r="F456" s="109"/>
      <c r="G456" s="161"/>
      <c r="H456" s="109"/>
      <c r="I456" s="109"/>
      <c r="J456" s="109"/>
      <c r="K456" s="109"/>
      <c r="L456" s="109"/>
      <c r="M456" s="109"/>
      <c r="N456" s="109"/>
      <c r="O456" s="109"/>
      <c r="P456" s="109"/>
      <c r="Q456" s="109"/>
      <c r="R456" s="109"/>
      <c r="S456" s="109"/>
      <c r="T456" s="109"/>
      <c r="U456" s="109"/>
      <c r="V456" s="109"/>
      <c r="W456" s="109"/>
      <c r="X456" s="109"/>
      <c r="Y456" s="109"/>
      <c r="Z456" s="109"/>
    </row>
    <row r="457" spans="1:26" ht="13.5" customHeight="1">
      <c r="A457" s="109"/>
      <c r="B457" s="109"/>
      <c r="C457" s="109"/>
      <c r="D457" s="109"/>
      <c r="E457" s="109"/>
      <c r="F457" s="109"/>
      <c r="G457" s="161"/>
      <c r="H457" s="109"/>
      <c r="I457" s="109"/>
      <c r="J457" s="109"/>
      <c r="K457" s="109"/>
      <c r="L457" s="109"/>
      <c r="M457" s="109"/>
      <c r="N457" s="109"/>
      <c r="O457" s="109"/>
      <c r="P457" s="109"/>
      <c r="Q457" s="109"/>
      <c r="R457" s="109"/>
      <c r="S457" s="109"/>
      <c r="T457" s="109"/>
      <c r="U457" s="109"/>
      <c r="V457" s="109"/>
      <c r="W457" s="109"/>
      <c r="X457" s="109"/>
      <c r="Y457" s="109"/>
      <c r="Z457" s="109"/>
    </row>
    <row r="458" spans="1:26" ht="13.5" customHeight="1">
      <c r="A458" s="109"/>
      <c r="B458" s="109"/>
      <c r="C458" s="109"/>
      <c r="D458" s="109"/>
      <c r="E458" s="109"/>
      <c r="F458" s="109"/>
      <c r="G458" s="161"/>
      <c r="H458" s="109"/>
      <c r="I458" s="109"/>
      <c r="J458" s="109"/>
      <c r="K458" s="109"/>
      <c r="L458" s="109"/>
      <c r="M458" s="109"/>
      <c r="N458" s="109"/>
      <c r="O458" s="109"/>
      <c r="P458" s="109"/>
      <c r="Q458" s="109"/>
      <c r="R458" s="109"/>
      <c r="S458" s="109"/>
      <c r="T458" s="109"/>
      <c r="U458" s="109"/>
      <c r="V458" s="109"/>
      <c r="W458" s="109"/>
      <c r="X458" s="109"/>
      <c r="Y458" s="109"/>
      <c r="Z458" s="109"/>
    </row>
    <row r="459" spans="1:26" ht="13.5" customHeight="1">
      <c r="A459" s="109"/>
      <c r="B459" s="109"/>
      <c r="C459" s="109"/>
      <c r="D459" s="109"/>
      <c r="E459" s="109"/>
      <c r="F459" s="109"/>
      <c r="G459" s="161"/>
      <c r="H459" s="109"/>
      <c r="I459" s="109"/>
      <c r="J459" s="109"/>
      <c r="K459" s="109"/>
      <c r="L459" s="109"/>
      <c r="M459" s="109"/>
      <c r="N459" s="109"/>
      <c r="O459" s="109"/>
      <c r="P459" s="109"/>
      <c r="Q459" s="109"/>
      <c r="R459" s="109"/>
      <c r="S459" s="109"/>
      <c r="T459" s="109"/>
      <c r="U459" s="109"/>
      <c r="V459" s="109"/>
      <c r="W459" s="109"/>
      <c r="X459" s="109"/>
      <c r="Y459" s="109"/>
      <c r="Z459" s="109"/>
    </row>
    <row r="460" spans="1:26" ht="13.5" customHeight="1">
      <c r="A460" s="109"/>
      <c r="B460" s="109"/>
      <c r="C460" s="109"/>
      <c r="D460" s="109"/>
      <c r="E460" s="109"/>
      <c r="F460" s="109"/>
      <c r="G460" s="161"/>
      <c r="H460" s="109"/>
      <c r="I460" s="109"/>
      <c r="J460" s="109"/>
      <c r="K460" s="109"/>
      <c r="L460" s="109"/>
      <c r="M460" s="109"/>
      <c r="N460" s="109"/>
      <c r="O460" s="109"/>
      <c r="P460" s="109"/>
      <c r="Q460" s="109"/>
      <c r="R460" s="109"/>
      <c r="S460" s="109"/>
      <c r="T460" s="109"/>
      <c r="U460" s="109"/>
      <c r="V460" s="109"/>
      <c r="W460" s="109"/>
      <c r="X460" s="109"/>
      <c r="Y460" s="109"/>
      <c r="Z460" s="109"/>
    </row>
    <row r="461" spans="1:26" ht="13.5" customHeight="1">
      <c r="A461" s="109"/>
      <c r="B461" s="109"/>
      <c r="C461" s="109"/>
      <c r="D461" s="109"/>
      <c r="E461" s="109"/>
      <c r="F461" s="109"/>
      <c r="G461" s="161"/>
      <c r="H461" s="109"/>
      <c r="I461" s="109"/>
      <c r="J461" s="109"/>
      <c r="K461" s="109"/>
      <c r="L461" s="109"/>
      <c r="M461" s="109"/>
      <c r="N461" s="109"/>
      <c r="O461" s="109"/>
      <c r="P461" s="109"/>
      <c r="Q461" s="109"/>
      <c r="R461" s="109"/>
      <c r="S461" s="109"/>
      <c r="T461" s="109"/>
      <c r="U461" s="109"/>
      <c r="V461" s="109"/>
      <c r="W461" s="109"/>
      <c r="X461" s="109"/>
      <c r="Y461" s="109"/>
      <c r="Z461" s="109"/>
    </row>
    <row r="462" spans="1:26" ht="13.5" customHeight="1">
      <c r="A462" s="109"/>
      <c r="B462" s="109"/>
      <c r="C462" s="109"/>
      <c r="D462" s="109"/>
      <c r="E462" s="109"/>
      <c r="F462" s="109"/>
      <c r="G462" s="161"/>
      <c r="H462" s="109"/>
      <c r="I462" s="109"/>
      <c r="J462" s="109"/>
      <c r="K462" s="109"/>
      <c r="L462" s="109"/>
      <c r="M462" s="109"/>
      <c r="N462" s="109"/>
      <c r="O462" s="109"/>
      <c r="P462" s="109"/>
      <c r="Q462" s="109"/>
      <c r="R462" s="109"/>
      <c r="S462" s="109"/>
      <c r="T462" s="109"/>
      <c r="U462" s="109"/>
      <c r="V462" s="109"/>
      <c r="W462" s="109"/>
      <c r="X462" s="109"/>
      <c r="Y462" s="109"/>
      <c r="Z462" s="109"/>
    </row>
    <row r="463" spans="1:26" ht="13.5" customHeight="1">
      <c r="A463" s="109"/>
      <c r="B463" s="109"/>
      <c r="C463" s="109"/>
      <c r="D463" s="109"/>
      <c r="E463" s="109"/>
      <c r="F463" s="109"/>
      <c r="G463" s="161"/>
      <c r="H463" s="109"/>
      <c r="I463" s="109"/>
      <c r="J463" s="109"/>
      <c r="K463" s="109"/>
      <c r="L463" s="109"/>
      <c r="M463" s="109"/>
      <c r="N463" s="109"/>
      <c r="O463" s="109"/>
      <c r="P463" s="109"/>
      <c r="Q463" s="109"/>
      <c r="R463" s="109"/>
      <c r="S463" s="109"/>
      <c r="T463" s="109"/>
      <c r="U463" s="109"/>
      <c r="V463" s="109"/>
      <c r="W463" s="109"/>
      <c r="X463" s="109"/>
      <c r="Y463" s="109"/>
      <c r="Z463" s="109"/>
    </row>
    <row r="464" spans="1:26" ht="13.5" customHeight="1">
      <c r="A464" s="109"/>
      <c r="B464" s="109"/>
      <c r="C464" s="109"/>
      <c r="D464" s="109"/>
      <c r="E464" s="109"/>
      <c r="F464" s="109"/>
      <c r="G464" s="161"/>
      <c r="H464" s="109"/>
      <c r="I464" s="109"/>
      <c r="J464" s="109"/>
      <c r="K464" s="109"/>
      <c r="L464" s="109"/>
      <c r="M464" s="109"/>
      <c r="N464" s="109"/>
      <c r="O464" s="109"/>
      <c r="P464" s="109"/>
      <c r="Q464" s="109"/>
      <c r="R464" s="109"/>
      <c r="S464" s="109"/>
      <c r="T464" s="109"/>
      <c r="U464" s="109"/>
      <c r="V464" s="109"/>
      <c r="W464" s="109"/>
      <c r="X464" s="109"/>
      <c r="Y464" s="109"/>
      <c r="Z464" s="109"/>
    </row>
    <row r="465" spans="1:26" ht="13.5" customHeight="1">
      <c r="A465" s="109"/>
      <c r="B465" s="109"/>
      <c r="C465" s="109"/>
      <c r="D465" s="109"/>
      <c r="E465" s="109"/>
      <c r="F465" s="109"/>
      <c r="G465" s="161"/>
      <c r="H465" s="109"/>
      <c r="I465" s="109"/>
      <c r="J465" s="109"/>
      <c r="K465" s="109"/>
      <c r="L465" s="109"/>
      <c r="M465" s="109"/>
      <c r="N465" s="109"/>
      <c r="O465" s="109"/>
      <c r="P465" s="109"/>
      <c r="Q465" s="109"/>
      <c r="R465" s="109"/>
      <c r="S465" s="109"/>
      <c r="T465" s="109"/>
      <c r="U465" s="109"/>
      <c r="V465" s="109"/>
      <c r="W465" s="109"/>
      <c r="X465" s="109"/>
      <c r="Y465" s="109"/>
      <c r="Z465" s="109"/>
    </row>
    <row r="466" spans="1:26" ht="13.5" customHeight="1">
      <c r="A466" s="109"/>
      <c r="B466" s="109"/>
      <c r="C466" s="109"/>
      <c r="D466" s="109"/>
      <c r="E466" s="109"/>
      <c r="F466" s="109"/>
      <c r="G466" s="161"/>
      <c r="H466" s="109"/>
      <c r="I466" s="109"/>
      <c r="J466" s="109"/>
      <c r="K466" s="109"/>
      <c r="L466" s="109"/>
      <c r="M466" s="109"/>
      <c r="N466" s="109"/>
      <c r="O466" s="109"/>
      <c r="P466" s="109"/>
      <c r="Q466" s="109"/>
      <c r="R466" s="109"/>
      <c r="S466" s="109"/>
      <c r="T466" s="109"/>
      <c r="U466" s="109"/>
      <c r="V466" s="109"/>
      <c r="W466" s="109"/>
      <c r="X466" s="109"/>
      <c r="Y466" s="109"/>
      <c r="Z466" s="109"/>
    </row>
    <row r="467" spans="1:26" ht="13.5" customHeight="1">
      <c r="A467" s="109"/>
      <c r="B467" s="109"/>
      <c r="C467" s="109"/>
      <c r="D467" s="109"/>
      <c r="E467" s="109"/>
      <c r="F467" s="109"/>
      <c r="G467" s="161"/>
      <c r="H467" s="109"/>
      <c r="I467" s="109"/>
      <c r="J467" s="109"/>
      <c r="K467" s="109"/>
      <c r="L467" s="109"/>
      <c r="M467" s="109"/>
      <c r="N467" s="109"/>
      <c r="O467" s="109"/>
      <c r="P467" s="109"/>
      <c r="Q467" s="109"/>
      <c r="R467" s="109"/>
      <c r="S467" s="109"/>
      <c r="T467" s="109"/>
      <c r="U467" s="109"/>
      <c r="V467" s="109"/>
      <c r="W467" s="109"/>
      <c r="X467" s="109"/>
      <c r="Y467" s="109"/>
      <c r="Z467" s="109"/>
    </row>
    <row r="468" spans="1:26" ht="13.5" customHeight="1">
      <c r="A468" s="109"/>
      <c r="B468" s="109"/>
      <c r="C468" s="109"/>
      <c r="D468" s="109"/>
      <c r="E468" s="109"/>
      <c r="F468" s="109"/>
      <c r="G468" s="161"/>
      <c r="H468" s="109"/>
      <c r="I468" s="109"/>
      <c r="J468" s="109"/>
      <c r="K468" s="109"/>
      <c r="L468" s="109"/>
      <c r="M468" s="109"/>
      <c r="N468" s="109"/>
      <c r="O468" s="109"/>
      <c r="P468" s="109"/>
      <c r="Q468" s="109"/>
      <c r="R468" s="109"/>
      <c r="S468" s="109"/>
      <c r="T468" s="109"/>
      <c r="U468" s="109"/>
      <c r="V468" s="109"/>
      <c r="W468" s="109"/>
      <c r="X468" s="109"/>
      <c r="Y468" s="109"/>
      <c r="Z468" s="109"/>
    </row>
    <row r="469" spans="1:26" ht="13.5" customHeight="1">
      <c r="A469" s="109"/>
      <c r="B469" s="109"/>
      <c r="C469" s="109"/>
      <c r="D469" s="109"/>
      <c r="E469" s="109"/>
      <c r="F469" s="109"/>
      <c r="G469" s="161"/>
      <c r="H469" s="109"/>
      <c r="I469" s="109"/>
      <c r="J469" s="109"/>
      <c r="K469" s="109"/>
      <c r="L469" s="109"/>
      <c r="M469" s="109"/>
      <c r="N469" s="109"/>
      <c r="O469" s="109"/>
      <c r="P469" s="109"/>
      <c r="Q469" s="109"/>
      <c r="R469" s="109"/>
      <c r="S469" s="109"/>
      <c r="T469" s="109"/>
      <c r="U469" s="109"/>
      <c r="V469" s="109"/>
      <c r="W469" s="109"/>
      <c r="X469" s="109"/>
      <c r="Y469" s="109"/>
      <c r="Z469" s="109"/>
    </row>
    <row r="470" spans="1:26" ht="13.5" customHeight="1">
      <c r="A470" s="109"/>
      <c r="B470" s="109"/>
      <c r="C470" s="109"/>
      <c r="D470" s="109"/>
      <c r="E470" s="109"/>
      <c r="F470" s="109"/>
      <c r="G470" s="161"/>
      <c r="H470" s="109"/>
      <c r="I470" s="109"/>
      <c r="J470" s="109"/>
      <c r="K470" s="109"/>
      <c r="L470" s="109"/>
      <c r="M470" s="109"/>
      <c r="N470" s="109"/>
      <c r="O470" s="109"/>
      <c r="P470" s="109"/>
      <c r="Q470" s="109"/>
      <c r="R470" s="109"/>
      <c r="S470" s="109"/>
      <c r="T470" s="109"/>
      <c r="U470" s="109"/>
      <c r="V470" s="109"/>
      <c r="W470" s="109"/>
      <c r="X470" s="109"/>
      <c r="Y470" s="109"/>
      <c r="Z470" s="109"/>
    </row>
    <row r="471" spans="1:26" ht="13.5" customHeight="1">
      <c r="A471" s="109"/>
      <c r="B471" s="109"/>
      <c r="C471" s="109"/>
      <c r="D471" s="109"/>
      <c r="E471" s="109"/>
      <c r="F471" s="109"/>
      <c r="G471" s="161"/>
      <c r="H471" s="109"/>
      <c r="I471" s="109"/>
      <c r="J471" s="109"/>
      <c r="K471" s="109"/>
      <c r="L471" s="109"/>
      <c r="M471" s="109"/>
      <c r="N471" s="109"/>
      <c r="O471" s="109"/>
      <c r="P471" s="109"/>
      <c r="Q471" s="109"/>
      <c r="R471" s="109"/>
      <c r="S471" s="109"/>
      <c r="T471" s="109"/>
      <c r="U471" s="109"/>
      <c r="V471" s="109"/>
      <c r="W471" s="109"/>
      <c r="X471" s="109"/>
      <c r="Y471" s="109"/>
      <c r="Z471" s="109"/>
    </row>
    <row r="472" spans="1:26" ht="13.5" customHeight="1">
      <c r="A472" s="109"/>
      <c r="B472" s="109"/>
      <c r="C472" s="109"/>
      <c r="D472" s="109"/>
      <c r="E472" s="109"/>
      <c r="F472" s="109"/>
      <c r="G472" s="161"/>
      <c r="H472" s="109"/>
      <c r="I472" s="109"/>
      <c r="J472" s="109"/>
      <c r="K472" s="109"/>
      <c r="L472" s="109"/>
      <c r="M472" s="109"/>
      <c r="N472" s="109"/>
      <c r="O472" s="109"/>
      <c r="P472" s="109"/>
      <c r="Q472" s="109"/>
      <c r="R472" s="109"/>
      <c r="S472" s="109"/>
      <c r="T472" s="109"/>
      <c r="U472" s="109"/>
      <c r="V472" s="109"/>
      <c r="W472" s="109"/>
      <c r="X472" s="109"/>
      <c r="Y472" s="109"/>
      <c r="Z472" s="109"/>
    </row>
    <row r="473" spans="1:26" ht="13.5" customHeight="1">
      <c r="A473" s="109"/>
      <c r="B473" s="109"/>
      <c r="C473" s="109"/>
      <c r="D473" s="109"/>
      <c r="E473" s="109"/>
      <c r="F473" s="109"/>
      <c r="G473" s="161"/>
      <c r="H473" s="109"/>
      <c r="I473" s="109"/>
      <c r="J473" s="109"/>
      <c r="K473" s="109"/>
      <c r="L473" s="109"/>
      <c r="M473" s="109"/>
      <c r="N473" s="109"/>
      <c r="O473" s="109"/>
      <c r="P473" s="109"/>
      <c r="Q473" s="109"/>
      <c r="R473" s="109"/>
      <c r="S473" s="109"/>
      <c r="T473" s="109"/>
      <c r="U473" s="109"/>
      <c r="V473" s="109"/>
      <c r="W473" s="109"/>
      <c r="X473" s="109"/>
      <c r="Y473" s="109"/>
      <c r="Z473" s="109"/>
    </row>
    <row r="474" spans="1:26" ht="13.5" customHeight="1">
      <c r="A474" s="109"/>
      <c r="B474" s="109"/>
      <c r="C474" s="109"/>
      <c r="D474" s="109"/>
      <c r="E474" s="109"/>
      <c r="F474" s="109"/>
      <c r="G474" s="161"/>
      <c r="H474" s="109"/>
      <c r="I474" s="109"/>
      <c r="J474" s="109"/>
      <c r="K474" s="109"/>
      <c r="L474" s="109"/>
      <c r="M474" s="109"/>
      <c r="N474" s="109"/>
      <c r="O474" s="109"/>
      <c r="P474" s="109"/>
      <c r="Q474" s="109"/>
      <c r="R474" s="109"/>
      <c r="S474" s="109"/>
      <c r="T474" s="109"/>
      <c r="U474" s="109"/>
      <c r="V474" s="109"/>
      <c r="W474" s="109"/>
      <c r="X474" s="109"/>
      <c r="Y474" s="109"/>
      <c r="Z474" s="109"/>
    </row>
    <row r="475" spans="1:26" ht="13.5" customHeight="1">
      <c r="A475" s="109"/>
      <c r="B475" s="109"/>
      <c r="C475" s="109"/>
      <c r="D475" s="109"/>
      <c r="E475" s="109"/>
      <c r="F475" s="109"/>
      <c r="G475" s="161"/>
      <c r="H475" s="109"/>
      <c r="I475" s="109"/>
      <c r="J475" s="109"/>
      <c r="K475" s="109"/>
      <c r="L475" s="109"/>
      <c r="M475" s="109"/>
      <c r="N475" s="109"/>
      <c r="O475" s="109"/>
      <c r="P475" s="109"/>
      <c r="Q475" s="109"/>
      <c r="R475" s="109"/>
      <c r="S475" s="109"/>
      <c r="T475" s="109"/>
      <c r="U475" s="109"/>
      <c r="V475" s="109"/>
      <c r="W475" s="109"/>
      <c r="X475" s="109"/>
      <c r="Y475" s="109"/>
      <c r="Z475" s="109"/>
    </row>
    <row r="476" spans="1:26" ht="13.5" customHeight="1">
      <c r="A476" s="109"/>
      <c r="B476" s="109"/>
      <c r="C476" s="109"/>
      <c r="D476" s="109"/>
      <c r="E476" s="109"/>
      <c r="F476" s="109"/>
      <c r="G476" s="161"/>
      <c r="H476" s="109"/>
      <c r="I476" s="109"/>
      <c r="J476" s="109"/>
      <c r="K476" s="109"/>
      <c r="L476" s="109"/>
      <c r="M476" s="109"/>
      <c r="N476" s="109"/>
      <c r="O476" s="109"/>
      <c r="P476" s="109"/>
      <c r="Q476" s="109"/>
      <c r="R476" s="109"/>
      <c r="S476" s="109"/>
      <c r="T476" s="109"/>
      <c r="U476" s="109"/>
      <c r="V476" s="109"/>
      <c r="W476" s="109"/>
      <c r="X476" s="109"/>
      <c r="Y476" s="109"/>
      <c r="Z476" s="109"/>
    </row>
    <row r="477" spans="1:26" ht="13.5" customHeight="1">
      <c r="A477" s="109"/>
      <c r="B477" s="109"/>
      <c r="C477" s="109"/>
      <c r="D477" s="109"/>
      <c r="E477" s="109"/>
      <c r="F477" s="109"/>
      <c r="G477" s="161"/>
      <c r="H477" s="109"/>
      <c r="I477" s="109"/>
      <c r="J477" s="109"/>
      <c r="K477" s="109"/>
      <c r="L477" s="109"/>
      <c r="M477" s="109"/>
      <c r="N477" s="109"/>
      <c r="O477" s="109"/>
      <c r="P477" s="109"/>
      <c r="Q477" s="109"/>
      <c r="R477" s="109"/>
      <c r="S477" s="109"/>
      <c r="T477" s="109"/>
      <c r="U477" s="109"/>
      <c r="V477" s="109"/>
      <c r="W477" s="109"/>
      <c r="X477" s="109"/>
      <c r="Y477" s="109"/>
      <c r="Z477" s="109"/>
    </row>
    <row r="478" spans="1:26" ht="13.5" customHeight="1">
      <c r="A478" s="109"/>
      <c r="B478" s="109"/>
      <c r="C478" s="109"/>
      <c r="D478" s="109"/>
      <c r="E478" s="109"/>
      <c r="F478" s="109"/>
      <c r="G478" s="161"/>
      <c r="H478" s="109"/>
      <c r="I478" s="109"/>
      <c r="J478" s="109"/>
      <c r="K478" s="109"/>
      <c r="L478" s="109"/>
      <c r="M478" s="109"/>
      <c r="N478" s="109"/>
      <c r="O478" s="109"/>
      <c r="P478" s="109"/>
      <c r="Q478" s="109"/>
      <c r="R478" s="109"/>
      <c r="S478" s="109"/>
      <c r="T478" s="109"/>
      <c r="U478" s="109"/>
      <c r="V478" s="109"/>
      <c r="W478" s="109"/>
      <c r="X478" s="109"/>
      <c r="Y478" s="109"/>
      <c r="Z478" s="109"/>
    </row>
    <row r="479" spans="1:26" ht="13.5" customHeight="1">
      <c r="A479" s="109"/>
      <c r="B479" s="109"/>
      <c r="C479" s="109"/>
      <c r="D479" s="109"/>
      <c r="E479" s="109"/>
      <c r="F479" s="109"/>
      <c r="G479" s="161"/>
      <c r="H479" s="109"/>
      <c r="I479" s="109"/>
      <c r="J479" s="109"/>
      <c r="K479" s="109"/>
      <c r="L479" s="109"/>
      <c r="M479" s="109"/>
      <c r="N479" s="109"/>
      <c r="O479" s="109"/>
      <c r="P479" s="109"/>
      <c r="Q479" s="109"/>
      <c r="R479" s="109"/>
      <c r="S479" s="109"/>
      <c r="T479" s="109"/>
      <c r="U479" s="109"/>
      <c r="V479" s="109"/>
      <c r="W479" s="109"/>
      <c r="X479" s="109"/>
      <c r="Y479" s="109"/>
      <c r="Z479" s="109"/>
    </row>
    <row r="480" spans="1:26" ht="13.5" customHeight="1">
      <c r="A480" s="109"/>
      <c r="B480" s="109"/>
      <c r="C480" s="109"/>
      <c r="D480" s="109"/>
      <c r="E480" s="109"/>
      <c r="F480" s="109"/>
      <c r="G480" s="161"/>
      <c r="H480" s="109"/>
      <c r="I480" s="109"/>
      <c r="J480" s="109"/>
      <c r="K480" s="109"/>
      <c r="L480" s="109"/>
      <c r="M480" s="109"/>
      <c r="N480" s="109"/>
      <c r="O480" s="109"/>
      <c r="P480" s="109"/>
      <c r="Q480" s="109"/>
      <c r="R480" s="109"/>
      <c r="S480" s="109"/>
      <c r="T480" s="109"/>
      <c r="U480" s="109"/>
      <c r="V480" s="109"/>
      <c r="W480" s="109"/>
      <c r="X480" s="109"/>
      <c r="Y480" s="109"/>
      <c r="Z480" s="109"/>
    </row>
    <row r="481" spans="1:26" ht="13.5" customHeight="1">
      <c r="A481" s="109"/>
      <c r="B481" s="109"/>
      <c r="C481" s="109"/>
      <c r="D481" s="109"/>
      <c r="E481" s="109"/>
      <c r="F481" s="109"/>
      <c r="G481" s="161"/>
      <c r="H481" s="109"/>
      <c r="I481" s="109"/>
      <c r="J481" s="109"/>
      <c r="K481" s="109"/>
      <c r="L481" s="109"/>
      <c r="M481" s="109"/>
      <c r="N481" s="109"/>
      <c r="O481" s="109"/>
      <c r="P481" s="109"/>
      <c r="Q481" s="109"/>
      <c r="R481" s="109"/>
      <c r="S481" s="109"/>
      <c r="T481" s="109"/>
      <c r="U481" s="109"/>
      <c r="V481" s="109"/>
      <c r="W481" s="109"/>
      <c r="X481" s="109"/>
      <c r="Y481" s="109"/>
      <c r="Z481" s="109"/>
    </row>
    <row r="482" spans="1:26" ht="13.5" customHeight="1">
      <c r="A482" s="109"/>
      <c r="B482" s="109"/>
      <c r="C482" s="109"/>
      <c r="D482" s="109"/>
      <c r="E482" s="109"/>
      <c r="F482" s="109"/>
      <c r="G482" s="161"/>
      <c r="H482" s="109"/>
      <c r="I482" s="109"/>
      <c r="J482" s="109"/>
      <c r="K482" s="109"/>
      <c r="L482" s="109"/>
      <c r="M482" s="109"/>
      <c r="N482" s="109"/>
      <c r="O482" s="109"/>
      <c r="P482" s="109"/>
      <c r="Q482" s="109"/>
      <c r="R482" s="109"/>
      <c r="S482" s="109"/>
      <c r="T482" s="109"/>
      <c r="U482" s="109"/>
      <c r="V482" s="109"/>
      <c r="W482" s="109"/>
      <c r="X482" s="109"/>
      <c r="Y482" s="109"/>
      <c r="Z482" s="109"/>
    </row>
    <row r="483" spans="1:26" ht="13.5" customHeight="1">
      <c r="A483" s="109"/>
      <c r="B483" s="109"/>
      <c r="C483" s="109"/>
      <c r="D483" s="109"/>
      <c r="E483" s="109"/>
      <c r="F483" s="109"/>
      <c r="G483" s="161"/>
      <c r="H483" s="109"/>
      <c r="I483" s="109"/>
      <c r="J483" s="109"/>
      <c r="K483" s="109"/>
      <c r="L483" s="109"/>
      <c r="M483" s="109"/>
      <c r="N483" s="109"/>
      <c r="O483" s="109"/>
      <c r="P483" s="109"/>
      <c r="Q483" s="109"/>
      <c r="R483" s="109"/>
      <c r="S483" s="109"/>
      <c r="T483" s="109"/>
      <c r="U483" s="109"/>
      <c r="V483" s="109"/>
      <c r="W483" s="109"/>
      <c r="X483" s="109"/>
      <c r="Y483" s="109"/>
      <c r="Z483" s="109"/>
    </row>
    <row r="484" spans="1:26" ht="13.5" customHeight="1">
      <c r="A484" s="109"/>
      <c r="B484" s="109"/>
      <c r="C484" s="109"/>
      <c r="D484" s="109"/>
      <c r="E484" s="109"/>
      <c r="F484" s="109"/>
      <c r="G484" s="161"/>
      <c r="H484" s="109"/>
      <c r="I484" s="109"/>
      <c r="J484" s="109"/>
      <c r="K484" s="109"/>
      <c r="L484" s="109"/>
      <c r="M484" s="109"/>
      <c r="N484" s="109"/>
      <c r="O484" s="109"/>
      <c r="P484" s="109"/>
      <c r="Q484" s="109"/>
      <c r="R484" s="109"/>
      <c r="S484" s="109"/>
      <c r="T484" s="109"/>
      <c r="U484" s="109"/>
      <c r="V484" s="109"/>
      <c r="W484" s="109"/>
      <c r="X484" s="109"/>
      <c r="Y484" s="109"/>
      <c r="Z484" s="109"/>
    </row>
    <row r="485" spans="1:26" ht="13.5" customHeight="1">
      <c r="A485" s="109"/>
      <c r="B485" s="109"/>
      <c r="C485" s="109"/>
      <c r="D485" s="109"/>
      <c r="E485" s="109"/>
      <c r="F485" s="109"/>
      <c r="G485" s="161"/>
      <c r="H485" s="109"/>
      <c r="I485" s="109"/>
      <c r="J485" s="109"/>
      <c r="K485" s="109"/>
      <c r="L485" s="109"/>
      <c r="M485" s="109"/>
      <c r="N485" s="109"/>
      <c r="O485" s="109"/>
      <c r="P485" s="109"/>
      <c r="Q485" s="109"/>
      <c r="R485" s="109"/>
      <c r="S485" s="109"/>
      <c r="T485" s="109"/>
      <c r="U485" s="109"/>
      <c r="V485" s="109"/>
      <c r="W485" s="109"/>
      <c r="X485" s="109"/>
      <c r="Y485" s="109"/>
      <c r="Z485" s="109"/>
    </row>
    <row r="486" spans="1:26" ht="13.5" customHeight="1">
      <c r="A486" s="109"/>
      <c r="B486" s="109"/>
      <c r="C486" s="109"/>
      <c r="D486" s="109"/>
      <c r="E486" s="109"/>
      <c r="F486" s="109"/>
      <c r="G486" s="161"/>
      <c r="H486" s="109"/>
      <c r="I486" s="109"/>
      <c r="J486" s="109"/>
      <c r="K486" s="109"/>
      <c r="L486" s="109"/>
      <c r="M486" s="109"/>
      <c r="N486" s="109"/>
      <c r="O486" s="109"/>
      <c r="P486" s="109"/>
      <c r="Q486" s="109"/>
      <c r="R486" s="109"/>
      <c r="S486" s="109"/>
      <c r="T486" s="109"/>
      <c r="U486" s="109"/>
      <c r="V486" s="109"/>
      <c r="W486" s="109"/>
      <c r="X486" s="109"/>
      <c r="Y486" s="109"/>
      <c r="Z486" s="109"/>
    </row>
    <row r="487" spans="1:26" ht="13.5" customHeight="1">
      <c r="A487" s="109"/>
      <c r="B487" s="109"/>
      <c r="C487" s="109"/>
      <c r="D487" s="109"/>
      <c r="E487" s="109"/>
      <c r="F487" s="109"/>
      <c r="G487" s="161"/>
      <c r="H487" s="109"/>
      <c r="I487" s="109"/>
      <c r="J487" s="109"/>
      <c r="K487" s="109"/>
      <c r="L487" s="109"/>
      <c r="M487" s="109"/>
      <c r="N487" s="109"/>
      <c r="O487" s="109"/>
      <c r="P487" s="109"/>
      <c r="Q487" s="109"/>
      <c r="R487" s="109"/>
      <c r="S487" s="109"/>
      <c r="T487" s="109"/>
      <c r="U487" s="109"/>
      <c r="V487" s="109"/>
      <c r="W487" s="109"/>
      <c r="X487" s="109"/>
      <c r="Y487" s="109"/>
      <c r="Z487" s="109"/>
    </row>
    <row r="488" spans="1:26" ht="13.5" customHeight="1">
      <c r="A488" s="109"/>
      <c r="B488" s="109"/>
      <c r="C488" s="109"/>
      <c r="D488" s="109"/>
      <c r="E488" s="109"/>
      <c r="F488" s="109"/>
      <c r="G488" s="161"/>
      <c r="H488" s="109"/>
      <c r="I488" s="109"/>
      <c r="J488" s="109"/>
      <c r="K488" s="109"/>
      <c r="L488" s="109"/>
      <c r="M488" s="109"/>
      <c r="N488" s="109"/>
      <c r="O488" s="109"/>
      <c r="P488" s="109"/>
      <c r="Q488" s="109"/>
      <c r="R488" s="109"/>
      <c r="S488" s="109"/>
      <c r="T488" s="109"/>
      <c r="U488" s="109"/>
      <c r="V488" s="109"/>
      <c r="W488" s="109"/>
      <c r="X488" s="109"/>
      <c r="Y488" s="109"/>
      <c r="Z488" s="109"/>
    </row>
    <row r="489" spans="1:26" ht="13.5" customHeight="1">
      <c r="A489" s="109"/>
      <c r="B489" s="109"/>
      <c r="C489" s="109"/>
      <c r="D489" s="109"/>
      <c r="E489" s="109"/>
      <c r="F489" s="109"/>
      <c r="G489" s="161"/>
      <c r="H489" s="109"/>
      <c r="I489" s="109"/>
      <c r="J489" s="109"/>
      <c r="K489" s="109"/>
      <c r="L489" s="109"/>
      <c r="M489" s="109"/>
      <c r="N489" s="109"/>
      <c r="O489" s="109"/>
      <c r="P489" s="109"/>
      <c r="Q489" s="109"/>
      <c r="R489" s="109"/>
      <c r="S489" s="109"/>
      <c r="T489" s="109"/>
      <c r="U489" s="109"/>
      <c r="V489" s="109"/>
      <c r="W489" s="109"/>
      <c r="X489" s="109"/>
      <c r="Y489" s="109"/>
      <c r="Z489" s="109"/>
    </row>
    <row r="490" spans="1:26" ht="13.5" customHeight="1">
      <c r="A490" s="109"/>
      <c r="B490" s="109"/>
      <c r="C490" s="109"/>
      <c r="D490" s="109"/>
      <c r="E490" s="109"/>
      <c r="F490" s="109"/>
      <c r="G490" s="161"/>
      <c r="H490" s="109"/>
      <c r="I490" s="109"/>
      <c r="J490" s="109"/>
      <c r="K490" s="109"/>
      <c r="L490" s="109"/>
      <c r="M490" s="109"/>
      <c r="N490" s="109"/>
      <c r="O490" s="109"/>
      <c r="P490" s="109"/>
      <c r="Q490" s="109"/>
      <c r="R490" s="109"/>
      <c r="S490" s="109"/>
      <c r="T490" s="109"/>
      <c r="U490" s="109"/>
      <c r="V490" s="109"/>
      <c r="W490" s="109"/>
      <c r="X490" s="109"/>
      <c r="Y490" s="109"/>
      <c r="Z490" s="109"/>
    </row>
    <row r="491" spans="1:26" ht="13.5" customHeight="1">
      <c r="A491" s="109"/>
      <c r="B491" s="109"/>
      <c r="C491" s="109"/>
      <c r="D491" s="109"/>
      <c r="E491" s="109"/>
      <c r="F491" s="109"/>
      <c r="G491" s="161"/>
      <c r="H491" s="109"/>
      <c r="I491" s="109"/>
      <c r="J491" s="109"/>
      <c r="K491" s="109"/>
      <c r="L491" s="109"/>
      <c r="M491" s="109"/>
      <c r="N491" s="109"/>
      <c r="O491" s="109"/>
      <c r="P491" s="109"/>
      <c r="Q491" s="109"/>
      <c r="R491" s="109"/>
      <c r="S491" s="109"/>
      <c r="T491" s="109"/>
      <c r="U491" s="109"/>
      <c r="V491" s="109"/>
      <c r="W491" s="109"/>
      <c r="X491" s="109"/>
      <c r="Y491" s="109"/>
      <c r="Z491" s="109"/>
    </row>
    <row r="492" spans="1:26" ht="13.5" customHeight="1">
      <c r="A492" s="109"/>
      <c r="B492" s="109"/>
      <c r="C492" s="109"/>
      <c r="D492" s="109"/>
      <c r="E492" s="109"/>
      <c r="F492" s="109"/>
      <c r="G492" s="161"/>
      <c r="H492" s="109"/>
      <c r="I492" s="109"/>
      <c r="J492" s="109"/>
      <c r="K492" s="109"/>
      <c r="L492" s="109"/>
      <c r="M492" s="109"/>
      <c r="N492" s="109"/>
      <c r="O492" s="109"/>
      <c r="P492" s="109"/>
      <c r="Q492" s="109"/>
      <c r="R492" s="109"/>
      <c r="S492" s="109"/>
      <c r="T492" s="109"/>
      <c r="U492" s="109"/>
      <c r="V492" s="109"/>
      <c r="W492" s="109"/>
      <c r="X492" s="109"/>
      <c r="Y492" s="109"/>
      <c r="Z492" s="109"/>
    </row>
    <row r="493" spans="1:26" ht="13.5" customHeight="1">
      <c r="A493" s="109"/>
      <c r="B493" s="109"/>
      <c r="C493" s="109"/>
      <c r="D493" s="109"/>
      <c r="E493" s="109"/>
      <c r="F493" s="109"/>
      <c r="G493" s="161"/>
      <c r="H493" s="109"/>
      <c r="I493" s="109"/>
      <c r="J493" s="109"/>
      <c r="K493" s="109"/>
      <c r="L493" s="109"/>
      <c r="M493" s="109"/>
      <c r="N493" s="109"/>
      <c r="O493" s="109"/>
      <c r="P493" s="109"/>
      <c r="Q493" s="109"/>
      <c r="R493" s="109"/>
      <c r="S493" s="109"/>
      <c r="T493" s="109"/>
      <c r="U493" s="109"/>
      <c r="V493" s="109"/>
      <c r="W493" s="109"/>
      <c r="X493" s="109"/>
      <c r="Y493" s="109"/>
      <c r="Z493" s="109"/>
    </row>
    <row r="494" spans="1:26" ht="13.5" customHeight="1">
      <c r="A494" s="109"/>
      <c r="B494" s="109"/>
      <c r="C494" s="109"/>
      <c r="D494" s="109"/>
      <c r="E494" s="109"/>
      <c r="F494" s="109"/>
      <c r="G494" s="161"/>
      <c r="H494" s="109"/>
      <c r="I494" s="109"/>
      <c r="J494" s="109"/>
      <c r="K494" s="109"/>
      <c r="L494" s="109"/>
      <c r="M494" s="109"/>
      <c r="N494" s="109"/>
      <c r="O494" s="109"/>
      <c r="P494" s="109"/>
      <c r="Q494" s="109"/>
      <c r="R494" s="109"/>
      <c r="S494" s="109"/>
      <c r="T494" s="109"/>
      <c r="U494" s="109"/>
      <c r="V494" s="109"/>
      <c r="W494" s="109"/>
      <c r="X494" s="109"/>
      <c r="Y494" s="109"/>
      <c r="Z494" s="109"/>
    </row>
    <row r="495" spans="1:26" ht="13.5" customHeight="1">
      <c r="A495" s="109"/>
      <c r="B495" s="109"/>
      <c r="C495" s="109"/>
      <c r="D495" s="109"/>
      <c r="E495" s="109"/>
      <c r="F495" s="109"/>
      <c r="G495" s="161"/>
      <c r="H495" s="109"/>
      <c r="I495" s="109"/>
      <c r="J495" s="109"/>
      <c r="K495" s="109"/>
      <c r="L495" s="109"/>
      <c r="M495" s="109"/>
      <c r="N495" s="109"/>
      <c r="O495" s="109"/>
      <c r="P495" s="109"/>
      <c r="Q495" s="109"/>
      <c r="R495" s="109"/>
      <c r="S495" s="109"/>
      <c r="T495" s="109"/>
      <c r="U495" s="109"/>
      <c r="V495" s="109"/>
      <c r="W495" s="109"/>
      <c r="X495" s="109"/>
      <c r="Y495" s="109"/>
      <c r="Z495" s="109"/>
    </row>
    <row r="496" spans="1:26" ht="13.5" customHeight="1">
      <c r="A496" s="109"/>
      <c r="B496" s="109"/>
      <c r="C496" s="109"/>
      <c r="D496" s="109"/>
      <c r="E496" s="109"/>
      <c r="F496" s="109"/>
      <c r="G496" s="161"/>
      <c r="H496" s="109"/>
      <c r="I496" s="109"/>
      <c r="J496" s="109"/>
      <c r="K496" s="109"/>
      <c r="L496" s="109"/>
      <c r="M496" s="109"/>
      <c r="N496" s="109"/>
      <c r="O496" s="109"/>
      <c r="P496" s="109"/>
      <c r="Q496" s="109"/>
      <c r="R496" s="109"/>
      <c r="S496" s="109"/>
      <c r="T496" s="109"/>
      <c r="U496" s="109"/>
      <c r="V496" s="109"/>
      <c r="W496" s="109"/>
      <c r="X496" s="109"/>
      <c r="Y496" s="109"/>
      <c r="Z496" s="109"/>
    </row>
    <row r="497" spans="1:26" ht="13.5" customHeight="1">
      <c r="A497" s="109"/>
      <c r="B497" s="109"/>
      <c r="C497" s="109"/>
      <c r="D497" s="109"/>
      <c r="E497" s="109"/>
      <c r="F497" s="109"/>
      <c r="G497" s="161"/>
      <c r="H497" s="109"/>
      <c r="I497" s="109"/>
      <c r="J497" s="109"/>
      <c r="K497" s="109"/>
      <c r="L497" s="109"/>
      <c r="M497" s="109"/>
      <c r="N497" s="109"/>
      <c r="O497" s="109"/>
      <c r="P497" s="109"/>
      <c r="Q497" s="109"/>
      <c r="R497" s="109"/>
      <c r="S497" s="109"/>
      <c r="T497" s="109"/>
      <c r="U497" s="109"/>
      <c r="V497" s="109"/>
      <c r="W497" s="109"/>
      <c r="X497" s="109"/>
      <c r="Y497" s="109"/>
      <c r="Z497" s="109"/>
    </row>
    <row r="498" spans="1:26" ht="13.5" customHeight="1">
      <c r="A498" s="109"/>
      <c r="B498" s="109"/>
      <c r="C498" s="109"/>
      <c r="D498" s="109"/>
      <c r="E498" s="109"/>
      <c r="F498" s="109"/>
      <c r="G498" s="161"/>
      <c r="H498" s="109"/>
      <c r="I498" s="109"/>
      <c r="J498" s="109"/>
      <c r="K498" s="109"/>
      <c r="L498" s="109"/>
      <c r="M498" s="109"/>
      <c r="N498" s="109"/>
      <c r="O498" s="109"/>
      <c r="P498" s="109"/>
      <c r="Q498" s="109"/>
      <c r="R498" s="109"/>
      <c r="S498" s="109"/>
      <c r="T498" s="109"/>
      <c r="U498" s="109"/>
      <c r="V498" s="109"/>
      <c r="W498" s="109"/>
      <c r="X498" s="109"/>
      <c r="Y498" s="109"/>
      <c r="Z498" s="109"/>
    </row>
    <row r="499" spans="1:26" ht="13.5" customHeight="1">
      <c r="A499" s="109"/>
      <c r="B499" s="109"/>
      <c r="C499" s="109"/>
      <c r="D499" s="109"/>
      <c r="E499" s="109"/>
      <c r="F499" s="109"/>
      <c r="G499" s="161"/>
      <c r="H499" s="109"/>
      <c r="I499" s="109"/>
      <c r="J499" s="109"/>
      <c r="K499" s="109"/>
      <c r="L499" s="109"/>
      <c r="M499" s="109"/>
      <c r="N499" s="109"/>
      <c r="O499" s="109"/>
      <c r="P499" s="109"/>
      <c r="Q499" s="109"/>
      <c r="R499" s="109"/>
      <c r="S499" s="109"/>
      <c r="T499" s="109"/>
      <c r="U499" s="109"/>
      <c r="V499" s="109"/>
      <c r="W499" s="109"/>
      <c r="X499" s="109"/>
      <c r="Y499" s="109"/>
      <c r="Z499" s="109"/>
    </row>
    <row r="500" spans="1:26" ht="13.5" customHeight="1">
      <c r="A500" s="109"/>
      <c r="B500" s="109"/>
      <c r="C500" s="109"/>
      <c r="D500" s="109"/>
      <c r="E500" s="109"/>
      <c r="F500" s="109"/>
      <c r="G500" s="161"/>
      <c r="H500" s="109"/>
      <c r="I500" s="109"/>
      <c r="J500" s="109"/>
      <c r="K500" s="109"/>
      <c r="L500" s="109"/>
      <c r="M500" s="109"/>
      <c r="N500" s="109"/>
      <c r="O500" s="109"/>
      <c r="P500" s="109"/>
      <c r="Q500" s="109"/>
      <c r="R500" s="109"/>
      <c r="S500" s="109"/>
      <c r="T500" s="109"/>
      <c r="U500" s="109"/>
      <c r="V500" s="109"/>
      <c r="W500" s="109"/>
      <c r="X500" s="109"/>
      <c r="Y500" s="109"/>
      <c r="Z500" s="109"/>
    </row>
    <row r="501" spans="1:26" ht="13.5" customHeight="1">
      <c r="A501" s="109"/>
      <c r="B501" s="109"/>
      <c r="C501" s="109"/>
      <c r="D501" s="109"/>
      <c r="E501" s="109"/>
      <c r="F501" s="109"/>
      <c r="G501" s="161"/>
      <c r="H501" s="109"/>
      <c r="I501" s="109"/>
      <c r="J501" s="109"/>
      <c r="K501" s="109"/>
      <c r="L501" s="109"/>
      <c r="M501" s="109"/>
      <c r="N501" s="109"/>
      <c r="O501" s="109"/>
      <c r="P501" s="109"/>
      <c r="Q501" s="109"/>
      <c r="R501" s="109"/>
      <c r="S501" s="109"/>
      <c r="T501" s="109"/>
      <c r="U501" s="109"/>
      <c r="V501" s="109"/>
      <c r="W501" s="109"/>
      <c r="X501" s="109"/>
      <c r="Y501" s="109"/>
      <c r="Z501" s="109"/>
    </row>
    <row r="502" spans="1:26" ht="13.5" customHeight="1">
      <c r="A502" s="109"/>
      <c r="B502" s="109"/>
      <c r="C502" s="109"/>
      <c r="D502" s="109"/>
      <c r="E502" s="109"/>
      <c r="F502" s="109"/>
      <c r="G502" s="161"/>
      <c r="H502" s="109"/>
      <c r="I502" s="109"/>
      <c r="J502" s="109"/>
      <c r="K502" s="109"/>
      <c r="L502" s="109"/>
      <c r="M502" s="109"/>
      <c r="N502" s="109"/>
      <c r="O502" s="109"/>
      <c r="P502" s="109"/>
      <c r="Q502" s="109"/>
      <c r="R502" s="109"/>
      <c r="S502" s="109"/>
      <c r="T502" s="109"/>
      <c r="U502" s="109"/>
      <c r="V502" s="109"/>
      <c r="W502" s="109"/>
      <c r="X502" s="109"/>
      <c r="Y502" s="109"/>
      <c r="Z502" s="109"/>
    </row>
    <row r="503" spans="1:26" ht="13.5" customHeight="1">
      <c r="A503" s="109"/>
      <c r="B503" s="109"/>
      <c r="C503" s="109"/>
      <c r="D503" s="109"/>
      <c r="E503" s="109"/>
      <c r="F503" s="109"/>
      <c r="G503" s="161"/>
      <c r="H503" s="109"/>
      <c r="I503" s="109"/>
      <c r="J503" s="109"/>
      <c r="K503" s="109"/>
      <c r="L503" s="109"/>
      <c r="M503" s="109"/>
      <c r="N503" s="109"/>
      <c r="O503" s="109"/>
      <c r="P503" s="109"/>
      <c r="Q503" s="109"/>
      <c r="R503" s="109"/>
      <c r="S503" s="109"/>
      <c r="T503" s="109"/>
      <c r="U503" s="109"/>
      <c r="V503" s="109"/>
      <c r="W503" s="109"/>
      <c r="X503" s="109"/>
      <c r="Y503" s="109"/>
      <c r="Z503" s="109"/>
    </row>
    <row r="504" spans="1:26" ht="13.5" customHeight="1">
      <c r="A504" s="109"/>
      <c r="B504" s="109"/>
      <c r="C504" s="109"/>
      <c r="D504" s="109"/>
      <c r="E504" s="109"/>
      <c r="F504" s="109"/>
      <c r="G504" s="161"/>
      <c r="H504" s="109"/>
      <c r="I504" s="109"/>
      <c r="J504" s="109"/>
      <c r="K504" s="109"/>
      <c r="L504" s="109"/>
      <c r="M504" s="109"/>
      <c r="N504" s="109"/>
      <c r="O504" s="109"/>
      <c r="P504" s="109"/>
      <c r="Q504" s="109"/>
      <c r="R504" s="109"/>
      <c r="S504" s="109"/>
      <c r="T504" s="109"/>
      <c r="U504" s="109"/>
      <c r="V504" s="109"/>
      <c r="W504" s="109"/>
      <c r="X504" s="109"/>
      <c r="Y504" s="109"/>
      <c r="Z504" s="109"/>
    </row>
    <row r="505" spans="1:26" ht="13.5" customHeight="1">
      <c r="A505" s="109"/>
      <c r="B505" s="109"/>
      <c r="C505" s="109"/>
      <c r="D505" s="109"/>
      <c r="E505" s="109"/>
      <c r="F505" s="109"/>
      <c r="G505" s="161"/>
      <c r="H505" s="109"/>
      <c r="I505" s="109"/>
      <c r="J505" s="109"/>
      <c r="K505" s="109"/>
      <c r="L505" s="109"/>
      <c r="M505" s="109"/>
      <c r="N505" s="109"/>
      <c r="O505" s="109"/>
      <c r="P505" s="109"/>
      <c r="Q505" s="109"/>
      <c r="R505" s="109"/>
      <c r="S505" s="109"/>
      <c r="T505" s="109"/>
      <c r="U505" s="109"/>
      <c r="V505" s="109"/>
      <c r="W505" s="109"/>
      <c r="X505" s="109"/>
      <c r="Y505" s="109"/>
      <c r="Z505" s="109"/>
    </row>
    <row r="506" spans="1:26" ht="13.5" customHeight="1">
      <c r="A506" s="109"/>
      <c r="B506" s="109"/>
      <c r="C506" s="109"/>
      <c r="D506" s="109"/>
      <c r="E506" s="109"/>
      <c r="F506" s="109"/>
      <c r="G506" s="161"/>
      <c r="H506" s="109"/>
      <c r="I506" s="109"/>
      <c r="J506" s="109"/>
      <c r="K506" s="109"/>
      <c r="L506" s="109"/>
      <c r="M506" s="109"/>
      <c r="N506" s="109"/>
      <c r="O506" s="109"/>
      <c r="P506" s="109"/>
      <c r="Q506" s="109"/>
      <c r="R506" s="109"/>
      <c r="S506" s="109"/>
      <c r="T506" s="109"/>
      <c r="U506" s="109"/>
      <c r="V506" s="109"/>
      <c r="W506" s="109"/>
      <c r="X506" s="109"/>
      <c r="Y506" s="109"/>
      <c r="Z506" s="109"/>
    </row>
    <row r="507" spans="1:26" ht="13.5" customHeight="1">
      <c r="A507" s="109"/>
      <c r="B507" s="109"/>
      <c r="C507" s="109"/>
      <c r="D507" s="109"/>
      <c r="E507" s="109"/>
      <c r="F507" s="109"/>
      <c r="G507" s="161"/>
      <c r="H507" s="109"/>
      <c r="I507" s="109"/>
      <c r="J507" s="109"/>
      <c r="K507" s="109"/>
      <c r="L507" s="109"/>
      <c r="M507" s="109"/>
      <c r="N507" s="109"/>
      <c r="O507" s="109"/>
      <c r="P507" s="109"/>
      <c r="Q507" s="109"/>
      <c r="R507" s="109"/>
      <c r="S507" s="109"/>
      <c r="T507" s="109"/>
      <c r="U507" s="109"/>
      <c r="V507" s="109"/>
      <c r="W507" s="109"/>
      <c r="X507" s="109"/>
      <c r="Y507" s="109"/>
      <c r="Z507" s="109"/>
    </row>
    <row r="508" spans="1:26" ht="13.5" customHeight="1">
      <c r="A508" s="109"/>
      <c r="B508" s="109"/>
      <c r="C508" s="109"/>
      <c r="D508" s="109"/>
      <c r="E508" s="109"/>
      <c r="F508" s="109"/>
      <c r="G508" s="161"/>
      <c r="H508" s="109"/>
      <c r="I508" s="109"/>
      <c r="J508" s="109"/>
      <c r="K508" s="109"/>
      <c r="L508" s="109"/>
      <c r="M508" s="109"/>
      <c r="N508" s="109"/>
      <c r="O508" s="109"/>
      <c r="P508" s="109"/>
      <c r="Q508" s="109"/>
      <c r="R508" s="109"/>
      <c r="S508" s="109"/>
      <c r="T508" s="109"/>
      <c r="U508" s="109"/>
      <c r="V508" s="109"/>
      <c r="W508" s="109"/>
      <c r="X508" s="109"/>
      <c r="Y508" s="109"/>
      <c r="Z508" s="109"/>
    </row>
    <row r="509" spans="1:26" ht="13.5" customHeight="1">
      <c r="A509" s="109"/>
      <c r="B509" s="109"/>
      <c r="C509" s="109"/>
      <c r="D509" s="109"/>
      <c r="E509" s="109"/>
      <c r="F509" s="109"/>
      <c r="G509" s="161"/>
      <c r="H509" s="109"/>
      <c r="I509" s="109"/>
      <c r="J509" s="109"/>
      <c r="K509" s="109"/>
      <c r="L509" s="109"/>
      <c r="M509" s="109"/>
      <c r="N509" s="109"/>
      <c r="O509" s="109"/>
      <c r="P509" s="109"/>
      <c r="Q509" s="109"/>
      <c r="R509" s="109"/>
      <c r="S509" s="109"/>
      <c r="T509" s="109"/>
      <c r="U509" s="109"/>
      <c r="V509" s="109"/>
      <c r="W509" s="109"/>
      <c r="X509" s="109"/>
      <c r="Y509" s="109"/>
      <c r="Z509" s="109"/>
    </row>
    <row r="510" spans="1:26" ht="13.5" customHeight="1">
      <c r="A510" s="109"/>
      <c r="B510" s="109"/>
      <c r="C510" s="109"/>
      <c r="D510" s="109"/>
      <c r="E510" s="109"/>
      <c r="F510" s="109"/>
      <c r="G510" s="161"/>
      <c r="H510" s="109"/>
      <c r="I510" s="109"/>
      <c r="J510" s="109"/>
      <c r="K510" s="109"/>
      <c r="L510" s="109"/>
      <c r="M510" s="109"/>
      <c r="N510" s="109"/>
      <c r="O510" s="109"/>
      <c r="P510" s="109"/>
      <c r="Q510" s="109"/>
      <c r="R510" s="109"/>
      <c r="S510" s="109"/>
      <c r="T510" s="109"/>
      <c r="U510" s="109"/>
      <c r="V510" s="109"/>
      <c r="W510" s="109"/>
      <c r="X510" s="109"/>
      <c r="Y510" s="109"/>
      <c r="Z510" s="109"/>
    </row>
    <row r="511" spans="1:26" ht="13.5" customHeight="1">
      <c r="A511" s="109"/>
      <c r="B511" s="109"/>
      <c r="C511" s="109"/>
      <c r="D511" s="109"/>
      <c r="E511" s="109"/>
      <c r="F511" s="109"/>
      <c r="G511" s="161"/>
      <c r="H511" s="109"/>
      <c r="I511" s="109"/>
      <c r="J511" s="109"/>
      <c r="K511" s="109"/>
      <c r="L511" s="109"/>
      <c r="M511" s="109"/>
      <c r="N511" s="109"/>
      <c r="O511" s="109"/>
      <c r="P511" s="109"/>
      <c r="Q511" s="109"/>
      <c r="R511" s="109"/>
      <c r="S511" s="109"/>
      <c r="T511" s="109"/>
      <c r="U511" s="109"/>
      <c r="V511" s="109"/>
      <c r="W511" s="109"/>
      <c r="X511" s="109"/>
      <c r="Y511" s="109"/>
      <c r="Z511" s="109"/>
    </row>
    <row r="512" spans="1:26" ht="13.5" customHeight="1">
      <c r="A512" s="109"/>
      <c r="B512" s="109"/>
      <c r="C512" s="109"/>
      <c r="D512" s="109"/>
      <c r="E512" s="109"/>
      <c r="F512" s="109"/>
      <c r="G512" s="161"/>
      <c r="H512" s="109"/>
      <c r="I512" s="109"/>
      <c r="J512" s="109"/>
      <c r="K512" s="109"/>
      <c r="L512" s="109"/>
      <c r="M512" s="109"/>
      <c r="N512" s="109"/>
      <c r="O512" s="109"/>
      <c r="P512" s="109"/>
      <c r="Q512" s="109"/>
      <c r="R512" s="109"/>
      <c r="S512" s="109"/>
      <c r="T512" s="109"/>
      <c r="U512" s="109"/>
      <c r="V512" s="109"/>
      <c r="W512" s="109"/>
      <c r="X512" s="109"/>
      <c r="Y512" s="109"/>
      <c r="Z512" s="109"/>
    </row>
    <row r="513" spans="1:26" ht="13.5" customHeight="1">
      <c r="A513" s="109"/>
      <c r="B513" s="109"/>
      <c r="C513" s="109"/>
      <c r="D513" s="109"/>
      <c r="E513" s="109"/>
      <c r="F513" s="109"/>
      <c r="G513" s="161"/>
      <c r="H513" s="109"/>
      <c r="I513" s="109"/>
      <c r="J513" s="109"/>
      <c r="K513" s="109"/>
      <c r="L513" s="109"/>
      <c r="M513" s="109"/>
      <c r="N513" s="109"/>
      <c r="O513" s="109"/>
      <c r="P513" s="109"/>
      <c r="Q513" s="109"/>
      <c r="R513" s="109"/>
      <c r="S513" s="109"/>
      <c r="T513" s="109"/>
      <c r="U513" s="109"/>
      <c r="V513" s="109"/>
      <c r="W513" s="109"/>
      <c r="X513" s="109"/>
      <c r="Y513" s="109"/>
      <c r="Z513" s="109"/>
    </row>
    <row r="514" spans="1:26" ht="13.5" customHeight="1">
      <c r="A514" s="109"/>
      <c r="B514" s="109"/>
      <c r="C514" s="109"/>
      <c r="D514" s="109"/>
      <c r="E514" s="109"/>
      <c r="F514" s="109"/>
      <c r="G514" s="161"/>
      <c r="H514" s="109"/>
      <c r="I514" s="109"/>
      <c r="J514" s="109"/>
      <c r="K514" s="109"/>
      <c r="L514" s="109"/>
      <c r="M514" s="109"/>
      <c r="N514" s="109"/>
      <c r="O514" s="109"/>
      <c r="P514" s="109"/>
      <c r="Q514" s="109"/>
      <c r="R514" s="109"/>
      <c r="S514" s="109"/>
      <c r="T514" s="109"/>
      <c r="U514" s="109"/>
      <c r="V514" s="109"/>
      <c r="W514" s="109"/>
      <c r="X514" s="109"/>
      <c r="Y514" s="109"/>
      <c r="Z514" s="109"/>
    </row>
    <row r="515" spans="1:26" ht="13.5" customHeight="1">
      <c r="A515" s="109"/>
      <c r="B515" s="109"/>
      <c r="C515" s="109"/>
      <c r="D515" s="109"/>
      <c r="E515" s="109"/>
      <c r="F515" s="109"/>
      <c r="G515" s="161"/>
      <c r="H515" s="109"/>
      <c r="I515" s="109"/>
      <c r="J515" s="109"/>
      <c r="K515" s="109"/>
      <c r="L515" s="109"/>
      <c r="M515" s="109"/>
      <c r="N515" s="109"/>
      <c r="O515" s="109"/>
      <c r="P515" s="109"/>
      <c r="Q515" s="109"/>
      <c r="R515" s="109"/>
      <c r="S515" s="109"/>
      <c r="T515" s="109"/>
      <c r="U515" s="109"/>
      <c r="V515" s="109"/>
      <c r="W515" s="109"/>
      <c r="X515" s="109"/>
      <c r="Y515" s="109"/>
      <c r="Z515" s="109"/>
    </row>
    <row r="516" spans="1:26" ht="13.5" customHeight="1">
      <c r="A516" s="109"/>
      <c r="B516" s="109"/>
      <c r="C516" s="109"/>
      <c r="D516" s="109"/>
      <c r="E516" s="109"/>
      <c r="F516" s="109"/>
      <c r="G516" s="161"/>
      <c r="H516" s="109"/>
      <c r="I516" s="109"/>
      <c r="J516" s="109"/>
      <c r="K516" s="109"/>
      <c r="L516" s="109"/>
      <c r="M516" s="109"/>
      <c r="N516" s="109"/>
      <c r="O516" s="109"/>
      <c r="P516" s="109"/>
      <c r="Q516" s="109"/>
      <c r="R516" s="109"/>
      <c r="S516" s="109"/>
      <c r="T516" s="109"/>
      <c r="U516" s="109"/>
      <c r="V516" s="109"/>
      <c r="W516" s="109"/>
      <c r="X516" s="109"/>
      <c r="Y516" s="109"/>
      <c r="Z516" s="109"/>
    </row>
    <row r="517" spans="1:26" ht="13.5" customHeight="1">
      <c r="A517" s="109"/>
      <c r="B517" s="109"/>
      <c r="C517" s="109"/>
      <c r="D517" s="109"/>
      <c r="E517" s="109"/>
      <c r="F517" s="109"/>
      <c r="G517" s="161"/>
      <c r="H517" s="109"/>
      <c r="I517" s="109"/>
      <c r="J517" s="109"/>
      <c r="K517" s="109"/>
      <c r="L517" s="109"/>
      <c r="M517" s="109"/>
      <c r="N517" s="109"/>
      <c r="O517" s="109"/>
      <c r="P517" s="109"/>
      <c r="Q517" s="109"/>
      <c r="R517" s="109"/>
      <c r="S517" s="109"/>
      <c r="T517" s="109"/>
      <c r="U517" s="109"/>
      <c r="V517" s="109"/>
      <c r="W517" s="109"/>
      <c r="X517" s="109"/>
      <c r="Y517" s="109"/>
      <c r="Z517" s="109"/>
    </row>
    <row r="518" spans="1:26" ht="13.5" customHeight="1">
      <c r="A518" s="109"/>
      <c r="B518" s="109"/>
      <c r="C518" s="109"/>
      <c r="D518" s="109"/>
      <c r="E518" s="109"/>
      <c r="F518" s="109"/>
      <c r="G518" s="161"/>
      <c r="H518" s="109"/>
      <c r="I518" s="109"/>
      <c r="J518" s="109"/>
      <c r="K518" s="109"/>
      <c r="L518" s="109"/>
      <c r="M518" s="109"/>
      <c r="N518" s="109"/>
      <c r="O518" s="109"/>
      <c r="P518" s="109"/>
      <c r="Q518" s="109"/>
      <c r="R518" s="109"/>
      <c r="S518" s="109"/>
      <c r="T518" s="109"/>
      <c r="U518" s="109"/>
      <c r="V518" s="109"/>
      <c r="W518" s="109"/>
      <c r="X518" s="109"/>
      <c r="Y518" s="109"/>
      <c r="Z518" s="109"/>
    </row>
    <row r="519" spans="1:26" ht="13.5" customHeight="1">
      <c r="A519" s="109"/>
      <c r="B519" s="109"/>
      <c r="C519" s="109"/>
      <c r="D519" s="109"/>
      <c r="E519" s="109"/>
      <c r="F519" s="109"/>
      <c r="G519" s="161"/>
      <c r="H519" s="109"/>
      <c r="I519" s="109"/>
      <c r="J519" s="109"/>
      <c r="K519" s="109"/>
      <c r="L519" s="109"/>
      <c r="M519" s="109"/>
      <c r="N519" s="109"/>
      <c r="O519" s="109"/>
      <c r="P519" s="109"/>
      <c r="Q519" s="109"/>
      <c r="R519" s="109"/>
      <c r="S519" s="109"/>
      <c r="T519" s="109"/>
      <c r="U519" s="109"/>
      <c r="V519" s="109"/>
      <c r="W519" s="109"/>
      <c r="X519" s="109"/>
      <c r="Y519" s="109"/>
      <c r="Z519" s="109"/>
    </row>
    <row r="520" spans="1:26" ht="13.5" customHeight="1">
      <c r="A520" s="109"/>
      <c r="B520" s="109"/>
      <c r="C520" s="109"/>
      <c r="D520" s="109"/>
      <c r="E520" s="109"/>
      <c r="F520" s="109"/>
      <c r="G520" s="161"/>
      <c r="H520" s="109"/>
      <c r="I520" s="109"/>
      <c r="J520" s="109"/>
      <c r="K520" s="109"/>
      <c r="L520" s="109"/>
      <c r="M520" s="109"/>
      <c r="N520" s="109"/>
      <c r="O520" s="109"/>
      <c r="P520" s="109"/>
      <c r="Q520" s="109"/>
      <c r="R520" s="109"/>
      <c r="S520" s="109"/>
      <c r="T520" s="109"/>
      <c r="U520" s="109"/>
      <c r="V520" s="109"/>
      <c r="W520" s="109"/>
      <c r="X520" s="109"/>
      <c r="Y520" s="109"/>
      <c r="Z520" s="109"/>
    </row>
    <row r="521" spans="1:26" ht="13.5" customHeight="1">
      <c r="A521" s="109"/>
      <c r="B521" s="109"/>
      <c r="C521" s="109"/>
      <c r="D521" s="109"/>
      <c r="E521" s="109"/>
      <c r="F521" s="109"/>
      <c r="G521" s="161"/>
      <c r="H521" s="109"/>
      <c r="I521" s="109"/>
      <c r="J521" s="109"/>
      <c r="K521" s="109"/>
      <c r="L521" s="109"/>
      <c r="M521" s="109"/>
      <c r="N521" s="109"/>
      <c r="O521" s="109"/>
      <c r="P521" s="109"/>
      <c r="Q521" s="109"/>
      <c r="R521" s="109"/>
      <c r="S521" s="109"/>
      <c r="T521" s="109"/>
      <c r="U521" s="109"/>
      <c r="V521" s="109"/>
      <c r="W521" s="109"/>
      <c r="X521" s="109"/>
      <c r="Y521" s="109"/>
      <c r="Z521" s="109"/>
    </row>
    <row r="522" spans="1:26" ht="13.5" customHeight="1">
      <c r="A522" s="109"/>
      <c r="B522" s="109"/>
      <c r="C522" s="109"/>
      <c r="D522" s="109"/>
      <c r="E522" s="109"/>
      <c r="F522" s="109"/>
      <c r="G522" s="161"/>
      <c r="H522" s="109"/>
      <c r="I522" s="109"/>
      <c r="J522" s="109"/>
      <c r="K522" s="109"/>
      <c r="L522" s="109"/>
      <c r="M522" s="109"/>
      <c r="N522" s="109"/>
      <c r="O522" s="109"/>
      <c r="P522" s="109"/>
      <c r="Q522" s="109"/>
      <c r="R522" s="109"/>
      <c r="S522" s="109"/>
      <c r="T522" s="109"/>
      <c r="U522" s="109"/>
      <c r="V522" s="109"/>
      <c r="W522" s="109"/>
      <c r="X522" s="109"/>
      <c r="Y522" s="109"/>
      <c r="Z522" s="109"/>
    </row>
    <row r="523" spans="1:26" ht="13.5" customHeight="1">
      <c r="A523" s="109"/>
      <c r="B523" s="109"/>
      <c r="C523" s="109"/>
      <c r="D523" s="109"/>
      <c r="E523" s="109"/>
      <c r="F523" s="109"/>
      <c r="G523" s="161"/>
      <c r="H523" s="109"/>
      <c r="I523" s="109"/>
      <c r="J523" s="109"/>
      <c r="K523" s="109"/>
      <c r="L523" s="109"/>
      <c r="M523" s="109"/>
      <c r="N523" s="109"/>
      <c r="O523" s="109"/>
      <c r="P523" s="109"/>
      <c r="Q523" s="109"/>
      <c r="R523" s="109"/>
      <c r="S523" s="109"/>
      <c r="T523" s="109"/>
      <c r="U523" s="109"/>
      <c r="V523" s="109"/>
      <c r="W523" s="109"/>
      <c r="X523" s="109"/>
      <c r="Y523" s="109"/>
      <c r="Z523" s="109"/>
    </row>
    <row r="524" spans="1:26" ht="13.5" customHeight="1">
      <c r="A524" s="109"/>
      <c r="B524" s="109"/>
      <c r="C524" s="109"/>
      <c r="D524" s="109"/>
      <c r="E524" s="109"/>
      <c r="F524" s="109"/>
      <c r="G524" s="161"/>
      <c r="H524" s="109"/>
      <c r="I524" s="109"/>
      <c r="J524" s="109"/>
      <c r="K524" s="109"/>
      <c r="L524" s="109"/>
      <c r="M524" s="109"/>
      <c r="N524" s="109"/>
      <c r="O524" s="109"/>
      <c r="P524" s="109"/>
      <c r="Q524" s="109"/>
      <c r="R524" s="109"/>
      <c r="S524" s="109"/>
      <c r="T524" s="109"/>
      <c r="U524" s="109"/>
      <c r="V524" s="109"/>
      <c r="W524" s="109"/>
      <c r="X524" s="109"/>
      <c r="Y524" s="109"/>
      <c r="Z524" s="109"/>
    </row>
    <row r="525" spans="1:26" ht="13.5" customHeight="1">
      <c r="A525" s="109"/>
      <c r="B525" s="109"/>
      <c r="C525" s="109"/>
      <c r="D525" s="109"/>
      <c r="E525" s="109"/>
      <c r="F525" s="109"/>
      <c r="G525" s="161"/>
      <c r="H525" s="109"/>
      <c r="I525" s="109"/>
      <c r="J525" s="109"/>
      <c r="K525" s="109"/>
      <c r="L525" s="109"/>
      <c r="M525" s="109"/>
      <c r="N525" s="109"/>
      <c r="O525" s="109"/>
      <c r="P525" s="109"/>
      <c r="Q525" s="109"/>
      <c r="R525" s="109"/>
      <c r="S525" s="109"/>
      <c r="T525" s="109"/>
      <c r="U525" s="109"/>
      <c r="V525" s="109"/>
      <c r="W525" s="109"/>
      <c r="X525" s="109"/>
      <c r="Y525" s="109"/>
      <c r="Z525" s="109"/>
    </row>
    <row r="526" spans="1:26" ht="13.5" customHeight="1">
      <c r="A526" s="109"/>
      <c r="B526" s="109"/>
      <c r="C526" s="109"/>
      <c r="D526" s="109"/>
      <c r="E526" s="109"/>
      <c r="F526" s="109"/>
      <c r="G526" s="161"/>
      <c r="H526" s="109"/>
      <c r="I526" s="109"/>
      <c r="J526" s="109"/>
      <c r="K526" s="109"/>
      <c r="L526" s="109"/>
      <c r="M526" s="109"/>
      <c r="N526" s="109"/>
      <c r="O526" s="109"/>
      <c r="P526" s="109"/>
      <c r="Q526" s="109"/>
      <c r="R526" s="109"/>
      <c r="S526" s="109"/>
      <c r="T526" s="109"/>
      <c r="U526" s="109"/>
      <c r="V526" s="109"/>
      <c r="W526" s="109"/>
      <c r="X526" s="109"/>
      <c r="Y526" s="109"/>
      <c r="Z526" s="109"/>
    </row>
    <row r="527" spans="1:26" ht="13.5" customHeight="1">
      <c r="A527" s="109"/>
      <c r="B527" s="109"/>
      <c r="C527" s="109"/>
      <c r="D527" s="109"/>
      <c r="E527" s="109"/>
      <c r="F527" s="109"/>
      <c r="G527" s="161"/>
      <c r="H527" s="109"/>
      <c r="I527" s="109"/>
      <c r="J527" s="109"/>
      <c r="K527" s="109"/>
      <c r="L527" s="109"/>
      <c r="M527" s="109"/>
      <c r="N527" s="109"/>
      <c r="O527" s="109"/>
      <c r="P527" s="109"/>
      <c r="Q527" s="109"/>
      <c r="R527" s="109"/>
      <c r="S527" s="109"/>
      <c r="T527" s="109"/>
      <c r="U527" s="109"/>
      <c r="V527" s="109"/>
      <c r="W527" s="109"/>
      <c r="X527" s="109"/>
      <c r="Y527" s="109"/>
      <c r="Z527" s="109"/>
    </row>
    <row r="528" spans="1:26" ht="13.5" customHeight="1">
      <c r="A528" s="109"/>
      <c r="B528" s="109"/>
      <c r="C528" s="109"/>
      <c r="D528" s="109"/>
      <c r="E528" s="109"/>
      <c r="F528" s="109"/>
      <c r="G528" s="161"/>
      <c r="H528" s="109"/>
      <c r="I528" s="109"/>
      <c r="J528" s="109"/>
      <c r="K528" s="109"/>
      <c r="L528" s="109"/>
      <c r="M528" s="109"/>
      <c r="N528" s="109"/>
      <c r="O528" s="109"/>
      <c r="P528" s="109"/>
      <c r="Q528" s="109"/>
      <c r="R528" s="109"/>
      <c r="S528" s="109"/>
      <c r="T528" s="109"/>
      <c r="U528" s="109"/>
      <c r="V528" s="109"/>
      <c r="W528" s="109"/>
      <c r="X528" s="109"/>
      <c r="Y528" s="109"/>
      <c r="Z528" s="109"/>
    </row>
    <row r="529" spans="1:26" ht="13.5" customHeight="1">
      <c r="A529" s="109"/>
      <c r="B529" s="109"/>
      <c r="C529" s="109"/>
      <c r="D529" s="109"/>
      <c r="E529" s="109"/>
      <c r="F529" s="109"/>
      <c r="G529" s="161"/>
      <c r="H529" s="109"/>
      <c r="I529" s="109"/>
      <c r="J529" s="109"/>
      <c r="K529" s="109"/>
      <c r="L529" s="109"/>
      <c r="M529" s="109"/>
      <c r="N529" s="109"/>
      <c r="O529" s="109"/>
      <c r="P529" s="109"/>
      <c r="Q529" s="109"/>
      <c r="R529" s="109"/>
      <c r="S529" s="109"/>
      <c r="T529" s="109"/>
      <c r="U529" s="109"/>
      <c r="V529" s="109"/>
      <c r="W529" s="109"/>
      <c r="X529" s="109"/>
      <c r="Y529" s="109"/>
      <c r="Z529" s="109"/>
    </row>
    <row r="530" spans="1:26" ht="13.5" customHeight="1">
      <c r="A530" s="109"/>
      <c r="B530" s="109"/>
      <c r="C530" s="109"/>
      <c r="D530" s="109"/>
      <c r="E530" s="109"/>
      <c r="F530" s="109"/>
      <c r="G530" s="161"/>
      <c r="H530" s="109"/>
      <c r="I530" s="109"/>
      <c r="J530" s="109"/>
      <c r="K530" s="109"/>
      <c r="L530" s="109"/>
      <c r="M530" s="109"/>
      <c r="N530" s="109"/>
      <c r="O530" s="109"/>
      <c r="P530" s="109"/>
      <c r="Q530" s="109"/>
      <c r="R530" s="109"/>
      <c r="S530" s="109"/>
      <c r="T530" s="109"/>
      <c r="U530" s="109"/>
      <c r="V530" s="109"/>
      <c r="W530" s="109"/>
      <c r="X530" s="109"/>
      <c r="Y530" s="109"/>
      <c r="Z530" s="109"/>
    </row>
    <row r="531" spans="1:26" ht="13.5" customHeight="1">
      <c r="A531" s="109"/>
      <c r="B531" s="109"/>
      <c r="C531" s="109"/>
      <c r="D531" s="109"/>
      <c r="E531" s="109"/>
      <c r="F531" s="109"/>
      <c r="G531" s="161"/>
      <c r="H531" s="109"/>
      <c r="I531" s="109"/>
      <c r="J531" s="109"/>
      <c r="K531" s="109"/>
      <c r="L531" s="109"/>
      <c r="M531" s="109"/>
      <c r="N531" s="109"/>
      <c r="O531" s="109"/>
      <c r="P531" s="109"/>
      <c r="Q531" s="109"/>
      <c r="R531" s="109"/>
      <c r="S531" s="109"/>
      <c r="T531" s="109"/>
      <c r="U531" s="109"/>
      <c r="V531" s="109"/>
      <c r="W531" s="109"/>
      <c r="X531" s="109"/>
      <c r="Y531" s="109"/>
      <c r="Z531" s="109"/>
    </row>
    <row r="532" spans="1:26" ht="13.5" customHeight="1">
      <c r="A532" s="109"/>
      <c r="B532" s="109"/>
      <c r="C532" s="109"/>
      <c r="D532" s="109"/>
      <c r="E532" s="109"/>
      <c r="F532" s="109"/>
      <c r="G532" s="161"/>
      <c r="H532" s="109"/>
      <c r="I532" s="109"/>
      <c r="J532" s="109"/>
      <c r="K532" s="109"/>
      <c r="L532" s="109"/>
      <c r="M532" s="109"/>
      <c r="N532" s="109"/>
      <c r="O532" s="109"/>
      <c r="P532" s="109"/>
      <c r="Q532" s="109"/>
      <c r="R532" s="109"/>
      <c r="S532" s="109"/>
      <c r="T532" s="109"/>
      <c r="U532" s="109"/>
      <c r="V532" s="109"/>
      <c r="W532" s="109"/>
      <c r="X532" s="109"/>
      <c r="Y532" s="109"/>
      <c r="Z532" s="109"/>
    </row>
    <row r="533" spans="1:26" ht="13.5" customHeight="1">
      <c r="A533" s="109"/>
      <c r="B533" s="109"/>
      <c r="C533" s="109"/>
      <c r="D533" s="109"/>
      <c r="E533" s="109"/>
      <c r="F533" s="109"/>
      <c r="G533" s="161"/>
      <c r="H533" s="109"/>
      <c r="I533" s="109"/>
      <c r="J533" s="109"/>
      <c r="K533" s="109"/>
      <c r="L533" s="109"/>
      <c r="M533" s="109"/>
      <c r="N533" s="109"/>
      <c r="O533" s="109"/>
      <c r="P533" s="109"/>
      <c r="Q533" s="109"/>
      <c r="R533" s="109"/>
      <c r="S533" s="109"/>
      <c r="T533" s="109"/>
      <c r="U533" s="109"/>
      <c r="V533" s="109"/>
      <c r="W533" s="109"/>
      <c r="X533" s="109"/>
      <c r="Y533" s="109"/>
      <c r="Z533" s="109"/>
    </row>
    <row r="534" spans="1:26" ht="13.5" customHeight="1">
      <c r="A534" s="109"/>
      <c r="B534" s="109"/>
      <c r="C534" s="109"/>
      <c r="D534" s="109"/>
      <c r="E534" s="109"/>
      <c r="F534" s="109"/>
      <c r="G534" s="161"/>
      <c r="H534" s="109"/>
      <c r="I534" s="109"/>
      <c r="J534" s="109"/>
      <c r="K534" s="109"/>
      <c r="L534" s="109"/>
      <c r="M534" s="109"/>
      <c r="N534" s="109"/>
      <c r="O534" s="109"/>
      <c r="P534" s="109"/>
      <c r="Q534" s="109"/>
      <c r="R534" s="109"/>
      <c r="S534" s="109"/>
      <c r="T534" s="109"/>
      <c r="U534" s="109"/>
      <c r="V534" s="109"/>
      <c r="W534" s="109"/>
      <c r="X534" s="109"/>
      <c r="Y534" s="109"/>
      <c r="Z534" s="109"/>
    </row>
    <row r="535" spans="1:26" ht="13.5" customHeight="1">
      <c r="A535" s="109"/>
      <c r="B535" s="109"/>
      <c r="C535" s="109"/>
      <c r="D535" s="109"/>
      <c r="E535" s="109"/>
      <c r="F535" s="109"/>
      <c r="G535" s="161"/>
      <c r="H535" s="109"/>
      <c r="I535" s="109"/>
      <c r="J535" s="109"/>
      <c r="K535" s="109"/>
      <c r="L535" s="109"/>
      <c r="M535" s="109"/>
      <c r="N535" s="109"/>
      <c r="O535" s="109"/>
      <c r="P535" s="109"/>
      <c r="Q535" s="109"/>
      <c r="R535" s="109"/>
      <c r="S535" s="109"/>
      <c r="T535" s="109"/>
      <c r="U535" s="109"/>
      <c r="V535" s="109"/>
      <c r="W535" s="109"/>
      <c r="X535" s="109"/>
      <c r="Y535" s="109"/>
      <c r="Z535" s="109"/>
    </row>
    <row r="536" spans="1:26" ht="13.5" customHeight="1">
      <c r="A536" s="109"/>
      <c r="B536" s="109"/>
      <c r="C536" s="109"/>
      <c r="D536" s="109"/>
      <c r="E536" s="109"/>
      <c r="F536" s="109"/>
      <c r="G536" s="161"/>
      <c r="H536" s="109"/>
      <c r="I536" s="109"/>
      <c r="J536" s="109"/>
      <c r="K536" s="109"/>
      <c r="L536" s="109"/>
      <c r="M536" s="109"/>
      <c r="N536" s="109"/>
      <c r="O536" s="109"/>
      <c r="P536" s="109"/>
      <c r="Q536" s="109"/>
      <c r="R536" s="109"/>
      <c r="S536" s="109"/>
      <c r="T536" s="109"/>
      <c r="U536" s="109"/>
      <c r="V536" s="109"/>
      <c r="W536" s="109"/>
      <c r="X536" s="109"/>
      <c r="Y536" s="109"/>
      <c r="Z536" s="109"/>
    </row>
    <row r="537" spans="1:26" ht="13.5" customHeight="1">
      <c r="A537" s="109"/>
      <c r="B537" s="109"/>
      <c r="C537" s="109"/>
      <c r="D537" s="109"/>
      <c r="E537" s="109"/>
      <c r="F537" s="109"/>
      <c r="G537" s="161"/>
      <c r="H537" s="109"/>
      <c r="I537" s="109"/>
      <c r="J537" s="109"/>
      <c r="K537" s="109"/>
      <c r="L537" s="109"/>
      <c r="M537" s="109"/>
      <c r="N537" s="109"/>
      <c r="O537" s="109"/>
      <c r="P537" s="109"/>
      <c r="Q537" s="109"/>
      <c r="R537" s="109"/>
      <c r="S537" s="109"/>
      <c r="T537" s="109"/>
      <c r="U537" s="109"/>
      <c r="V537" s="109"/>
      <c r="W537" s="109"/>
      <c r="X537" s="109"/>
      <c r="Y537" s="109"/>
      <c r="Z537" s="109"/>
    </row>
    <row r="538" spans="1:26" ht="13.5" customHeight="1">
      <c r="A538" s="109"/>
      <c r="B538" s="109"/>
      <c r="C538" s="109"/>
      <c r="D538" s="109"/>
      <c r="E538" s="109"/>
      <c r="F538" s="109"/>
      <c r="G538" s="161"/>
      <c r="H538" s="109"/>
      <c r="I538" s="109"/>
      <c r="J538" s="109"/>
      <c r="K538" s="109"/>
      <c r="L538" s="109"/>
      <c r="M538" s="109"/>
      <c r="N538" s="109"/>
      <c r="O538" s="109"/>
      <c r="P538" s="109"/>
      <c r="Q538" s="109"/>
      <c r="R538" s="109"/>
      <c r="S538" s="109"/>
      <c r="T538" s="109"/>
      <c r="U538" s="109"/>
      <c r="V538" s="109"/>
      <c r="W538" s="109"/>
      <c r="X538" s="109"/>
      <c r="Y538" s="109"/>
      <c r="Z538" s="109"/>
    </row>
    <row r="539" spans="1:26" ht="13.5" customHeight="1">
      <c r="A539" s="109"/>
      <c r="B539" s="109"/>
      <c r="C539" s="109"/>
      <c r="D539" s="109"/>
      <c r="E539" s="109"/>
      <c r="F539" s="109"/>
      <c r="G539" s="161"/>
      <c r="H539" s="109"/>
      <c r="I539" s="109"/>
      <c r="J539" s="109"/>
      <c r="K539" s="109"/>
      <c r="L539" s="109"/>
      <c r="M539" s="109"/>
      <c r="N539" s="109"/>
      <c r="O539" s="109"/>
      <c r="P539" s="109"/>
      <c r="Q539" s="109"/>
      <c r="R539" s="109"/>
      <c r="S539" s="109"/>
      <c r="T539" s="109"/>
      <c r="U539" s="109"/>
      <c r="V539" s="109"/>
      <c r="W539" s="109"/>
      <c r="X539" s="109"/>
      <c r="Y539" s="109"/>
      <c r="Z539" s="109"/>
    </row>
    <row r="540" spans="1:26" ht="13.5" customHeight="1">
      <c r="A540" s="109"/>
      <c r="B540" s="109"/>
      <c r="C540" s="109"/>
      <c r="D540" s="109"/>
      <c r="E540" s="109"/>
      <c r="F540" s="109"/>
      <c r="G540" s="161"/>
      <c r="H540" s="109"/>
      <c r="I540" s="109"/>
      <c r="J540" s="109"/>
      <c r="K540" s="109"/>
      <c r="L540" s="109"/>
      <c r="M540" s="109"/>
      <c r="N540" s="109"/>
      <c r="O540" s="109"/>
      <c r="P540" s="109"/>
      <c r="Q540" s="109"/>
      <c r="R540" s="109"/>
      <c r="S540" s="109"/>
      <c r="T540" s="109"/>
      <c r="U540" s="109"/>
      <c r="V540" s="109"/>
      <c r="W540" s="109"/>
      <c r="X540" s="109"/>
      <c r="Y540" s="109"/>
      <c r="Z540" s="109"/>
    </row>
    <row r="541" spans="1:26" ht="13.5" customHeight="1">
      <c r="A541" s="109"/>
      <c r="B541" s="109"/>
      <c r="C541" s="109"/>
      <c r="D541" s="109"/>
      <c r="E541" s="109"/>
      <c r="F541" s="109"/>
      <c r="G541" s="161"/>
      <c r="H541" s="109"/>
      <c r="I541" s="109"/>
      <c r="J541" s="109"/>
      <c r="K541" s="109"/>
      <c r="L541" s="109"/>
      <c r="M541" s="109"/>
      <c r="N541" s="109"/>
      <c r="O541" s="109"/>
      <c r="P541" s="109"/>
      <c r="Q541" s="109"/>
      <c r="R541" s="109"/>
      <c r="S541" s="109"/>
      <c r="T541" s="109"/>
      <c r="U541" s="109"/>
      <c r="V541" s="109"/>
      <c r="W541" s="109"/>
      <c r="X541" s="109"/>
      <c r="Y541" s="109"/>
      <c r="Z541" s="109"/>
    </row>
    <row r="542" spans="1:26" ht="13.5" customHeight="1">
      <c r="A542" s="109"/>
      <c r="B542" s="109"/>
      <c r="C542" s="109"/>
      <c r="D542" s="109"/>
      <c r="E542" s="109"/>
      <c r="F542" s="109"/>
      <c r="G542" s="161"/>
      <c r="H542" s="109"/>
      <c r="I542" s="109"/>
      <c r="J542" s="109"/>
      <c r="K542" s="109"/>
      <c r="L542" s="109"/>
      <c r="M542" s="109"/>
      <c r="N542" s="109"/>
      <c r="O542" s="109"/>
      <c r="P542" s="109"/>
      <c r="Q542" s="109"/>
      <c r="R542" s="109"/>
      <c r="S542" s="109"/>
      <c r="T542" s="109"/>
      <c r="U542" s="109"/>
      <c r="V542" s="109"/>
      <c r="W542" s="109"/>
      <c r="X542" s="109"/>
      <c r="Y542" s="109"/>
      <c r="Z542" s="109"/>
    </row>
    <row r="543" spans="1:26" ht="13.5" customHeight="1">
      <c r="A543" s="109"/>
      <c r="B543" s="109"/>
      <c r="C543" s="109"/>
      <c r="D543" s="109"/>
      <c r="E543" s="109"/>
      <c r="F543" s="109"/>
      <c r="G543" s="161"/>
      <c r="H543" s="109"/>
      <c r="I543" s="109"/>
      <c r="J543" s="109"/>
      <c r="K543" s="109"/>
      <c r="L543" s="109"/>
      <c r="M543" s="109"/>
      <c r="N543" s="109"/>
      <c r="O543" s="109"/>
      <c r="P543" s="109"/>
      <c r="Q543" s="109"/>
      <c r="R543" s="109"/>
      <c r="S543" s="109"/>
      <c r="T543" s="109"/>
      <c r="U543" s="109"/>
      <c r="V543" s="109"/>
      <c r="W543" s="109"/>
      <c r="X543" s="109"/>
      <c r="Y543" s="109"/>
      <c r="Z543" s="109"/>
    </row>
    <row r="544" spans="1:26" ht="13.5" customHeight="1">
      <c r="A544" s="109"/>
      <c r="B544" s="109"/>
      <c r="C544" s="109"/>
      <c r="D544" s="109"/>
      <c r="E544" s="109"/>
      <c r="F544" s="109"/>
      <c r="G544" s="161"/>
      <c r="H544" s="109"/>
      <c r="I544" s="109"/>
      <c r="J544" s="109"/>
      <c r="K544" s="109"/>
      <c r="L544" s="109"/>
      <c r="M544" s="109"/>
      <c r="N544" s="109"/>
      <c r="O544" s="109"/>
      <c r="P544" s="109"/>
      <c r="Q544" s="109"/>
      <c r="R544" s="109"/>
      <c r="S544" s="109"/>
      <c r="T544" s="109"/>
      <c r="U544" s="109"/>
      <c r="V544" s="109"/>
      <c r="W544" s="109"/>
      <c r="X544" s="109"/>
      <c r="Y544" s="109"/>
      <c r="Z544" s="109"/>
    </row>
    <row r="545" spans="1:26" ht="13.5" customHeight="1">
      <c r="A545" s="109"/>
      <c r="B545" s="109"/>
      <c r="C545" s="109"/>
      <c r="D545" s="109"/>
      <c r="E545" s="109"/>
      <c r="F545" s="109"/>
      <c r="G545" s="161"/>
      <c r="H545" s="109"/>
      <c r="I545" s="109"/>
      <c r="J545" s="109"/>
      <c r="K545" s="109"/>
      <c r="L545" s="109"/>
      <c r="M545" s="109"/>
      <c r="N545" s="109"/>
      <c r="O545" s="109"/>
      <c r="P545" s="109"/>
      <c r="Q545" s="109"/>
      <c r="R545" s="109"/>
      <c r="S545" s="109"/>
      <c r="T545" s="109"/>
      <c r="U545" s="109"/>
      <c r="V545" s="109"/>
      <c r="W545" s="109"/>
      <c r="X545" s="109"/>
      <c r="Y545" s="109"/>
      <c r="Z545" s="109"/>
    </row>
    <row r="546" spans="1:26" ht="13.5" customHeight="1">
      <c r="A546" s="109"/>
      <c r="B546" s="109"/>
      <c r="C546" s="109"/>
      <c r="D546" s="109"/>
      <c r="E546" s="109"/>
      <c r="F546" s="109"/>
      <c r="G546" s="161"/>
      <c r="H546" s="109"/>
      <c r="I546" s="109"/>
      <c r="J546" s="109"/>
      <c r="K546" s="109"/>
      <c r="L546" s="109"/>
      <c r="M546" s="109"/>
      <c r="N546" s="109"/>
      <c r="O546" s="109"/>
      <c r="P546" s="109"/>
      <c r="Q546" s="109"/>
      <c r="R546" s="109"/>
      <c r="S546" s="109"/>
      <c r="T546" s="109"/>
      <c r="U546" s="109"/>
      <c r="V546" s="109"/>
      <c r="W546" s="109"/>
      <c r="X546" s="109"/>
      <c r="Y546" s="109"/>
      <c r="Z546" s="109"/>
    </row>
    <row r="547" spans="1:26" ht="13.5" customHeight="1">
      <c r="A547" s="109"/>
      <c r="B547" s="109"/>
      <c r="C547" s="109"/>
      <c r="D547" s="109"/>
      <c r="E547" s="109"/>
      <c r="F547" s="109"/>
      <c r="G547" s="161"/>
      <c r="H547" s="109"/>
      <c r="I547" s="109"/>
      <c r="J547" s="109"/>
      <c r="K547" s="109"/>
      <c r="L547" s="109"/>
      <c r="M547" s="109"/>
      <c r="N547" s="109"/>
      <c r="O547" s="109"/>
      <c r="P547" s="109"/>
      <c r="Q547" s="109"/>
      <c r="R547" s="109"/>
      <c r="S547" s="109"/>
      <c r="T547" s="109"/>
      <c r="U547" s="109"/>
      <c r="V547" s="109"/>
      <c r="W547" s="109"/>
      <c r="X547" s="109"/>
      <c r="Y547" s="109"/>
      <c r="Z547" s="109"/>
    </row>
    <row r="548" spans="1:26" ht="13.5" customHeight="1">
      <c r="A548" s="109"/>
      <c r="B548" s="109"/>
      <c r="C548" s="109"/>
      <c r="D548" s="109"/>
      <c r="E548" s="109"/>
      <c r="F548" s="109"/>
      <c r="G548" s="161"/>
      <c r="H548" s="109"/>
      <c r="I548" s="109"/>
      <c r="J548" s="109"/>
      <c r="K548" s="109"/>
      <c r="L548" s="109"/>
      <c r="M548" s="109"/>
      <c r="N548" s="109"/>
      <c r="O548" s="109"/>
      <c r="P548" s="109"/>
      <c r="Q548" s="109"/>
      <c r="R548" s="109"/>
      <c r="S548" s="109"/>
      <c r="T548" s="109"/>
      <c r="U548" s="109"/>
      <c r="V548" s="109"/>
      <c r="W548" s="109"/>
      <c r="X548" s="109"/>
      <c r="Y548" s="109"/>
      <c r="Z548" s="109"/>
    </row>
    <row r="549" spans="1:26" ht="13.5" customHeight="1">
      <c r="A549" s="109"/>
      <c r="B549" s="109"/>
      <c r="C549" s="109"/>
      <c r="D549" s="109"/>
      <c r="E549" s="109"/>
      <c r="F549" s="109"/>
      <c r="G549" s="161"/>
      <c r="H549" s="109"/>
      <c r="I549" s="109"/>
      <c r="J549" s="109"/>
      <c r="K549" s="109"/>
      <c r="L549" s="109"/>
      <c r="M549" s="109"/>
      <c r="N549" s="109"/>
      <c r="O549" s="109"/>
      <c r="P549" s="109"/>
      <c r="Q549" s="109"/>
      <c r="R549" s="109"/>
      <c r="S549" s="109"/>
      <c r="T549" s="109"/>
      <c r="U549" s="109"/>
      <c r="V549" s="109"/>
      <c r="W549" s="109"/>
      <c r="X549" s="109"/>
      <c r="Y549" s="109"/>
      <c r="Z549" s="109"/>
    </row>
    <row r="550" spans="1:26" ht="13.5" customHeight="1">
      <c r="A550" s="109"/>
      <c r="B550" s="109"/>
      <c r="C550" s="109"/>
      <c r="D550" s="109"/>
      <c r="E550" s="109"/>
      <c r="F550" s="109"/>
      <c r="G550" s="161"/>
      <c r="H550" s="109"/>
      <c r="I550" s="109"/>
      <c r="J550" s="109"/>
      <c r="K550" s="109"/>
      <c r="L550" s="109"/>
      <c r="M550" s="109"/>
      <c r="N550" s="109"/>
      <c r="O550" s="109"/>
      <c r="P550" s="109"/>
      <c r="Q550" s="109"/>
      <c r="R550" s="109"/>
      <c r="S550" s="109"/>
      <c r="T550" s="109"/>
      <c r="U550" s="109"/>
      <c r="V550" s="109"/>
      <c r="W550" s="109"/>
      <c r="X550" s="109"/>
      <c r="Y550" s="109"/>
      <c r="Z550" s="109"/>
    </row>
    <row r="551" spans="1:26" ht="13.5" customHeight="1">
      <c r="A551" s="109"/>
      <c r="B551" s="109"/>
      <c r="C551" s="109"/>
      <c r="D551" s="109"/>
      <c r="E551" s="109"/>
      <c r="F551" s="109"/>
      <c r="G551" s="161"/>
      <c r="H551" s="109"/>
      <c r="I551" s="109"/>
      <c r="J551" s="109"/>
      <c r="K551" s="109"/>
      <c r="L551" s="109"/>
      <c r="M551" s="109"/>
      <c r="N551" s="109"/>
      <c r="O551" s="109"/>
      <c r="P551" s="109"/>
      <c r="Q551" s="109"/>
      <c r="R551" s="109"/>
      <c r="S551" s="109"/>
      <c r="T551" s="109"/>
      <c r="U551" s="109"/>
      <c r="V551" s="109"/>
      <c r="W551" s="109"/>
      <c r="X551" s="109"/>
      <c r="Y551" s="109"/>
      <c r="Z551" s="109"/>
    </row>
    <row r="552" spans="1:26" ht="13.5" customHeight="1">
      <c r="A552" s="109"/>
      <c r="B552" s="109"/>
      <c r="C552" s="109"/>
      <c r="D552" s="109"/>
      <c r="E552" s="109"/>
      <c r="F552" s="109"/>
      <c r="G552" s="161"/>
      <c r="H552" s="109"/>
      <c r="I552" s="109"/>
      <c r="J552" s="109"/>
      <c r="K552" s="109"/>
      <c r="L552" s="109"/>
      <c r="M552" s="109"/>
      <c r="N552" s="109"/>
      <c r="O552" s="109"/>
      <c r="P552" s="109"/>
      <c r="Q552" s="109"/>
      <c r="R552" s="109"/>
      <c r="S552" s="109"/>
      <c r="T552" s="109"/>
      <c r="U552" s="109"/>
      <c r="V552" s="109"/>
      <c r="W552" s="109"/>
      <c r="X552" s="109"/>
      <c r="Y552" s="109"/>
      <c r="Z552" s="109"/>
    </row>
    <row r="553" spans="1:26" ht="13.5" customHeight="1">
      <c r="A553" s="109"/>
      <c r="B553" s="109"/>
      <c r="C553" s="109"/>
      <c r="D553" s="109"/>
      <c r="E553" s="109"/>
      <c r="F553" s="109"/>
      <c r="G553" s="161"/>
      <c r="H553" s="109"/>
      <c r="I553" s="109"/>
      <c r="J553" s="109"/>
      <c r="K553" s="109"/>
      <c r="L553" s="109"/>
      <c r="M553" s="109"/>
      <c r="N553" s="109"/>
      <c r="O553" s="109"/>
      <c r="P553" s="109"/>
      <c r="Q553" s="109"/>
      <c r="R553" s="109"/>
      <c r="S553" s="109"/>
      <c r="T553" s="109"/>
      <c r="U553" s="109"/>
      <c r="V553" s="109"/>
      <c r="W553" s="109"/>
      <c r="X553" s="109"/>
      <c r="Y553" s="109"/>
      <c r="Z553" s="109"/>
    </row>
    <row r="554" spans="1:26" ht="13.5" customHeight="1">
      <c r="A554" s="109"/>
      <c r="B554" s="109"/>
      <c r="C554" s="109"/>
      <c r="D554" s="109"/>
      <c r="E554" s="109"/>
      <c r="F554" s="109"/>
      <c r="G554" s="161"/>
      <c r="H554" s="109"/>
      <c r="I554" s="109"/>
      <c r="J554" s="109"/>
      <c r="K554" s="109"/>
      <c r="L554" s="109"/>
      <c r="M554" s="109"/>
      <c r="N554" s="109"/>
      <c r="O554" s="109"/>
      <c r="P554" s="109"/>
      <c r="Q554" s="109"/>
      <c r="R554" s="109"/>
      <c r="S554" s="109"/>
      <c r="T554" s="109"/>
      <c r="U554" s="109"/>
      <c r="V554" s="109"/>
      <c r="W554" s="109"/>
      <c r="X554" s="109"/>
      <c r="Y554" s="109"/>
      <c r="Z554" s="109"/>
    </row>
    <row r="555" spans="1:26" ht="13.5" customHeight="1">
      <c r="A555" s="109"/>
      <c r="B555" s="109"/>
      <c r="C555" s="109"/>
      <c r="D555" s="109"/>
      <c r="E555" s="109"/>
      <c r="F555" s="109"/>
      <c r="G555" s="161"/>
      <c r="H555" s="109"/>
      <c r="I555" s="109"/>
      <c r="J555" s="109"/>
      <c r="K555" s="109"/>
      <c r="L555" s="109"/>
      <c r="M555" s="109"/>
      <c r="N555" s="109"/>
      <c r="O555" s="109"/>
      <c r="P555" s="109"/>
      <c r="Q555" s="109"/>
      <c r="R555" s="109"/>
      <c r="S555" s="109"/>
      <c r="T555" s="109"/>
      <c r="U555" s="109"/>
      <c r="V555" s="109"/>
      <c r="W555" s="109"/>
      <c r="X555" s="109"/>
      <c r="Y555" s="109"/>
      <c r="Z555" s="109"/>
    </row>
    <row r="556" spans="1:26" ht="13.5" customHeight="1">
      <c r="A556" s="109"/>
      <c r="B556" s="109"/>
      <c r="C556" s="109"/>
      <c r="D556" s="109"/>
      <c r="E556" s="109"/>
      <c r="F556" s="109"/>
      <c r="G556" s="161"/>
      <c r="H556" s="109"/>
      <c r="I556" s="109"/>
      <c r="J556" s="109"/>
      <c r="K556" s="109"/>
      <c r="L556" s="109"/>
      <c r="M556" s="109"/>
      <c r="N556" s="109"/>
      <c r="O556" s="109"/>
      <c r="P556" s="109"/>
      <c r="Q556" s="109"/>
      <c r="R556" s="109"/>
      <c r="S556" s="109"/>
      <c r="T556" s="109"/>
      <c r="U556" s="109"/>
      <c r="V556" s="109"/>
      <c r="W556" s="109"/>
      <c r="X556" s="109"/>
      <c r="Y556" s="109"/>
      <c r="Z556" s="109"/>
    </row>
    <row r="557" spans="1:26" ht="13.5" customHeight="1">
      <c r="A557" s="109"/>
      <c r="B557" s="109"/>
      <c r="C557" s="109"/>
      <c r="D557" s="109"/>
      <c r="E557" s="109"/>
      <c r="F557" s="109"/>
      <c r="G557" s="161"/>
      <c r="H557" s="109"/>
      <c r="I557" s="109"/>
      <c r="J557" s="109"/>
      <c r="K557" s="109"/>
      <c r="L557" s="109"/>
      <c r="M557" s="109"/>
      <c r="N557" s="109"/>
      <c r="O557" s="109"/>
      <c r="P557" s="109"/>
      <c r="Q557" s="109"/>
      <c r="R557" s="109"/>
      <c r="S557" s="109"/>
      <c r="T557" s="109"/>
      <c r="U557" s="109"/>
      <c r="V557" s="109"/>
      <c r="W557" s="109"/>
      <c r="X557" s="109"/>
      <c r="Y557" s="109"/>
      <c r="Z557" s="109"/>
    </row>
    <row r="558" spans="1:26" ht="13.5" customHeight="1">
      <c r="A558" s="109"/>
      <c r="B558" s="109"/>
      <c r="C558" s="109"/>
      <c r="D558" s="109"/>
      <c r="E558" s="109"/>
      <c r="F558" s="109"/>
      <c r="G558" s="161"/>
      <c r="H558" s="109"/>
      <c r="I558" s="109"/>
      <c r="J558" s="109"/>
      <c r="K558" s="109"/>
      <c r="L558" s="109"/>
      <c r="M558" s="109"/>
      <c r="N558" s="109"/>
      <c r="O558" s="109"/>
      <c r="P558" s="109"/>
      <c r="Q558" s="109"/>
      <c r="R558" s="109"/>
      <c r="S558" s="109"/>
      <c r="T558" s="109"/>
      <c r="U558" s="109"/>
      <c r="V558" s="109"/>
      <c r="W558" s="109"/>
      <c r="X558" s="109"/>
      <c r="Y558" s="109"/>
      <c r="Z558" s="109"/>
    </row>
    <row r="559" spans="1:26" ht="13.5" customHeight="1">
      <c r="A559" s="109"/>
      <c r="B559" s="109"/>
      <c r="C559" s="109"/>
      <c r="D559" s="109"/>
      <c r="E559" s="109"/>
      <c r="F559" s="109"/>
      <c r="G559" s="161"/>
      <c r="H559" s="109"/>
      <c r="I559" s="109"/>
      <c r="J559" s="109"/>
      <c r="K559" s="109"/>
      <c r="L559" s="109"/>
      <c r="M559" s="109"/>
      <c r="N559" s="109"/>
      <c r="O559" s="109"/>
      <c r="P559" s="109"/>
      <c r="Q559" s="109"/>
      <c r="R559" s="109"/>
      <c r="S559" s="109"/>
      <c r="T559" s="109"/>
      <c r="U559" s="109"/>
      <c r="V559" s="109"/>
      <c r="W559" s="109"/>
      <c r="X559" s="109"/>
      <c r="Y559" s="109"/>
      <c r="Z559" s="109"/>
    </row>
    <row r="560" spans="1:26" ht="13.5" customHeight="1">
      <c r="A560" s="109"/>
      <c r="B560" s="109"/>
      <c r="C560" s="109"/>
      <c r="D560" s="109"/>
      <c r="E560" s="109"/>
      <c r="F560" s="109"/>
      <c r="G560" s="161"/>
      <c r="H560" s="109"/>
      <c r="I560" s="109"/>
      <c r="J560" s="109"/>
      <c r="K560" s="109"/>
      <c r="L560" s="109"/>
      <c r="M560" s="109"/>
      <c r="N560" s="109"/>
      <c r="O560" s="109"/>
      <c r="P560" s="109"/>
      <c r="Q560" s="109"/>
      <c r="R560" s="109"/>
      <c r="S560" s="109"/>
      <c r="T560" s="109"/>
      <c r="U560" s="109"/>
      <c r="V560" s="109"/>
      <c r="W560" s="109"/>
      <c r="X560" s="109"/>
      <c r="Y560" s="109"/>
      <c r="Z560" s="109"/>
    </row>
    <row r="561" spans="1:26" ht="13.5" customHeight="1">
      <c r="A561" s="109"/>
      <c r="B561" s="109"/>
      <c r="C561" s="109"/>
      <c r="D561" s="109"/>
      <c r="E561" s="109"/>
      <c r="F561" s="109"/>
      <c r="G561" s="161"/>
      <c r="H561" s="109"/>
      <c r="I561" s="109"/>
      <c r="J561" s="109"/>
      <c r="K561" s="109"/>
      <c r="L561" s="109"/>
      <c r="M561" s="109"/>
      <c r="N561" s="109"/>
      <c r="O561" s="109"/>
      <c r="P561" s="109"/>
      <c r="Q561" s="109"/>
      <c r="R561" s="109"/>
      <c r="S561" s="109"/>
      <c r="T561" s="109"/>
      <c r="U561" s="109"/>
      <c r="V561" s="109"/>
      <c r="W561" s="109"/>
      <c r="X561" s="109"/>
      <c r="Y561" s="109"/>
      <c r="Z561" s="109"/>
    </row>
    <row r="562" spans="1:26" ht="13.5" customHeight="1">
      <c r="A562" s="109"/>
      <c r="B562" s="109"/>
      <c r="C562" s="109"/>
      <c r="D562" s="109"/>
      <c r="E562" s="109"/>
      <c r="F562" s="109"/>
      <c r="G562" s="161"/>
      <c r="H562" s="109"/>
      <c r="I562" s="109"/>
      <c r="J562" s="109"/>
      <c r="K562" s="109"/>
      <c r="L562" s="109"/>
      <c r="M562" s="109"/>
      <c r="N562" s="109"/>
      <c r="O562" s="109"/>
      <c r="P562" s="109"/>
      <c r="Q562" s="109"/>
      <c r="R562" s="109"/>
      <c r="S562" s="109"/>
      <c r="T562" s="109"/>
      <c r="U562" s="109"/>
      <c r="V562" s="109"/>
      <c r="W562" s="109"/>
      <c r="X562" s="109"/>
      <c r="Y562" s="109"/>
      <c r="Z562" s="109"/>
    </row>
    <row r="563" spans="1:26" ht="13.5" customHeight="1">
      <c r="A563" s="109"/>
      <c r="B563" s="109"/>
      <c r="C563" s="109"/>
      <c r="D563" s="109"/>
      <c r="E563" s="109"/>
      <c r="F563" s="109"/>
      <c r="G563" s="161"/>
      <c r="H563" s="109"/>
      <c r="I563" s="109"/>
      <c r="J563" s="109"/>
      <c r="K563" s="109"/>
      <c r="L563" s="109"/>
      <c r="M563" s="109"/>
      <c r="N563" s="109"/>
      <c r="O563" s="109"/>
      <c r="P563" s="109"/>
      <c r="Q563" s="109"/>
      <c r="R563" s="109"/>
      <c r="S563" s="109"/>
      <c r="T563" s="109"/>
      <c r="U563" s="109"/>
      <c r="V563" s="109"/>
      <c r="W563" s="109"/>
      <c r="X563" s="109"/>
      <c r="Y563" s="109"/>
      <c r="Z563" s="109"/>
    </row>
    <row r="564" spans="1:26" ht="13.5" customHeight="1">
      <c r="A564" s="109"/>
      <c r="B564" s="109"/>
      <c r="C564" s="109"/>
      <c r="D564" s="109"/>
      <c r="E564" s="109"/>
      <c r="F564" s="109"/>
      <c r="G564" s="161"/>
      <c r="H564" s="109"/>
      <c r="I564" s="109"/>
      <c r="J564" s="109"/>
      <c r="K564" s="109"/>
      <c r="L564" s="109"/>
      <c r="M564" s="109"/>
      <c r="N564" s="109"/>
      <c r="O564" s="109"/>
      <c r="P564" s="109"/>
      <c r="Q564" s="109"/>
      <c r="R564" s="109"/>
      <c r="S564" s="109"/>
      <c r="T564" s="109"/>
      <c r="U564" s="109"/>
      <c r="V564" s="109"/>
      <c r="W564" s="109"/>
      <c r="X564" s="109"/>
      <c r="Y564" s="109"/>
      <c r="Z564" s="109"/>
    </row>
    <row r="565" spans="1:26" ht="13.5" customHeight="1">
      <c r="A565" s="109"/>
      <c r="B565" s="109"/>
      <c r="C565" s="109"/>
      <c r="D565" s="109"/>
      <c r="E565" s="109"/>
      <c r="F565" s="109"/>
      <c r="G565" s="161"/>
      <c r="H565" s="109"/>
      <c r="I565" s="109"/>
      <c r="J565" s="109"/>
      <c r="K565" s="109"/>
      <c r="L565" s="109"/>
      <c r="M565" s="109"/>
      <c r="N565" s="109"/>
      <c r="O565" s="109"/>
      <c r="P565" s="109"/>
      <c r="Q565" s="109"/>
      <c r="R565" s="109"/>
      <c r="S565" s="109"/>
      <c r="T565" s="109"/>
      <c r="U565" s="109"/>
      <c r="V565" s="109"/>
      <c r="W565" s="109"/>
      <c r="X565" s="109"/>
      <c r="Y565" s="109"/>
      <c r="Z565" s="109"/>
    </row>
    <row r="566" spans="1:26" ht="13.5" customHeight="1">
      <c r="A566" s="109"/>
      <c r="B566" s="109"/>
      <c r="C566" s="109"/>
      <c r="D566" s="109"/>
      <c r="E566" s="109"/>
      <c r="F566" s="109"/>
      <c r="G566" s="161"/>
      <c r="H566" s="109"/>
      <c r="I566" s="109"/>
      <c r="J566" s="109"/>
      <c r="K566" s="109"/>
      <c r="L566" s="109"/>
      <c r="M566" s="109"/>
      <c r="N566" s="109"/>
      <c r="O566" s="109"/>
      <c r="P566" s="109"/>
      <c r="Q566" s="109"/>
      <c r="R566" s="109"/>
      <c r="S566" s="109"/>
      <c r="T566" s="109"/>
      <c r="U566" s="109"/>
      <c r="V566" s="109"/>
      <c r="W566" s="109"/>
      <c r="X566" s="109"/>
      <c r="Y566" s="109"/>
      <c r="Z566" s="109"/>
    </row>
    <row r="567" spans="1:26" ht="13.5" customHeight="1">
      <c r="A567" s="109"/>
      <c r="B567" s="109"/>
      <c r="C567" s="109"/>
      <c r="D567" s="109"/>
      <c r="E567" s="109"/>
      <c r="F567" s="109"/>
      <c r="G567" s="161"/>
      <c r="H567" s="109"/>
      <c r="I567" s="109"/>
      <c r="J567" s="109"/>
      <c r="K567" s="109"/>
      <c r="L567" s="109"/>
      <c r="M567" s="109"/>
      <c r="N567" s="109"/>
      <c r="O567" s="109"/>
      <c r="P567" s="109"/>
      <c r="Q567" s="109"/>
      <c r="R567" s="109"/>
      <c r="S567" s="109"/>
      <c r="T567" s="109"/>
      <c r="U567" s="109"/>
      <c r="V567" s="109"/>
      <c r="W567" s="109"/>
      <c r="X567" s="109"/>
      <c r="Y567" s="109"/>
      <c r="Z567" s="109"/>
    </row>
    <row r="568" spans="1:26" ht="13.5" customHeight="1">
      <c r="A568" s="109"/>
      <c r="B568" s="109"/>
      <c r="C568" s="109"/>
      <c r="D568" s="109"/>
      <c r="E568" s="109"/>
      <c r="F568" s="109"/>
      <c r="G568" s="161"/>
      <c r="H568" s="109"/>
      <c r="I568" s="109"/>
      <c r="J568" s="109"/>
      <c r="K568" s="109"/>
      <c r="L568" s="109"/>
      <c r="M568" s="109"/>
      <c r="N568" s="109"/>
      <c r="O568" s="109"/>
      <c r="P568" s="109"/>
      <c r="Q568" s="109"/>
      <c r="R568" s="109"/>
      <c r="S568" s="109"/>
      <c r="T568" s="109"/>
      <c r="U568" s="109"/>
      <c r="V568" s="109"/>
      <c r="W568" s="109"/>
      <c r="X568" s="109"/>
      <c r="Y568" s="109"/>
      <c r="Z568" s="109"/>
    </row>
    <row r="569" spans="1:26" ht="13.5" customHeight="1">
      <c r="A569" s="109"/>
      <c r="B569" s="109"/>
      <c r="C569" s="109"/>
      <c r="D569" s="109"/>
      <c r="E569" s="109"/>
      <c r="F569" s="109"/>
      <c r="G569" s="161"/>
      <c r="H569" s="109"/>
      <c r="I569" s="109"/>
      <c r="J569" s="109"/>
      <c r="K569" s="109"/>
      <c r="L569" s="109"/>
      <c r="M569" s="109"/>
      <c r="N569" s="109"/>
      <c r="O569" s="109"/>
      <c r="P569" s="109"/>
      <c r="Q569" s="109"/>
      <c r="R569" s="109"/>
      <c r="S569" s="109"/>
      <c r="T569" s="109"/>
      <c r="U569" s="109"/>
      <c r="V569" s="109"/>
      <c r="W569" s="109"/>
      <c r="X569" s="109"/>
      <c r="Y569" s="109"/>
      <c r="Z569" s="109"/>
    </row>
    <row r="570" spans="1:26" ht="13.5" customHeight="1">
      <c r="A570" s="109"/>
      <c r="B570" s="109"/>
      <c r="C570" s="109"/>
      <c r="D570" s="109"/>
      <c r="E570" s="109"/>
      <c r="F570" s="109"/>
      <c r="G570" s="161"/>
      <c r="H570" s="109"/>
      <c r="I570" s="109"/>
      <c r="J570" s="109"/>
      <c r="K570" s="109"/>
      <c r="L570" s="109"/>
      <c r="M570" s="109"/>
      <c r="N570" s="109"/>
      <c r="O570" s="109"/>
      <c r="P570" s="109"/>
      <c r="Q570" s="109"/>
      <c r="R570" s="109"/>
      <c r="S570" s="109"/>
      <c r="T570" s="109"/>
      <c r="U570" s="109"/>
      <c r="V570" s="109"/>
      <c r="W570" s="109"/>
      <c r="X570" s="109"/>
      <c r="Y570" s="109"/>
      <c r="Z570" s="109"/>
    </row>
    <row r="571" spans="1:26" ht="13.5" customHeight="1">
      <c r="A571" s="109"/>
      <c r="B571" s="109"/>
      <c r="C571" s="109"/>
      <c r="D571" s="109"/>
      <c r="E571" s="109"/>
      <c r="F571" s="109"/>
      <c r="G571" s="161"/>
      <c r="H571" s="109"/>
      <c r="I571" s="109"/>
      <c r="J571" s="109"/>
      <c r="K571" s="109"/>
      <c r="L571" s="109"/>
      <c r="M571" s="109"/>
      <c r="N571" s="109"/>
      <c r="O571" s="109"/>
      <c r="P571" s="109"/>
      <c r="Q571" s="109"/>
      <c r="R571" s="109"/>
      <c r="S571" s="109"/>
      <c r="T571" s="109"/>
      <c r="U571" s="109"/>
      <c r="V571" s="109"/>
      <c r="W571" s="109"/>
      <c r="X571" s="109"/>
      <c r="Y571" s="109"/>
      <c r="Z571" s="109"/>
    </row>
    <row r="572" spans="1:26" ht="13.5" customHeight="1">
      <c r="A572" s="109"/>
      <c r="B572" s="109"/>
      <c r="C572" s="109"/>
      <c r="D572" s="109"/>
      <c r="E572" s="109"/>
      <c r="F572" s="109"/>
      <c r="G572" s="161"/>
      <c r="H572" s="109"/>
      <c r="I572" s="109"/>
      <c r="J572" s="109"/>
      <c r="K572" s="109"/>
      <c r="L572" s="109"/>
      <c r="M572" s="109"/>
      <c r="N572" s="109"/>
      <c r="O572" s="109"/>
      <c r="P572" s="109"/>
      <c r="Q572" s="109"/>
      <c r="R572" s="109"/>
      <c r="S572" s="109"/>
      <c r="T572" s="109"/>
      <c r="U572" s="109"/>
      <c r="V572" s="109"/>
      <c r="W572" s="109"/>
      <c r="X572" s="109"/>
      <c r="Y572" s="109"/>
      <c r="Z572" s="109"/>
    </row>
    <row r="573" spans="1:26" ht="13.5" customHeight="1">
      <c r="A573" s="109"/>
      <c r="B573" s="109"/>
      <c r="C573" s="109"/>
      <c r="D573" s="109"/>
      <c r="E573" s="109"/>
      <c r="F573" s="109"/>
      <c r="G573" s="161"/>
      <c r="H573" s="109"/>
      <c r="I573" s="109"/>
      <c r="J573" s="109"/>
      <c r="K573" s="109"/>
      <c r="L573" s="109"/>
      <c r="M573" s="109"/>
      <c r="N573" s="109"/>
      <c r="O573" s="109"/>
      <c r="P573" s="109"/>
      <c r="Q573" s="109"/>
      <c r="R573" s="109"/>
      <c r="S573" s="109"/>
      <c r="T573" s="109"/>
      <c r="U573" s="109"/>
      <c r="V573" s="109"/>
      <c r="W573" s="109"/>
      <c r="X573" s="109"/>
      <c r="Y573" s="109"/>
      <c r="Z573" s="109"/>
    </row>
    <row r="574" spans="1:26" ht="13.5" customHeight="1">
      <c r="A574" s="109"/>
      <c r="B574" s="109"/>
      <c r="C574" s="109"/>
      <c r="D574" s="109"/>
      <c r="E574" s="109"/>
      <c r="F574" s="109"/>
      <c r="G574" s="161"/>
      <c r="H574" s="109"/>
      <c r="I574" s="109"/>
      <c r="J574" s="109"/>
      <c r="K574" s="109"/>
      <c r="L574" s="109"/>
      <c r="M574" s="109"/>
      <c r="N574" s="109"/>
      <c r="O574" s="109"/>
      <c r="P574" s="109"/>
      <c r="Q574" s="109"/>
      <c r="R574" s="109"/>
      <c r="S574" s="109"/>
      <c r="T574" s="109"/>
      <c r="U574" s="109"/>
      <c r="V574" s="109"/>
      <c r="W574" s="109"/>
      <c r="X574" s="109"/>
      <c r="Y574" s="109"/>
      <c r="Z574" s="109"/>
    </row>
    <row r="575" spans="1:26" ht="13.5" customHeight="1">
      <c r="A575" s="109"/>
      <c r="B575" s="109"/>
      <c r="C575" s="109"/>
      <c r="D575" s="109"/>
      <c r="E575" s="109"/>
      <c r="F575" s="109"/>
      <c r="G575" s="161"/>
      <c r="H575" s="109"/>
      <c r="I575" s="109"/>
      <c r="J575" s="109"/>
      <c r="K575" s="109"/>
      <c r="L575" s="109"/>
      <c r="M575" s="109"/>
      <c r="N575" s="109"/>
      <c r="O575" s="109"/>
      <c r="P575" s="109"/>
      <c r="Q575" s="109"/>
      <c r="R575" s="109"/>
      <c r="S575" s="109"/>
      <c r="T575" s="109"/>
      <c r="U575" s="109"/>
      <c r="V575" s="109"/>
      <c r="W575" s="109"/>
      <c r="X575" s="109"/>
      <c r="Y575" s="109"/>
      <c r="Z575" s="109"/>
    </row>
    <row r="576" spans="1:26" ht="13.5" customHeight="1">
      <c r="A576" s="109"/>
      <c r="B576" s="109"/>
      <c r="C576" s="109"/>
      <c r="D576" s="109"/>
      <c r="E576" s="109"/>
      <c r="F576" s="109"/>
      <c r="G576" s="161"/>
      <c r="H576" s="109"/>
      <c r="I576" s="109"/>
      <c r="J576" s="109"/>
      <c r="K576" s="109"/>
      <c r="L576" s="109"/>
      <c r="M576" s="109"/>
      <c r="N576" s="109"/>
      <c r="O576" s="109"/>
      <c r="P576" s="109"/>
      <c r="Q576" s="109"/>
      <c r="R576" s="109"/>
      <c r="S576" s="109"/>
      <c r="T576" s="109"/>
      <c r="U576" s="109"/>
      <c r="V576" s="109"/>
      <c r="W576" s="109"/>
      <c r="X576" s="109"/>
      <c r="Y576" s="109"/>
      <c r="Z576" s="109"/>
    </row>
    <row r="577" spans="1:26" ht="13.5" customHeight="1">
      <c r="A577" s="109"/>
      <c r="B577" s="109"/>
      <c r="C577" s="109"/>
      <c r="D577" s="109"/>
      <c r="E577" s="109"/>
      <c r="F577" s="109"/>
      <c r="G577" s="161"/>
      <c r="H577" s="109"/>
      <c r="I577" s="109"/>
      <c r="J577" s="109"/>
      <c r="K577" s="109"/>
      <c r="L577" s="109"/>
      <c r="M577" s="109"/>
      <c r="N577" s="109"/>
      <c r="O577" s="109"/>
      <c r="P577" s="109"/>
      <c r="Q577" s="109"/>
      <c r="R577" s="109"/>
      <c r="S577" s="109"/>
      <c r="T577" s="109"/>
      <c r="U577" s="109"/>
      <c r="V577" s="109"/>
      <c r="W577" s="109"/>
      <c r="X577" s="109"/>
      <c r="Y577" s="109"/>
      <c r="Z577" s="109"/>
    </row>
    <row r="578" spans="1:26" ht="13.5" customHeight="1">
      <c r="A578" s="109"/>
      <c r="B578" s="109"/>
      <c r="C578" s="109"/>
      <c r="D578" s="109"/>
      <c r="E578" s="109"/>
      <c r="F578" s="109"/>
      <c r="G578" s="161"/>
      <c r="H578" s="109"/>
      <c r="I578" s="109"/>
      <c r="J578" s="109"/>
      <c r="K578" s="109"/>
      <c r="L578" s="109"/>
      <c r="M578" s="109"/>
      <c r="N578" s="109"/>
      <c r="O578" s="109"/>
      <c r="P578" s="109"/>
      <c r="Q578" s="109"/>
      <c r="R578" s="109"/>
      <c r="S578" s="109"/>
      <c r="T578" s="109"/>
      <c r="U578" s="109"/>
      <c r="V578" s="109"/>
      <c r="W578" s="109"/>
      <c r="X578" s="109"/>
      <c r="Y578" s="109"/>
      <c r="Z578" s="109"/>
    </row>
    <row r="579" spans="1:26" ht="13.5" customHeight="1">
      <c r="A579" s="109"/>
      <c r="B579" s="109"/>
      <c r="C579" s="109"/>
      <c r="D579" s="109"/>
      <c r="E579" s="109"/>
      <c r="F579" s="109"/>
      <c r="G579" s="161"/>
      <c r="H579" s="109"/>
      <c r="I579" s="109"/>
      <c r="J579" s="109"/>
      <c r="K579" s="109"/>
      <c r="L579" s="109"/>
      <c r="M579" s="109"/>
      <c r="N579" s="109"/>
      <c r="O579" s="109"/>
      <c r="P579" s="109"/>
      <c r="Q579" s="109"/>
      <c r="R579" s="109"/>
      <c r="S579" s="109"/>
      <c r="T579" s="109"/>
      <c r="U579" s="109"/>
      <c r="V579" s="109"/>
      <c r="W579" s="109"/>
      <c r="X579" s="109"/>
      <c r="Y579" s="109"/>
      <c r="Z579" s="109"/>
    </row>
    <row r="580" spans="1:26" ht="13.5" customHeight="1">
      <c r="A580" s="109"/>
      <c r="B580" s="109"/>
      <c r="C580" s="109"/>
      <c r="D580" s="109"/>
      <c r="E580" s="109"/>
      <c r="F580" s="109"/>
      <c r="G580" s="161"/>
      <c r="H580" s="109"/>
      <c r="I580" s="109"/>
      <c r="J580" s="109"/>
      <c r="K580" s="109"/>
      <c r="L580" s="109"/>
      <c r="M580" s="109"/>
      <c r="N580" s="109"/>
      <c r="O580" s="109"/>
      <c r="P580" s="109"/>
      <c r="Q580" s="109"/>
      <c r="R580" s="109"/>
      <c r="S580" s="109"/>
      <c r="T580" s="109"/>
      <c r="U580" s="109"/>
      <c r="V580" s="109"/>
      <c r="W580" s="109"/>
      <c r="X580" s="109"/>
      <c r="Y580" s="109"/>
      <c r="Z580" s="109"/>
    </row>
    <row r="581" spans="1:26" ht="13.5" customHeight="1">
      <c r="A581" s="109"/>
      <c r="B581" s="109"/>
      <c r="C581" s="109"/>
      <c r="D581" s="109"/>
      <c r="E581" s="109"/>
      <c r="F581" s="109"/>
      <c r="G581" s="161"/>
      <c r="H581" s="109"/>
      <c r="I581" s="109"/>
      <c r="J581" s="109"/>
      <c r="K581" s="109"/>
      <c r="L581" s="109"/>
      <c r="M581" s="109"/>
      <c r="N581" s="109"/>
      <c r="O581" s="109"/>
      <c r="P581" s="109"/>
      <c r="Q581" s="109"/>
      <c r="R581" s="109"/>
      <c r="S581" s="109"/>
      <c r="T581" s="109"/>
      <c r="U581" s="109"/>
      <c r="V581" s="109"/>
      <c r="W581" s="109"/>
      <c r="X581" s="109"/>
      <c r="Y581" s="109"/>
      <c r="Z581" s="109"/>
    </row>
    <row r="582" spans="1:26" ht="13.5" customHeight="1">
      <c r="A582" s="109"/>
      <c r="B582" s="109"/>
      <c r="C582" s="109"/>
      <c r="D582" s="109"/>
      <c r="E582" s="109"/>
      <c r="F582" s="109"/>
      <c r="G582" s="161"/>
      <c r="H582" s="109"/>
      <c r="I582" s="109"/>
      <c r="J582" s="109"/>
      <c r="K582" s="109"/>
      <c r="L582" s="109"/>
      <c r="M582" s="109"/>
      <c r="N582" s="109"/>
      <c r="O582" s="109"/>
      <c r="P582" s="109"/>
      <c r="Q582" s="109"/>
      <c r="R582" s="109"/>
      <c r="S582" s="109"/>
      <c r="T582" s="109"/>
      <c r="U582" s="109"/>
      <c r="V582" s="109"/>
      <c r="W582" s="109"/>
      <c r="X582" s="109"/>
      <c r="Y582" s="109"/>
      <c r="Z582" s="109"/>
    </row>
    <row r="583" spans="1:26" ht="13.5" customHeight="1">
      <c r="A583" s="109"/>
      <c r="B583" s="109"/>
      <c r="C583" s="109"/>
      <c r="D583" s="109"/>
      <c r="E583" s="109"/>
      <c r="F583" s="109"/>
      <c r="G583" s="161"/>
      <c r="H583" s="109"/>
      <c r="I583" s="109"/>
      <c r="J583" s="109"/>
      <c r="K583" s="109"/>
      <c r="L583" s="109"/>
      <c r="M583" s="109"/>
      <c r="N583" s="109"/>
      <c r="O583" s="109"/>
      <c r="P583" s="109"/>
      <c r="Q583" s="109"/>
      <c r="R583" s="109"/>
      <c r="S583" s="109"/>
      <c r="T583" s="109"/>
      <c r="U583" s="109"/>
      <c r="V583" s="109"/>
      <c r="W583" s="109"/>
      <c r="X583" s="109"/>
      <c r="Y583" s="109"/>
      <c r="Z583" s="109"/>
    </row>
    <row r="584" spans="1:26" ht="13.5" customHeight="1">
      <c r="A584" s="109"/>
      <c r="B584" s="109"/>
      <c r="C584" s="109"/>
      <c r="D584" s="109"/>
      <c r="E584" s="109"/>
      <c r="F584" s="109"/>
      <c r="G584" s="161"/>
      <c r="H584" s="109"/>
      <c r="I584" s="109"/>
      <c r="J584" s="109"/>
      <c r="K584" s="109"/>
      <c r="L584" s="109"/>
      <c r="M584" s="109"/>
      <c r="N584" s="109"/>
      <c r="O584" s="109"/>
      <c r="P584" s="109"/>
      <c r="Q584" s="109"/>
      <c r="R584" s="109"/>
      <c r="S584" s="109"/>
      <c r="T584" s="109"/>
      <c r="U584" s="109"/>
      <c r="V584" s="109"/>
      <c r="W584" s="109"/>
      <c r="X584" s="109"/>
      <c r="Y584" s="109"/>
      <c r="Z584" s="109"/>
    </row>
    <row r="585" spans="1:26" ht="13.5" customHeight="1">
      <c r="A585" s="109"/>
      <c r="B585" s="109"/>
      <c r="C585" s="109"/>
      <c r="D585" s="109"/>
      <c r="E585" s="109"/>
      <c r="F585" s="109"/>
      <c r="G585" s="161"/>
      <c r="H585" s="109"/>
      <c r="I585" s="109"/>
      <c r="J585" s="109"/>
      <c r="K585" s="109"/>
      <c r="L585" s="109"/>
      <c r="M585" s="109"/>
      <c r="N585" s="109"/>
      <c r="O585" s="109"/>
      <c r="P585" s="109"/>
      <c r="Q585" s="109"/>
      <c r="R585" s="109"/>
      <c r="S585" s="109"/>
      <c r="T585" s="109"/>
      <c r="U585" s="109"/>
      <c r="V585" s="109"/>
      <c r="W585" s="109"/>
      <c r="X585" s="109"/>
      <c r="Y585" s="109"/>
      <c r="Z585" s="109"/>
    </row>
    <row r="586" spans="1:26" ht="13.5" customHeight="1">
      <c r="A586" s="109"/>
      <c r="B586" s="109"/>
      <c r="C586" s="109"/>
      <c r="D586" s="109"/>
      <c r="E586" s="109"/>
      <c r="F586" s="109"/>
      <c r="G586" s="161"/>
      <c r="H586" s="109"/>
      <c r="I586" s="109"/>
      <c r="J586" s="109"/>
      <c r="K586" s="109"/>
      <c r="L586" s="109"/>
      <c r="M586" s="109"/>
      <c r="N586" s="109"/>
      <c r="O586" s="109"/>
      <c r="P586" s="109"/>
      <c r="Q586" s="109"/>
      <c r="R586" s="109"/>
      <c r="S586" s="109"/>
      <c r="T586" s="109"/>
      <c r="U586" s="109"/>
      <c r="V586" s="109"/>
      <c r="W586" s="109"/>
      <c r="X586" s="109"/>
      <c r="Y586" s="109"/>
      <c r="Z586" s="109"/>
    </row>
    <row r="587" spans="1:26" ht="13.5" customHeight="1">
      <c r="A587" s="109"/>
      <c r="B587" s="109"/>
      <c r="C587" s="109"/>
      <c r="D587" s="109"/>
      <c r="E587" s="109"/>
      <c r="F587" s="109"/>
      <c r="G587" s="161"/>
      <c r="H587" s="109"/>
      <c r="I587" s="109"/>
      <c r="J587" s="109"/>
      <c r="K587" s="109"/>
      <c r="L587" s="109"/>
      <c r="M587" s="109"/>
      <c r="N587" s="109"/>
      <c r="O587" s="109"/>
      <c r="P587" s="109"/>
      <c r="Q587" s="109"/>
      <c r="R587" s="109"/>
      <c r="S587" s="109"/>
      <c r="T587" s="109"/>
      <c r="U587" s="109"/>
      <c r="V587" s="109"/>
      <c r="W587" s="109"/>
      <c r="X587" s="109"/>
      <c r="Y587" s="109"/>
      <c r="Z587" s="109"/>
    </row>
    <row r="588" spans="1:26" ht="13.5" customHeight="1">
      <c r="A588" s="109"/>
      <c r="B588" s="109"/>
      <c r="C588" s="109"/>
      <c r="D588" s="109"/>
      <c r="E588" s="109"/>
      <c r="F588" s="109"/>
      <c r="G588" s="161"/>
      <c r="H588" s="109"/>
      <c r="I588" s="109"/>
      <c r="J588" s="109"/>
      <c r="K588" s="109"/>
      <c r="L588" s="109"/>
      <c r="M588" s="109"/>
      <c r="N588" s="109"/>
      <c r="O588" s="109"/>
      <c r="P588" s="109"/>
      <c r="Q588" s="109"/>
      <c r="R588" s="109"/>
      <c r="S588" s="109"/>
      <c r="T588" s="109"/>
      <c r="U588" s="109"/>
      <c r="V588" s="109"/>
      <c r="W588" s="109"/>
      <c r="X588" s="109"/>
      <c r="Y588" s="109"/>
      <c r="Z588" s="109"/>
    </row>
    <row r="589" spans="1:26" ht="13.5" customHeight="1">
      <c r="A589" s="109"/>
      <c r="B589" s="109"/>
      <c r="C589" s="109"/>
      <c r="D589" s="109"/>
      <c r="E589" s="109"/>
      <c r="F589" s="109"/>
      <c r="G589" s="161"/>
      <c r="H589" s="109"/>
      <c r="I589" s="109"/>
      <c r="J589" s="109"/>
      <c r="K589" s="109"/>
      <c r="L589" s="109"/>
      <c r="M589" s="109"/>
      <c r="N589" s="109"/>
      <c r="O589" s="109"/>
      <c r="P589" s="109"/>
      <c r="Q589" s="109"/>
      <c r="R589" s="109"/>
      <c r="S589" s="109"/>
      <c r="T589" s="109"/>
      <c r="U589" s="109"/>
      <c r="V589" s="109"/>
      <c r="W589" s="109"/>
      <c r="X589" s="109"/>
      <c r="Y589" s="109"/>
      <c r="Z589" s="109"/>
    </row>
    <row r="590" spans="1:26" ht="13.5" customHeight="1">
      <c r="A590" s="109"/>
      <c r="B590" s="109"/>
      <c r="C590" s="109"/>
      <c r="D590" s="109"/>
      <c r="E590" s="109"/>
      <c r="F590" s="109"/>
      <c r="G590" s="161"/>
      <c r="H590" s="109"/>
      <c r="I590" s="109"/>
      <c r="J590" s="109"/>
      <c r="K590" s="109"/>
      <c r="L590" s="109"/>
      <c r="M590" s="109"/>
      <c r="N590" s="109"/>
      <c r="O590" s="109"/>
      <c r="P590" s="109"/>
      <c r="Q590" s="109"/>
      <c r="R590" s="109"/>
      <c r="S590" s="109"/>
      <c r="T590" s="109"/>
      <c r="U590" s="109"/>
      <c r="V590" s="109"/>
      <c r="W590" s="109"/>
      <c r="X590" s="109"/>
      <c r="Y590" s="109"/>
      <c r="Z590" s="109"/>
    </row>
    <row r="591" spans="1:26" ht="13.5" customHeight="1">
      <c r="A591" s="109"/>
      <c r="B591" s="109"/>
      <c r="C591" s="109"/>
      <c r="D591" s="109"/>
      <c r="E591" s="109"/>
      <c r="F591" s="109"/>
      <c r="G591" s="161"/>
      <c r="H591" s="109"/>
      <c r="I591" s="109"/>
      <c r="J591" s="109"/>
      <c r="K591" s="109"/>
      <c r="L591" s="109"/>
      <c r="M591" s="109"/>
      <c r="N591" s="109"/>
      <c r="O591" s="109"/>
      <c r="P591" s="109"/>
      <c r="Q591" s="109"/>
      <c r="R591" s="109"/>
      <c r="S591" s="109"/>
      <c r="T591" s="109"/>
      <c r="U591" s="109"/>
      <c r="V591" s="109"/>
      <c r="W591" s="109"/>
      <c r="X591" s="109"/>
      <c r="Y591" s="109"/>
      <c r="Z591" s="109"/>
    </row>
    <row r="592" spans="1:26" ht="13.5" customHeight="1">
      <c r="A592" s="109"/>
      <c r="B592" s="109"/>
      <c r="C592" s="109"/>
      <c r="D592" s="109"/>
      <c r="E592" s="109"/>
      <c r="F592" s="109"/>
      <c r="G592" s="161"/>
      <c r="H592" s="109"/>
      <c r="I592" s="109"/>
      <c r="J592" s="109"/>
      <c r="K592" s="109"/>
      <c r="L592" s="109"/>
      <c r="M592" s="109"/>
      <c r="N592" s="109"/>
      <c r="O592" s="109"/>
      <c r="P592" s="109"/>
      <c r="Q592" s="109"/>
      <c r="R592" s="109"/>
      <c r="S592" s="109"/>
      <c r="T592" s="109"/>
      <c r="U592" s="109"/>
      <c r="V592" s="109"/>
      <c r="W592" s="109"/>
      <c r="X592" s="109"/>
      <c r="Y592" s="109"/>
      <c r="Z592" s="109"/>
    </row>
    <row r="593" spans="1:26" ht="13.5" customHeight="1">
      <c r="A593" s="109"/>
      <c r="B593" s="109"/>
      <c r="C593" s="109"/>
      <c r="D593" s="109"/>
      <c r="E593" s="109"/>
      <c r="F593" s="109"/>
      <c r="G593" s="161"/>
      <c r="H593" s="109"/>
      <c r="I593" s="109"/>
      <c r="J593" s="109"/>
      <c r="K593" s="109"/>
      <c r="L593" s="109"/>
      <c r="M593" s="109"/>
      <c r="N593" s="109"/>
      <c r="O593" s="109"/>
      <c r="P593" s="109"/>
      <c r="Q593" s="109"/>
      <c r="R593" s="109"/>
      <c r="S593" s="109"/>
      <c r="T593" s="109"/>
      <c r="U593" s="109"/>
      <c r="V593" s="109"/>
      <c r="W593" s="109"/>
      <c r="X593" s="109"/>
      <c r="Y593" s="109"/>
      <c r="Z593" s="109"/>
    </row>
    <row r="594" spans="1:26" ht="13.5" customHeight="1">
      <c r="A594" s="109"/>
      <c r="B594" s="109"/>
      <c r="C594" s="109"/>
      <c r="D594" s="109"/>
      <c r="E594" s="109"/>
      <c r="F594" s="109"/>
      <c r="G594" s="161"/>
      <c r="H594" s="109"/>
      <c r="I594" s="109"/>
      <c r="J594" s="109"/>
      <c r="K594" s="109"/>
      <c r="L594" s="109"/>
      <c r="M594" s="109"/>
      <c r="N594" s="109"/>
      <c r="O594" s="109"/>
      <c r="P594" s="109"/>
      <c r="Q594" s="109"/>
      <c r="R594" s="109"/>
      <c r="S594" s="109"/>
      <c r="T594" s="109"/>
      <c r="U594" s="109"/>
      <c r="V594" s="109"/>
      <c r="W594" s="109"/>
      <c r="X594" s="109"/>
      <c r="Y594" s="109"/>
      <c r="Z594" s="109"/>
    </row>
    <row r="595" spans="1:26" ht="13.5" customHeight="1">
      <c r="A595" s="109"/>
      <c r="B595" s="109"/>
      <c r="C595" s="109"/>
      <c r="D595" s="109"/>
      <c r="E595" s="109"/>
      <c r="F595" s="109"/>
      <c r="G595" s="161"/>
      <c r="H595" s="109"/>
      <c r="I595" s="109"/>
      <c r="J595" s="109"/>
      <c r="K595" s="109"/>
      <c r="L595" s="109"/>
      <c r="M595" s="109"/>
      <c r="N595" s="109"/>
      <c r="O595" s="109"/>
      <c r="P595" s="109"/>
      <c r="Q595" s="109"/>
      <c r="R595" s="109"/>
      <c r="S595" s="109"/>
      <c r="T595" s="109"/>
      <c r="U595" s="109"/>
      <c r="V595" s="109"/>
      <c r="W595" s="109"/>
      <c r="X595" s="109"/>
      <c r="Y595" s="109"/>
      <c r="Z595" s="109"/>
    </row>
    <row r="596" spans="1:26" ht="13.5" customHeight="1">
      <c r="A596" s="109"/>
      <c r="B596" s="109"/>
      <c r="C596" s="109"/>
      <c r="D596" s="109"/>
      <c r="E596" s="109"/>
      <c r="F596" s="109"/>
      <c r="G596" s="161"/>
      <c r="H596" s="109"/>
      <c r="I596" s="109"/>
      <c r="J596" s="109"/>
      <c r="K596" s="109"/>
      <c r="L596" s="109"/>
      <c r="M596" s="109"/>
      <c r="N596" s="109"/>
      <c r="O596" s="109"/>
      <c r="P596" s="109"/>
      <c r="Q596" s="109"/>
      <c r="R596" s="109"/>
      <c r="S596" s="109"/>
      <c r="T596" s="109"/>
      <c r="U596" s="109"/>
      <c r="V596" s="109"/>
      <c r="W596" s="109"/>
      <c r="X596" s="109"/>
      <c r="Y596" s="109"/>
      <c r="Z596" s="109"/>
    </row>
    <row r="597" spans="1:26" ht="13.5" customHeight="1">
      <c r="A597" s="109"/>
      <c r="B597" s="109"/>
      <c r="C597" s="109"/>
      <c r="D597" s="109"/>
      <c r="E597" s="109"/>
      <c r="F597" s="109"/>
      <c r="G597" s="161"/>
      <c r="H597" s="109"/>
      <c r="I597" s="109"/>
      <c r="J597" s="109"/>
      <c r="K597" s="109"/>
      <c r="L597" s="109"/>
      <c r="M597" s="109"/>
      <c r="N597" s="109"/>
      <c r="O597" s="109"/>
      <c r="P597" s="109"/>
      <c r="Q597" s="109"/>
      <c r="R597" s="109"/>
      <c r="S597" s="109"/>
      <c r="T597" s="109"/>
      <c r="U597" s="109"/>
      <c r="V597" s="109"/>
      <c r="W597" s="109"/>
      <c r="X597" s="109"/>
      <c r="Y597" s="109"/>
      <c r="Z597" s="109"/>
    </row>
    <row r="598" spans="1:26" ht="13.5" customHeight="1">
      <c r="A598" s="109"/>
      <c r="B598" s="109"/>
      <c r="C598" s="109"/>
      <c r="D598" s="109"/>
      <c r="E598" s="109"/>
      <c r="F598" s="109"/>
      <c r="G598" s="161"/>
      <c r="H598" s="109"/>
      <c r="I598" s="109"/>
      <c r="J598" s="109"/>
      <c r="K598" s="109"/>
      <c r="L598" s="109"/>
      <c r="M598" s="109"/>
      <c r="N598" s="109"/>
      <c r="O598" s="109"/>
      <c r="P598" s="109"/>
      <c r="Q598" s="109"/>
      <c r="R598" s="109"/>
      <c r="S598" s="109"/>
      <c r="T598" s="109"/>
      <c r="U598" s="109"/>
      <c r="V598" s="109"/>
      <c r="W598" s="109"/>
      <c r="X598" s="109"/>
      <c r="Y598" s="109"/>
      <c r="Z598" s="109"/>
    </row>
    <row r="599" spans="1:26" ht="13.5" customHeight="1">
      <c r="A599" s="109"/>
      <c r="B599" s="109"/>
      <c r="C599" s="109"/>
      <c r="D599" s="109"/>
      <c r="E599" s="109"/>
      <c r="F599" s="109"/>
      <c r="G599" s="161"/>
      <c r="H599" s="109"/>
      <c r="I599" s="109"/>
      <c r="J599" s="109"/>
      <c r="K599" s="109"/>
      <c r="L599" s="109"/>
      <c r="M599" s="109"/>
      <c r="N599" s="109"/>
      <c r="O599" s="109"/>
      <c r="P599" s="109"/>
      <c r="Q599" s="109"/>
      <c r="R599" s="109"/>
      <c r="S599" s="109"/>
      <c r="T599" s="109"/>
      <c r="U599" s="109"/>
      <c r="V599" s="109"/>
      <c r="W599" s="109"/>
      <c r="X599" s="109"/>
      <c r="Y599" s="109"/>
      <c r="Z599" s="109"/>
    </row>
    <row r="600" spans="1:26" ht="13.5" customHeight="1">
      <c r="A600" s="109"/>
      <c r="B600" s="109"/>
      <c r="C600" s="109"/>
      <c r="D600" s="109"/>
      <c r="E600" s="109"/>
      <c r="F600" s="109"/>
      <c r="G600" s="161"/>
      <c r="H600" s="109"/>
      <c r="I600" s="109"/>
      <c r="J600" s="109"/>
      <c r="K600" s="109"/>
      <c r="L600" s="109"/>
      <c r="M600" s="109"/>
      <c r="N600" s="109"/>
      <c r="O600" s="109"/>
      <c r="P600" s="109"/>
      <c r="Q600" s="109"/>
      <c r="R600" s="109"/>
      <c r="S600" s="109"/>
      <c r="T600" s="109"/>
      <c r="U600" s="109"/>
      <c r="V600" s="109"/>
      <c r="W600" s="109"/>
      <c r="X600" s="109"/>
      <c r="Y600" s="109"/>
      <c r="Z600" s="109"/>
    </row>
    <row r="601" spans="1:26" ht="13.5" customHeight="1">
      <c r="A601" s="109"/>
      <c r="B601" s="109"/>
      <c r="C601" s="109"/>
      <c r="D601" s="109"/>
      <c r="E601" s="109"/>
      <c r="F601" s="109"/>
      <c r="G601" s="161"/>
      <c r="H601" s="109"/>
      <c r="I601" s="109"/>
      <c r="J601" s="109"/>
      <c r="K601" s="109"/>
      <c r="L601" s="109"/>
      <c r="M601" s="109"/>
      <c r="N601" s="109"/>
      <c r="O601" s="109"/>
      <c r="P601" s="109"/>
      <c r="Q601" s="109"/>
      <c r="R601" s="109"/>
      <c r="S601" s="109"/>
      <c r="T601" s="109"/>
      <c r="U601" s="109"/>
      <c r="V601" s="109"/>
      <c r="W601" s="109"/>
      <c r="X601" s="109"/>
      <c r="Y601" s="109"/>
      <c r="Z601" s="109"/>
    </row>
    <row r="602" spans="1:26" ht="13.5" customHeight="1">
      <c r="A602" s="109"/>
      <c r="B602" s="109"/>
      <c r="C602" s="109"/>
      <c r="D602" s="109"/>
      <c r="E602" s="109"/>
      <c r="F602" s="109"/>
      <c r="G602" s="161"/>
      <c r="H602" s="109"/>
      <c r="I602" s="109"/>
      <c r="J602" s="109"/>
      <c r="K602" s="109"/>
      <c r="L602" s="109"/>
      <c r="M602" s="109"/>
      <c r="N602" s="109"/>
      <c r="O602" s="109"/>
      <c r="P602" s="109"/>
      <c r="Q602" s="109"/>
      <c r="R602" s="109"/>
      <c r="S602" s="109"/>
      <c r="T602" s="109"/>
      <c r="U602" s="109"/>
      <c r="V602" s="109"/>
      <c r="W602" s="109"/>
      <c r="X602" s="109"/>
      <c r="Y602" s="109"/>
      <c r="Z602" s="109"/>
    </row>
    <row r="603" spans="1:26" ht="13.5" customHeight="1">
      <c r="A603" s="109"/>
      <c r="B603" s="109"/>
      <c r="C603" s="109"/>
      <c r="D603" s="109"/>
      <c r="E603" s="109"/>
      <c r="F603" s="109"/>
      <c r="G603" s="161"/>
      <c r="H603" s="109"/>
      <c r="I603" s="109"/>
      <c r="J603" s="109"/>
      <c r="K603" s="109"/>
      <c r="L603" s="109"/>
      <c r="M603" s="109"/>
      <c r="N603" s="109"/>
      <c r="O603" s="109"/>
      <c r="P603" s="109"/>
      <c r="Q603" s="109"/>
      <c r="R603" s="109"/>
      <c r="S603" s="109"/>
      <c r="T603" s="109"/>
      <c r="U603" s="109"/>
      <c r="V603" s="109"/>
      <c r="W603" s="109"/>
      <c r="X603" s="109"/>
      <c r="Y603" s="109"/>
      <c r="Z603" s="109"/>
    </row>
    <row r="604" spans="1:26" ht="13.5" customHeight="1">
      <c r="A604" s="109"/>
      <c r="B604" s="109"/>
      <c r="C604" s="109"/>
      <c r="D604" s="109"/>
      <c r="E604" s="109"/>
      <c r="F604" s="109"/>
      <c r="G604" s="161"/>
      <c r="H604" s="109"/>
      <c r="I604" s="109"/>
      <c r="J604" s="109"/>
      <c r="K604" s="109"/>
      <c r="L604" s="109"/>
      <c r="M604" s="109"/>
      <c r="N604" s="109"/>
      <c r="O604" s="109"/>
      <c r="P604" s="109"/>
      <c r="Q604" s="109"/>
      <c r="R604" s="109"/>
      <c r="S604" s="109"/>
      <c r="T604" s="109"/>
      <c r="U604" s="109"/>
      <c r="V604" s="109"/>
      <c r="W604" s="109"/>
      <c r="X604" s="109"/>
      <c r="Y604" s="109"/>
      <c r="Z604" s="109"/>
    </row>
    <row r="605" spans="1:26" ht="13.5" customHeight="1">
      <c r="A605" s="109"/>
      <c r="B605" s="109"/>
      <c r="C605" s="109"/>
      <c r="D605" s="109"/>
      <c r="E605" s="109"/>
      <c r="F605" s="109"/>
      <c r="G605" s="161"/>
      <c r="H605" s="109"/>
      <c r="I605" s="109"/>
      <c r="J605" s="109"/>
      <c r="K605" s="109"/>
      <c r="L605" s="109"/>
      <c r="M605" s="109"/>
      <c r="N605" s="109"/>
      <c r="O605" s="109"/>
      <c r="P605" s="109"/>
      <c r="Q605" s="109"/>
      <c r="R605" s="109"/>
      <c r="S605" s="109"/>
      <c r="T605" s="109"/>
      <c r="U605" s="109"/>
      <c r="V605" s="109"/>
      <c r="W605" s="109"/>
      <c r="X605" s="109"/>
      <c r="Y605" s="109"/>
      <c r="Z605" s="109"/>
    </row>
    <row r="606" spans="1:26" ht="13.5" customHeight="1">
      <c r="A606" s="109"/>
      <c r="B606" s="109"/>
      <c r="C606" s="109"/>
      <c r="D606" s="109"/>
      <c r="E606" s="109"/>
      <c r="F606" s="109"/>
      <c r="G606" s="161"/>
      <c r="H606" s="109"/>
      <c r="I606" s="109"/>
      <c r="J606" s="109"/>
      <c r="K606" s="109"/>
      <c r="L606" s="109"/>
      <c r="M606" s="109"/>
      <c r="N606" s="109"/>
      <c r="O606" s="109"/>
      <c r="P606" s="109"/>
      <c r="Q606" s="109"/>
      <c r="R606" s="109"/>
      <c r="S606" s="109"/>
      <c r="T606" s="109"/>
      <c r="U606" s="109"/>
      <c r="V606" s="109"/>
      <c r="W606" s="109"/>
      <c r="X606" s="109"/>
      <c r="Y606" s="109"/>
      <c r="Z606" s="109"/>
    </row>
    <row r="607" spans="1:26" ht="13.5" customHeight="1">
      <c r="A607" s="109"/>
      <c r="B607" s="109"/>
      <c r="C607" s="109"/>
      <c r="D607" s="109"/>
      <c r="E607" s="109"/>
      <c r="F607" s="109"/>
      <c r="G607" s="161"/>
      <c r="H607" s="109"/>
      <c r="I607" s="109"/>
      <c r="J607" s="109"/>
      <c r="K607" s="109"/>
      <c r="L607" s="109"/>
      <c r="M607" s="109"/>
      <c r="N607" s="109"/>
      <c r="O607" s="109"/>
      <c r="P607" s="109"/>
      <c r="Q607" s="109"/>
      <c r="R607" s="109"/>
      <c r="S607" s="109"/>
      <c r="T607" s="109"/>
      <c r="U607" s="109"/>
      <c r="V607" s="109"/>
      <c r="W607" s="109"/>
      <c r="X607" s="109"/>
      <c r="Y607" s="109"/>
      <c r="Z607" s="109"/>
    </row>
    <row r="608" spans="1:26" ht="13.5" customHeight="1">
      <c r="A608" s="109"/>
      <c r="B608" s="109"/>
      <c r="C608" s="109"/>
      <c r="D608" s="109"/>
      <c r="E608" s="109"/>
      <c r="F608" s="109"/>
      <c r="G608" s="161"/>
      <c r="H608" s="109"/>
      <c r="I608" s="109"/>
      <c r="J608" s="109"/>
      <c r="K608" s="109"/>
      <c r="L608" s="109"/>
      <c r="M608" s="109"/>
      <c r="N608" s="109"/>
      <c r="O608" s="109"/>
      <c r="P608" s="109"/>
      <c r="Q608" s="109"/>
      <c r="R608" s="109"/>
      <c r="S608" s="109"/>
      <c r="T608" s="109"/>
      <c r="U608" s="109"/>
      <c r="V608" s="109"/>
      <c r="W608" s="109"/>
      <c r="X608" s="109"/>
      <c r="Y608" s="109"/>
      <c r="Z608" s="109"/>
    </row>
    <row r="609" spans="1:26" ht="13.5" customHeight="1">
      <c r="A609" s="109"/>
      <c r="B609" s="109"/>
      <c r="C609" s="109"/>
      <c r="D609" s="109"/>
      <c r="E609" s="109"/>
      <c r="F609" s="109"/>
      <c r="G609" s="161"/>
      <c r="H609" s="109"/>
      <c r="I609" s="109"/>
      <c r="J609" s="109"/>
      <c r="K609" s="109"/>
      <c r="L609" s="109"/>
      <c r="M609" s="109"/>
      <c r="N609" s="109"/>
      <c r="O609" s="109"/>
      <c r="P609" s="109"/>
      <c r="Q609" s="109"/>
      <c r="R609" s="109"/>
      <c r="S609" s="109"/>
      <c r="T609" s="109"/>
      <c r="U609" s="109"/>
      <c r="V609" s="109"/>
      <c r="W609" s="109"/>
      <c r="X609" s="109"/>
      <c r="Y609" s="109"/>
      <c r="Z609" s="109"/>
    </row>
    <row r="610" spans="1:26" ht="13.5" customHeight="1">
      <c r="A610" s="109"/>
      <c r="B610" s="109"/>
      <c r="C610" s="109"/>
      <c r="D610" s="109"/>
      <c r="E610" s="109"/>
      <c r="F610" s="109"/>
      <c r="G610" s="161"/>
      <c r="H610" s="109"/>
      <c r="I610" s="109"/>
      <c r="J610" s="109"/>
      <c r="K610" s="109"/>
      <c r="L610" s="109"/>
      <c r="M610" s="109"/>
      <c r="N610" s="109"/>
      <c r="O610" s="109"/>
      <c r="P610" s="109"/>
      <c r="Q610" s="109"/>
      <c r="R610" s="109"/>
      <c r="S610" s="109"/>
      <c r="T610" s="109"/>
      <c r="U610" s="109"/>
      <c r="V610" s="109"/>
      <c r="W610" s="109"/>
      <c r="X610" s="109"/>
      <c r="Y610" s="109"/>
      <c r="Z610" s="109"/>
    </row>
    <row r="611" spans="1:26" ht="13.5" customHeight="1">
      <c r="A611" s="109"/>
      <c r="B611" s="109"/>
      <c r="C611" s="109"/>
      <c r="D611" s="109"/>
      <c r="E611" s="109"/>
      <c r="F611" s="109"/>
      <c r="G611" s="161"/>
      <c r="H611" s="109"/>
      <c r="I611" s="109"/>
      <c r="J611" s="109"/>
      <c r="K611" s="109"/>
      <c r="L611" s="109"/>
      <c r="M611" s="109"/>
      <c r="N611" s="109"/>
      <c r="O611" s="109"/>
      <c r="P611" s="109"/>
      <c r="Q611" s="109"/>
      <c r="R611" s="109"/>
      <c r="S611" s="109"/>
      <c r="T611" s="109"/>
      <c r="U611" s="109"/>
      <c r="V611" s="109"/>
      <c r="W611" s="109"/>
      <c r="X611" s="109"/>
      <c r="Y611" s="109"/>
      <c r="Z611" s="109"/>
    </row>
    <row r="612" spans="1:26" ht="13.5" customHeight="1">
      <c r="A612" s="109"/>
      <c r="B612" s="109"/>
      <c r="C612" s="109"/>
      <c r="D612" s="109"/>
      <c r="E612" s="109"/>
      <c r="F612" s="109"/>
      <c r="G612" s="161"/>
      <c r="H612" s="109"/>
      <c r="I612" s="109"/>
      <c r="J612" s="109"/>
      <c r="K612" s="109"/>
      <c r="L612" s="109"/>
      <c r="M612" s="109"/>
      <c r="N612" s="109"/>
      <c r="O612" s="109"/>
      <c r="P612" s="109"/>
      <c r="Q612" s="109"/>
      <c r="R612" s="109"/>
      <c r="S612" s="109"/>
      <c r="T612" s="109"/>
      <c r="U612" s="109"/>
      <c r="V612" s="109"/>
      <c r="W612" s="109"/>
      <c r="X612" s="109"/>
      <c r="Y612" s="109"/>
      <c r="Z612" s="109"/>
    </row>
    <row r="613" spans="1:26" ht="13.5" customHeight="1">
      <c r="A613" s="109"/>
      <c r="B613" s="109"/>
      <c r="C613" s="109"/>
      <c r="D613" s="109"/>
      <c r="E613" s="109"/>
      <c r="F613" s="109"/>
      <c r="G613" s="161"/>
      <c r="H613" s="109"/>
      <c r="I613" s="109"/>
      <c r="J613" s="109"/>
      <c r="K613" s="109"/>
      <c r="L613" s="109"/>
      <c r="M613" s="109"/>
      <c r="N613" s="109"/>
      <c r="O613" s="109"/>
      <c r="P613" s="109"/>
      <c r="Q613" s="109"/>
      <c r="R613" s="109"/>
      <c r="S613" s="109"/>
      <c r="T613" s="109"/>
      <c r="U613" s="109"/>
      <c r="V613" s="109"/>
      <c r="W613" s="109"/>
      <c r="X613" s="109"/>
      <c r="Y613" s="109"/>
      <c r="Z613" s="109"/>
    </row>
    <row r="614" spans="1:26" ht="13.5" customHeight="1">
      <c r="A614" s="109"/>
      <c r="B614" s="109"/>
      <c r="C614" s="109"/>
      <c r="D614" s="109"/>
      <c r="E614" s="109"/>
      <c r="F614" s="109"/>
      <c r="G614" s="161"/>
      <c r="H614" s="109"/>
      <c r="I614" s="109"/>
      <c r="J614" s="109"/>
      <c r="K614" s="109"/>
      <c r="L614" s="109"/>
      <c r="M614" s="109"/>
      <c r="N614" s="109"/>
      <c r="O614" s="109"/>
      <c r="P614" s="109"/>
      <c r="Q614" s="109"/>
      <c r="R614" s="109"/>
      <c r="S614" s="109"/>
      <c r="T614" s="109"/>
      <c r="U614" s="109"/>
      <c r="V614" s="109"/>
      <c r="W614" s="109"/>
      <c r="X614" s="109"/>
      <c r="Y614" s="109"/>
      <c r="Z614" s="109"/>
    </row>
    <row r="615" spans="1:26" ht="13.5" customHeight="1">
      <c r="A615" s="109"/>
      <c r="B615" s="109"/>
      <c r="C615" s="109"/>
      <c r="D615" s="109"/>
      <c r="E615" s="109"/>
      <c r="F615" s="109"/>
      <c r="G615" s="161"/>
      <c r="H615" s="109"/>
      <c r="I615" s="109"/>
      <c r="J615" s="109"/>
      <c r="K615" s="109"/>
      <c r="L615" s="109"/>
      <c r="M615" s="109"/>
      <c r="N615" s="109"/>
      <c r="O615" s="109"/>
      <c r="P615" s="109"/>
      <c r="Q615" s="109"/>
      <c r="R615" s="109"/>
      <c r="S615" s="109"/>
      <c r="T615" s="109"/>
      <c r="U615" s="109"/>
      <c r="V615" s="109"/>
      <c r="W615" s="109"/>
      <c r="X615" s="109"/>
      <c r="Y615" s="109"/>
      <c r="Z615" s="109"/>
    </row>
    <row r="616" spans="1:26" ht="13.5" customHeight="1">
      <c r="A616" s="109"/>
      <c r="B616" s="109"/>
      <c r="C616" s="109"/>
      <c r="D616" s="109"/>
      <c r="E616" s="109"/>
      <c r="F616" s="109"/>
      <c r="G616" s="161"/>
      <c r="H616" s="109"/>
      <c r="I616" s="109"/>
      <c r="J616" s="109"/>
      <c r="K616" s="109"/>
      <c r="L616" s="109"/>
      <c r="M616" s="109"/>
      <c r="N616" s="109"/>
      <c r="O616" s="109"/>
      <c r="P616" s="109"/>
      <c r="Q616" s="109"/>
      <c r="R616" s="109"/>
      <c r="S616" s="109"/>
      <c r="T616" s="109"/>
      <c r="U616" s="109"/>
      <c r="V616" s="109"/>
      <c r="W616" s="109"/>
      <c r="X616" s="109"/>
      <c r="Y616" s="109"/>
      <c r="Z616" s="109"/>
    </row>
    <row r="617" spans="1:26" ht="13.5" customHeight="1">
      <c r="A617" s="109"/>
      <c r="B617" s="109"/>
      <c r="C617" s="109"/>
      <c r="D617" s="109"/>
      <c r="E617" s="109"/>
      <c r="F617" s="109"/>
      <c r="G617" s="161"/>
      <c r="H617" s="109"/>
      <c r="I617" s="109"/>
      <c r="J617" s="109"/>
      <c r="K617" s="109"/>
      <c r="L617" s="109"/>
      <c r="M617" s="109"/>
      <c r="N617" s="109"/>
      <c r="O617" s="109"/>
      <c r="P617" s="109"/>
      <c r="Q617" s="109"/>
      <c r="R617" s="109"/>
      <c r="S617" s="109"/>
      <c r="T617" s="109"/>
      <c r="U617" s="109"/>
      <c r="V617" s="109"/>
      <c r="W617" s="109"/>
      <c r="X617" s="109"/>
      <c r="Y617" s="109"/>
      <c r="Z617" s="109"/>
    </row>
    <row r="618" spans="1:26" ht="13.5" customHeight="1">
      <c r="A618" s="109"/>
      <c r="B618" s="109"/>
      <c r="C618" s="109"/>
      <c r="D618" s="109"/>
      <c r="E618" s="109"/>
      <c r="F618" s="109"/>
      <c r="G618" s="161"/>
      <c r="H618" s="109"/>
      <c r="I618" s="109"/>
      <c r="J618" s="109"/>
      <c r="K618" s="109"/>
      <c r="L618" s="109"/>
      <c r="M618" s="109"/>
      <c r="N618" s="109"/>
      <c r="O618" s="109"/>
      <c r="P618" s="109"/>
      <c r="Q618" s="109"/>
      <c r="R618" s="109"/>
      <c r="S618" s="109"/>
      <c r="T618" s="109"/>
      <c r="U618" s="109"/>
      <c r="V618" s="109"/>
      <c r="W618" s="109"/>
      <c r="X618" s="109"/>
      <c r="Y618" s="109"/>
      <c r="Z618" s="109"/>
    </row>
    <row r="619" spans="1:26" ht="13.5" customHeight="1">
      <c r="A619" s="109"/>
      <c r="B619" s="109"/>
      <c r="C619" s="109"/>
      <c r="D619" s="109"/>
      <c r="E619" s="109"/>
      <c r="F619" s="109"/>
      <c r="G619" s="161"/>
      <c r="H619" s="109"/>
      <c r="I619" s="109"/>
      <c r="J619" s="109"/>
      <c r="K619" s="109"/>
      <c r="L619" s="109"/>
      <c r="M619" s="109"/>
      <c r="N619" s="109"/>
      <c r="O619" s="109"/>
      <c r="P619" s="109"/>
      <c r="Q619" s="109"/>
      <c r="R619" s="109"/>
      <c r="S619" s="109"/>
      <c r="T619" s="109"/>
      <c r="U619" s="109"/>
      <c r="V619" s="109"/>
      <c r="W619" s="109"/>
      <c r="X619" s="109"/>
      <c r="Y619" s="109"/>
      <c r="Z619" s="109"/>
    </row>
    <row r="620" spans="1:26" ht="13.5" customHeight="1">
      <c r="A620" s="109"/>
      <c r="B620" s="109"/>
      <c r="C620" s="109"/>
      <c r="D620" s="109"/>
      <c r="E620" s="109"/>
      <c r="F620" s="109"/>
      <c r="G620" s="161"/>
      <c r="H620" s="109"/>
      <c r="I620" s="109"/>
      <c r="J620" s="109"/>
      <c r="K620" s="109"/>
      <c r="L620" s="109"/>
      <c r="M620" s="109"/>
      <c r="N620" s="109"/>
      <c r="O620" s="109"/>
      <c r="P620" s="109"/>
      <c r="Q620" s="109"/>
      <c r="R620" s="109"/>
      <c r="S620" s="109"/>
      <c r="T620" s="109"/>
      <c r="U620" s="109"/>
      <c r="V620" s="109"/>
      <c r="W620" s="109"/>
      <c r="X620" s="109"/>
      <c r="Y620" s="109"/>
      <c r="Z620" s="109"/>
    </row>
    <row r="621" spans="1:26" ht="13.5" customHeight="1">
      <c r="A621" s="109"/>
      <c r="B621" s="109"/>
      <c r="C621" s="109"/>
      <c r="D621" s="109"/>
      <c r="E621" s="109"/>
      <c r="F621" s="109"/>
      <c r="G621" s="161"/>
      <c r="H621" s="109"/>
      <c r="I621" s="109"/>
      <c r="J621" s="109"/>
      <c r="K621" s="109"/>
      <c r="L621" s="109"/>
      <c r="M621" s="109"/>
      <c r="N621" s="109"/>
      <c r="O621" s="109"/>
      <c r="P621" s="109"/>
      <c r="Q621" s="109"/>
      <c r="R621" s="109"/>
      <c r="S621" s="109"/>
      <c r="T621" s="109"/>
      <c r="U621" s="109"/>
      <c r="V621" s="109"/>
      <c r="W621" s="109"/>
      <c r="X621" s="109"/>
      <c r="Y621" s="109"/>
      <c r="Z621" s="109"/>
    </row>
    <row r="622" spans="1:26" ht="13.5" customHeight="1">
      <c r="A622" s="109"/>
      <c r="B622" s="109"/>
      <c r="C622" s="109"/>
      <c r="D622" s="109"/>
      <c r="E622" s="109"/>
      <c r="F622" s="109"/>
      <c r="G622" s="161"/>
      <c r="H622" s="109"/>
      <c r="I622" s="109"/>
      <c r="J622" s="109"/>
      <c r="K622" s="109"/>
      <c r="L622" s="109"/>
      <c r="M622" s="109"/>
      <c r="N622" s="109"/>
      <c r="O622" s="109"/>
      <c r="P622" s="109"/>
      <c r="Q622" s="109"/>
      <c r="R622" s="109"/>
      <c r="S622" s="109"/>
      <c r="T622" s="109"/>
      <c r="U622" s="109"/>
      <c r="V622" s="109"/>
      <c r="W622" s="109"/>
      <c r="X622" s="109"/>
      <c r="Y622" s="109"/>
      <c r="Z622" s="109"/>
    </row>
    <row r="623" spans="1:26" ht="13.5" customHeight="1">
      <c r="A623" s="109"/>
      <c r="B623" s="109"/>
      <c r="C623" s="109"/>
      <c r="D623" s="109"/>
      <c r="E623" s="109"/>
      <c r="F623" s="109"/>
      <c r="G623" s="161"/>
      <c r="H623" s="109"/>
      <c r="I623" s="109"/>
      <c r="J623" s="109"/>
      <c r="K623" s="109"/>
      <c r="L623" s="109"/>
      <c r="M623" s="109"/>
      <c r="N623" s="109"/>
      <c r="O623" s="109"/>
      <c r="P623" s="109"/>
      <c r="Q623" s="109"/>
      <c r="R623" s="109"/>
      <c r="S623" s="109"/>
      <c r="T623" s="109"/>
      <c r="U623" s="109"/>
      <c r="V623" s="109"/>
      <c r="W623" s="109"/>
      <c r="X623" s="109"/>
      <c r="Y623" s="109"/>
      <c r="Z623" s="109"/>
    </row>
    <row r="624" spans="1:26" ht="13.5" customHeight="1">
      <c r="A624" s="109"/>
      <c r="B624" s="109"/>
      <c r="C624" s="109"/>
      <c r="D624" s="109"/>
      <c r="E624" s="109"/>
      <c r="F624" s="109"/>
      <c r="G624" s="161"/>
      <c r="H624" s="109"/>
      <c r="I624" s="109"/>
      <c r="J624" s="109"/>
      <c r="K624" s="109"/>
      <c r="L624" s="109"/>
      <c r="M624" s="109"/>
      <c r="N624" s="109"/>
      <c r="O624" s="109"/>
      <c r="P624" s="109"/>
      <c r="Q624" s="109"/>
      <c r="R624" s="109"/>
      <c r="S624" s="109"/>
      <c r="T624" s="109"/>
      <c r="U624" s="109"/>
      <c r="V624" s="109"/>
      <c r="W624" s="109"/>
      <c r="X624" s="109"/>
      <c r="Y624" s="109"/>
      <c r="Z624" s="109"/>
    </row>
    <row r="625" spans="1:26" ht="13.5" customHeight="1">
      <c r="A625" s="109"/>
      <c r="B625" s="109"/>
      <c r="C625" s="109"/>
      <c r="D625" s="109"/>
      <c r="E625" s="109"/>
      <c r="F625" s="109"/>
      <c r="G625" s="161"/>
      <c r="H625" s="109"/>
      <c r="I625" s="109"/>
      <c r="J625" s="109"/>
      <c r="K625" s="109"/>
      <c r="L625" s="109"/>
      <c r="M625" s="109"/>
      <c r="N625" s="109"/>
      <c r="O625" s="109"/>
      <c r="P625" s="109"/>
      <c r="Q625" s="109"/>
      <c r="R625" s="109"/>
      <c r="S625" s="109"/>
      <c r="T625" s="109"/>
      <c r="U625" s="109"/>
      <c r="V625" s="109"/>
      <c r="W625" s="109"/>
      <c r="X625" s="109"/>
      <c r="Y625" s="109"/>
      <c r="Z625" s="109"/>
    </row>
    <row r="626" spans="1:26" ht="13.5" customHeight="1">
      <c r="A626" s="109"/>
      <c r="B626" s="109"/>
      <c r="C626" s="109"/>
      <c r="D626" s="109"/>
      <c r="E626" s="109"/>
      <c r="F626" s="109"/>
      <c r="G626" s="161"/>
      <c r="H626" s="109"/>
      <c r="I626" s="109"/>
      <c r="J626" s="109"/>
      <c r="K626" s="109"/>
      <c r="L626" s="109"/>
      <c r="M626" s="109"/>
      <c r="N626" s="109"/>
      <c r="O626" s="109"/>
      <c r="P626" s="109"/>
      <c r="Q626" s="109"/>
      <c r="R626" s="109"/>
      <c r="S626" s="109"/>
      <c r="T626" s="109"/>
      <c r="U626" s="109"/>
      <c r="V626" s="109"/>
      <c r="W626" s="109"/>
      <c r="X626" s="109"/>
      <c r="Y626" s="109"/>
      <c r="Z626" s="109"/>
    </row>
    <row r="627" spans="1:26" ht="13.5" customHeight="1">
      <c r="A627" s="109"/>
      <c r="B627" s="109"/>
      <c r="C627" s="109"/>
      <c r="D627" s="109"/>
      <c r="E627" s="109"/>
      <c r="F627" s="109"/>
      <c r="G627" s="161"/>
      <c r="H627" s="109"/>
      <c r="I627" s="109"/>
      <c r="J627" s="109"/>
      <c r="K627" s="109"/>
      <c r="L627" s="109"/>
      <c r="M627" s="109"/>
      <c r="N627" s="109"/>
      <c r="O627" s="109"/>
      <c r="P627" s="109"/>
      <c r="Q627" s="109"/>
      <c r="R627" s="109"/>
      <c r="S627" s="109"/>
      <c r="T627" s="109"/>
      <c r="U627" s="109"/>
      <c r="V627" s="109"/>
      <c r="W627" s="109"/>
      <c r="X627" s="109"/>
      <c r="Y627" s="109"/>
      <c r="Z627" s="109"/>
    </row>
    <row r="628" spans="1:26" ht="13.5" customHeight="1">
      <c r="A628" s="109"/>
      <c r="B628" s="109"/>
      <c r="C628" s="109"/>
      <c r="D628" s="109"/>
      <c r="E628" s="109"/>
      <c r="F628" s="109"/>
      <c r="G628" s="161"/>
      <c r="H628" s="109"/>
      <c r="I628" s="109"/>
      <c r="J628" s="109"/>
      <c r="K628" s="109"/>
      <c r="L628" s="109"/>
      <c r="M628" s="109"/>
      <c r="N628" s="109"/>
      <c r="O628" s="109"/>
      <c r="P628" s="109"/>
      <c r="Q628" s="109"/>
      <c r="R628" s="109"/>
      <c r="S628" s="109"/>
      <c r="T628" s="109"/>
      <c r="U628" s="109"/>
      <c r="V628" s="109"/>
      <c r="W628" s="109"/>
      <c r="X628" s="109"/>
      <c r="Y628" s="109"/>
      <c r="Z628" s="109"/>
    </row>
    <row r="629" spans="1:26" ht="13.5" customHeight="1">
      <c r="A629" s="109"/>
      <c r="B629" s="109"/>
      <c r="C629" s="109"/>
      <c r="D629" s="109"/>
      <c r="E629" s="109"/>
      <c r="F629" s="109"/>
      <c r="G629" s="161"/>
      <c r="H629" s="109"/>
      <c r="I629" s="109"/>
      <c r="J629" s="109"/>
      <c r="K629" s="109"/>
      <c r="L629" s="109"/>
      <c r="M629" s="109"/>
      <c r="N629" s="109"/>
      <c r="O629" s="109"/>
      <c r="P629" s="109"/>
      <c r="Q629" s="109"/>
      <c r="R629" s="109"/>
      <c r="S629" s="109"/>
      <c r="T629" s="109"/>
      <c r="U629" s="109"/>
      <c r="V629" s="109"/>
      <c r="W629" s="109"/>
      <c r="X629" s="109"/>
      <c r="Y629" s="109"/>
      <c r="Z629" s="109"/>
    </row>
    <row r="630" spans="1:26" ht="13.5" customHeight="1">
      <c r="A630" s="109"/>
      <c r="B630" s="109"/>
      <c r="C630" s="109"/>
      <c r="D630" s="109"/>
      <c r="E630" s="109"/>
      <c r="F630" s="109"/>
      <c r="G630" s="161"/>
      <c r="H630" s="109"/>
      <c r="I630" s="109"/>
      <c r="J630" s="109"/>
      <c r="K630" s="109"/>
      <c r="L630" s="109"/>
      <c r="M630" s="109"/>
      <c r="N630" s="109"/>
      <c r="O630" s="109"/>
      <c r="P630" s="109"/>
      <c r="Q630" s="109"/>
      <c r="R630" s="109"/>
      <c r="S630" s="109"/>
      <c r="T630" s="109"/>
      <c r="U630" s="109"/>
      <c r="V630" s="109"/>
      <c r="W630" s="109"/>
      <c r="X630" s="109"/>
      <c r="Y630" s="109"/>
      <c r="Z630" s="109"/>
    </row>
    <row r="631" spans="1:26" ht="13.5" customHeight="1">
      <c r="A631" s="109"/>
      <c r="B631" s="109"/>
      <c r="C631" s="109"/>
      <c r="D631" s="109"/>
      <c r="E631" s="109"/>
      <c r="F631" s="109"/>
      <c r="G631" s="161"/>
      <c r="H631" s="109"/>
      <c r="I631" s="109"/>
      <c r="J631" s="109"/>
      <c r="K631" s="109"/>
      <c r="L631" s="109"/>
      <c r="M631" s="109"/>
      <c r="N631" s="109"/>
      <c r="O631" s="109"/>
      <c r="P631" s="109"/>
      <c r="Q631" s="109"/>
      <c r="R631" s="109"/>
      <c r="S631" s="109"/>
      <c r="T631" s="109"/>
      <c r="U631" s="109"/>
      <c r="V631" s="109"/>
      <c r="W631" s="109"/>
      <c r="X631" s="109"/>
      <c r="Y631" s="109"/>
      <c r="Z631" s="109"/>
    </row>
    <row r="632" spans="1:26" ht="13.5" customHeight="1">
      <c r="A632" s="109"/>
      <c r="B632" s="109"/>
      <c r="C632" s="109"/>
      <c r="D632" s="109"/>
      <c r="E632" s="109"/>
      <c r="F632" s="109"/>
      <c r="G632" s="161"/>
      <c r="H632" s="109"/>
      <c r="I632" s="109"/>
      <c r="J632" s="109"/>
      <c r="K632" s="109"/>
      <c r="L632" s="109"/>
      <c r="M632" s="109"/>
      <c r="N632" s="109"/>
      <c r="O632" s="109"/>
      <c r="P632" s="109"/>
      <c r="Q632" s="109"/>
      <c r="R632" s="109"/>
      <c r="S632" s="109"/>
      <c r="T632" s="109"/>
      <c r="U632" s="109"/>
      <c r="V632" s="109"/>
      <c r="W632" s="109"/>
      <c r="X632" s="109"/>
      <c r="Y632" s="109"/>
      <c r="Z632" s="109"/>
    </row>
    <row r="633" spans="1:26" ht="13.5" customHeight="1">
      <c r="A633" s="109"/>
      <c r="B633" s="109"/>
      <c r="C633" s="109"/>
      <c r="D633" s="109"/>
      <c r="E633" s="109"/>
      <c r="F633" s="109"/>
      <c r="G633" s="161"/>
      <c r="H633" s="109"/>
      <c r="I633" s="109"/>
      <c r="J633" s="109"/>
      <c r="K633" s="109"/>
      <c r="L633" s="109"/>
      <c r="M633" s="109"/>
      <c r="N633" s="109"/>
      <c r="O633" s="109"/>
      <c r="P633" s="109"/>
      <c r="Q633" s="109"/>
      <c r="R633" s="109"/>
      <c r="S633" s="109"/>
      <c r="T633" s="109"/>
      <c r="U633" s="109"/>
      <c r="V633" s="109"/>
      <c r="W633" s="109"/>
      <c r="X633" s="109"/>
      <c r="Y633" s="109"/>
      <c r="Z633" s="109"/>
    </row>
    <row r="634" spans="1:26" ht="13.5" customHeight="1">
      <c r="A634" s="109"/>
      <c r="B634" s="109"/>
      <c r="C634" s="109"/>
      <c r="D634" s="109"/>
      <c r="E634" s="109"/>
      <c r="F634" s="109"/>
      <c r="G634" s="161"/>
      <c r="H634" s="109"/>
      <c r="I634" s="109"/>
      <c r="J634" s="109"/>
      <c r="K634" s="109"/>
      <c r="L634" s="109"/>
      <c r="M634" s="109"/>
      <c r="N634" s="109"/>
      <c r="O634" s="109"/>
      <c r="P634" s="109"/>
      <c r="Q634" s="109"/>
      <c r="R634" s="109"/>
      <c r="S634" s="109"/>
      <c r="T634" s="109"/>
      <c r="U634" s="109"/>
      <c r="V634" s="109"/>
      <c r="W634" s="109"/>
      <c r="X634" s="109"/>
      <c r="Y634" s="109"/>
      <c r="Z634" s="109"/>
    </row>
    <row r="635" spans="1:26" ht="13.5" customHeight="1">
      <c r="A635" s="109"/>
      <c r="B635" s="109"/>
      <c r="C635" s="109"/>
      <c r="D635" s="109"/>
      <c r="E635" s="109"/>
      <c r="F635" s="109"/>
      <c r="G635" s="161"/>
      <c r="H635" s="109"/>
      <c r="I635" s="109"/>
      <c r="J635" s="109"/>
      <c r="K635" s="109"/>
      <c r="L635" s="109"/>
      <c r="M635" s="109"/>
      <c r="N635" s="109"/>
      <c r="O635" s="109"/>
      <c r="P635" s="109"/>
      <c r="Q635" s="109"/>
      <c r="R635" s="109"/>
      <c r="S635" s="109"/>
      <c r="T635" s="109"/>
      <c r="U635" s="109"/>
      <c r="V635" s="109"/>
      <c r="W635" s="109"/>
      <c r="X635" s="109"/>
      <c r="Y635" s="109"/>
      <c r="Z635" s="109"/>
    </row>
    <row r="636" spans="1:26" ht="13.5" customHeight="1">
      <c r="A636" s="109"/>
      <c r="B636" s="109"/>
      <c r="C636" s="109"/>
      <c r="D636" s="109"/>
      <c r="E636" s="109"/>
      <c r="F636" s="109"/>
      <c r="G636" s="161"/>
      <c r="H636" s="109"/>
      <c r="I636" s="109"/>
      <c r="J636" s="109"/>
      <c r="K636" s="109"/>
      <c r="L636" s="109"/>
      <c r="M636" s="109"/>
      <c r="N636" s="109"/>
      <c r="O636" s="109"/>
      <c r="P636" s="109"/>
      <c r="Q636" s="109"/>
      <c r="R636" s="109"/>
      <c r="S636" s="109"/>
      <c r="T636" s="109"/>
      <c r="U636" s="109"/>
      <c r="V636" s="109"/>
      <c r="W636" s="109"/>
      <c r="X636" s="109"/>
      <c r="Y636" s="109"/>
      <c r="Z636" s="109"/>
    </row>
    <row r="637" spans="1:26" ht="13.5" customHeight="1">
      <c r="A637" s="109"/>
      <c r="B637" s="109"/>
      <c r="C637" s="109"/>
      <c r="D637" s="109"/>
      <c r="E637" s="109"/>
      <c r="F637" s="109"/>
      <c r="G637" s="161"/>
      <c r="H637" s="109"/>
      <c r="I637" s="109"/>
      <c r="J637" s="109"/>
      <c r="K637" s="109"/>
      <c r="L637" s="109"/>
      <c r="M637" s="109"/>
      <c r="N637" s="109"/>
      <c r="O637" s="109"/>
      <c r="P637" s="109"/>
      <c r="Q637" s="109"/>
      <c r="R637" s="109"/>
      <c r="S637" s="109"/>
      <c r="T637" s="109"/>
      <c r="U637" s="109"/>
      <c r="V637" s="109"/>
      <c r="W637" s="109"/>
      <c r="X637" s="109"/>
      <c r="Y637" s="109"/>
      <c r="Z637" s="109"/>
    </row>
    <row r="638" spans="1:26" ht="13.5" customHeight="1">
      <c r="A638" s="109"/>
      <c r="B638" s="109"/>
      <c r="C638" s="109"/>
      <c r="D638" s="109"/>
      <c r="E638" s="109"/>
      <c r="F638" s="109"/>
      <c r="G638" s="161"/>
      <c r="H638" s="109"/>
      <c r="I638" s="109"/>
      <c r="J638" s="109"/>
      <c r="K638" s="109"/>
      <c r="L638" s="109"/>
      <c r="M638" s="109"/>
      <c r="N638" s="109"/>
      <c r="O638" s="109"/>
      <c r="P638" s="109"/>
      <c r="Q638" s="109"/>
      <c r="R638" s="109"/>
      <c r="S638" s="109"/>
      <c r="T638" s="109"/>
      <c r="U638" s="109"/>
      <c r="V638" s="109"/>
      <c r="W638" s="109"/>
      <c r="X638" s="109"/>
      <c r="Y638" s="109"/>
      <c r="Z638" s="109"/>
    </row>
    <row r="639" spans="1:26" ht="13.5" customHeight="1">
      <c r="A639" s="109"/>
      <c r="B639" s="109"/>
      <c r="C639" s="109"/>
      <c r="D639" s="109"/>
      <c r="E639" s="109"/>
      <c r="F639" s="109"/>
      <c r="G639" s="161"/>
      <c r="H639" s="109"/>
      <c r="I639" s="109"/>
      <c r="J639" s="109"/>
      <c r="K639" s="109"/>
      <c r="L639" s="109"/>
      <c r="M639" s="109"/>
      <c r="N639" s="109"/>
      <c r="O639" s="109"/>
      <c r="P639" s="109"/>
      <c r="Q639" s="109"/>
      <c r="R639" s="109"/>
      <c r="S639" s="109"/>
      <c r="T639" s="109"/>
      <c r="U639" s="109"/>
      <c r="V639" s="109"/>
      <c r="W639" s="109"/>
      <c r="X639" s="109"/>
      <c r="Y639" s="109"/>
      <c r="Z639" s="109"/>
    </row>
    <row r="640" spans="1:26" ht="13.5" customHeight="1">
      <c r="A640" s="109"/>
      <c r="B640" s="109"/>
      <c r="C640" s="109"/>
      <c r="D640" s="109"/>
      <c r="E640" s="109"/>
      <c r="F640" s="109"/>
      <c r="G640" s="161"/>
      <c r="H640" s="109"/>
      <c r="I640" s="109"/>
      <c r="J640" s="109"/>
      <c r="K640" s="109"/>
      <c r="L640" s="109"/>
      <c r="M640" s="109"/>
      <c r="N640" s="109"/>
      <c r="O640" s="109"/>
      <c r="P640" s="109"/>
      <c r="Q640" s="109"/>
      <c r="R640" s="109"/>
      <c r="S640" s="109"/>
      <c r="T640" s="109"/>
      <c r="U640" s="109"/>
      <c r="V640" s="109"/>
      <c r="W640" s="109"/>
      <c r="X640" s="109"/>
      <c r="Y640" s="109"/>
      <c r="Z640" s="109"/>
    </row>
    <row r="641" spans="1:26" ht="13.5" customHeight="1">
      <c r="A641" s="109"/>
      <c r="B641" s="109"/>
      <c r="C641" s="109"/>
      <c r="D641" s="109"/>
      <c r="E641" s="109"/>
      <c r="F641" s="109"/>
      <c r="G641" s="161"/>
      <c r="H641" s="109"/>
      <c r="I641" s="109"/>
      <c r="J641" s="109"/>
      <c r="K641" s="109"/>
      <c r="L641" s="109"/>
      <c r="M641" s="109"/>
      <c r="N641" s="109"/>
      <c r="O641" s="109"/>
      <c r="P641" s="109"/>
      <c r="Q641" s="109"/>
      <c r="R641" s="109"/>
      <c r="S641" s="109"/>
      <c r="T641" s="109"/>
      <c r="U641" s="109"/>
      <c r="V641" s="109"/>
      <c r="W641" s="109"/>
      <c r="X641" s="109"/>
      <c r="Y641" s="109"/>
      <c r="Z641" s="109"/>
    </row>
    <row r="642" spans="1:26" ht="13.5" customHeight="1">
      <c r="A642" s="109"/>
      <c r="B642" s="109"/>
      <c r="C642" s="109"/>
      <c r="D642" s="109"/>
      <c r="E642" s="109"/>
      <c r="F642" s="109"/>
      <c r="G642" s="161"/>
      <c r="H642" s="109"/>
      <c r="I642" s="109"/>
      <c r="J642" s="109"/>
      <c r="K642" s="109"/>
      <c r="L642" s="109"/>
      <c r="M642" s="109"/>
      <c r="N642" s="109"/>
      <c r="O642" s="109"/>
      <c r="P642" s="109"/>
      <c r="Q642" s="109"/>
      <c r="R642" s="109"/>
      <c r="S642" s="109"/>
      <c r="T642" s="109"/>
      <c r="U642" s="109"/>
      <c r="V642" s="109"/>
      <c r="W642" s="109"/>
      <c r="X642" s="109"/>
      <c r="Y642" s="109"/>
      <c r="Z642" s="109"/>
    </row>
    <row r="643" spans="1:26" ht="13.5" customHeight="1">
      <c r="A643" s="109"/>
      <c r="B643" s="109"/>
      <c r="C643" s="109"/>
      <c r="D643" s="109"/>
      <c r="E643" s="109"/>
      <c r="F643" s="109"/>
      <c r="G643" s="161"/>
      <c r="H643" s="109"/>
      <c r="I643" s="109"/>
      <c r="J643" s="109"/>
      <c r="K643" s="109"/>
      <c r="L643" s="109"/>
      <c r="M643" s="109"/>
      <c r="N643" s="109"/>
      <c r="O643" s="109"/>
      <c r="P643" s="109"/>
      <c r="Q643" s="109"/>
      <c r="R643" s="109"/>
      <c r="S643" s="109"/>
      <c r="T643" s="109"/>
      <c r="U643" s="109"/>
      <c r="V643" s="109"/>
      <c r="W643" s="109"/>
      <c r="X643" s="109"/>
      <c r="Y643" s="109"/>
      <c r="Z643" s="109"/>
    </row>
    <row r="644" spans="1:26" ht="13.5" customHeight="1">
      <c r="A644" s="109"/>
      <c r="B644" s="109"/>
      <c r="C644" s="109"/>
      <c r="D644" s="109"/>
      <c r="E644" s="109"/>
      <c r="F644" s="109"/>
      <c r="G644" s="161"/>
      <c r="H644" s="109"/>
      <c r="I644" s="109"/>
      <c r="J644" s="109"/>
      <c r="K644" s="109"/>
      <c r="L644" s="109"/>
      <c r="M644" s="109"/>
      <c r="N644" s="109"/>
      <c r="O644" s="109"/>
      <c r="P644" s="109"/>
      <c r="Q644" s="109"/>
      <c r="R644" s="109"/>
      <c r="S644" s="109"/>
      <c r="T644" s="109"/>
      <c r="U644" s="109"/>
      <c r="V644" s="109"/>
      <c r="W644" s="109"/>
      <c r="X644" s="109"/>
      <c r="Y644" s="109"/>
      <c r="Z644" s="109"/>
    </row>
    <row r="645" spans="1:26" ht="13.5" customHeight="1">
      <c r="A645" s="109"/>
      <c r="B645" s="109"/>
      <c r="C645" s="109"/>
      <c r="D645" s="109"/>
      <c r="E645" s="109"/>
      <c r="F645" s="109"/>
      <c r="G645" s="161"/>
      <c r="H645" s="109"/>
      <c r="I645" s="109"/>
      <c r="J645" s="109"/>
      <c r="K645" s="109"/>
      <c r="L645" s="109"/>
      <c r="M645" s="109"/>
      <c r="N645" s="109"/>
      <c r="O645" s="109"/>
      <c r="P645" s="109"/>
      <c r="Q645" s="109"/>
      <c r="R645" s="109"/>
      <c r="S645" s="109"/>
      <c r="T645" s="109"/>
      <c r="U645" s="109"/>
      <c r="V645" s="109"/>
      <c r="W645" s="109"/>
      <c r="X645" s="109"/>
      <c r="Y645" s="109"/>
      <c r="Z645" s="109"/>
    </row>
    <row r="646" spans="1:26" ht="13.5" customHeight="1">
      <c r="A646" s="109"/>
      <c r="B646" s="109"/>
      <c r="C646" s="109"/>
      <c r="D646" s="109"/>
      <c r="E646" s="109"/>
      <c r="F646" s="109"/>
      <c r="G646" s="161"/>
      <c r="H646" s="109"/>
      <c r="I646" s="109"/>
      <c r="J646" s="109"/>
      <c r="K646" s="109"/>
      <c r="L646" s="109"/>
      <c r="M646" s="109"/>
      <c r="N646" s="109"/>
      <c r="O646" s="109"/>
      <c r="P646" s="109"/>
      <c r="Q646" s="109"/>
      <c r="R646" s="109"/>
      <c r="S646" s="109"/>
      <c r="T646" s="109"/>
      <c r="U646" s="109"/>
      <c r="V646" s="109"/>
      <c r="W646" s="109"/>
      <c r="X646" s="109"/>
      <c r="Y646" s="109"/>
      <c r="Z646" s="109"/>
    </row>
    <row r="647" spans="1:26" ht="13.5" customHeight="1">
      <c r="A647" s="109"/>
      <c r="B647" s="109"/>
      <c r="C647" s="109"/>
      <c r="D647" s="109"/>
      <c r="E647" s="109"/>
      <c r="F647" s="109"/>
      <c r="G647" s="161"/>
      <c r="H647" s="109"/>
      <c r="I647" s="109"/>
      <c r="J647" s="109"/>
      <c r="K647" s="109"/>
      <c r="L647" s="109"/>
      <c r="M647" s="109"/>
      <c r="N647" s="109"/>
      <c r="O647" s="109"/>
      <c r="P647" s="109"/>
      <c r="Q647" s="109"/>
      <c r="R647" s="109"/>
      <c r="S647" s="109"/>
      <c r="T647" s="109"/>
      <c r="U647" s="109"/>
      <c r="V647" s="109"/>
      <c r="W647" s="109"/>
      <c r="X647" s="109"/>
      <c r="Y647" s="109"/>
      <c r="Z647" s="109"/>
    </row>
    <row r="648" spans="1:26" ht="13.5" customHeight="1">
      <c r="A648" s="109"/>
      <c r="B648" s="109"/>
      <c r="C648" s="109"/>
      <c r="D648" s="109"/>
      <c r="E648" s="109"/>
      <c r="F648" s="109"/>
      <c r="G648" s="161"/>
      <c r="H648" s="109"/>
      <c r="I648" s="109"/>
      <c r="J648" s="109"/>
      <c r="K648" s="109"/>
      <c r="L648" s="109"/>
      <c r="M648" s="109"/>
      <c r="N648" s="109"/>
      <c r="O648" s="109"/>
      <c r="P648" s="109"/>
      <c r="Q648" s="109"/>
      <c r="R648" s="109"/>
      <c r="S648" s="109"/>
      <c r="T648" s="109"/>
      <c r="U648" s="109"/>
      <c r="V648" s="109"/>
      <c r="W648" s="109"/>
      <c r="X648" s="109"/>
      <c r="Y648" s="109"/>
      <c r="Z648" s="109"/>
    </row>
    <row r="649" spans="1:26" ht="13.5" customHeight="1">
      <c r="A649" s="109"/>
      <c r="B649" s="109"/>
      <c r="C649" s="109"/>
      <c r="D649" s="109"/>
      <c r="E649" s="109"/>
      <c r="F649" s="109"/>
      <c r="G649" s="161"/>
      <c r="H649" s="109"/>
      <c r="I649" s="109"/>
      <c r="J649" s="109"/>
      <c r="K649" s="109"/>
      <c r="L649" s="109"/>
      <c r="M649" s="109"/>
      <c r="N649" s="109"/>
      <c r="O649" s="109"/>
      <c r="P649" s="109"/>
      <c r="Q649" s="109"/>
      <c r="R649" s="109"/>
      <c r="S649" s="109"/>
      <c r="T649" s="109"/>
      <c r="U649" s="109"/>
      <c r="V649" s="109"/>
      <c r="W649" s="109"/>
      <c r="X649" s="109"/>
      <c r="Y649" s="109"/>
      <c r="Z649" s="109"/>
    </row>
    <row r="650" spans="1:26" ht="13.5" customHeight="1">
      <c r="A650" s="109"/>
      <c r="B650" s="109"/>
      <c r="C650" s="109"/>
      <c r="D650" s="109"/>
      <c r="E650" s="109"/>
      <c r="F650" s="109"/>
      <c r="G650" s="161"/>
      <c r="H650" s="109"/>
      <c r="I650" s="109"/>
      <c r="J650" s="109"/>
      <c r="K650" s="109"/>
      <c r="L650" s="109"/>
      <c r="M650" s="109"/>
      <c r="N650" s="109"/>
      <c r="O650" s="109"/>
      <c r="P650" s="109"/>
      <c r="Q650" s="109"/>
      <c r="R650" s="109"/>
      <c r="S650" s="109"/>
      <c r="T650" s="109"/>
      <c r="U650" s="109"/>
      <c r="V650" s="109"/>
      <c r="W650" s="109"/>
      <c r="X650" s="109"/>
      <c r="Y650" s="109"/>
      <c r="Z650" s="109"/>
    </row>
    <row r="651" spans="1:26" ht="13.5" customHeight="1">
      <c r="A651" s="109"/>
      <c r="B651" s="109"/>
      <c r="C651" s="109"/>
      <c r="D651" s="109"/>
      <c r="E651" s="109"/>
      <c r="F651" s="109"/>
      <c r="G651" s="161"/>
      <c r="H651" s="109"/>
      <c r="I651" s="109"/>
      <c r="J651" s="109"/>
      <c r="K651" s="109"/>
      <c r="L651" s="109"/>
      <c r="M651" s="109"/>
      <c r="N651" s="109"/>
      <c r="O651" s="109"/>
      <c r="P651" s="109"/>
      <c r="Q651" s="109"/>
      <c r="R651" s="109"/>
      <c r="S651" s="109"/>
      <c r="T651" s="109"/>
      <c r="U651" s="109"/>
      <c r="V651" s="109"/>
      <c r="W651" s="109"/>
      <c r="X651" s="109"/>
      <c r="Y651" s="109"/>
      <c r="Z651" s="109"/>
    </row>
    <row r="652" spans="1:26" ht="13.5" customHeight="1">
      <c r="A652" s="109"/>
      <c r="B652" s="109"/>
      <c r="C652" s="109"/>
      <c r="D652" s="109"/>
      <c r="E652" s="109"/>
      <c r="F652" s="109"/>
      <c r="G652" s="161"/>
      <c r="H652" s="109"/>
      <c r="I652" s="109"/>
      <c r="J652" s="109"/>
      <c r="K652" s="109"/>
      <c r="L652" s="109"/>
      <c r="M652" s="109"/>
      <c r="N652" s="109"/>
      <c r="O652" s="109"/>
      <c r="P652" s="109"/>
      <c r="Q652" s="109"/>
      <c r="R652" s="109"/>
      <c r="S652" s="109"/>
      <c r="T652" s="109"/>
      <c r="U652" s="109"/>
      <c r="V652" s="109"/>
      <c r="W652" s="109"/>
      <c r="X652" s="109"/>
      <c r="Y652" s="109"/>
      <c r="Z652" s="109"/>
    </row>
    <row r="653" spans="1:26" ht="13.5" customHeight="1">
      <c r="A653" s="109"/>
      <c r="B653" s="109"/>
      <c r="C653" s="109"/>
      <c r="D653" s="109"/>
      <c r="E653" s="109"/>
      <c r="F653" s="109"/>
      <c r="G653" s="161"/>
      <c r="H653" s="109"/>
      <c r="I653" s="109"/>
      <c r="J653" s="109"/>
      <c r="K653" s="109"/>
      <c r="L653" s="109"/>
      <c r="M653" s="109"/>
      <c r="N653" s="109"/>
      <c r="O653" s="109"/>
      <c r="P653" s="109"/>
      <c r="Q653" s="109"/>
      <c r="R653" s="109"/>
      <c r="S653" s="109"/>
      <c r="T653" s="109"/>
      <c r="U653" s="109"/>
      <c r="V653" s="109"/>
      <c r="W653" s="109"/>
      <c r="X653" s="109"/>
      <c r="Y653" s="109"/>
      <c r="Z653" s="109"/>
    </row>
    <row r="654" spans="1:26" ht="13.5" customHeight="1">
      <c r="A654" s="109"/>
      <c r="B654" s="109"/>
      <c r="C654" s="109"/>
      <c r="D654" s="109"/>
      <c r="E654" s="109"/>
      <c r="F654" s="109"/>
      <c r="G654" s="161"/>
      <c r="H654" s="109"/>
      <c r="I654" s="109"/>
      <c r="J654" s="109"/>
      <c r="K654" s="109"/>
      <c r="L654" s="109"/>
      <c r="M654" s="109"/>
      <c r="N654" s="109"/>
      <c r="O654" s="109"/>
      <c r="P654" s="109"/>
      <c r="Q654" s="109"/>
      <c r="R654" s="109"/>
      <c r="S654" s="109"/>
      <c r="T654" s="109"/>
      <c r="U654" s="109"/>
      <c r="V654" s="109"/>
      <c r="W654" s="109"/>
      <c r="X654" s="109"/>
      <c r="Y654" s="109"/>
      <c r="Z654" s="109"/>
    </row>
    <row r="655" spans="1:26" ht="13.5" customHeight="1">
      <c r="A655" s="109"/>
      <c r="B655" s="109"/>
      <c r="C655" s="109"/>
      <c r="D655" s="109"/>
      <c r="E655" s="109"/>
      <c r="F655" s="109"/>
      <c r="G655" s="161"/>
      <c r="H655" s="109"/>
      <c r="I655" s="109"/>
      <c r="J655" s="109"/>
      <c r="K655" s="109"/>
      <c r="L655" s="109"/>
      <c r="M655" s="109"/>
      <c r="N655" s="109"/>
      <c r="O655" s="109"/>
      <c r="P655" s="109"/>
      <c r="Q655" s="109"/>
      <c r="R655" s="109"/>
      <c r="S655" s="109"/>
      <c r="T655" s="109"/>
      <c r="U655" s="109"/>
      <c r="V655" s="109"/>
      <c r="W655" s="109"/>
      <c r="X655" s="109"/>
      <c r="Y655" s="109"/>
      <c r="Z655" s="109"/>
    </row>
    <row r="656" spans="1:26" ht="13.5" customHeight="1">
      <c r="A656" s="109"/>
      <c r="B656" s="109"/>
      <c r="C656" s="109"/>
      <c r="D656" s="109"/>
      <c r="E656" s="109"/>
      <c r="F656" s="109"/>
      <c r="G656" s="161"/>
      <c r="H656" s="109"/>
      <c r="I656" s="109"/>
      <c r="J656" s="109"/>
      <c r="K656" s="109"/>
      <c r="L656" s="109"/>
      <c r="M656" s="109"/>
      <c r="N656" s="109"/>
      <c r="O656" s="109"/>
      <c r="P656" s="109"/>
      <c r="Q656" s="109"/>
      <c r="R656" s="109"/>
      <c r="S656" s="109"/>
      <c r="T656" s="109"/>
      <c r="U656" s="109"/>
      <c r="V656" s="109"/>
      <c r="W656" s="109"/>
      <c r="X656" s="109"/>
      <c r="Y656" s="109"/>
      <c r="Z656" s="109"/>
    </row>
    <row r="657" spans="1:26" ht="13.5" customHeight="1">
      <c r="A657" s="109"/>
      <c r="B657" s="109"/>
      <c r="C657" s="109"/>
      <c r="D657" s="109"/>
      <c r="E657" s="109"/>
      <c r="F657" s="109"/>
      <c r="G657" s="161"/>
      <c r="H657" s="109"/>
      <c r="I657" s="109"/>
      <c r="J657" s="109"/>
      <c r="K657" s="109"/>
      <c r="L657" s="109"/>
      <c r="M657" s="109"/>
      <c r="N657" s="109"/>
      <c r="O657" s="109"/>
      <c r="P657" s="109"/>
      <c r="Q657" s="109"/>
      <c r="R657" s="109"/>
      <c r="S657" s="109"/>
      <c r="T657" s="109"/>
      <c r="U657" s="109"/>
      <c r="V657" s="109"/>
      <c r="W657" s="109"/>
      <c r="X657" s="109"/>
      <c r="Y657" s="109"/>
      <c r="Z657" s="109"/>
    </row>
    <row r="658" spans="1:26" ht="13.5" customHeight="1">
      <c r="A658" s="109"/>
      <c r="B658" s="109"/>
      <c r="C658" s="109"/>
      <c r="D658" s="109"/>
      <c r="E658" s="109"/>
      <c r="F658" s="109"/>
      <c r="G658" s="161"/>
      <c r="H658" s="109"/>
      <c r="I658" s="109"/>
      <c r="J658" s="109"/>
      <c r="K658" s="109"/>
      <c r="L658" s="109"/>
      <c r="M658" s="109"/>
      <c r="N658" s="109"/>
      <c r="O658" s="109"/>
      <c r="P658" s="109"/>
      <c r="Q658" s="109"/>
      <c r="R658" s="109"/>
      <c r="S658" s="109"/>
      <c r="T658" s="109"/>
      <c r="U658" s="109"/>
      <c r="V658" s="109"/>
      <c r="W658" s="109"/>
      <c r="X658" s="109"/>
      <c r="Y658" s="109"/>
      <c r="Z658" s="109"/>
    </row>
    <row r="659" spans="1:26" ht="13.5" customHeight="1">
      <c r="A659" s="109"/>
      <c r="B659" s="109"/>
      <c r="C659" s="109"/>
      <c r="D659" s="109"/>
      <c r="E659" s="109"/>
      <c r="F659" s="109"/>
      <c r="G659" s="161"/>
      <c r="H659" s="109"/>
      <c r="I659" s="109"/>
      <c r="J659" s="109"/>
      <c r="K659" s="109"/>
      <c r="L659" s="109"/>
      <c r="M659" s="109"/>
      <c r="N659" s="109"/>
      <c r="O659" s="109"/>
      <c r="P659" s="109"/>
      <c r="Q659" s="109"/>
      <c r="R659" s="109"/>
      <c r="S659" s="109"/>
      <c r="T659" s="109"/>
      <c r="U659" s="109"/>
      <c r="V659" s="109"/>
      <c r="W659" s="109"/>
      <c r="X659" s="109"/>
      <c r="Y659" s="109"/>
      <c r="Z659" s="109"/>
    </row>
    <row r="660" spans="1:26" ht="13.5" customHeight="1">
      <c r="A660" s="109"/>
      <c r="B660" s="109"/>
      <c r="C660" s="109"/>
      <c r="D660" s="109"/>
      <c r="E660" s="109"/>
      <c r="F660" s="109"/>
      <c r="G660" s="161"/>
      <c r="H660" s="109"/>
      <c r="I660" s="109"/>
      <c r="J660" s="109"/>
      <c r="K660" s="109"/>
      <c r="L660" s="109"/>
      <c r="M660" s="109"/>
      <c r="N660" s="109"/>
      <c r="O660" s="109"/>
      <c r="P660" s="109"/>
      <c r="Q660" s="109"/>
      <c r="R660" s="109"/>
      <c r="S660" s="109"/>
      <c r="T660" s="109"/>
      <c r="U660" s="109"/>
      <c r="V660" s="109"/>
      <c r="W660" s="109"/>
      <c r="X660" s="109"/>
      <c r="Y660" s="109"/>
      <c r="Z660" s="109"/>
    </row>
    <row r="661" spans="1:26" ht="13.5" customHeight="1">
      <c r="A661" s="109"/>
      <c r="B661" s="109"/>
      <c r="C661" s="109"/>
      <c r="D661" s="109"/>
      <c r="E661" s="109"/>
      <c r="F661" s="109"/>
      <c r="G661" s="161"/>
      <c r="H661" s="109"/>
      <c r="I661" s="109"/>
      <c r="J661" s="109"/>
      <c r="K661" s="109"/>
      <c r="L661" s="109"/>
      <c r="M661" s="109"/>
      <c r="N661" s="109"/>
      <c r="O661" s="109"/>
      <c r="P661" s="109"/>
      <c r="Q661" s="109"/>
      <c r="R661" s="109"/>
      <c r="S661" s="109"/>
      <c r="T661" s="109"/>
      <c r="U661" s="109"/>
      <c r="V661" s="109"/>
      <c r="W661" s="109"/>
      <c r="X661" s="109"/>
      <c r="Y661" s="109"/>
      <c r="Z661" s="109"/>
    </row>
    <row r="662" spans="1:26" ht="13.5" customHeight="1">
      <c r="A662" s="109"/>
      <c r="B662" s="109"/>
      <c r="C662" s="109"/>
      <c r="D662" s="109"/>
      <c r="E662" s="109"/>
      <c r="F662" s="109"/>
      <c r="G662" s="161"/>
      <c r="H662" s="109"/>
      <c r="I662" s="109"/>
      <c r="J662" s="109"/>
      <c r="K662" s="109"/>
      <c r="L662" s="109"/>
      <c r="M662" s="109"/>
      <c r="N662" s="109"/>
      <c r="O662" s="109"/>
      <c r="P662" s="109"/>
      <c r="Q662" s="109"/>
      <c r="R662" s="109"/>
      <c r="S662" s="109"/>
      <c r="T662" s="109"/>
      <c r="U662" s="109"/>
      <c r="V662" s="109"/>
      <c r="W662" s="109"/>
      <c r="X662" s="109"/>
      <c r="Y662" s="109"/>
      <c r="Z662" s="109"/>
    </row>
    <row r="663" spans="1:26" ht="13.5" customHeight="1">
      <c r="A663" s="109"/>
      <c r="B663" s="109"/>
      <c r="C663" s="109"/>
      <c r="D663" s="109"/>
      <c r="E663" s="109"/>
      <c r="F663" s="109"/>
      <c r="G663" s="161"/>
      <c r="H663" s="109"/>
      <c r="I663" s="109"/>
      <c r="J663" s="109"/>
      <c r="K663" s="109"/>
      <c r="L663" s="109"/>
      <c r="M663" s="109"/>
      <c r="N663" s="109"/>
      <c r="O663" s="109"/>
      <c r="P663" s="109"/>
      <c r="Q663" s="109"/>
      <c r="R663" s="109"/>
      <c r="S663" s="109"/>
      <c r="T663" s="109"/>
      <c r="U663" s="109"/>
      <c r="V663" s="109"/>
      <c r="W663" s="109"/>
      <c r="X663" s="109"/>
      <c r="Y663" s="109"/>
      <c r="Z663" s="109"/>
    </row>
    <row r="664" spans="1:26" ht="13.5" customHeight="1">
      <c r="A664" s="109"/>
      <c r="B664" s="109"/>
      <c r="C664" s="109"/>
      <c r="D664" s="109"/>
      <c r="E664" s="109"/>
      <c r="F664" s="109"/>
      <c r="G664" s="161"/>
      <c r="H664" s="109"/>
      <c r="I664" s="109"/>
      <c r="J664" s="109"/>
      <c r="K664" s="109"/>
      <c r="L664" s="109"/>
      <c r="M664" s="109"/>
      <c r="N664" s="109"/>
      <c r="O664" s="109"/>
      <c r="P664" s="109"/>
      <c r="Q664" s="109"/>
      <c r="R664" s="109"/>
      <c r="S664" s="109"/>
      <c r="T664" s="109"/>
      <c r="U664" s="109"/>
      <c r="V664" s="109"/>
      <c r="W664" s="109"/>
      <c r="X664" s="109"/>
      <c r="Y664" s="109"/>
      <c r="Z664" s="109"/>
    </row>
    <row r="665" spans="1:26" ht="13.5" customHeight="1">
      <c r="A665" s="109"/>
      <c r="B665" s="109"/>
      <c r="C665" s="109"/>
      <c r="D665" s="109"/>
      <c r="E665" s="109"/>
      <c r="F665" s="109"/>
      <c r="G665" s="161"/>
      <c r="H665" s="109"/>
      <c r="I665" s="109"/>
      <c r="J665" s="109"/>
      <c r="K665" s="109"/>
      <c r="L665" s="109"/>
      <c r="M665" s="109"/>
      <c r="N665" s="109"/>
      <c r="O665" s="109"/>
      <c r="P665" s="109"/>
      <c r="Q665" s="109"/>
      <c r="R665" s="109"/>
      <c r="S665" s="109"/>
      <c r="T665" s="109"/>
      <c r="U665" s="109"/>
      <c r="V665" s="109"/>
      <c r="W665" s="109"/>
      <c r="X665" s="109"/>
      <c r="Y665" s="109"/>
      <c r="Z665" s="109"/>
    </row>
    <row r="666" spans="1:26" ht="13.5" customHeight="1">
      <c r="A666" s="109"/>
      <c r="B666" s="109"/>
      <c r="C666" s="109"/>
      <c r="D666" s="109"/>
      <c r="E666" s="109"/>
      <c r="F666" s="109"/>
      <c r="G666" s="161"/>
      <c r="H666" s="109"/>
      <c r="I666" s="109"/>
      <c r="J666" s="109"/>
      <c r="K666" s="109"/>
      <c r="L666" s="109"/>
      <c r="M666" s="109"/>
      <c r="N666" s="109"/>
      <c r="O666" s="109"/>
      <c r="P666" s="109"/>
      <c r="Q666" s="109"/>
      <c r="R666" s="109"/>
      <c r="S666" s="109"/>
      <c r="T666" s="109"/>
      <c r="U666" s="109"/>
      <c r="V666" s="109"/>
      <c r="W666" s="109"/>
      <c r="X666" s="109"/>
      <c r="Y666" s="109"/>
      <c r="Z666" s="109"/>
    </row>
    <row r="667" spans="1:26" ht="13.5" customHeight="1">
      <c r="A667" s="109"/>
      <c r="B667" s="109"/>
      <c r="C667" s="109"/>
      <c r="D667" s="109"/>
      <c r="E667" s="109"/>
      <c r="F667" s="109"/>
      <c r="G667" s="161"/>
      <c r="H667" s="109"/>
      <c r="I667" s="109"/>
      <c r="J667" s="109"/>
      <c r="K667" s="109"/>
      <c r="L667" s="109"/>
      <c r="M667" s="109"/>
      <c r="N667" s="109"/>
      <c r="O667" s="109"/>
      <c r="P667" s="109"/>
      <c r="Q667" s="109"/>
      <c r="R667" s="109"/>
      <c r="S667" s="109"/>
      <c r="T667" s="109"/>
      <c r="U667" s="109"/>
      <c r="V667" s="109"/>
      <c r="W667" s="109"/>
      <c r="X667" s="109"/>
      <c r="Y667" s="109"/>
      <c r="Z667" s="109"/>
    </row>
    <row r="668" spans="1:26" ht="13.5" customHeight="1">
      <c r="A668" s="109"/>
      <c r="B668" s="109"/>
      <c r="C668" s="109"/>
      <c r="D668" s="109"/>
      <c r="E668" s="109"/>
      <c r="F668" s="109"/>
      <c r="G668" s="161"/>
      <c r="H668" s="109"/>
      <c r="I668" s="109"/>
      <c r="J668" s="109"/>
      <c r="K668" s="109"/>
      <c r="L668" s="109"/>
      <c r="M668" s="109"/>
      <c r="N668" s="109"/>
      <c r="O668" s="109"/>
      <c r="P668" s="109"/>
      <c r="Q668" s="109"/>
      <c r="R668" s="109"/>
      <c r="S668" s="109"/>
      <c r="T668" s="109"/>
      <c r="U668" s="109"/>
      <c r="V668" s="109"/>
      <c r="W668" s="109"/>
      <c r="X668" s="109"/>
      <c r="Y668" s="109"/>
      <c r="Z668" s="109"/>
    </row>
    <row r="669" spans="1:26" ht="13.5" customHeight="1">
      <c r="A669" s="109"/>
      <c r="B669" s="109"/>
      <c r="C669" s="109"/>
      <c r="D669" s="109"/>
      <c r="E669" s="109"/>
      <c r="F669" s="109"/>
      <c r="G669" s="161"/>
      <c r="H669" s="109"/>
      <c r="I669" s="109"/>
      <c r="J669" s="109"/>
      <c r="K669" s="109"/>
      <c r="L669" s="109"/>
      <c r="M669" s="109"/>
      <c r="N669" s="109"/>
      <c r="O669" s="109"/>
      <c r="P669" s="109"/>
      <c r="Q669" s="109"/>
      <c r="R669" s="109"/>
      <c r="S669" s="109"/>
      <c r="T669" s="109"/>
      <c r="U669" s="109"/>
      <c r="V669" s="109"/>
      <c r="W669" s="109"/>
      <c r="X669" s="109"/>
      <c r="Y669" s="109"/>
      <c r="Z669" s="109"/>
    </row>
    <row r="670" spans="1:26" ht="13.5" customHeight="1">
      <c r="A670" s="109"/>
      <c r="B670" s="109"/>
      <c r="C670" s="109"/>
      <c r="D670" s="109"/>
      <c r="E670" s="109"/>
      <c r="F670" s="109"/>
      <c r="G670" s="161"/>
      <c r="H670" s="109"/>
      <c r="I670" s="109"/>
      <c r="J670" s="109"/>
      <c r="K670" s="109"/>
      <c r="L670" s="109"/>
      <c r="M670" s="109"/>
      <c r="N670" s="109"/>
      <c r="O670" s="109"/>
      <c r="P670" s="109"/>
      <c r="Q670" s="109"/>
      <c r="R670" s="109"/>
      <c r="S670" s="109"/>
      <c r="T670" s="109"/>
      <c r="U670" s="109"/>
      <c r="V670" s="109"/>
      <c r="W670" s="109"/>
      <c r="X670" s="109"/>
      <c r="Y670" s="109"/>
      <c r="Z670" s="109"/>
    </row>
    <row r="671" spans="1:26" ht="13.5" customHeight="1">
      <c r="A671" s="109"/>
      <c r="B671" s="109"/>
      <c r="C671" s="109"/>
      <c r="D671" s="109"/>
      <c r="E671" s="109"/>
      <c r="F671" s="109"/>
      <c r="G671" s="161"/>
      <c r="H671" s="109"/>
      <c r="I671" s="109"/>
      <c r="J671" s="109"/>
      <c r="K671" s="109"/>
      <c r="L671" s="109"/>
      <c r="M671" s="109"/>
      <c r="N671" s="109"/>
      <c r="O671" s="109"/>
      <c r="P671" s="109"/>
      <c r="Q671" s="109"/>
      <c r="R671" s="109"/>
      <c r="S671" s="109"/>
      <c r="T671" s="109"/>
      <c r="U671" s="109"/>
      <c r="V671" s="109"/>
      <c r="W671" s="109"/>
      <c r="X671" s="109"/>
      <c r="Y671" s="109"/>
      <c r="Z671" s="109"/>
    </row>
    <row r="672" spans="1:26" ht="13.5" customHeight="1">
      <c r="A672" s="109"/>
      <c r="B672" s="109"/>
      <c r="C672" s="109"/>
      <c r="D672" s="109"/>
      <c r="E672" s="109"/>
      <c r="F672" s="109"/>
      <c r="G672" s="161"/>
      <c r="H672" s="109"/>
      <c r="I672" s="109"/>
      <c r="J672" s="109"/>
      <c r="K672" s="109"/>
      <c r="L672" s="109"/>
      <c r="M672" s="109"/>
      <c r="N672" s="109"/>
      <c r="O672" s="109"/>
      <c r="P672" s="109"/>
      <c r="Q672" s="109"/>
      <c r="R672" s="109"/>
      <c r="S672" s="109"/>
      <c r="T672" s="109"/>
      <c r="U672" s="109"/>
      <c r="V672" s="109"/>
      <c r="W672" s="109"/>
      <c r="X672" s="109"/>
      <c r="Y672" s="109"/>
      <c r="Z672" s="109"/>
    </row>
    <row r="673" spans="1:26" ht="13.5" customHeight="1">
      <c r="A673" s="109"/>
      <c r="B673" s="109"/>
      <c r="C673" s="109"/>
      <c r="D673" s="109"/>
      <c r="E673" s="109"/>
      <c r="F673" s="109"/>
      <c r="G673" s="161"/>
      <c r="H673" s="109"/>
      <c r="I673" s="109"/>
      <c r="J673" s="109"/>
      <c r="K673" s="109"/>
      <c r="L673" s="109"/>
      <c r="M673" s="109"/>
      <c r="N673" s="109"/>
      <c r="O673" s="109"/>
      <c r="P673" s="109"/>
      <c r="Q673" s="109"/>
      <c r="R673" s="109"/>
      <c r="S673" s="109"/>
      <c r="T673" s="109"/>
      <c r="U673" s="109"/>
      <c r="V673" s="109"/>
      <c r="W673" s="109"/>
      <c r="X673" s="109"/>
      <c r="Y673" s="109"/>
      <c r="Z673" s="109"/>
    </row>
    <row r="674" spans="1:26" ht="13.5" customHeight="1">
      <c r="A674" s="109"/>
      <c r="B674" s="109"/>
      <c r="C674" s="109"/>
      <c r="D674" s="109"/>
      <c r="E674" s="109"/>
      <c r="F674" s="109"/>
      <c r="G674" s="161"/>
      <c r="H674" s="109"/>
      <c r="I674" s="109"/>
      <c r="J674" s="109"/>
      <c r="K674" s="109"/>
      <c r="L674" s="109"/>
      <c r="M674" s="109"/>
      <c r="N674" s="109"/>
      <c r="O674" s="109"/>
      <c r="P674" s="109"/>
      <c r="Q674" s="109"/>
      <c r="R674" s="109"/>
      <c r="S674" s="109"/>
      <c r="T674" s="109"/>
      <c r="U674" s="109"/>
      <c r="V674" s="109"/>
      <c r="W674" s="109"/>
      <c r="X674" s="109"/>
      <c r="Y674" s="109"/>
      <c r="Z674" s="109"/>
    </row>
    <row r="675" spans="1:26" ht="13.5" customHeight="1">
      <c r="A675" s="109"/>
      <c r="B675" s="109"/>
      <c r="C675" s="109"/>
      <c r="D675" s="109"/>
      <c r="E675" s="109"/>
      <c r="F675" s="109"/>
      <c r="G675" s="161"/>
      <c r="H675" s="109"/>
      <c r="I675" s="109"/>
      <c r="J675" s="109"/>
      <c r="K675" s="109"/>
      <c r="L675" s="109"/>
      <c r="M675" s="109"/>
      <c r="N675" s="109"/>
      <c r="O675" s="109"/>
      <c r="P675" s="109"/>
      <c r="Q675" s="109"/>
      <c r="R675" s="109"/>
      <c r="S675" s="109"/>
      <c r="T675" s="109"/>
      <c r="U675" s="109"/>
      <c r="V675" s="109"/>
      <c r="W675" s="109"/>
      <c r="X675" s="109"/>
      <c r="Y675" s="109"/>
      <c r="Z675" s="109"/>
    </row>
    <row r="676" spans="1:26" ht="13.5" customHeight="1">
      <c r="A676" s="109"/>
      <c r="B676" s="109"/>
      <c r="C676" s="109"/>
      <c r="D676" s="109"/>
      <c r="E676" s="109"/>
      <c r="F676" s="109"/>
      <c r="G676" s="161"/>
      <c r="H676" s="109"/>
      <c r="I676" s="109"/>
      <c r="J676" s="109"/>
      <c r="K676" s="109"/>
      <c r="L676" s="109"/>
      <c r="M676" s="109"/>
      <c r="N676" s="109"/>
      <c r="O676" s="109"/>
      <c r="P676" s="109"/>
      <c r="Q676" s="109"/>
      <c r="R676" s="109"/>
      <c r="S676" s="109"/>
      <c r="T676" s="109"/>
      <c r="U676" s="109"/>
      <c r="V676" s="109"/>
      <c r="W676" s="109"/>
      <c r="X676" s="109"/>
      <c r="Y676" s="109"/>
      <c r="Z676" s="109"/>
    </row>
    <row r="677" spans="1:26" ht="13.5" customHeight="1">
      <c r="A677" s="109"/>
      <c r="B677" s="109"/>
      <c r="C677" s="109"/>
      <c r="D677" s="109"/>
      <c r="E677" s="109"/>
      <c r="F677" s="109"/>
      <c r="G677" s="161"/>
      <c r="H677" s="109"/>
      <c r="I677" s="109"/>
      <c r="J677" s="109"/>
      <c r="K677" s="109"/>
      <c r="L677" s="109"/>
      <c r="M677" s="109"/>
      <c r="N677" s="109"/>
      <c r="O677" s="109"/>
      <c r="P677" s="109"/>
      <c r="Q677" s="109"/>
      <c r="R677" s="109"/>
      <c r="S677" s="109"/>
      <c r="T677" s="109"/>
      <c r="U677" s="109"/>
      <c r="V677" s="109"/>
      <c r="W677" s="109"/>
      <c r="X677" s="109"/>
      <c r="Y677" s="109"/>
      <c r="Z677" s="109"/>
    </row>
    <row r="678" spans="1:26" ht="13.5" customHeight="1">
      <c r="A678" s="109"/>
      <c r="B678" s="109"/>
      <c r="C678" s="109"/>
      <c r="D678" s="109"/>
      <c r="E678" s="109"/>
      <c r="F678" s="109"/>
      <c r="G678" s="161"/>
      <c r="H678" s="109"/>
      <c r="I678" s="109"/>
      <c r="J678" s="109"/>
      <c r="K678" s="109"/>
      <c r="L678" s="109"/>
      <c r="M678" s="109"/>
      <c r="N678" s="109"/>
      <c r="O678" s="109"/>
      <c r="P678" s="109"/>
      <c r="Q678" s="109"/>
      <c r="R678" s="109"/>
      <c r="S678" s="109"/>
      <c r="T678" s="109"/>
      <c r="U678" s="109"/>
      <c r="V678" s="109"/>
      <c r="W678" s="109"/>
      <c r="X678" s="109"/>
      <c r="Y678" s="109"/>
      <c r="Z678" s="109"/>
    </row>
    <row r="679" spans="1:26" ht="13.5" customHeight="1">
      <c r="A679" s="109"/>
      <c r="B679" s="109"/>
      <c r="C679" s="109"/>
      <c r="D679" s="109"/>
      <c r="E679" s="109"/>
      <c r="F679" s="109"/>
      <c r="G679" s="161"/>
      <c r="H679" s="109"/>
      <c r="I679" s="109"/>
      <c r="J679" s="109"/>
      <c r="K679" s="109"/>
      <c r="L679" s="109"/>
      <c r="M679" s="109"/>
      <c r="N679" s="109"/>
      <c r="O679" s="109"/>
      <c r="P679" s="109"/>
      <c r="Q679" s="109"/>
      <c r="R679" s="109"/>
      <c r="S679" s="109"/>
      <c r="T679" s="109"/>
      <c r="U679" s="109"/>
      <c r="V679" s="109"/>
      <c r="W679" s="109"/>
      <c r="X679" s="109"/>
      <c r="Y679" s="109"/>
      <c r="Z679" s="109"/>
    </row>
    <row r="680" spans="1:26" ht="13.5" customHeight="1">
      <c r="A680" s="109"/>
      <c r="B680" s="109"/>
      <c r="C680" s="109"/>
      <c r="D680" s="109"/>
      <c r="E680" s="109"/>
      <c r="F680" s="109"/>
      <c r="G680" s="161"/>
      <c r="H680" s="109"/>
      <c r="I680" s="109"/>
      <c r="J680" s="109"/>
      <c r="K680" s="109"/>
      <c r="L680" s="109"/>
      <c r="M680" s="109"/>
      <c r="N680" s="109"/>
      <c r="O680" s="109"/>
      <c r="P680" s="109"/>
      <c r="Q680" s="109"/>
      <c r="R680" s="109"/>
      <c r="S680" s="109"/>
      <c r="T680" s="109"/>
      <c r="U680" s="109"/>
      <c r="V680" s="109"/>
      <c r="W680" s="109"/>
      <c r="X680" s="109"/>
      <c r="Y680" s="109"/>
      <c r="Z680" s="109"/>
    </row>
    <row r="681" spans="1:26" ht="13.5" customHeight="1">
      <c r="A681" s="109"/>
      <c r="B681" s="109"/>
      <c r="C681" s="109"/>
      <c r="D681" s="109"/>
      <c r="E681" s="109"/>
      <c r="F681" s="109"/>
      <c r="G681" s="161"/>
      <c r="H681" s="109"/>
      <c r="I681" s="109"/>
      <c r="J681" s="109"/>
      <c r="K681" s="109"/>
      <c r="L681" s="109"/>
      <c r="M681" s="109"/>
      <c r="N681" s="109"/>
      <c r="O681" s="109"/>
      <c r="P681" s="109"/>
      <c r="Q681" s="109"/>
      <c r="R681" s="109"/>
      <c r="S681" s="109"/>
      <c r="T681" s="109"/>
      <c r="U681" s="109"/>
      <c r="V681" s="109"/>
      <c r="W681" s="109"/>
      <c r="X681" s="109"/>
      <c r="Y681" s="109"/>
      <c r="Z681" s="109"/>
    </row>
    <row r="682" spans="1:26" ht="13.5" customHeight="1">
      <c r="A682" s="109"/>
      <c r="B682" s="109"/>
      <c r="C682" s="109"/>
      <c r="D682" s="109"/>
      <c r="E682" s="109"/>
      <c r="F682" s="109"/>
      <c r="G682" s="161"/>
      <c r="H682" s="109"/>
      <c r="I682" s="109"/>
      <c r="J682" s="109"/>
      <c r="K682" s="109"/>
      <c r="L682" s="109"/>
      <c r="M682" s="109"/>
      <c r="N682" s="109"/>
      <c r="O682" s="109"/>
      <c r="P682" s="109"/>
      <c r="Q682" s="109"/>
      <c r="R682" s="109"/>
      <c r="S682" s="109"/>
      <c r="T682" s="109"/>
      <c r="U682" s="109"/>
      <c r="V682" s="109"/>
      <c r="W682" s="109"/>
      <c r="X682" s="109"/>
      <c r="Y682" s="109"/>
      <c r="Z682" s="109"/>
    </row>
    <row r="683" spans="1:26" ht="13.5" customHeight="1">
      <c r="A683" s="109"/>
      <c r="B683" s="109"/>
      <c r="C683" s="109"/>
      <c r="D683" s="109"/>
      <c r="E683" s="109"/>
      <c r="F683" s="109"/>
      <c r="G683" s="161"/>
      <c r="H683" s="109"/>
      <c r="I683" s="109"/>
      <c r="J683" s="109"/>
      <c r="K683" s="109"/>
      <c r="L683" s="109"/>
      <c r="M683" s="109"/>
      <c r="N683" s="109"/>
      <c r="O683" s="109"/>
      <c r="P683" s="109"/>
      <c r="Q683" s="109"/>
      <c r="R683" s="109"/>
      <c r="S683" s="109"/>
      <c r="T683" s="109"/>
      <c r="U683" s="109"/>
      <c r="V683" s="109"/>
      <c r="W683" s="109"/>
      <c r="X683" s="109"/>
      <c r="Y683" s="109"/>
      <c r="Z683" s="109"/>
    </row>
    <row r="684" spans="1:26" ht="13.5" customHeight="1">
      <c r="A684" s="109"/>
      <c r="B684" s="109"/>
      <c r="C684" s="109"/>
      <c r="D684" s="109"/>
      <c r="E684" s="109"/>
      <c r="F684" s="109"/>
      <c r="G684" s="161"/>
      <c r="H684" s="109"/>
      <c r="I684" s="109"/>
      <c r="J684" s="109"/>
      <c r="K684" s="109"/>
      <c r="L684" s="109"/>
      <c r="M684" s="109"/>
      <c r="N684" s="109"/>
      <c r="O684" s="109"/>
      <c r="P684" s="109"/>
      <c r="Q684" s="109"/>
      <c r="R684" s="109"/>
      <c r="S684" s="109"/>
      <c r="T684" s="109"/>
      <c r="U684" s="109"/>
      <c r="V684" s="109"/>
      <c r="W684" s="109"/>
      <c r="X684" s="109"/>
      <c r="Y684" s="109"/>
      <c r="Z684" s="109"/>
    </row>
    <row r="685" spans="1:26" ht="13.5" customHeight="1">
      <c r="A685" s="109"/>
      <c r="B685" s="109"/>
      <c r="C685" s="109"/>
      <c r="D685" s="109"/>
      <c r="E685" s="109"/>
      <c r="F685" s="109"/>
      <c r="G685" s="161"/>
      <c r="H685" s="109"/>
      <c r="I685" s="109"/>
      <c r="J685" s="109"/>
      <c r="K685" s="109"/>
      <c r="L685" s="109"/>
      <c r="M685" s="109"/>
      <c r="N685" s="109"/>
      <c r="O685" s="109"/>
      <c r="P685" s="109"/>
      <c r="Q685" s="109"/>
      <c r="R685" s="109"/>
      <c r="S685" s="109"/>
      <c r="T685" s="109"/>
      <c r="U685" s="109"/>
      <c r="V685" s="109"/>
      <c r="W685" s="109"/>
      <c r="X685" s="109"/>
      <c r="Y685" s="109"/>
      <c r="Z685" s="109"/>
    </row>
    <row r="686" spans="1:26" ht="13.5" customHeight="1">
      <c r="A686" s="109"/>
      <c r="B686" s="109"/>
      <c r="C686" s="109"/>
      <c r="D686" s="109"/>
      <c r="E686" s="109"/>
      <c r="F686" s="109"/>
      <c r="G686" s="161"/>
      <c r="H686" s="109"/>
      <c r="I686" s="109"/>
      <c r="J686" s="109"/>
      <c r="K686" s="109"/>
      <c r="L686" s="109"/>
      <c r="M686" s="109"/>
      <c r="N686" s="109"/>
      <c r="O686" s="109"/>
      <c r="P686" s="109"/>
      <c r="Q686" s="109"/>
      <c r="R686" s="109"/>
      <c r="S686" s="109"/>
      <c r="T686" s="109"/>
      <c r="U686" s="109"/>
      <c r="V686" s="109"/>
      <c r="W686" s="109"/>
      <c r="X686" s="109"/>
      <c r="Y686" s="109"/>
      <c r="Z686" s="109"/>
    </row>
    <row r="687" spans="1:26" ht="13.5" customHeight="1">
      <c r="A687" s="109"/>
      <c r="B687" s="109"/>
      <c r="C687" s="109"/>
      <c r="D687" s="109"/>
      <c r="E687" s="109"/>
      <c r="F687" s="109"/>
      <c r="G687" s="161"/>
      <c r="H687" s="109"/>
      <c r="I687" s="109"/>
      <c r="J687" s="109"/>
      <c r="K687" s="109"/>
      <c r="L687" s="109"/>
      <c r="M687" s="109"/>
      <c r="N687" s="109"/>
      <c r="O687" s="109"/>
      <c r="P687" s="109"/>
      <c r="Q687" s="109"/>
      <c r="R687" s="109"/>
      <c r="S687" s="109"/>
      <c r="T687" s="109"/>
      <c r="U687" s="109"/>
      <c r="V687" s="109"/>
      <c r="W687" s="109"/>
      <c r="X687" s="109"/>
      <c r="Y687" s="109"/>
      <c r="Z687" s="109"/>
    </row>
    <row r="688" spans="1:26" ht="13.5" customHeight="1">
      <c r="A688" s="109"/>
      <c r="B688" s="109"/>
      <c r="C688" s="109"/>
      <c r="D688" s="109"/>
      <c r="E688" s="109"/>
      <c r="F688" s="109"/>
      <c r="G688" s="161"/>
      <c r="H688" s="109"/>
      <c r="I688" s="109"/>
      <c r="J688" s="109"/>
      <c r="K688" s="109"/>
      <c r="L688" s="109"/>
      <c r="M688" s="109"/>
      <c r="N688" s="109"/>
      <c r="O688" s="109"/>
      <c r="P688" s="109"/>
      <c r="Q688" s="109"/>
      <c r="R688" s="109"/>
      <c r="S688" s="109"/>
      <c r="T688" s="109"/>
      <c r="U688" s="109"/>
      <c r="V688" s="109"/>
      <c r="W688" s="109"/>
      <c r="X688" s="109"/>
      <c r="Y688" s="109"/>
      <c r="Z688" s="109"/>
    </row>
    <row r="689" spans="1:26" ht="13.5" customHeight="1">
      <c r="A689" s="109"/>
      <c r="B689" s="109"/>
      <c r="C689" s="109"/>
      <c r="D689" s="109"/>
      <c r="E689" s="109"/>
      <c r="F689" s="109"/>
      <c r="G689" s="161"/>
      <c r="H689" s="109"/>
      <c r="I689" s="109"/>
      <c r="J689" s="109"/>
      <c r="K689" s="109"/>
      <c r="L689" s="109"/>
      <c r="M689" s="109"/>
      <c r="N689" s="109"/>
      <c r="O689" s="109"/>
      <c r="P689" s="109"/>
      <c r="Q689" s="109"/>
      <c r="R689" s="109"/>
      <c r="S689" s="109"/>
      <c r="T689" s="109"/>
      <c r="U689" s="109"/>
      <c r="V689" s="109"/>
      <c r="W689" s="109"/>
      <c r="X689" s="109"/>
      <c r="Y689" s="109"/>
      <c r="Z689" s="109"/>
    </row>
    <row r="690" spans="1:26" ht="13.5" customHeight="1">
      <c r="A690" s="109"/>
      <c r="B690" s="109"/>
      <c r="C690" s="109"/>
      <c r="D690" s="109"/>
      <c r="E690" s="109"/>
      <c r="F690" s="109"/>
      <c r="G690" s="161"/>
      <c r="H690" s="109"/>
      <c r="I690" s="109"/>
      <c r="J690" s="109"/>
      <c r="K690" s="109"/>
      <c r="L690" s="109"/>
      <c r="M690" s="109"/>
      <c r="N690" s="109"/>
      <c r="O690" s="109"/>
      <c r="P690" s="109"/>
      <c r="Q690" s="109"/>
      <c r="R690" s="109"/>
      <c r="S690" s="109"/>
      <c r="T690" s="109"/>
      <c r="U690" s="109"/>
      <c r="V690" s="109"/>
      <c r="W690" s="109"/>
      <c r="X690" s="109"/>
      <c r="Y690" s="109"/>
      <c r="Z690" s="109"/>
    </row>
    <row r="691" spans="1:26" ht="13.5" customHeight="1">
      <c r="A691" s="109"/>
      <c r="B691" s="109"/>
      <c r="C691" s="109"/>
      <c r="D691" s="109"/>
      <c r="E691" s="109"/>
      <c r="F691" s="109"/>
      <c r="G691" s="161"/>
      <c r="H691" s="109"/>
      <c r="I691" s="109"/>
      <c r="J691" s="109"/>
      <c r="K691" s="109"/>
      <c r="L691" s="109"/>
      <c r="M691" s="109"/>
      <c r="N691" s="109"/>
      <c r="O691" s="109"/>
      <c r="P691" s="109"/>
      <c r="Q691" s="109"/>
      <c r="R691" s="109"/>
      <c r="S691" s="109"/>
      <c r="T691" s="109"/>
      <c r="U691" s="109"/>
      <c r="V691" s="109"/>
      <c r="W691" s="109"/>
      <c r="X691" s="109"/>
      <c r="Y691" s="109"/>
      <c r="Z691" s="109"/>
    </row>
    <row r="692" spans="1:26" ht="13.5" customHeight="1">
      <c r="A692" s="109"/>
      <c r="B692" s="109"/>
      <c r="C692" s="109"/>
      <c r="D692" s="109"/>
      <c r="E692" s="109"/>
      <c r="F692" s="109"/>
      <c r="G692" s="161"/>
      <c r="H692" s="109"/>
      <c r="I692" s="109"/>
      <c r="J692" s="109"/>
      <c r="K692" s="109"/>
      <c r="L692" s="109"/>
      <c r="M692" s="109"/>
      <c r="N692" s="109"/>
      <c r="O692" s="109"/>
      <c r="P692" s="109"/>
      <c r="Q692" s="109"/>
      <c r="R692" s="109"/>
      <c r="S692" s="109"/>
      <c r="T692" s="109"/>
      <c r="U692" s="109"/>
      <c r="V692" s="109"/>
      <c r="W692" s="109"/>
      <c r="X692" s="109"/>
      <c r="Y692" s="109"/>
      <c r="Z692" s="109"/>
    </row>
    <row r="693" spans="1:26" ht="13.5" customHeight="1">
      <c r="A693" s="109"/>
      <c r="B693" s="109"/>
      <c r="C693" s="109"/>
      <c r="D693" s="109"/>
      <c r="E693" s="109"/>
      <c r="F693" s="109"/>
      <c r="G693" s="161"/>
      <c r="H693" s="109"/>
      <c r="I693" s="109"/>
      <c r="J693" s="109"/>
      <c r="K693" s="109"/>
      <c r="L693" s="109"/>
      <c r="M693" s="109"/>
      <c r="N693" s="109"/>
      <c r="O693" s="109"/>
      <c r="P693" s="109"/>
      <c r="Q693" s="109"/>
      <c r="R693" s="109"/>
      <c r="S693" s="109"/>
      <c r="T693" s="109"/>
      <c r="U693" s="109"/>
      <c r="V693" s="109"/>
      <c r="W693" s="109"/>
      <c r="X693" s="109"/>
      <c r="Y693" s="109"/>
      <c r="Z693" s="109"/>
    </row>
    <row r="694" spans="1:26" ht="13.5" customHeight="1">
      <c r="A694" s="109"/>
      <c r="B694" s="109"/>
      <c r="C694" s="109"/>
      <c r="D694" s="109"/>
      <c r="E694" s="109"/>
      <c r="F694" s="109"/>
      <c r="G694" s="161"/>
      <c r="H694" s="109"/>
      <c r="I694" s="109"/>
      <c r="J694" s="109"/>
      <c r="K694" s="109"/>
      <c r="L694" s="109"/>
      <c r="M694" s="109"/>
      <c r="N694" s="109"/>
      <c r="O694" s="109"/>
      <c r="P694" s="109"/>
      <c r="Q694" s="109"/>
      <c r="R694" s="109"/>
      <c r="S694" s="109"/>
      <c r="T694" s="109"/>
      <c r="U694" s="109"/>
      <c r="V694" s="109"/>
      <c r="W694" s="109"/>
      <c r="X694" s="109"/>
      <c r="Y694" s="109"/>
      <c r="Z694" s="109"/>
    </row>
    <row r="695" spans="1:26" ht="13.5" customHeight="1">
      <c r="A695" s="109"/>
      <c r="B695" s="109"/>
      <c r="C695" s="109"/>
      <c r="D695" s="109"/>
      <c r="E695" s="109"/>
      <c r="F695" s="109"/>
      <c r="G695" s="161"/>
      <c r="H695" s="109"/>
      <c r="I695" s="109"/>
      <c r="J695" s="109"/>
      <c r="K695" s="109"/>
      <c r="L695" s="109"/>
      <c r="M695" s="109"/>
      <c r="N695" s="109"/>
      <c r="O695" s="109"/>
      <c r="P695" s="109"/>
      <c r="Q695" s="109"/>
      <c r="R695" s="109"/>
      <c r="S695" s="109"/>
      <c r="T695" s="109"/>
      <c r="U695" s="109"/>
      <c r="V695" s="109"/>
      <c r="W695" s="109"/>
      <c r="X695" s="109"/>
      <c r="Y695" s="109"/>
      <c r="Z695" s="109"/>
    </row>
    <row r="696" spans="1:26" ht="13.5" customHeight="1">
      <c r="A696" s="109"/>
      <c r="B696" s="109"/>
      <c r="C696" s="109"/>
      <c r="D696" s="109"/>
      <c r="E696" s="109"/>
      <c r="F696" s="109"/>
      <c r="G696" s="161"/>
      <c r="H696" s="109"/>
      <c r="I696" s="109"/>
      <c r="J696" s="109"/>
      <c r="K696" s="109"/>
      <c r="L696" s="109"/>
      <c r="M696" s="109"/>
      <c r="N696" s="109"/>
      <c r="O696" s="109"/>
      <c r="P696" s="109"/>
      <c r="Q696" s="109"/>
      <c r="R696" s="109"/>
      <c r="S696" s="109"/>
      <c r="T696" s="109"/>
      <c r="U696" s="109"/>
      <c r="V696" s="109"/>
      <c r="W696" s="109"/>
      <c r="X696" s="109"/>
      <c r="Y696" s="109"/>
      <c r="Z696" s="109"/>
    </row>
    <row r="697" spans="1:26" ht="13.5" customHeight="1">
      <c r="A697" s="109"/>
      <c r="B697" s="109"/>
      <c r="C697" s="109"/>
      <c r="D697" s="109"/>
      <c r="E697" s="109"/>
      <c r="F697" s="109"/>
      <c r="G697" s="161"/>
      <c r="H697" s="109"/>
      <c r="I697" s="109"/>
      <c r="J697" s="109"/>
      <c r="K697" s="109"/>
      <c r="L697" s="109"/>
      <c r="M697" s="109"/>
      <c r="N697" s="109"/>
      <c r="O697" s="109"/>
      <c r="P697" s="109"/>
      <c r="Q697" s="109"/>
      <c r="R697" s="109"/>
      <c r="S697" s="109"/>
      <c r="T697" s="109"/>
      <c r="U697" s="109"/>
      <c r="V697" s="109"/>
      <c r="W697" s="109"/>
      <c r="X697" s="109"/>
      <c r="Y697" s="109"/>
      <c r="Z697" s="109"/>
    </row>
    <row r="698" spans="1:26" ht="13.5" customHeight="1">
      <c r="A698" s="109"/>
      <c r="B698" s="109"/>
      <c r="C698" s="109"/>
      <c r="D698" s="109"/>
      <c r="E698" s="109"/>
      <c r="F698" s="109"/>
      <c r="G698" s="161"/>
      <c r="H698" s="109"/>
      <c r="I698" s="109"/>
      <c r="J698" s="109"/>
      <c r="K698" s="109"/>
      <c r="L698" s="109"/>
      <c r="M698" s="109"/>
      <c r="N698" s="109"/>
      <c r="O698" s="109"/>
      <c r="P698" s="109"/>
      <c r="Q698" s="109"/>
      <c r="R698" s="109"/>
      <c r="S698" s="109"/>
      <c r="T698" s="109"/>
      <c r="U698" s="109"/>
      <c r="V698" s="109"/>
      <c r="W698" s="109"/>
      <c r="X698" s="109"/>
      <c r="Y698" s="109"/>
      <c r="Z698" s="109"/>
    </row>
    <row r="699" spans="1:26" ht="13.5" customHeight="1">
      <c r="A699" s="109"/>
      <c r="B699" s="109"/>
      <c r="C699" s="109"/>
      <c r="D699" s="109"/>
      <c r="E699" s="109"/>
      <c r="F699" s="109"/>
      <c r="G699" s="161"/>
      <c r="H699" s="109"/>
      <c r="I699" s="109"/>
      <c r="J699" s="109"/>
      <c r="K699" s="109"/>
      <c r="L699" s="109"/>
      <c r="M699" s="109"/>
      <c r="N699" s="109"/>
      <c r="O699" s="109"/>
      <c r="P699" s="109"/>
      <c r="Q699" s="109"/>
      <c r="R699" s="109"/>
      <c r="S699" s="109"/>
      <c r="T699" s="109"/>
      <c r="U699" s="109"/>
      <c r="V699" s="109"/>
      <c r="W699" s="109"/>
      <c r="X699" s="109"/>
      <c r="Y699" s="109"/>
      <c r="Z699" s="109"/>
    </row>
    <row r="700" spans="1:26" ht="13.5" customHeight="1">
      <c r="A700" s="109"/>
      <c r="B700" s="109"/>
      <c r="C700" s="109"/>
      <c r="D700" s="109"/>
      <c r="E700" s="109"/>
      <c r="F700" s="109"/>
      <c r="G700" s="161"/>
      <c r="H700" s="109"/>
      <c r="I700" s="109"/>
      <c r="J700" s="109"/>
      <c r="K700" s="109"/>
      <c r="L700" s="109"/>
      <c r="M700" s="109"/>
      <c r="N700" s="109"/>
      <c r="O700" s="109"/>
      <c r="P700" s="109"/>
      <c r="Q700" s="109"/>
      <c r="R700" s="109"/>
      <c r="S700" s="109"/>
      <c r="T700" s="109"/>
      <c r="U700" s="109"/>
      <c r="V700" s="109"/>
      <c r="W700" s="109"/>
      <c r="X700" s="109"/>
      <c r="Y700" s="109"/>
      <c r="Z700" s="109"/>
    </row>
    <row r="701" spans="1:26" ht="13.5" customHeight="1">
      <c r="A701" s="109"/>
      <c r="B701" s="109"/>
      <c r="C701" s="109"/>
      <c r="D701" s="109"/>
      <c r="E701" s="109"/>
      <c r="F701" s="109"/>
      <c r="G701" s="161"/>
      <c r="H701" s="109"/>
      <c r="I701" s="109"/>
      <c r="J701" s="109"/>
      <c r="K701" s="109"/>
      <c r="L701" s="109"/>
      <c r="M701" s="109"/>
      <c r="N701" s="109"/>
      <c r="O701" s="109"/>
      <c r="P701" s="109"/>
      <c r="Q701" s="109"/>
      <c r="R701" s="109"/>
      <c r="S701" s="109"/>
      <c r="T701" s="109"/>
      <c r="U701" s="109"/>
      <c r="V701" s="109"/>
      <c r="W701" s="109"/>
      <c r="X701" s="109"/>
      <c r="Y701" s="109"/>
      <c r="Z701" s="109"/>
    </row>
    <row r="702" spans="1:26" ht="13.5" customHeight="1">
      <c r="A702" s="109"/>
      <c r="B702" s="109"/>
      <c r="C702" s="109"/>
      <c r="D702" s="109"/>
      <c r="E702" s="109"/>
      <c r="F702" s="109"/>
      <c r="G702" s="161"/>
      <c r="H702" s="109"/>
      <c r="I702" s="109"/>
      <c r="J702" s="109"/>
      <c r="K702" s="109"/>
      <c r="L702" s="109"/>
      <c r="M702" s="109"/>
      <c r="N702" s="109"/>
      <c r="O702" s="109"/>
      <c r="P702" s="109"/>
      <c r="Q702" s="109"/>
      <c r="R702" s="109"/>
      <c r="S702" s="109"/>
      <c r="T702" s="109"/>
      <c r="U702" s="109"/>
      <c r="V702" s="109"/>
      <c r="W702" s="109"/>
      <c r="X702" s="109"/>
      <c r="Y702" s="109"/>
      <c r="Z702" s="109"/>
    </row>
    <row r="703" spans="1:26" ht="13.5" customHeight="1">
      <c r="A703" s="109"/>
      <c r="B703" s="109"/>
      <c r="C703" s="109"/>
      <c r="D703" s="109"/>
      <c r="E703" s="109"/>
      <c r="F703" s="109"/>
      <c r="G703" s="161"/>
      <c r="H703" s="109"/>
      <c r="I703" s="109"/>
      <c r="J703" s="109"/>
      <c r="K703" s="109"/>
      <c r="L703" s="109"/>
      <c r="M703" s="109"/>
      <c r="N703" s="109"/>
      <c r="O703" s="109"/>
      <c r="P703" s="109"/>
      <c r="Q703" s="109"/>
      <c r="R703" s="109"/>
      <c r="S703" s="109"/>
      <c r="T703" s="109"/>
      <c r="U703" s="109"/>
      <c r="V703" s="109"/>
      <c r="W703" s="109"/>
      <c r="X703" s="109"/>
      <c r="Y703" s="109"/>
      <c r="Z703" s="109"/>
    </row>
    <row r="704" spans="1:26" ht="13.5" customHeight="1">
      <c r="A704" s="109"/>
      <c r="B704" s="109"/>
      <c r="C704" s="109"/>
      <c r="D704" s="109"/>
      <c r="E704" s="109"/>
      <c r="F704" s="109"/>
      <c r="G704" s="161"/>
      <c r="H704" s="109"/>
      <c r="I704" s="109"/>
      <c r="J704" s="109"/>
      <c r="K704" s="109"/>
      <c r="L704" s="109"/>
      <c r="M704" s="109"/>
      <c r="N704" s="109"/>
      <c r="O704" s="109"/>
      <c r="P704" s="109"/>
      <c r="Q704" s="109"/>
      <c r="R704" s="109"/>
      <c r="S704" s="109"/>
      <c r="T704" s="109"/>
      <c r="U704" s="109"/>
      <c r="V704" s="109"/>
      <c r="W704" s="109"/>
      <c r="X704" s="109"/>
      <c r="Y704" s="109"/>
      <c r="Z704" s="109"/>
    </row>
    <row r="705" spans="1:26" ht="13.5" customHeight="1">
      <c r="A705" s="109"/>
      <c r="B705" s="109"/>
      <c r="C705" s="109"/>
      <c r="D705" s="109"/>
      <c r="E705" s="109"/>
      <c r="F705" s="109"/>
      <c r="G705" s="161"/>
      <c r="H705" s="109"/>
      <c r="I705" s="109"/>
      <c r="J705" s="109"/>
      <c r="K705" s="109"/>
      <c r="L705" s="109"/>
      <c r="M705" s="109"/>
      <c r="N705" s="109"/>
      <c r="O705" s="109"/>
      <c r="P705" s="109"/>
      <c r="Q705" s="109"/>
      <c r="R705" s="109"/>
      <c r="S705" s="109"/>
      <c r="T705" s="109"/>
      <c r="U705" s="109"/>
      <c r="V705" s="109"/>
      <c r="W705" s="109"/>
      <c r="X705" s="109"/>
      <c r="Y705" s="109"/>
      <c r="Z705" s="109"/>
    </row>
    <row r="706" spans="1:26" ht="13.5" customHeight="1">
      <c r="A706" s="109"/>
      <c r="B706" s="109"/>
      <c r="C706" s="109"/>
      <c r="D706" s="109"/>
      <c r="E706" s="109"/>
      <c r="F706" s="109"/>
      <c r="G706" s="161"/>
      <c r="H706" s="109"/>
      <c r="I706" s="109"/>
      <c r="J706" s="109"/>
      <c r="K706" s="109"/>
      <c r="L706" s="109"/>
      <c r="M706" s="109"/>
      <c r="N706" s="109"/>
      <c r="O706" s="109"/>
      <c r="P706" s="109"/>
      <c r="Q706" s="109"/>
      <c r="R706" s="109"/>
      <c r="S706" s="109"/>
      <c r="T706" s="109"/>
      <c r="U706" s="109"/>
      <c r="V706" s="109"/>
      <c r="W706" s="109"/>
      <c r="X706" s="109"/>
      <c r="Y706" s="109"/>
      <c r="Z706" s="109"/>
    </row>
    <row r="707" spans="1:26" ht="13.5" customHeight="1">
      <c r="A707" s="109"/>
      <c r="B707" s="109"/>
      <c r="C707" s="109"/>
      <c r="D707" s="109"/>
      <c r="E707" s="109"/>
      <c r="F707" s="109"/>
      <c r="G707" s="161"/>
      <c r="H707" s="109"/>
      <c r="I707" s="109"/>
      <c r="J707" s="109"/>
      <c r="K707" s="109"/>
      <c r="L707" s="109"/>
      <c r="M707" s="109"/>
      <c r="N707" s="109"/>
      <c r="O707" s="109"/>
      <c r="P707" s="109"/>
      <c r="Q707" s="109"/>
      <c r="R707" s="109"/>
      <c r="S707" s="109"/>
      <c r="T707" s="109"/>
      <c r="U707" s="109"/>
      <c r="V707" s="109"/>
      <c r="W707" s="109"/>
      <c r="X707" s="109"/>
      <c r="Y707" s="109"/>
      <c r="Z707" s="109"/>
    </row>
    <row r="708" spans="1:26" ht="13.5" customHeight="1">
      <c r="A708" s="109"/>
      <c r="B708" s="109"/>
      <c r="C708" s="109"/>
      <c r="D708" s="109"/>
      <c r="E708" s="109"/>
      <c r="F708" s="109"/>
      <c r="G708" s="161"/>
      <c r="H708" s="109"/>
      <c r="I708" s="109"/>
      <c r="J708" s="109"/>
      <c r="K708" s="109"/>
      <c r="L708" s="109"/>
      <c r="M708" s="109"/>
      <c r="N708" s="109"/>
      <c r="O708" s="109"/>
      <c r="P708" s="109"/>
      <c r="Q708" s="109"/>
      <c r="R708" s="109"/>
      <c r="S708" s="109"/>
      <c r="T708" s="109"/>
      <c r="U708" s="109"/>
      <c r="V708" s="109"/>
      <c r="W708" s="109"/>
      <c r="X708" s="109"/>
      <c r="Y708" s="109"/>
      <c r="Z708" s="109"/>
    </row>
    <row r="709" spans="1:26" ht="13.5" customHeight="1">
      <c r="A709" s="109"/>
      <c r="B709" s="109"/>
      <c r="C709" s="109"/>
      <c r="D709" s="109"/>
      <c r="E709" s="109"/>
      <c r="F709" s="109"/>
      <c r="G709" s="161"/>
      <c r="H709" s="109"/>
      <c r="I709" s="109"/>
      <c r="J709" s="109"/>
      <c r="K709" s="109"/>
      <c r="L709" s="109"/>
      <c r="M709" s="109"/>
      <c r="N709" s="109"/>
      <c r="O709" s="109"/>
      <c r="P709" s="109"/>
      <c r="Q709" s="109"/>
      <c r="R709" s="109"/>
      <c r="S709" s="109"/>
      <c r="T709" s="109"/>
      <c r="U709" s="109"/>
      <c r="V709" s="109"/>
      <c r="W709" s="109"/>
      <c r="X709" s="109"/>
      <c r="Y709" s="109"/>
      <c r="Z709" s="109"/>
    </row>
    <row r="710" spans="1:26" ht="13.5" customHeight="1">
      <c r="A710" s="109"/>
      <c r="B710" s="109"/>
      <c r="C710" s="109"/>
      <c r="D710" s="109"/>
      <c r="E710" s="109"/>
      <c r="F710" s="109"/>
      <c r="G710" s="161"/>
      <c r="H710" s="109"/>
      <c r="I710" s="109"/>
      <c r="J710" s="109"/>
      <c r="K710" s="109"/>
      <c r="L710" s="109"/>
      <c r="M710" s="109"/>
      <c r="N710" s="109"/>
      <c r="O710" s="109"/>
      <c r="P710" s="109"/>
      <c r="Q710" s="109"/>
      <c r="R710" s="109"/>
      <c r="S710" s="109"/>
      <c r="T710" s="109"/>
      <c r="U710" s="109"/>
      <c r="V710" s="109"/>
      <c r="W710" s="109"/>
      <c r="X710" s="109"/>
      <c r="Y710" s="109"/>
      <c r="Z710" s="109"/>
    </row>
    <row r="711" spans="1:26" ht="13.5" customHeight="1">
      <c r="A711" s="109"/>
      <c r="B711" s="109"/>
      <c r="C711" s="109"/>
      <c r="D711" s="109"/>
      <c r="E711" s="109"/>
      <c r="F711" s="109"/>
      <c r="G711" s="161"/>
      <c r="H711" s="109"/>
      <c r="I711" s="109"/>
      <c r="J711" s="109"/>
      <c r="K711" s="109"/>
      <c r="L711" s="109"/>
      <c r="M711" s="109"/>
      <c r="N711" s="109"/>
      <c r="O711" s="109"/>
      <c r="P711" s="109"/>
      <c r="Q711" s="109"/>
      <c r="R711" s="109"/>
      <c r="S711" s="109"/>
      <c r="T711" s="109"/>
      <c r="U711" s="109"/>
      <c r="V711" s="109"/>
      <c r="W711" s="109"/>
      <c r="X711" s="109"/>
      <c r="Y711" s="109"/>
      <c r="Z711" s="109"/>
    </row>
    <row r="712" spans="1:26" ht="13.5" customHeight="1">
      <c r="A712" s="109"/>
      <c r="B712" s="109"/>
      <c r="C712" s="109"/>
      <c r="D712" s="109"/>
      <c r="E712" s="109"/>
      <c r="F712" s="109"/>
      <c r="G712" s="161"/>
      <c r="H712" s="109"/>
      <c r="I712" s="109"/>
      <c r="J712" s="109"/>
      <c r="K712" s="109"/>
      <c r="L712" s="109"/>
      <c r="M712" s="109"/>
      <c r="N712" s="109"/>
      <c r="O712" s="109"/>
      <c r="P712" s="109"/>
      <c r="Q712" s="109"/>
      <c r="R712" s="109"/>
      <c r="S712" s="109"/>
      <c r="T712" s="109"/>
      <c r="U712" s="109"/>
      <c r="V712" s="109"/>
      <c r="W712" s="109"/>
      <c r="X712" s="109"/>
      <c r="Y712" s="109"/>
      <c r="Z712" s="109"/>
    </row>
    <row r="713" spans="1:26" ht="13.5" customHeight="1">
      <c r="A713" s="109"/>
      <c r="B713" s="109"/>
      <c r="C713" s="109"/>
      <c r="D713" s="109"/>
      <c r="E713" s="109"/>
      <c r="F713" s="109"/>
      <c r="G713" s="161"/>
      <c r="H713" s="109"/>
      <c r="I713" s="109"/>
      <c r="J713" s="109"/>
      <c r="K713" s="109"/>
      <c r="L713" s="109"/>
      <c r="M713" s="109"/>
      <c r="N713" s="109"/>
      <c r="O713" s="109"/>
      <c r="P713" s="109"/>
      <c r="Q713" s="109"/>
      <c r="R713" s="109"/>
      <c r="S713" s="109"/>
      <c r="T713" s="109"/>
      <c r="U713" s="109"/>
      <c r="V713" s="109"/>
      <c r="W713" s="109"/>
      <c r="X713" s="109"/>
      <c r="Y713" s="109"/>
      <c r="Z713" s="109"/>
    </row>
    <row r="714" spans="1:26" ht="13.5" customHeight="1">
      <c r="A714" s="109"/>
      <c r="B714" s="109"/>
      <c r="C714" s="109"/>
      <c r="D714" s="109"/>
      <c r="E714" s="109"/>
      <c r="F714" s="109"/>
      <c r="G714" s="161"/>
      <c r="H714" s="109"/>
      <c r="I714" s="109"/>
      <c r="J714" s="109"/>
      <c r="K714" s="109"/>
      <c r="L714" s="109"/>
      <c r="M714" s="109"/>
      <c r="N714" s="109"/>
      <c r="O714" s="109"/>
      <c r="P714" s="109"/>
      <c r="Q714" s="109"/>
      <c r="R714" s="109"/>
      <c r="S714" s="109"/>
      <c r="T714" s="109"/>
      <c r="U714" s="109"/>
      <c r="V714" s="109"/>
      <c r="W714" s="109"/>
      <c r="X714" s="109"/>
      <c r="Y714" s="109"/>
      <c r="Z714" s="109"/>
    </row>
    <row r="715" spans="1:26" ht="13.5" customHeight="1">
      <c r="A715" s="109"/>
      <c r="B715" s="109"/>
      <c r="C715" s="109"/>
      <c r="D715" s="109"/>
      <c r="E715" s="109"/>
      <c r="F715" s="109"/>
      <c r="G715" s="161"/>
      <c r="H715" s="109"/>
      <c r="I715" s="109"/>
      <c r="J715" s="109"/>
      <c r="K715" s="109"/>
      <c r="L715" s="109"/>
      <c r="M715" s="109"/>
      <c r="N715" s="109"/>
      <c r="O715" s="109"/>
      <c r="P715" s="109"/>
      <c r="Q715" s="109"/>
      <c r="R715" s="109"/>
      <c r="S715" s="109"/>
      <c r="T715" s="109"/>
      <c r="U715" s="109"/>
      <c r="V715" s="109"/>
      <c r="W715" s="109"/>
      <c r="X715" s="109"/>
      <c r="Y715" s="109"/>
      <c r="Z715" s="109"/>
    </row>
    <row r="716" spans="1:26" ht="13.5" customHeight="1">
      <c r="A716" s="109"/>
      <c r="B716" s="109"/>
      <c r="C716" s="109"/>
      <c r="D716" s="109"/>
      <c r="E716" s="109"/>
      <c r="F716" s="109"/>
      <c r="G716" s="161"/>
      <c r="H716" s="109"/>
      <c r="I716" s="109"/>
      <c r="J716" s="109"/>
      <c r="K716" s="109"/>
      <c r="L716" s="109"/>
      <c r="M716" s="109"/>
      <c r="N716" s="109"/>
      <c r="O716" s="109"/>
      <c r="P716" s="109"/>
      <c r="Q716" s="109"/>
      <c r="R716" s="109"/>
      <c r="S716" s="109"/>
      <c r="T716" s="109"/>
      <c r="U716" s="109"/>
      <c r="V716" s="109"/>
      <c r="W716" s="109"/>
      <c r="X716" s="109"/>
      <c r="Y716" s="109"/>
      <c r="Z716" s="109"/>
    </row>
    <row r="717" spans="1:26" ht="13.5" customHeight="1">
      <c r="A717" s="109"/>
      <c r="B717" s="109"/>
      <c r="C717" s="109"/>
      <c r="D717" s="109"/>
      <c r="E717" s="109"/>
      <c r="F717" s="109"/>
      <c r="G717" s="161"/>
      <c r="H717" s="109"/>
      <c r="I717" s="109"/>
      <c r="J717" s="109"/>
      <c r="K717" s="109"/>
      <c r="L717" s="109"/>
      <c r="M717" s="109"/>
      <c r="N717" s="109"/>
      <c r="O717" s="109"/>
      <c r="P717" s="109"/>
      <c r="Q717" s="109"/>
      <c r="R717" s="109"/>
      <c r="S717" s="109"/>
      <c r="T717" s="109"/>
      <c r="U717" s="109"/>
      <c r="V717" s="109"/>
      <c r="W717" s="109"/>
      <c r="X717" s="109"/>
      <c r="Y717" s="109"/>
      <c r="Z717" s="109"/>
    </row>
    <row r="718" spans="1:26" ht="13.5" customHeight="1">
      <c r="A718" s="109"/>
      <c r="B718" s="109"/>
      <c r="C718" s="109"/>
      <c r="D718" s="109"/>
      <c r="E718" s="109"/>
      <c r="F718" s="109"/>
      <c r="G718" s="161"/>
      <c r="H718" s="109"/>
      <c r="I718" s="109"/>
      <c r="J718" s="109"/>
      <c r="K718" s="109"/>
      <c r="L718" s="109"/>
      <c r="M718" s="109"/>
      <c r="N718" s="109"/>
      <c r="O718" s="109"/>
      <c r="P718" s="109"/>
      <c r="Q718" s="109"/>
      <c r="R718" s="109"/>
      <c r="S718" s="109"/>
      <c r="T718" s="109"/>
      <c r="U718" s="109"/>
      <c r="V718" s="109"/>
      <c r="W718" s="109"/>
      <c r="X718" s="109"/>
      <c r="Y718" s="109"/>
      <c r="Z718" s="109"/>
    </row>
    <row r="719" spans="1:26" ht="13.5" customHeight="1">
      <c r="A719" s="109"/>
      <c r="B719" s="109"/>
      <c r="C719" s="109"/>
      <c r="D719" s="109"/>
      <c r="E719" s="109"/>
      <c r="F719" s="109"/>
      <c r="G719" s="161"/>
      <c r="H719" s="109"/>
      <c r="I719" s="109"/>
      <c r="J719" s="109"/>
      <c r="K719" s="109"/>
      <c r="L719" s="109"/>
      <c r="M719" s="109"/>
      <c r="N719" s="109"/>
      <c r="O719" s="109"/>
      <c r="P719" s="109"/>
      <c r="Q719" s="109"/>
      <c r="R719" s="109"/>
      <c r="S719" s="109"/>
      <c r="T719" s="109"/>
      <c r="U719" s="109"/>
      <c r="V719" s="109"/>
      <c r="W719" s="109"/>
      <c r="X719" s="109"/>
      <c r="Y719" s="109"/>
      <c r="Z719" s="109"/>
    </row>
    <row r="720" spans="1:26" ht="13.5" customHeight="1">
      <c r="A720" s="109"/>
      <c r="B720" s="109"/>
      <c r="C720" s="109"/>
      <c r="D720" s="109"/>
      <c r="E720" s="109"/>
      <c r="F720" s="109"/>
      <c r="G720" s="161"/>
      <c r="H720" s="109"/>
      <c r="I720" s="109"/>
      <c r="J720" s="109"/>
      <c r="K720" s="109"/>
      <c r="L720" s="109"/>
      <c r="M720" s="109"/>
      <c r="N720" s="109"/>
      <c r="O720" s="109"/>
      <c r="P720" s="109"/>
      <c r="Q720" s="109"/>
      <c r="R720" s="109"/>
      <c r="S720" s="109"/>
      <c r="T720" s="109"/>
      <c r="U720" s="109"/>
      <c r="V720" s="109"/>
      <c r="W720" s="109"/>
      <c r="X720" s="109"/>
      <c r="Y720" s="109"/>
      <c r="Z720" s="109"/>
    </row>
    <row r="721" spans="1:26" ht="13.5" customHeight="1">
      <c r="A721" s="109"/>
      <c r="B721" s="109"/>
      <c r="C721" s="109"/>
      <c r="D721" s="109"/>
      <c r="E721" s="109"/>
      <c r="F721" s="109"/>
      <c r="G721" s="161"/>
      <c r="H721" s="109"/>
      <c r="I721" s="109"/>
      <c r="J721" s="109"/>
      <c r="K721" s="109"/>
      <c r="L721" s="109"/>
      <c r="M721" s="109"/>
      <c r="N721" s="109"/>
      <c r="O721" s="109"/>
      <c r="P721" s="109"/>
      <c r="Q721" s="109"/>
      <c r="R721" s="109"/>
      <c r="S721" s="109"/>
      <c r="T721" s="109"/>
      <c r="U721" s="109"/>
      <c r="V721" s="109"/>
      <c r="W721" s="109"/>
      <c r="X721" s="109"/>
      <c r="Y721" s="109"/>
      <c r="Z721" s="109"/>
    </row>
    <row r="722" spans="1:26" ht="13.5" customHeight="1">
      <c r="A722" s="109"/>
      <c r="B722" s="109"/>
      <c r="C722" s="109"/>
      <c r="D722" s="109"/>
      <c r="E722" s="109"/>
      <c r="F722" s="109"/>
      <c r="G722" s="161"/>
      <c r="H722" s="109"/>
      <c r="I722" s="109"/>
      <c r="J722" s="109"/>
      <c r="K722" s="109"/>
      <c r="L722" s="109"/>
      <c r="M722" s="109"/>
      <c r="N722" s="109"/>
      <c r="O722" s="109"/>
      <c r="P722" s="109"/>
      <c r="Q722" s="109"/>
      <c r="R722" s="109"/>
      <c r="S722" s="109"/>
      <c r="T722" s="109"/>
      <c r="U722" s="109"/>
      <c r="V722" s="109"/>
      <c r="W722" s="109"/>
      <c r="X722" s="109"/>
      <c r="Y722" s="109"/>
      <c r="Z722" s="109"/>
    </row>
    <row r="723" spans="1:26" ht="13.5" customHeight="1">
      <c r="A723" s="109"/>
      <c r="B723" s="109"/>
      <c r="C723" s="109"/>
      <c r="D723" s="109"/>
      <c r="E723" s="109"/>
      <c r="F723" s="109"/>
      <c r="G723" s="161"/>
      <c r="H723" s="109"/>
      <c r="I723" s="109"/>
      <c r="J723" s="109"/>
      <c r="K723" s="109"/>
      <c r="L723" s="109"/>
      <c r="M723" s="109"/>
      <c r="N723" s="109"/>
      <c r="O723" s="109"/>
      <c r="P723" s="109"/>
      <c r="Q723" s="109"/>
      <c r="R723" s="109"/>
      <c r="S723" s="109"/>
      <c r="T723" s="109"/>
      <c r="U723" s="109"/>
      <c r="V723" s="109"/>
      <c r="W723" s="109"/>
      <c r="X723" s="109"/>
      <c r="Y723" s="109"/>
      <c r="Z723" s="109"/>
    </row>
    <row r="724" spans="1:26" ht="13.5" customHeight="1">
      <c r="A724" s="109"/>
      <c r="B724" s="109"/>
      <c r="C724" s="109"/>
      <c r="D724" s="109"/>
      <c r="E724" s="109"/>
      <c r="F724" s="109"/>
      <c r="G724" s="161"/>
      <c r="H724" s="109"/>
      <c r="I724" s="109"/>
      <c r="J724" s="109"/>
      <c r="K724" s="109"/>
      <c r="L724" s="109"/>
      <c r="M724" s="109"/>
      <c r="N724" s="109"/>
      <c r="O724" s="109"/>
      <c r="P724" s="109"/>
      <c r="Q724" s="109"/>
      <c r="R724" s="109"/>
      <c r="S724" s="109"/>
      <c r="T724" s="109"/>
      <c r="U724" s="109"/>
      <c r="V724" s="109"/>
      <c r="W724" s="109"/>
      <c r="X724" s="109"/>
      <c r="Y724" s="109"/>
      <c r="Z724" s="109"/>
    </row>
    <row r="725" spans="1:26" ht="13.5" customHeight="1">
      <c r="A725" s="109"/>
      <c r="B725" s="109"/>
      <c r="C725" s="109"/>
      <c r="D725" s="109"/>
      <c r="E725" s="109"/>
      <c r="F725" s="109"/>
      <c r="G725" s="161"/>
      <c r="H725" s="109"/>
      <c r="I725" s="109"/>
      <c r="J725" s="109"/>
      <c r="K725" s="109"/>
      <c r="L725" s="109"/>
      <c r="M725" s="109"/>
      <c r="N725" s="109"/>
      <c r="O725" s="109"/>
      <c r="P725" s="109"/>
      <c r="Q725" s="109"/>
      <c r="R725" s="109"/>
      <c r="S725" s="109"/>
      <c r="T725" s="109"/>
      <c r="U725" s="109"/>
      <c r="V725" s="109"/>
      <c r="W725" s="109"/>
      <c r="X725" s="109"/>
      <c r="Y725" s="109"/>
      <c r="Z725" s="109"/>
    </row>
    <row r="726" spans="1:26" ht="13.5" customHeight="1">
      <c r="A726" s="109"/>
      <c r="B726" s="109"/>
      <c r="C726" s="109"/>
      <c r="D726" s="109"/>
      <c r="E726" s="109"/>
      <c r="F726" s="109"/>
      <c r="G726" s="161"/>
      <c r="H726" s="109"/>
      <c r="I726" s="109"/>
      <c r="J726" s="109"/>
      <c r="K726" s="109"/>
      <c r="L726" s="109"/>
      <c r="M726" s="109"/>
      <c r="N726" s="109"/>
      <c r="O726" s="109"/>
      <c r="P726" s="109"/>
      <c r="Q726" s="109"/>
      <c r="R726" s="109"/>
      <c r="S726" s="109"/>
      <c r="T726" s="109"/>
      <c r="U726" s="109"/>
      <c r="V726" s="109"/>
      <c r="W726" s="109"/>
      <c r="X726" s="109"/>
      <c r="Y726" s="109"/>
      <c r="Z726" s="109"/>
    </row>
    <row r="727" spans="1:26" ht="13.5" customHeight="1">
      <c r="A727" s="109"/>
      <c r="B727" s="109"/>
      <c r="C727" s="109"/>
      <c r="D727" s="109"/>
      <c r="E727" s="109"/>
      <c r="F727" s="109"/>
      <c r="G727" s="161"/>
      <c r="H727" s="109"/>
      <c r="I727" s="109"/>
      <c r="J727" s="109"/>
      <c r="K727" s="109"/>
      <c r="L727" s="109"/>
      <c r="M727" s="109"/>
      <c r="N727" s="109"/>
      <c r="O727" s="109"/>
      <c r="P727" s="109"/>
      <c r="Q727" s="109"/>
      <c r="R727" s="109"/>
      <c r="S727" s="109"/>
      <c r="T727" s="109"/>
      <c r="U727" s="109"/>
      <c r="V727" s="109"/>
      <c r="W727" s="109"/>
      <c r="X727" s="109"/>
      <c r="Y727" s="109"/>
      <c r="Z727" s="109"/>
    </row>
    <row r="728" spans="1:26" ht="13.5" customHeight="1">
      <c r="A728" s="109"/>
      <c r="B728" s="109"/>
      <c r="C728" s="109"/>
      <c r="D728" s="109"/>
      <c r="E728" s="109"/>
      <c r="F728" s="109"/>
      <c r="G728" s="161"/>
      <c r="H728" s="109"/>
      <c r="I728" s="109"/>
      <c r="J728" s="109"/>
      <c r="K728" s="109"/>
      <c r="L728" s="109"/>
      <c r="M728" s="109"/>
      <c r="N728" s="109"/>
      <c r="O728" s="109"/>
      <c r="P728" s="109"/>
      <c r="Q728" s="109"/>
      <c r="R728" s="109"/>
      <c r="S728" s="109"/>
      <c r="T728" s="109"/>
      <c r="U728" s="109"/>
      <c r="V728" s="109"/>
      <c r="W728" s="109"/>
      <c r="X728" s="109"/>
      <c r="Y728" s="109"/>
      <c r="Z728" s="109"/>
    </row>
    <row r="729" spans="1:26" ht="13.5" customHeight="1">
      <c r="A729" s="109"/>
      <c r="B729" s="109"/>
      <c r="C729" s="109"/>
      <c r="D729" s="109"/>
      <c r="E729" s="109"/>
      <c r="F729" s="109"/>
      <c r="G729" s="161"/>
      <c r="H729" s="109"/>
      <c r="I729" s="109"/>
      <c r="J729" s="109"/>
      <c r="K729" s="109"/>
      <c r="L729" s="109"/>
      <c r="M729" s="109"/>
      <c r="N729" s="109"/>
      <c r="O729" s="109"/>
      <c r="P729" s="109"/>
      <c r="Q729" s="109"/>
      <c r="R729" s="109"/>
      <c r="S729" s="109"/>
      <c r="T729" s="109"/>
      <c r="U729" s="109"/>
      <c r="V729" s="109"/>
      <c r="W729" s="109"/>
      <c r="X729" s="109"/>
      <c r="Y729" s="109"/>
      <c r="Z729" s="109"/>
    </row>
    <row r="730" spans="1:26" ht="13.5" customHeight="1">
      <c r="A730" s="109"/>
      <c r="B730" s="109"/>
      <c r="C730" s="109"/>
      <c r="D730" s="109"/>
      <c r="E730" s="109"/>
      <c r="F730" s="109"/>
      <c r="G730" s="161"/>
      <c r="H730" s="109"/>
      <c r="I730" s="109"/>
      <c r="J730" s="109"/>
      <c r="K730" s="109"/>
      <c r="L730" s="109"/>
      <c r="M730" s="109"/>
      <c r="N730" s="109"/>
      <c r="O730" s="109"/>
      <c r="P730" s="109"/>
      <c r="Q730" s="109"/>
      <c r="R730" s="109"/>
      <c r="S730" s="109"/>
      <c r="T730" s="109"/>
      <c r="U730" s="109"/>
      <c r="V730" s="109"/>
      <c r="W730" s="109"/>
      <c r="X730" s="109"/>
      <c r="Y730" s="109"/>
      <c r="Z730" s="109"/>
    </row>
    <row r="731" spans="1:26" ht="13.5" customHeight="1">
      <c r="A731" s="109"/>
      <c r="B731" s="109"/>
      <c r="C731" s="109"/>
      <c r="D731" s="109"/>
      <c r="E731" s="109"/>
      <c r="F731" s="109"/>
      <c r="G731" s="161"/>
      <c r="H731" s="109"/>
      <c r="I731" s="109"/>
      <c r="J731" s="109"/>
      <c r="K731" s="109"/>
      <c r="L731" s="109"/>
      <c r="M731" s="109"/>
      <c r="N731" s="109"/>
      <c r="O731" s="109"/>
      <c r="P731" s="109"/>
      <c r="Q731" s="109"/>
      <c r="R731" s="109"/>
      <c r="S731" s="109"/>
      <c r="T731" s="109"/>
      <c r="U731" s="109"/>
      <c r="V731" s="109"/>
      <c r="W731" s="109"/>
      <c r="X731" s="109"/>
      <c r="Y731" s="109"/>
      <c r="Z731" s="109"/>
    </row>
    <row r="732" spans="1:26" ht="13.5" customHeight="1">
      <c r="A732" s="109"/>
      <c r="B732" s="109"/>
      <c r="C732" s="109"/>
      <c r="D732" s="109"/>
      <c r="E732" s="109"/>
      <c r="F732" s="109"/>
      <c r="G732" s="161"/>
      <c r="H732" s="109"/>
      <c r="I732" s="109"/>
      <c r="J732" s="109"/>
      <c r="K732" s="109"/>
      <c r="L732" s="109"/>
      <c r="M732" s="109"/>
      <c r="N732" s="109"/>
      <c r="O732" s="109"/>
      <c r="P732" s="109"/>
      <c r="Q732" s="109"/>
      <c r="R732" s="109"/>
      <c r="S732" s="109"/>
      <c r="T732" s="109"/>
      <c r="U732" s="109"/>
      <c r="V732" s="109"/>
      <c r="W732" s="109"/>
      <c r="X732" s="109"/>
      <c r="Y732" s="109"/>
      <c r="Z732" s="109"/>
    </row>
    <row r="733" spans="1:26" ht="13.5" customHeight="1">
      <c r="A733" s="109"/>
      <c r="B733" s="109"/>
      <c r="C733" s="109"/>
      <c r="D733" s="109"/>
      <c r="E733" s="109"/>
      <c r="F733" s="109"/>
      <c r="G733" s="161"/>
      <c r="H733" s="109"/>
      <c r="I733" s="109"/>
      <c r="J733" s="109"/>
      <c r="K733" s="109"/>
      <c r="L733" s="109"/>
      <c r="M733" s="109"/>
      <c r="N733" s="109"/>
      <c r="O733" s="109"/>
      <c r="P733" s="109"/>
      <c r="Q733" s="109"/>
      <c r="R733" s="109"/>
      <c r="S733" s="109"/>
      <c r="T733" s="109"/>
      <c r="U733" s="109"/>
      <c r="V733" s="109"/>
      <c r="W733" s="109"/>
      <c r="X733" s="109"/>
      <c r="Y733" s="109"/>
      <c r="Z733" s="109"/>
    </row>
    <row r="734" spans="1:26" ht="13.5" customHeight="1">
      <c r="A734" s="109"/>
      <c r="B734" s="109"/>
      <c r="C734" s="109"/>
      <c r="D734" s="109"/>
      <c r="E734" s="109"/>
      <c r="F734" s="109"/>
      <c r="G734" s="161"/>
      <c r="H734" s="109"/>
      <c r="I734" s="109"/>
      <c r="J734" s="109"/>
      <c r="K734" s="109"/>
      <c r="L734" s="109"/>
      <c r="M734" s="109"/>
      <c r="N734" s="109"/>
      <c r="O734" s="109"/>
      <c r="P734" s="109"/>
      <c r="Q734" s="109"/>
      <c r="R734" s="109"/>
      <c r="S734" s="109"/>
      <c r="T734" s="109"/>
      <c r="U734" s="109"/>
      <c r="V734" s="109"/>
      <c r="W734" s="109"/>
      <c r="X734" s="109"/>
      <c r="Y734" s="109"/>
      <c r="Z734" s="109"/>
    </row>
    <row r="735" spans="1:26" ht="13.5" customHeight="1">
      <c r="A735" s="109"/>
      <c r="B735" s="109"/>
      <c r="C735" s="109"/>
      <c r="D735" s="109"/>
      <c r="E735" s="109"/>
      <c r="F735" s="109"/>
      <c r="G735" s="161"/>
      <c r="H735" s="109"/>
      <c r="I735" s="109"/>
      <c r="J735" s="109"/>
      <c r="K735" s="109"/>
      <c r="L735" s="109"/>
      <c r="M735" s="109"/>
      <c r="N735" s="109"/>
      <c r="O735" s="109"/>
      <c r="P735" s="109"/>
      <c r="Q735" s="109"/>
      <c r="R735" s="109"/>
      <c r="S735" s="109"/>
      <c r="T735" s="109"/>
      <c r="U735" s="109"/>
      <c r="V735" s="109"/>
      <c r="W735" s="109"/>
      <c r="X735" s="109"/>
      <c r="Y735" s="109"/>
      <c r="Z735" s="109"/>
    </row>
    <row r="736" spans="1:26" ht="13.5" customHeight="1">
      <c r="A736" s="109"/>
      <c r="B736" s="109"/>
      <c r="C736" s="109"/>
      <c r="D736" s="109"/>
      <c r="E736" s="109"/>
      <c r="F736" s="109"/>
      <c r="G736" s="161"/>
      <c r="H736" s="109"/>
      <c r="I736" s="109"/>
      <c r="J736" s="109"/>
      <c r="K736" s="109"/>
      <c r="L736" s="109"/>
      <c r="M736" s="109"/>
      <c r="N736" s="109"/>
      <c r="O736" s="109"/>
      <c r="P736" s="109"/>
      <c r="Q736" s="109"/>
      <c r="R736" s="109"/>
      <c r="S736" s="109"/>
      <c r="T736" s="109"/>
      <c r="U736" s="109"/>
      <c r="V736" s="109"/>
      <c r="W736" s="109"/>
      <c r="X736" s="109"/>
      <c r="Y736" s="109"/>
      <c r="Z736" s="109"/>
    </row>
    <row r="737" spans="1:26" ht="13.5" customHeight="1">
      <c r="A737" s="109"/>
      <c r="B737" s="109"/>
      <c r="C737" s="109"/>
      <c r="D737" s="109"/>
      <c r="E737" s="109"/>
      <c r="F737" s="109"/>
      <c r="G737" s="161"/>
      <c r="H737" s="109"/>
      <c r="I737" s="109"/>
      <c r="J737" s="109"/>
      <c r="K737" s="109"/>
      <c r="L737" s="109"/>
      <c r="M737" s="109"/>
      <c r="N737" s="109"/>
      <c r="O737" s="109"/>
      <c r="P737" s="109"/>
      <c r="Q737" s="109"/>
      <c r="R737" s="109"/>
      <c r="S737" s="109"/>
      <c r="T737" s="109"/>
      <c r="U737" s="109"/>
      <c r="V737" s="109"/>
      <c r="W737" s="109"/>
      <c r="X737" s="109"/>
      <c r="Y737" s="109"/>
      <c r="Z737" s="109"/>
    </row>
    <row r="738" spans="1:26" ht="13.5" customHeight="1">
      <c r="A738" s="109"/>
      <c r="B738" s="109"/>
      <c r="C738" s="109"/>
      <c r="D738" s="109"/>
      <c r="E738" s="109"/>
      <c r="F738" s="109"/>
      <c r="G738" s="161"/>
      <c r="H738" s="109"/>
      <c r="I738" s="109"/>
      <c r="J738" s="109"/>
      <c r="K738" s="109"/>
      <c r="L738" s="109"/>
      <c r="M738" s="109"/>
      <c r="N738" s="109"/>
      <c r="O738" s="109"/>
      <c r="P738" s="109"/>
      <c r="Q738" s="109"/>
      <c r="R738" s="109"/>
      <c r="S738" s="109"/>
      <c r="T738" s="109"/>
      <c r="U738" s="109"/>
      <c r="V738" s="109"/>
      <c r="W738" s="109"/>
      <c r="X738" s="109"/>
      <c r="Y738" s="109"/>
      <c r="Z738" s="109"/>
    </row>
    <row r="739" spans="1:26" ht="13.5" customHeight="1">
      <c r="A739" s="109"/>
      <c r="B739" s="109"/>
      <c r="C739" s="109"/>
      <c r="D739" s="109"/>
      <c r="E739" s="109"/>
      <c r="F739" s="109"/>
      <c r="G739" s="161"/>
      <c r="H739" s="109"/>
      <c r="I739" s="109"/>
      <c r="J739" s="109"/>
      <c r="K739" s="109"/>
      <c r="L739" s="109"/>
      <c r="M739" s="109"/>
      <c r="N739" s="109"/>
      <c r="O739" s="109"/>
      <c r="P739" s="109"/>
      <c r="Q739" s="109"/>
      <c r="R739" s="109"/>
      <c r="S739" s="109"/>
      <c r="T739" s="109"/>
      <c r="U739" s="109"/>
      <c r="V739" s="109"/>
      <c r="W739" s="109"/>
      <c r="X739" s="109"/>
      <c r="Y739" s="109"/>
      <c r="Z739" s="109"/>
    </row>
    <row r="740" spans="1:26" ht="13.5" customHeight="1">
      <c r="A740" s="109"/>
      <c r="B740" s="109"/>
      <c r="C740" s="109"/>
      <c r="D740" s="109"/>
      <c r="E740" s="109"/>
      <c r="F740" s="109"/>
      <c r="G740" s="161"/>
      <c r="H740" s="109"/>
      <c r="I740" s="109"/>
      <c r="J740" s="109"/>
      <c r="K740" s="109"/>
      <c r="L740" s="109"/>
      <c r="M740" s="109"/>
      <c r="N740" s="109"/>
      <c r="O740" s="109"/>
      <c r="P740" s="109"/>
      <c r="Q740" s="109"/>
      <c r="R740" s="109"/>
      <c r="S740" s="109"/>
      <c r="T740" s="109"/>
      <c r="U740" s="109"/>
      <c r="V740" s="109"/>
      <c r="W740" s="109"/>
      <c r="X740" s="109"/>
      <c r="Y740" s="109"/>
      <c r="Z740" s="109"/>
    </row>
    <row r="741" spans="1:26" ht="13.5" customHeight="1">
      <c r="A741" s="109"/>
      <c r="B741" s="109"/>
      <c r="C741" s="109"/>
      <c r="D741" s="109"/>
      <c r="E741" s="109"/>
      <c r="F741" s="109"/>
      <c r="G741" s="161"/>
      <c r="H741" s="109"/>
      <c r="I741" s="109"/>
      <c r="J741" s="109"/>
      <c r="K741" s="109"/>
      <c r="L741" s="109"/>
      <c r="M741" s="109"/>
      <c r="N741" s="109"/>
      <c r="O741" s="109"/>
      <c r="P741" s="109"/>
      <c r="Q741" s="109"/>
      <c r="R741" s="109"/>
      <c r="S741" s="109"/>
      <c r="T741" s="109"/>
      <c r="U741" s="109"/>
      <c r="V741" s="109"/>
      <c r="W741" s="109"/>
      <c r="X741" s="109"/>
      <c r="Y741" s="109"/>
      <c r="Z741" s="109"/>
    </row>
    <row r="742" spans="1:26" ht="13.5" customHeight="1">
      <c r="A742" s="109"/>
      <c r="B742" s="109"/>
      <c r="C742" s="109"/>
      <c r="D742" s="109"/>
      <c r="E742" s="109"/>
      <c r="F742" s="109"/>
      <c r="G742" s="161"/>
      <c r="H742" s="109"/>
      <c r="I742" s="109"/>
      <c r="J742" s="109"/>
      <c r="K742" s="109"/>
      <c r="L742" s="109"/>
      <c r="M742" s="109"/>
      <c r="N742" s="109"/>
      <c r="O742" s="109"/>
      <c r="P742" s="109"/>
      <c r="Q742" s="109"/>
      <c r="R742" s="109"/>
      <c r="S742" s="109"/>
      <c r="T742" s="109"/>
      <c r="U742" s="109"/>
      <c r="V742" s="109"/>
      <c r="W742" s="109"/>
      <c r="X742" s="109"/>
      <c r="Y742" s="109"/>
      <c r="Z742" s="109"/>
    </row>
    <row r="743" spans="1:26" ht="13.5" customHeight="1">
      <c r="A743" s="109"/>
      <c r="B743" s="109"/>
      <c r="C743" s="109"/>
      <c r="D743" s="109"/>
      <c r="E743" s="109"/>
      <c r="F743" s="109"/>
      <c r="G743" s="161"/>
      <c r="H743" s="109"/>
      <c r="I743" s="109"/>
      <c r="J743" s="109"/>
      <c r="K743" s="109"/>
      <c r="L743" s="109"/>
      <c r="M743" s="109"/>
      <c r="N743" s="109"/>
      <c r="O743" s="109"/>
      <c r="P743" s="109"/>
      <c r="Q743" s="109"/>
      <c r="R743" s="109"/>
      <c r="S743" s="109"/>
      <c r="T743" s="109"/>
      <c r="U743" s="109"/>
      <c r="V743" s="109"/>
      <c r="W743" s="109"/>
      <c r="X743" s="109"/>
      <c r="Y743" s="109"/>
      <c r="Z743" s="109"/>
    </row>
    <row r="744" spans="1:26" ht="13.5" customHeight="1">
      <c r="A744" s="109"/>
      <c r="B744" s="109"/>
      <c r="C744" s="109"/>
      <c r="D744" s="109"/>
      <c r="E744" s="109"/>
      <c r="F744" s="109"/>
      <c r="G744" s="161"/>
      <c r="H744" s="109"/>
      <c r="I744" s="109"/>
      <c r="J744" s="109"/>
      <c r="K744" s="109"/>
      <c r="L744" s="109"/>
      <c r="M744" s="109"/>
      <c r="N744" s="109"/>
      <c r="O744" s="109"/>
      <c r="P744" s="109"/>
      <c r="Q744" s="109"/>
      <c r="R744" s="109"/>
      <c r="S744" s="109"/>
      <c r="T744" s="109"/>
      <c r="U744" s="109"/>
      <c r="V744" s="109"/>
      <c r="W744" s="109"/>
      <c r="X744" s="109"/>
      <c r="Y744" s="109"/>
      <c r="Z744" s="109"/>
    </row>
    <row r="745" spans="1:26" ht="13.5" customHeight="1">
      <c r="A745" s="109"/>
      <c r="B745" s="109"/>
      <c r="C745" s="109"/>
      <c r="D745" s="109"/>
      <c r="E745" s="109"/>
      <c r="F745" s="109"/>
      <c r="G745" s="161"/>
      <c r="H745" s="109"/>
      <c r="I745" s="109"/>
      <c r="J745" s="109"/>
      <c r="K745" s="109"/>
      <c r="L745" s="109"/>
      <c r="M745" s="109"/>
      <c r="N745" s="109"/>
      <c r="O745" s="109"/>
      <c r="P745" s="109"/>
      <c r="Q745" s="109"/>
      <c r="R745" s="109"/>
      <c r="S745" s="109"/>
      <c r="T745" s="109"/>
      <c r="U745" s="109"/>
      <c r="V745" s="109"/>
      <c r="W745" s="109"/>
      <c r="X745" s="109"/>
      <c r="Y745" s="109"/>
      <c r="Z745" s="109"/>
    </row>
    <row r="746" spans="1:26" ht="13.5" customHeight="1">
      <c r="A746" s="109"/>
      <c r="B746" s="109"/>
      <c r="C746" s="109"/>
      <c r="D746" s="109"/>
      <c r="E746" s="109"/>
      <c r="F746" s="109"/>
      <c r="G746" s="161"/>
      <c r="H746" s="109"/>
      <c r="I746" s="109"/>
      <c r="J746" s="109"/>
      <c r="K746" s="109"/>
      <c r="L746" s="109"/>
      <c r="M746" s="109"/>
      <c r="N746" s="109"/>
      <c r="O746" s="109"/>
      <c r="P746" s="109"/>
      <c r="Q746" s="109"/>
      <c r="R746" s="109"/>
      <c r="S746" s="109"/>
      <c r="T746" s="109"/>
      <c r="U746" s="109"/>
      <c r="V746" s="109"/>
      <c r="W746" s="109"/>
      <c r="X746" s="109"/>
      <c r="Y746" s="109"/>
      <c r="Z746" s="109"/>
    </row>
    <row r="747" spans="1:26" ht="13.5" customHeight="1">
      <c r="A747" s="109"/>
      <c r="B747" s="109"/>
      <c r="C747" s="109"/>
      <c r="D747" s="109"/>
      <c r="E747" s="109"/>
      <c r="F747" s="109"/>
      <c r="G747" s="161"/>
      <c r="H747" s="109"/>
      <c r="I747" s="109"/>
      <c r="J747" s="109"/>
      <c r="K747" s="109"/>
      <c r="L747" s="109"/>
      <c r="M747" s="109"/>
      <c r="N747" s="109"/>
      <c r="O747" s="109"/>
      <c r="P747" s="109"/>
      <c r="Q747" s="109"/>
      <c r="R747" s="109"/>
      <c r="S747" s="109"/>
      <c r="T747" s="109"/>
      <c r="U747" s="109"/>
      <c r="V747" s="109"/>
      <c r="W747" s="109"/>
      <c r="X747" s="109"/>
      <c r="Y747" s="109"/>
      <c r="Z747" s="109"/>
    </row>
    <row r="748" spans="1:26" ht="13.5" customHeight="1">
      <c r="A748" s="109"/>
      <c r="B748" s="109"/>
      <c r="C748" s="109"/>
      <c r="D748" s="109"/>
      <c r="E748" s="109"/>
      <c r="F748" s="109"/>
      <c r="G748" s="161"/>
      <c r="H748" s="109"/>
      <c r="I748" s="109"/>
      <c r="J748" s="109"/>
      <c r="K748" s="109"/>
      <c r="L748" s="109"/>
      <c r="M748" s="109"/>
      <c r="N748" s="109"/>
      <c r="O748" s="109"/>
      <c r="P748" s="109"/>
      <c r="Q748" s="109"/>
      <c r="R748" s="109"/>
      <c r="S748" s="109"/>
      <c r="T748" s="109"/>
      <c r="U748" s="109"/>
      <c r="V748" s="109"/>
      <c r="W748" s="109"/>
      <c r="X748" s="109"/>
      <c r="Y748" s="109"/>
      <c r="Z748" s="109"/>
    </row>
    <row r="749" spans="1:26" ht="13.5" customHeight="1">
      <c r="A749" s="109"/>
      <c r="B749" s="109"/>
      <c r="C749" s="109"/>
      <c r="D749" s="109"/>
      <c r="E749" s="109"/>
      <c r="F749" s="109"/>
      <c r="G749" s="161"/>
      <c r="H749" s="109"/>
      <c r="I749" s="109"/>
      <c r="J749" s="109"/>
      <c r="K749" s="109"/>
      <c r="L749" s="109"/>
      <c r="M749" s="109"/>
      <c r="N749" s="109"/>
      <c r="O749" s="109"/>
      <c r="P749" s="109"/>
      <c r="Q749" s="109"/>
      <c r="R749" s="109"/>
      <c r="S749" s="109"/>
      <c r="T749" s="109"/>
      <c r="U749" s="109"/>
      <c r="V749" s="109"/>
      <c r="W749" s="109"/>
      <c r="X749" s="109"/>
      <c r="Y749" s="109"/>
      <c r="Z749" s="109"/>
    </row>
    <row r="750" spans="1:26" ht="13.5" customHeight="1">
      <c r="A750" s="109"/>
      <c r="B750" s="109"/>
      <c r="C750" s="109"/>
      <c r="D750" s="109"/>
      <c r="E750" s="109"/>
      <c r="F750" s="109"/>
      <c r="G750" s="161"/>
      <c r="H750" s="109"/>
      <c r="I750" s="109"/>
      <c r="J750" s="109"/>
      <c r="K750" s="109"/>
      <c r="L750" s="109"/>
      <c r="M750" s="109"/>
      <c r="N750" s="109"/>
      <c r="O750" s="109"/>
      <c r="P750" s="109"/>
      <c r="Q750" s="109"/>
      <c r="R750" s="109"/>
      <c r="S750" s="109"/>
      <c r="T750" s="109"/>
      <c r="U750" s="109"/>
      <c r="V750" s="109"/>
      <c r="W750" s="109"/>
      <c r="X750" s="109"/>
      <c r="Y750" s="109"/>
      <c r="Z750" s="109"/>
    </row>
    <row r="751" spans="1:26" ht="13.5" customHeight="1">
      <c r="A751" s="109"/>
      <c r="B751" s="109"/>
      <c r="C751" s="109"/>
      <c r="D751" s="109"/>
      <c r="E751" s="109"/>
      <c r="F751" s="109"/>
      <c r="G751" s="161"/>
      <c r="H751" s="109"/>
      <c r="I751" s="109"/>
      <c r="J751" s="109"/>
      <c r="K751" s="109"/>
      <c r="L751" s="109"/>
      <c r="M751" s="109"/>
      <c r="N751" s="109"/>
      <c r="O751" s="109"/>
      <c r="P751" s="109"/>
      <c r="Q751" s="109"/>
      <c r="R751" s="109"/>
      <c r="S751" s="109"/>
      <c r="T751" s="109"/>
      <c r="U751" s="109"/>
      <c r="V751" s="109"/>
      <c r="W751" s="109"/>
      <c r="X751" s="109"/>
      <c r="Y751" s="109"/>
      <c r="Z751" s="109"/>
    </row>
    <row r="752" spans="1:26" ht="13.5" customHeight="1">
      <c r="A752" s="109"/>
      <c r="B752" s="109"/>
      <c r="C752" s="109"/>
      <c r="D752" s="109"/>
      <c r="E752" s="109"/>
      <c r="F752" s="109"/>
      <c r="G752" s="161"/>
      <c r="H752" s="109"/>
      <c r="I752" s="109"/>
      <c r="J752" s="109"/>
      <c r="K752" s="109"/>
      <c r="L752" s="109"/>
      <c r="M752" s="109"/>
      <c r="N752" s="109"/>
      <c r="O752" s="109"/>
      <c r="P752" s="109"/>
      <c r="Q752" s="109"/>
      <c r="R752" s="109"/>
      <c r="S752" s="109"/>
      <c r="T752" s="109"/>
      <c r="U752" s="109"/>
      <c r="V752" s="109"/>
      <c r="W752" s="109"/>
      <c r="X752" s="109"/>
      <c r="Y752" s="109"/>
      <c r="Z752" s="109"/>
    </row>
    <row r="753" spans="1:26" ht="13.5" customHeight="1">
      <c r="A753" s="109"/>
      <c r="B753" s="109"/>
      <c r="C753" s="109"/>
      <c r="D753" s="109"/>
      <c r="E753" s="109"/>
      <c r="F753" s="109"/>
      <c r="G753" s="161"/>
      <c r="H753" s="109"/>
      <c r="I753" s="109"/>
      <c r="J753" s="109"/>
      <c r="K753" s="109"/>
      <c r="L753" s="109"/>
      <c r="M753" s="109"/>
      <c r="N753" s="109"/>
      <c r="O753" s="109"/>
      <c r="P753" s="109"/>
      <c r="Q753" s="109"/>
      <c r="R753" s="109"/>
      <c r="S753" s="109"/>
      <c r="T753" s="109"/>
      <c r="U753" s="109"/>
      <c r="V753" s="109"/>
      <c r="W753" s="109"/>
      <c r="X753" s="109"/>
      <c r="Y753" s="109"/>
      <c r="Z753" s="109"/>
    </row>
    <row r="754" spans="1:26" ht="13.5" customHeight="1">
      <c r="A754" s="109"/>
      <c r="B754" s="109"/>
      <c r="C754" s="109"/>
      <c r="D754" s="109"/>
      <c r="E754" s="109"/>
      <c r="F754" s="109"/>
      <c r="G754" s="161"/>
      <c r="H754" s="109"/>
      <c r="I754" s="109"/>
      <c r="J754" s="109"/>
      <c r="K754" s="109"/>
      <c r="L754" s="109"/>
      <c r="M754" s="109"/>
      <c r="N754" s="109"/>
      <c r="O754" s="109"/>
      <c r="P754" s="109"/>
      <c r="Q754" s="109"/>
      <c r="R754" s="109"/>
      <c r="S754" s="109"/>
      <c r="T754" s="109"/>
      <c r="U754" s="109"/>
      <c r="V754" s="109"/>
      <c r="W754" s="109"/>
      <c r="X754" s="109"/>
      <c r="Y754" s="109"/>
      <c r="Z754" s="109"/>
    </row>
    <row r="755" spans="1:26" ht="13.5" customHeight="1">
      <c r="A755" s="109"/>
      <c r="B755" s="109"/>
      <c r="C755" s="109"/>
      <c r="D755" s="109"/>
      <c r="E755" s="109"/>
      <c r="F755" s="109"/>
      <c r="G755" s="161"/>
      <c r="H755" s="109"/>
      <c r="I755" s="109"/>
      <c r="J755" s="109"/>
      <c r="K755" s="109"/>
      <c r="L755" s="109"/>
      <c r="M755" s="109"/>
      <c r="N755" s="109"/>
      <c r="O755" s="109"/>
      <c r="P755" s="109"/>
      <c r="Q755" s="109"/>
      <c r="R755" s="109"/>
      <c r="S755" s="109"/>
      <c r="T755" s="109"/>
      <c r="U755" s="109"/>
      <c r="V755" s="109"/>
      <c r="W755" s="109"/>
      <c r="X755" s="109"/>
      <c r="Y755" s="109"/>
      <c r="Z755" s="109"/>
    </row>
    <row r="756" spans="1:26" ht="13.5" customHeight="1">
      <c r="A756" s="109"/>
      <c r="B756" s="109"/>
      <c r="C756" s="109"/>
      <c r="D756" s="109"/>
      <c r="E756" s="109"/>
      <c r="F756" s="109"/>
      <c r="G756" s="161"/>
      <c r="H756" s="109"/>
      <c r="I756" s="109"/>
      <c r="J756" s="109"/>
      <c r="K756" s="109"/>
      <c r="L756" s="109"/>
      <c r="M756" s="109"/>
      <c r="N756" s="109"/>
      <c r="O756" s="109"/>
      <c r="P756" s="109"/>
      <c r="Q756" s="109"/>
      <c r="R756" s="109"/>
      <c r="S756" s="109"/>
      <c r="T756" s="109"/>
      <c r="U756" s="109"/>
      <c r="V756" s="109"/>
      <c r="W756" s="109"/>
      <c r="X756" s="109"/>
      <c r="Y756" s="109"/>
      <c r="Z756" s="109"/>
    </row>
    <row r="757" spans="1:26" ht="13.5" customHeight="1">
      <c r="A757" s="109"/>
      <c r="B757" s="109"/>
      <c r="C757" s="109"/>
      <c r="D757" s="109"/>
      <c r="E757" s="109"/>
      <c r="F757" s="109"/>
      <c r="G757" s="161"/>
      <c r="H757" s="109"/>
      <c r="I757" s="109"/>
      <c r="J757" s="109"/>
      <c r="K757" s="109"/>
      <c r="L757" s="109"/>
      <c r="M757" s="109"/>
      <c r="N757" s="109"/>
      <c r="O757" s="109"/>
      <c r="P757" s="109"/>
      <c r="Q757" s="109"/>
      <c r="R757" s="109"/>
      <c r="S757" s="109"/>
      <c r="T757" s="109"/>
      <c r="U757" s="109"/>
      <c r="V757" s="109"/>
      <c r="W757" s="109"/>
      <c r="X757" s="109"/>
      <c r="Y757" s="109"/>
      <c r="Z757" s="109"/>
    </row>
    <row r="758" spans="1:26" ht="13.5" customHeight="1">
      <c r="A758" s="109"/>
      <c r="B758" s="109"/>
      <c r="C758" s="109"/>
      <c r="D758" s="109"/>
      <c r="E758" s="109"/>
      <c r="F758" s="109"/>
      <c r="G758" s="161"/>
      <c r="H758" s="109"/>
      <c r="I758" s="109"/>
      <c r="J758" s="109"/>
      <c r="K758" s="109"/>
      <c r="L758" s="109"/>
      <c r="M758" s="109"/>
      <c r="N758" s="109"/>
      <c r="O758" s="109"/>
      <c r="P758" s="109"/>
      <c r="Q758" s="109"/>
      <c r="R758" s="109"/>
      <c r="S758" s="109"/>
      <c r="T758" s="109"/>
      <c r="U758" s="109"/>
      <c r="V758" s="109"/>
      <c r="W758" s="109"/>
      <c r="X758" s="109"/>
      <c r="Y758" s="109"/>
      <c r="Z758" s="109"/>
    </row>
    <row r="759" spans="1:26" ht="13.5" customHeight="1">
      <c r="A759" s="109"/>
      <c r="B759" s="109"/>
      <c r="C759" s="109"/>
      <c r="D759" s="109"/>
      <c r="E759" s="109"/>
      <c r="F759" s="109"/>
      <c r="G759" s="161"/>
      <c r="H759" s="109"/>
      <c r="I759" s="109"/>
      <c r="J759" s="109"/>
      <c r="K759" s="109"/>
      <c r="L759" s="109"/>
      <c r="M759" s="109"/>
      <c r="N759" s="109"/>
      <c r="O759" s="109"/>
      <c r="P759" s="109"/>
      <c r="Q759" s="109"/>
      <c r="R759" s="109"/>
      <c r="S759" s="109"/>
      <c r="T759" s="109"/>
      <c r="U759" s="109"/>
      <c r="V759" s="109"/>
      <c r="W759" s="109"/>
      <c r="X759" s="109"/>
      <c r="Y759" s="109"/>
      <c r="Z759" s="109"/>
    </row>
    <row r="760" spans="1:26" ht="13.5" customHeight="1">
      <c r="A760" s="109"/>
      <c r="B760" s="109"/>
      <c r="C760" s="109"/>
      <c r="D760" s="109"/>
      <c r="E760" s="109"/>
      <c r="F760" s="109"/>
      <c r="G760" s="161"/>
      <c r="H760" s="109"/>
      <c r="I760" s="109"/>
      <c r="J760" s="109"/>
      <c r="K760" s="109"/>
      <c r="L760" s="109"/>
      <c r="M760" s="109"/>
      <c r="N760" s="109"/>
      <c r="O760" s="109"/>
      <c r="P760" s="109"/>
      <c r="Q760" s="109"/>
      <c r="R760" s="109"/>
      <c r="S760" s="109"/>
      <c r="T760" s="109"/>
      <c r="U760" s="109"/>
      <c r="V760" s="109"/>
      <c r="W760" s="109"/>
      <c r="X760" s="109"/>
      <c r="Y760" s="109"/>
      <c r="Z760" s="109"/>
    </row>
    <row r="761" spans="1:26" ht="13.5" customHeight="1">
      <c r="A761" s="109"/>
      <c r="B761" s="109"/>
      <c r="C761" s="109"/>
      <c r="D761" s="109"/>
      <c r="E761" s="109"/>
      <c r="F761" s="109"/>
      <c r="G761" s="161"/>
      <c r="H761" s="109"/>
      <c r="I761" s="109"/>
      <c r="J761" s="109"/>
      <c r="K761" s="109"/>
      <c r="L761" s="109"/>
      <c r="M761" s="109"/>
      <c r="N761" s="109"/>
      <c r="O761" s="109"/>
      <c r="P761" s="109"/>
      <c r="Q761" s="109"/>
      <c r="R761" s="109"/>
      <c r="S761" s="109"/>
      <c r="T761" s="109"/>
      <c r="U761" s="109"/>
      <c r="V761" s="109"/>
      <c r="W761" s="109"/>
      <c r="X761" s="109"/>
      <c r="Y761" s="109"/>
      <c r="Z761" s="109"/>
    </row>
    <row r="762" spans="1:26" ht="13.5" customHeight="1">
      <c r="A762" s="109"/>
      <c r="B762" s="109"/>
      <c r="C762" s="109"/>
      <c r="D762" s="109"/>
      <c r="E762" s="109"/>
      <c r="F762" s="109"/>
      <c r="G762" s="161"/>
      <c r="H762" s="109"/>
      <c r="I762" s="109"/>
      <c r="J762" s="109"/>
      <c r="K762" s="109"/>
      <c r="L762" s="109"/>
      <c r="M762" s="109"/>
      <c r="N762" s="109"/>
      <c r="O762" s="109"/>
      <c r="P762" s="109"/>
      <c r="Q762" s="109"/>
      <c r="R762" s="109"/>
      <c r="S762" s="109"/>
      <c r="T762" s="109"/>
      <c r="U762" s="109"/>
      <c r="V762" s="109"/>
      <c r="W762" s="109"/>
      <c r="X762" s="109"/>
      <c r="Y762" s="109"/>
      <c r="Z762" s="109"/>
    </row>
    <row r="763" spans="1:26" ht="13.5" customHeight="1">
      <c r="A763" s="109"/>
      <c r="B763" s="109"/>
      <c r="C763" s="109"/>
      <c r="D763" s="109"/>
      <c r="E763" s="109"/>
      <c r="F763" s="109"/>
      <c r="G763" s="161"/>
      <c r="H763" s="109"/>
      <c r="I763" s="109"/>
      <c r="J763" s="109"/>
      <c r="K763" s="109"/>
      <c r="L763" s="109"/>
      <c r="M763" s="109"/>
      <c r="N763" s="109"/>
      <c r="O763" s="109"/>
      <c r="P763" s="109"/>
      <c r="Q763" s="109"/>
      <c r="R763" s="109"/>
      <c r="S763" s="109"/>
      <c r="T763" s="109"/>
      <c r="U763" s="109"/>
      <c r="V763" s="109"/>
      <c r="W763" s="109"/>
      <c r="X763" s="109"/>
      <c r="Y763" s="109"/>
      <c r="Z763" s="109"/>
    </row>
    <row r="764" spans="1:26" ht="13.5" customHeight="1">
      <c r="A764" s="109"/>
      <c r="B764" s="109"/>
      <c r="C764" s="109"/>
      <c r="D764" s="109"/>
      <c r="E764" s="109"/>
      <c r="F764" s="109"/>
      <c r="G764" s="161"/>
      <c r="H764" s="109"/>
      <c r="I764" s="109"/>
      <c r="J764" s="109"/>
      <c r="K764" s="109"/>
      <c r="L764" s="109"/>
      <c r="M764" s="109"/>
      <c r="N764" s="109"/>
      <c r="O764" s="109"/>
      <c r="P764" s="109"/>
      <c r="Q764" s="109"/>
      <c r="R764" s="109"/>
      <c r="S764" s="109"/>
      <c r="T764" s="109"/>
      <c r="U764" s="109"/>
      <c r="V764" s="109"/>
      <c r="W764" s="109"/>
      <c r="X764" s="109"/>
      <c r="Y764" s="109"/>
      <c r="Z764" s="109"/>
    </row>
    <row r="765" spans="1:26" ht="13.5" customHeight="1">
      <c r="A765" s="109"/>
      <c r="B765" s="109"/>
      <c r="C765" s="109"/>
      <c r="D765" s="109"/>
      <c r="E765" s="109"/>
      <c r="F765" s="109"/>
      <c r="G765" s="161"/>
      <c r="H765" s="109"/>
      <c r="I765" s="109"/>
      <c r="J765" s="109"/>
      <c r="K765" s="109"/>
      <c r="L765" s="109"/>
      <c r="M765" s="109"/>
      <c r="N765" s="109"/>
      <c r="O765" s="109"/>
      <c r="P765" s="109"/>
      <c r="Q765" s="109"/>
      <c r="R765" s="109"/>
      <c r="S765" s="109"/>
      <c r="T765" s="109"/>
      <c r="U765" s="109"/>
      <c r="V765" s="109"/>
      <c r="W765" s="109"/>
      <c r="X765" s="109"/>
      <c r="Y765" s="109"/>
      <c r="Z765" s="109"/>
    </row>
    <row r="766" spans="1:26" ht="13.5" customHeight="1">
      <c r="A766" s="109"/>
      <c r="B766" s="109"/>
      <c r="C766" s="109"/>
      <c r="D766" s="109"/>
      <c r="E766" s="109"/>
      <c r="F766" s="109"/>
      <c r="G766" s="161"/>
      <c r="H766" s="109"/>
      <c r="I766" s="109"/>
      <c r="J766" s="109"/>
      <c r="K766" s="109"/>
      <c r="L766" s="109"/>
      <c r="M766" s="109"/>
      <c r="N766" s="109"/>
      <c r="O766" s="109"/>
      <c r="P766" s="109"/>
      <c r="Q766" s="109"/>
      <c r="R766" s="109"/>
      <c r="S766" s="109"/>
      <c r="T766" s="109"/>
      <c r="U766" s="109"/>
      <c r="V766" s="109"/>
      <c r="W766" s="109"/>
      <c r="X766" s="109"/>
      <c r="Y766" s="109"/>
      <c r="Z766" s="109"/>
    </row>
    <row r="767" spans="1:26" ht="13.5" customHeight="1">
      <c r="A767" s="109"/>
      <c r="B767" s="109"/>
      <c r="C767" s="109"/>
      <c r="D767" s="109"/>
      <c r="E767" s="109"/>
      <c r="F767" s="109"/>
      <c r="G767" s="161"/>
      <c r="H767" s="109"/>
      <c r="I767" s="109"/>
      <c r="J767" s="109"/>
      <c r="K767" s="109"/>
      <c r="L767" s="109"/>
      <c r="M767" s="109"/>
      <c r="N767" s="109"/>
      <c r="O767" s="109"/>
      <c r="P767" s="109"/>
      <c r="Q767" s="109"/>
      <c r="R767" s="109"/>
      <c r="S767" s="109"/>
      <c r="T767" s="109"/>
      <c r="U767" s="109"/>
      <c r="V767" s="109"/>
      <c r="W767" s="109"/>
      <c r="X767" s="109"/>
      <c r="Y767" s="109"/>
      <c r="Z767" s="109"/>
    </row>
    <row r="768" spans="1:26" ht="13.5" customHeight="1">
      <c r="A768" s="109"/>
      <c r="B768" s="109"/>
      <c r="C768" s="109"/>
      <c r="D768" s="109"/>
      <c r="E768" s="109"/>
      <c r="F768" s="109"/>
      <c r="G768" s="161"/>
      <c r="H768" s="109"/>
      <c r="I768" s="109"/>
      <c r="J768" s="109"/>
      <c r="K768" s="109"/>
      <c r="L768" s="109"/>
      <c r="M768" s="109"/>
      <c r="N768" s="109"/>
      <c r="O768" s="109"/>
      <c r="P768" s="109"/>
      <c r="Q768" s="109"/>
      <c r="R768" s="109"/>
      <c r="S768" s="109"/>
      <c r="T768" s="109"/>
      <c r="U768" s="109"/>
      <c r="V768" s="109"/>
      <c r="W768" s="109"/>
      <c r="X768" s="109"/>
      <c r="Y768" s="109"/>
      <c r="Z768" s="109"/>
    </row>
    <row r="769" spans="1:26" ht="13.5" customHeight="1">
      <c r="A769" s="109"/>
      <c r="B769" s="109"/>
      <c r="C769" s="109"/>
      <c r="D769" s="109"/>
      <c r="E769" s="109"/>
      <c r="F769" s="109"/>
      <c r="G769" s="161"/>
      <c r="H769" s="109"/>
      <c r="I769" s="109"/>
      <c r="J769" s="109"/>
      <c r="K769" s="109"/>
      <c r="L769" s="109"/>
      <c r="M769" s="109"/>
      <c r="N769" s="109"/>
      <c r="O769" s="109"/>
      <c r="P769" s="109"/>
      <c r="Q769" s="109"/>
      <c r="R769" s="109"/>
      <c r="S769" s="109"/>
      <c r="T769" s="109"/>
      <c r="U769" s="109"/>
      <c r="V769" s="109"/>
      <c r="W769" s="109"/>
      <c r="X769" s="109"/>
      <c r="Y769" s="109"/>
      <c r="Z769" s="109"/>
    </row>
    <row r="770" spans="1:26" ht="13.5" customHeight="1">
      <c r="A770" s="109"/>
      <c r="B770" s="109"/>
      <c r="C770" s="109"/>
      <c r="D770" s="109"/>
      <c r="E770" s="109"/>
      <c r="F770" s="109"/>
      <c r="G770" s="161"/>
      <c r="H770" s="109"/>
      <c r="I770" s="109"/>
      <c r="J770" s="109"/>
      <c r="K770" s="109"/>
      <c r="L770" s="109"/>
      <c r="M770" s="109"/>
      <c r="N770" s="109"/>
      <c r="O770" s="109"/>
      <c r="P770" s="109"/>
      <c r="Q770" s="109"/>
      <c r="R770" s="109"/>
      <c r="S770" s="109"/>
      <c r="T770" s="109"/>
      <c r="U770" s="109"/>
      <c r="V770" s="109"/>
      <c r="W770" s="109"/>
      <c r="X770" s="109"/>
      <c r="Y770" s="109"/>
      <c r="Z770" s="109"/>
    </row>
    <row r="771" spans="1:26" ht="13.5" customHeight="1">
      <c r="A771" s="109"/>
      <c r="B771" s="109"/>
      <c r="C771" s="109"/>
      <c r="D771" s="109"/>
      <c r="E771" s="109"/>
      <c r="F771" s="109"/>
      <c r="G771" s="161"/>
      <c r="H771" s="109"/>
      <c r="I771" s="109"/>
      <c r="J771" s="109"/>
      <c r="K771" s="109"/>
      <c r="L771" s="109"/>
      <c r="M771" s="109"/>
      <c r="N771" s="109"/>
      <c r="O771" s="109"/>
      <c r="P771" s="109"/>
      <c r="Q771" s="109"/>
      <c r="R771" s="109"/>
      <c r="S771" s="109"/>
      <c r="T771" s="109"/>
      <c r="U771" s="109"/>
      <c r="V771" s="109"/>
      <c r="W771" s="109"/>
      <c r="X771" s="109"/>
      <c r="Y771" s="109"/>
      <c r="Z771" s="109"/>
    </row>
    <row r="772" spans="1:26" ht="13.5" customHeight="1">
      <c r="A772" s="109"/>
      <c r="B772" s="109"/>
      <c r="C772" s="109"/>
      <c r="D772" s="109"/>
      <c r="E772" s="109"/>
      <c r="F772" s="109"/>
      <c r="G772" s="161"/>
      <c r="H772" s="109"/>
      <c r="I772" s="109"/>
      <c r="J772" s="109"/>
      <c r="K772" s="109"/>
      <c r="L772" s="109"/>
      <c r="M772" s="109"/>
      <c r="N772" s="109"/>
      <c r="O772" s="109"/>
      <c r="P772" s="109"/>
      <c r="Q772" s="109"/>
      <c r="R772" s="109"/>
      <c r="S772" s="109"/>
      <c r="T772" s="109"/>
      <c r="U772" s="109"/>
      <c r="V772" s="109"/>
      <c r="W772" s="109"/>
      <c r="X772" s="109"/>
      <c r="Y772" s="109"/>
      <c r="Z772" s="109"/>
    </row>
    <row r="773" spans="1:26" ht="13.5" customHeight="1">
      <c r="A773" s="109"/>
      <c r="B773" s="109"/>
      <c r="C773" s="109"/>
      <c r="D773" s="109"/>
      <c r="E773" s="109"/>
      <c r="F773" s="109"/>
      <c r="G773" s="161"/>
      <c r="H773" s="109"/>
      <c r="I773" s="109"/>
      <c r="J773" s="109"/>
      <c r="K773" s="109"/>
      <c r="L773" s="109"/>
      <c r="M773" s="109"/>
      <c r="N773" s="109"/>
      <c r="O773" s="109"/>
      <c r="P773" s="109"/>
      <c r="Q773" s="109"/>
      <c r="R773" s="109"/>
      <c r="S773" s="109"/>
      <c r="T773" s="109"/>
      <c r="U773" s="109"/>
      <c r="V773" s="109"/>
      <c r="W773" s="109"/>
      <c r="X773" s="109"/>
      <c r="Y773" s="109"/>
      <c r="Z773" s="109"/>
    </row>
    <row r="774" spans="1:26" ht="13.5" customHeight="1">
      <c r="A774" s="109"/>
      <c r="B774" s="109"/>
      <c r="C774" s="109"/>
      <c r="D774" s="109"/>
      <c r="E774" s="109"/>
      <c r="F774" s="109"/>
      <c r="G774" s="161"/>
      <c r="H774" s="109"/>
      <c r="I774" s="109"/>
      <c r="J774" s="109"/>
      <c r="K774" s="109"/>
      <c r="L774" s="109"/>
      <c r="M774" s="109"/>
      <c r="N774" s="109"/>
      <c r="O774" s="109"/>
      <c r="P774" s="109"/>
      <c r="Q774" s="109"/>
      <c r="R774" s="109"/>
      <c r="S774" s="109"/>
      <c r="T774" s="109"/>
      <c r="U774" s="109"/>
      <c r="V774" s="109"/>
      <c r="W774" s="109"/>
      <c r="X774" s="109"/>
      <c r="Y774" s="109"/>
      <c r="Z774" s="109"/>
    </row>
    <row r="775" spans="1:26" ht="13.5" customHeight="1">
      <c r="A775" s="109"/>
      <c r="B775" s="109"/>
      <c r="C775" s="109"/>
      <c r="D775" s="109"/>
      <c r="E775" s="109"/>
      <c r="F775" s="109"/>
      <c r="G775" s="161"/>
      <c r="H775" s="109"/>
      <c r="I775" s="109"/>
      <c r="J775" s="109"/>
      <c r="K775" s="109"/>
      <c r="L775" s="109"/>
      <c r="M775" s="109"/>
      <c r="N775" s="109"/>
      <c r="O775" s="109"/>
      <c r="P775" s="109"/>
      <c r="Q775" s="109"/>
      <c r="R775" s="109"/>
      <c r="S775" s="109"/>
      <c r="T775" s="109"/>
      <c r="U775" s="109"/>
      <c r="V775" s="109"/>
      <c r="W775" s="109"/>
      <c r="X775" s="109"/>
      <c r="Y775" s="109"/>
      <c r="Z775" s="109"/>
    </row>
    <row r="776" spans="1:26" ht="13.5" customHeight="1">
      <c r="A776" s="109"/>
      <c r="B776" s="109"/>
      <c r="C776" s="109"/>
      <c r="D776" s="109"/>
      <c r="E776" s="109"/>
      <c r="F776" s="109"/>
      <c r="G776" s="161"/>
      <c r="H776" s="109"/>
      <c r="I776" s="109"/>
      <c r="J776" s="109"/>
      <c r="K776" s="109"/>
      <c r="L776" s="109"/>
      <c r="M776" s="109"/>
      <c r="N776" s="109"/>
      <c r="O776" s="109"/>
      <c r="P776" s="109"/>
      <c r="Q776" s="109"/>
      <c r="R776" s="109"/>
      <c r="S776" s="109"/>
      <c r="T776" s="109"/>
      <c r="U776" s="109"/>
      <c r="V776" s="109"/>
      <c r="W776" s="109"/>
      <c r="X776" s="109"/>
      <c r="Y776" s="109"/>
      <c r="Z776" s="109"/>
    </row>
    <row r="777" spans="1:26" ht="13.5" customHeight="1">
      <c r="A777" s="109"/>
      <c r="B777" s="109"/>
      <c r="C777" s="109"/>
      <c r="D777" s="109"/>
      <c r="E777" s="109"/>
      <c r="F777" s="109"/>
      <c r="G777" s="161"/>
      <c r="H777" s="109"/>
      <c r="I777" s="109"/>
      <c r="J777" s="109"/>
      <c r="K777" s="109"/>
      <c r="L777" s="109"/>
      <c r="M777" s="109"/>
      <c r="N777" s="109"/>
      <c r="O777" s="109"/>
      <c r="P777" s="109"/>
      <c r="Q777" s="109"/>
      <c r="R777" s="109"/>
      <c r="S777" s="109"/>
      <c r="T777" s="109"/>
      <c r="U777" s="109"/>
      <c r="V777" s="109"/>
      <c r="W777" s="109"/>
      <c r="X777" s="109"/>
      <c r="Y777" s="109"/>
      <c r="Z777" s="109"/>
    </row>
    <row r="778" spans="1:26" ht="13.5" customHeight="1">
      <c r="A778" s="109"/>
      <c r="B778" s="109"/>
      <c r="C778" s="109"/>
      <c r="D778" s="109"/>
      <c r="E778" s="109"/>
      <c r="F778" s="109"/>
      <c r="G778" s="161"/>
      <c r="H778" s="109"/>
      <c r="I778" s="109"/>
      <c r="J778" s="109"/>
      <c r="K778" s="109"/>
      <c r="L778" s="109"/>
      <c r="M778" s="109"/>
      <c r="N778" s="109"/>
      <c r="O778" s="109"/>
      <c r="P778" s="109"/>
      <c r="Q778" s="109"/>
      <c r="R778" s="109"/>
      <c r="S778" s="109"/>
      <c r="T778" s="109"/>
      <c r="U778" s="109"/>
      <c r="V778" s="109"/>
      <c r="W778" s="109"/>
      <c r="X778" s="109"/>
      <c r="Y778" s="109"/>
      <c r="Z778" s="109"/>
    </row>
    <row r="779" spans="1:26" ht="13.5" customHeight="1">
      <c r="A779" s="109"/>
      <c r="B779" s="109"/>
      <c r="C779" s="109"/>
      <c r="D779" s="109"/>
      <c r="E779" s="109"/>
      <c r="F779" s="109"/>
      <c r="G779" s="161"/>
      <c r="H779" s="109"/>
      <c r="I779" s="109"/>
      <c r="J779" s="109"/>
      <c r="K779" s="109"/>
      <c r="L779" s="109"/>
      <c r="M779" s="109"/>
      <c r="N779" s="109"/>
      <c r="O779" s="109"/>
      <c r="P779" s="109"/>
      <c r="Q779" s="109"/>
      <c r="R779" s="109"/>
      <c r="S779" s="109"/>
      <c r="T779" s="109"/>
      <c r="U779" s="109"/>
      <c r="V779" s="109"/>
      <c r="W779" s="109"/>
      <c r="X779" s="109"/>
      <c r="Y779" s="109"/>
      <c r="Z779" s="109"/>
    </row>
    <row r="780" spans="1:26" ht="13.5" customHeight="1">
      <c r="A780" s="109"/>
      <c r="B780" s="109"/>
      <c r="C780" s="109"/>
      <c r="D780" s="109"/>
      <c r="E780" s="109"/>
      <c r="F780" s="109"/>
      <c r="G780" s="161"/>
      <c r="H780" s="109"/>
      <c r="I780" s="109"/>
      <c r="J780" s="109"/>
      <c r="K780" s="109"/>
      <c r="L780" s="109"/>
      <c r="M780" s="109"/>
      <c r="N780" s="109"/>
      <c r="O780" s="109"/>
      <c r="P780" s="109"/>
      <c r="Q780" s="109"/>
      <c r="R780" s="109"/>
      <c r="S780" s="109"/>
      <c r="T780" s="109"/>
      <c r="U780" s="109"/>
      <c r="V780" s="109"/>
      <c r="W780" s="109"/>
      <c r="X780" s="109"/>
      <c r="Y780" s="109"/>
      <c r="Z780" s="109"/>
    </row>
    <row r="781" spans="1:26" ht="13.5" customHeight="1">
      <c r="A781" s="109"/>
      <c r="B781" s="109"/>
      <c r="C781" s="109"/>
      <c r="D781" s="109"/>
      <c r="E781" s="109"/>
      <c r="F781" s="109"/>
      <c r="G781" s="161"/>
      <c r="H781" s="109"/>
      <c r="I781" s="109"/>
      <c r="J781" s="109"/>
      <c r="K781" s="109"/>
      <c r="L781" s="109"/>
      <c r="M781" s="109"/>
      <c r="N781" s="109"/>
      <c r="O781" s="109"/>
      <c r="P781" s="109"/>
      <c r="Q781" s="109"/>
      <c r="R781" s="109"/>
      <c r="S781" s="109"/>
      <c r="T781" s="109"/>
      <c r="U781" s="109"/>
      <c r="V781" s="109"/>
      <c r="W781" s="109"/>
      <c r="X781" s="109"/>
      <c r="Y781" s="109"/>
      <c r="Z781" s="109"/>
    </row>
    <row r="782" spans="1:26" ht="13.5" customHeight="1">
      <c r="A782" s="109"/>
      <c r="B782" s="109"/>
      <c r="C782" s="109"/>
      <c r="D782" s="109"/>
      <c r="E782" s="109"/>
      <c r="F782" s="109"/>
      <c r="G782" s="161"/>
      <c r="H782" s="109"/>
      <c r="I782" s="109"/>
      <c r="J782" s="109"/>
      <c r="K782" s="109"/>
      <c r="L782" s="109"/>
      <c r="M782" s="109"/>
      <c r="N782" s="109"/>
      <c r="O782" s="109"/>
      <c r="P782" s="109"/>
      <c r="Q782" s="109"/>
      <c r="R782" s="109"/>
      <c r="S782" s="109"/>
      <c r="T782" s="109"/>
      <c r="U782" s="109"/>
      <c r="V782" s="109"/>
      <c r="W782" s="109"/>
      <c r="X782" s="109"/>
      <c r="Y782" s="109"/>
      <c r="Z782" s="109"/>
    </row>
    <row r="783" spans="1:26" ht="13.5" customHeight="1">
      <c r="A783" s="109"/>
      <c r="B783" s="109"/>
      <c r="C783" s="109"/>
      <c r="D783" s="109"/>
      <c r="E783" s="109"/>
      <c r="F783" s="109"/>
      <c r="G783" s="161"/>
      <c r="H783" s="109"/>
      <c r="I783" s="109"/>
      <c r="J783" s="109"/>
      <c r="K783" s="109"/>
      <c r="L783" s="109"/>
      <c r="M783" s="109"/>
      <c r="N783" s="109"/>
      <c r="O783" s="109"/>
      <c r="P783" s="109"/>
      <c r="Q783" s="109"/>
      <c r="R783" s="109"/>
      <c r="S783" s="109"/>
      <c r="T783" s="109"/>
      <c r="U783" s="109"/>
      <c r="V783" s="109"/>
      <c r="W783" s="109"/>
      <c r="X783" s="109"/>
      <c r="Y783" s="109"/>
      <c r="Z783" s="109"/>
    </row>
    <row r="784" spans="1:26" ht="13.5" customHeight="1">
      <c r="A784" s="109"/>
      <c r="B784" s="109"/>
      <c r="C784" s="109"/>
      <c r="D784" s="109"/>
      <c r="E784" s="109"/>
      <c r="F784" s="109"/>
      <c r="G784" s="161"/>
      <c r="H784" s="109"/>
      <c r="I784" s="109"/>
      <c r="J784" s="109"/>
      <c r="K784" s="109"/>
      <c r="L784" s="109"/>
      <c r="M784" s="109"/>
      <c r="N784" s="109"/>
      <c r="O784" s="109"/>
      <c r="P784" s="109"/>
      <c r="Q784" s="109"/>
      <c r="R784" s="109"/>
      <c r="S784" s="109"/>
      <c r="T784" s="109"/>
      <c r="U784" s="109"/>
      <c r="V784" s="109"/>
      <c r="W784" s="109"/>
      <c r="X784" s="109"/>
      <c r="Y784" s="109"/>
      <c r="Z784" s="109"/>
    </row>
    <row r="785" spans="1:26" ht="13.5" customHeight="1">
      <c r="A785" s="109"/>
      <c r="B785" s="109"/>
      <c r="C785" s="109"/>
      <c r="D785" s="109"/>
      <c r="E785" s="109"/>
      <c r="F785" s="109"/>
      <c r="G785" s="161"/>
      <c r="H785" s="109"/>
      <c r="I785" s="109"/>
      <c r="J785" s="109"/>
      <c r="K785" s="109"/>
      <c r="L785" s="109"/>
      <c r="M785" s="109"/>
      <c r="N785" s="109"/>
      <c r="O785" s="109"/>
      <c r="P785" s="109"/>
      <c r="Q785" s="109"/>
      <c r="R785" s="109"/>
      <c r="S785" s="109"/>
      <c r="T785" s="109"/>
      <c r="U785" s="109"/>
      <c r="V785" s="109"/>
      <c r="W785" s="109"/>
      <c r="X785" s="109"/>
      <c r="Y785" s="109"/>
      <c r="Z785" s="109"/>
    </row>
    <row r="786" spans="1:26" ht="13.5" customHeight="1">
      <c r="A786" s="109"/>
      <c r="B786" s="109"/>
      <c r="C786" s="109"/>
      <c r="D786" s="109"/>
      <c r="E786" s="109"/>
      <c r="F786" s="109"/>
      <c r="G786" s="161"/>
      <c r="H786" s="109"/>
      <c r="I786" s="109"/>
      <c r="J786" s="109"/>
      <c r="K786" s="109"/>
      <c r="L786" s="109"/>
      <c r="M786" s="109"/>
      <c r="N786" s="109"/>
      <c r="O786" s="109"/>
      <c r="P786" s="109"/>
      <c r="Q786" s="109"/>
      <c r="R786" s="109"/>
      <c r="S786" s="109"/>
      <c r="T786" s="109"/>
      <c r="U786" s="109"/>
      <c r="V786" s="109"/>
      <c r="W786" s="109"/>
      <c r="X786" s="109"/>
      <c r="Y786" s="109"/>
      <c r="Z786" s="109"/>
    </row>
    <row r="787" spans="1:26" ht="13.5" customHeight="1">
      <c r="A787" s="109"/>
      <c r="B787" s="109"/>
      <c r="C787" s="109"/>
      <c r="D787" s="109"/>
      <c r="E787" s="109"/>
      <c r="F787" s="109"/>
      <c r="G787" s="161"/>
      <c r="H787" s="109"/>
      <c r="I787" s="109"/>
      <c r="J787" s="109"/>
      <c r="K787" s="109"/>
      <c r="L787" s="109"/>
      <c r="M787" s="109"/>
      <c r="N787" s="109"/>
      <c r="O787" s="109"/>
      <c r="P787" s="109"/>
      <c r="Q787" s="109"/>
      <c r="R787" s="109"/>
      <c r="S787" s="109"/>
      <c r="T787" s="109"/>
      <c r="U787" s="109"/>
      <c r="V787" s="109"/>
      <c r="W787" s="109"/>
      <c r="X787" s="109"/>
      <c r="Y787" s="109"/>
      <c r="Z787" s="109"/>
    </row>
    <row r="788" spans="1:26" ht="13.5" customHeight="1">
      <c r="A788" s="109"/>
      <c r="B788" s="109"/>
      <c r="C788" s="109"/>
      <c r="D788" s="109"/>
      <c r="E788" s="109"/>
      <c r="F788" s="109"/>
      <c r="G788" s="161"/>
      <c r="H788" s="109"/>
      <c r="I788" s="109"/>
      <c r="J788" s="109"/>
      <c r="K788" s="109"/>
      <c r="L788" s="109"/>
      <c r="M788" s="109"/>
      <c r="N788" s="109"/>
      <c r="O788" s="109"/>
      <c r="P788" s="109"/>
      <c r="Q788" s="109"/>
      <c r="R788" s="109"/>
      <c r="S788" s="109"/>
      <c r="T788" s="109"/>
      <c r="U788" s="109"/>
      <c r="V788" s="109"/>
      <c r="W788" s="109"/>
      <c r="X788" s="109"/>
      <c r="Y788" s="109"/>
      <c r="Z788" s="109"/>
    </row>
    <row r="789" spans="1:26" ht="13.5" customHeight="1">
      <c r="A789" s="109"/>
      <c r="B789" s="109"/>
      <c r="C789" s="109"/>
      <c r="D789" s="109"/>
      <c r="E789" s="109"/>
      <c r="F789" s="109"/>
      <c r="G789" s="161"/>
      <c r="H789" s="109"/>
      <c r="I789" s="109"/>
      <c r="J789" s="109"/>
      <c r="K789" s="109"/>
      <c r="L789" s="109"/>
      <c r="M789" s="109"/>
      <c r="N789" s="109"/>
      <c r="O789" s="109"/>
      <c r="P789" s="109"/>
      <c r="Q789" s="109"/>
      <c r="R789" s="109"/>
      <c r="S789" s="109"/>
      <c r="T789" s="109"/>
      <c r="U789" s="109"/>
      <c r="V789" s="109"/>
      <c r="W789" s="109"/>
      <c r="X789" s="109"/>
      <c r="Y789" s="109"/>
      <c r="Z789" s="109"/>
    </row>
    <row r="790" spans="1:26" ht="13.5" customHeight="1">
      <c r="A790" s="109"/>
      <c r="B790" s="109"/>
      <c r="C790" s="109"/>
      <c r="D790" s="109"/>
      <c r="E790" s="109"/>
      <c r="F790" s="109"/>
      <c r="G790" s="161"/>
      <c r="H790" s="109"/>
      <c r="I790" s="109"/>
      <c r="J790" s="109"/>
      <c r="K790" s="109"/>
      <c r="L790" s="109"/>
      <c r="M790" s="109"/>
      <c r="N790" s="109"/>
      <c r="O790" s="109"/>
      <c r="P790" s="109"/>
      <c r="Q790" s="109"/>
      <c r="R790" s="109"/>
      <c r="S790" s="109"/>
      <c r="T790" s="109"/>
      <c r="U790" s="109"/>
      <c r="V790" s="109"/>
      <c r="W790" s="109"/>
      <c r="X790" s="109"/>
      <c r="Y790" s="109"/>
      <c r="Z790" s="109"/>
    </row>
    <row r="791" spans="1:26" ht="13.5" customHeight="1">
      <c r="A791" s="109"/>
      <c r="B791" s="109"/>
      <c r="C791" s="109"/>
      <c r="D791" s="109"/>
      <c r="E791" s="109"/>
      <c r="F791" s="109"/>
      <c r="G791" s="161"/>
      <c r="H791" s="109"/>
      <c r="I791" s="109"/>
      <c r="J791" s="109"/>
      <c r="K791" s="109"/>
      <c r="L791" s="109"/>
      <c r="M791" s="109"/>
      <c r="N791" s="109"/>
      <c r="O791" s="109"/>
      <c r="P791" s="109"/>
      <c r="Q791" s="109"/>
      <c r="R791" s="109"/>
      <c r="S791" s="109"/>
      <c r="T791" s="109"/>
      <c r="U791" s="109"/>
      <c r="V791" s="109"/>
      <c r="W791" s="109"/>
      <c r="X791" s="109"/>
      <c r="Y791" s="109"/>
      <c r="Z791" s="109"/>
    </row>
    <row r="792" spans="1:26" ht="13.5" customHeight="1">
      <c r="A792" s="109"/>
      <c r="B792" s="109"/>
      <c r="C792" s="109"/>
      <c r="D792" s="109"/>
      <c r="E792" s="109"/>
      <c r="F792" s="109"/>
      <c r="G792" s="161"/>
      <c r="H792" s="109"/>
      <c r="I792" s="109"/>
      <c r="J792" s="109"/>
      <c r="K792" s="109"/>
      <c r="L792" s="109"/>
      <c r="M792" s="109"/>
      <c r="N792" s="109"/>
      <c r="O792" s="109"/>
      <c r="P792" s="109"/>
      <c r="Q792" s="109"/>
      <c r="R792" s="109"/>
      <c r="S792" s="109"/>
      <c r="T792" s="109"/>
      <c r="U792" s="109"/>
      <c r="V792" s="109"/>
      <c r="W792" s="109"/>
      <c r="X792" s="109"/>
      <c r="Y792" s="109"/>
      <c r="Z792" s="109"/>
    </row>
    <row r="793" spans="1:26" ht="13.5" customHeight="1">
      <c r="A793" s="109"/>
      <c r="B793" s="109"/>
      <c r="C793" s="109"/>
      <c r="D793" s="109"/>
      <c r="E793" s="109"/>
      <c r="F793" s="109"/>
      <c r="G793" s="161"/>
      <c r="H793" s="109"/>
      <c r="I793" s="109"/>
      <c r="J793" s="109"/>
      <c r="K793" s="109"/>
      <c r="L793" s="109"/>
      <c r="M793" s="109"/>
      <c r="N793" s="109"/>
      <c r="O793" s="109"/>
      <c r="P793" s="109"/>
      <c r="Q793" s="109"/>
      <c r="R793" s="109"/>
      <c r="S793" s="109"/>
      <c r="T793" s="109"/>
      <c r="U793" s="109"/>
      <c r="V793" s="109"/>
      <c r="W793" s="109"/>
      <c r="X793" s="109"/>
      <c r="Y793" s="109"/>
      <c r="Z793" s="109"/>
    </row>
    <row r="794" spans="1:26" ht="13.5" customHeight="1">
      <c r="A794" s="109"/>
      <c r="B794" s="109"/>
      <c r="C794" s="109"/>
      <c r="D794" s="109"/>
      <c r="E794" s="109"/>
      <c r="F794" s="109"/>
      <c r="G794" s="161"/>
      <c r="H794" s="109"/>
      <c r="I794" s="109"/>
      <c r="J794" s="109"/>
      <c r="K794" s="109"/>
      <c r="L794" s="109"/>
      <c r="M794" s="109"/>
      <c r="N794" s="109"/>
      <c r="O794" s="109"/>
      <c r="P794" s="109"/>
      <c r="Q794" s="109"/>
      <c r="R794" s="109"/>
      <c r="S794" s="109"/>
      <c r="T794" s="109"/>
      <c r="U794" s="109"/>
      <c r="V794" s="109"/>
      <c r="W794" s="109"/>
      <c r="X794" s="109"/>
      <c r="Y794" s="109"/>
      <c r="Z794" s="109"/>
    </row>
    <row r="795" spans="1:26" ht="13.5" customHeight="1">
      <c r="A795" s="109"/>
      <c r="B795" s="109"/>
      <c r="C795" s="109"/>
      <c r="D795" s="109"/>
      <c r="E795" s="109"/>
      <c r="F795" s="109"/>
      <c r="G795" s="161"/>
      <c r="H795" s="109"/>
      <c r="I795" s="109"/>
      <c r="J795" s="109"/>
      <c r="K795" s="109"/>
      <c r="L795" s="109"/>
      <c r="M795" s="109"/>
      <c r="N795" s="109"/>
      <c r="O795" s="109"/>
      <c r="P795" s="109"/>
      <c r="Q795" s="109"/>
      <c r="R795" s="109"/>
      <c r="S795" s="109"/>
      <c r="T795" s="109"/>
      <c r="U795" s="109"/>
      <c r="V795" s="109"/>
      <c r="W795" s="109"/>
      <c r="X795" s="109"/>
      <c r="Y795" s="109"/>
      <c r="Z795" s="109"/>
    </row>
    <row r="796" spans="1:26" ht="13.5" customHeight="1">
      <c r="A796" s="109"/>
      <c r="B796" s="109"/>
      <c r="C796" s="109"/>
      <c r="D796" s="109"/>
      <c r="E796" s="109"/>
      <c r="F796" s="109"/>
      <c r="G796" s="161"/>
      <c r="H796" s="109"/>
      <c r="I796" s="109"/>
      <c r="J796" s="109"/>
      <c r="K796" s="109"/>
      <c r="L796" s="109"/>
      <c r="M796" s="109"/>
      <c r="N796" s="109"/>
      <c r="O796" s="109"/>
      <c r="P796" s="109"/>
      <c r="Q796" s="109"/>
      <c r="R796" s="109"/>
      <c r="S796" s="109"/>
      <c r="T796" s="109"/>
      <c r="U796" s="109"/>
      <c r="V796" s="109"/>
      <c r="W796" s="109"/>
      <c r="X796" s="109"/>
      <c r="Y796" s="109"/>
      <c r="Z796" s="109"/>
    </row>
    <row r="797" spans="1:26" ht="13.5" customHeight="1">
      <c r="A797" s="109"/>
      <c r="B797" s="109"/>
      <c r="C797" s="109"/>
      <c r="D797" s="109"/>
      <c r="E797" s="109"/>
      <c r="F797" s="109"/>
      <c r="G797" s="161"/>
      <c r="H797" s="109"/>
      <c r="I797" s="109"/>
      <c r="J797" s="109"/>
      <c r="K797" s="109"/>
      <c r="L797" s="109"/>
      <c r="M797" s="109"/>
      <c r="N797" s="109"/>
      <c r="O797" s="109"/>
      <c r="P797" s="109"/>
      <c r="Q797" s="109"/>
      <c r="R797" s="109"/>
      <c r="S797" s="109"/>
      <c r="T797" s="109"/>
      <c r="U797" s="109"/>
      <c r="V797" s="109"/>
      <c r="W797" s="109"/>
      <c r="X797" s="109"/>
      <c r="Y797" s="109"/>
      <c r="Z797" s="109"/>
    </row>
    <row r="798" spans="1:26" ht="13.5" customHeight="1">
      <c r="A798" s="109"/>
      <c r="B798" s="109"/>
      <c r="C798" s="109"/>
      <c r="D798" s="109"/>
      <c r="E798" s="109"/>
      <c r="F798" s="109"/>
      <c r="G798" s="161"/>
      <c r="H798" s="109"/>
      <c r="I798" s="109"/>
      <c r="J798" s="109"/>
      <c r="K798" s="109"/>
      <c r="L798" s="109"/>
      <c r="M798" s="109"/>
      <c r="N798" s="109"/>
      <c r="O798" s="109"/>
      <c r="P798" s="109"/>
      <c r="Q798" s="109"/>
      <c r="R798" s="109"/>
      <c r="S798" s="109"/>
      <c r="T798" s="109"/>
      <c r="U798" s="109"/>
      <c r="V798" s="109"/>
      <c r="W798" s="109"/>
      <c r="X798" s="109"/>
      <c r="Y798" s="109"/>
      <c r="Z798" s="109"/>
    </row>
    <row r="799" spans="1:26" ht="13.5" customHeight="1">
      <c r="A799" s="109"/>
      <c r="B799" s="109"/>
      <c r="C799" s="109"/>
      <c r="D799" s="109"/>
      <c r="E799" s="109"/>
      <c r="F799" s="109"/>
      <c r="G799" s="161"/>
      <c r="H799" s="109"/>
      <c r="I799" s="109"/>
      <c r="J799" s="109"/>
      <c r="K799" s="109"/>
      <c r="L799" s="109"/>
      <c r="M799" s="109"/>
      <c r="N799" s="109"/>
      <c r="O799" s="109"/>
      <c r="P799" s="109"/>
      <c r="Q799" s="109"/>
      <c r="R799" s="109"/>
      <c r="S799" s="109"/>
      <c r="T799" s="109"/>
      <c r="U799" s="109"/>
      <c r="V799" s="109"/>
      <c r="W799" s="109"/>
      <c r="X799" s="109"/>
      <c r="Y799" s="109"/>
      <c r="Z799" s="109"/>
    </row>
    <row r="800" spans="1:26" ht="13.5" customHeight="1">
      <c r="A800" s="109"/>
      <c r="B800" s="109"/>
      <c r="C800" s="109"/>
      <c r="D800" s="109"/>
      <c r="E800" s="109"/>
      <c r="F800" s="109"/>
      <c r="G800" s="161"/>
      <c r="H800" s="109"/>
      <c r="I800" s="109"/>
      <c r="J800" s="109"/>
      <c r="K800" s="109"/>
      <c r="L800" s="109"/>
      <c r="M800" s="109"/>
      <c r="N800" s="109"/>
      <c r="O800" s="109"/>
      <c r="P800" s="109"/>
      <c r="Q800" s="109"/>
      <c r="R800" s="109"/>
      <c r="S800" s="109"/>
      <c r="T800" s="109"/>
      <c r="U800" s="109"/>
      <c r="V800" s="109"/>
      <c r="W800" s="109"/>
      <c r="X800" s="109"/>
      <c r="Y800" s="109"/>
      <c r="Z800" s="109"/>
    </row>
    <row r="801" spans="1:26" ht="13.5" customHeight="1">
      <c r="A801" s="109"/>
      <c r="B801" s="109"/>
      <c r="C801" s="109"/>
      <c r="D801" s="109"/>
      <c r="E801" s="109"/>
      <c r="F801" s="109"/>
      <c r="G801" s="161"/>
      <c r="H801" s="109"/>
      <c r="I801" s="109"/>
      <c r="J801" s="109"/>
      <c r="K801" s="109"/>
      <c r="L801" s="109"/>
      <c r="M801" s="109"/>
      <c r="N801" s="109"/>
      <c r="O801" s="109"/>
      <c r="P801" s="109"/>
      <c r="Q801" s="109"/>
      <c r="R801" s="109"/>
      <c r="S801" s="109"/>
      <c r="T801" s="109"/>
      <c r="U801" s="109"/>
      <c r="V801" s="109"/>
      <c r="W801" s="109"/>
      <c r="X801" s="109"/>
      <c r="Y801" s="109"/>
      <c r="Z801" s="109"/>
    </row>
    <row r="802" spans="1:26" ht="13.5" customHeight="1">
      <c r="A802" s="109"/>
      <c r="B802" s="109"/>
      <c r="C802" s="109"/>
      <c r="D802" s="109"/>
      <c r="E802" s="109"/>
      <c r="F802" s="109"/>
      <c r="G802" s="161"/>
      <c r="H802" s="109"/>
      <c r="I802" s="109"/>
      <c r="J802" s="109"/>
      <c r="K802" s="109"/>
      <c r="L802" s="109"/>
      <c r="M802" s="109"/>
      <c r="N802" s="109"/>
      <c r="O802" s="109"/>
      <c r="P802" s="109"/>
      <c r="Q802" s="109"/>
      <c r="R802" s="109"/>
      <c r="S802" s="109"/>
      <c r="T802" s="109"/>
      <c r="U802" s="109"/>
      <c r="V802" s="109"/>
      <c r="W802" s="109"/>
      <c r="X802" s="109"/>
      <c r="Y802" s="109"/>
      <c r="Z802" s="109"/>
    </row>
    <row r="803" spans="1:26" ht="13.5" customHeight="1">
      <c r="A803" s="109"/>
      <c r="B803" s="109"/>
      <c r="C803" s="109"/>
      <c r="D803" s="109"/>
      <c r="E803" s="109"/>
      <c r="F803" s="109"/>
      <c r="G803" s="161"/>
      <c r="H803" s="109"/>
      <c r="I803" s="109"/>
      <c r="J803" s="109"/>
      <c r="K803" s="109"/>
      <c r="L803" s="109"/>
      <c r="M803" s="109"/>
      <c r="N803" s="109"/>
      <c r="O803" s="109"/>
      <c r="P803" s="109"/>
      <c r="Q803" s="109"/>
      <c r="R803" s="109"/>
      <c r="S803" s="109"/>
      <c r="T803" s="109"/>
      <c r="U803" s="109"/>
      <c r="V803" s="109"/>
      <c r="W803" s="109"/>
      <c r="X803" s="109"/>
      <c r="Y803" s="109"/>
      <c r="Z803" s="109"/>
    </row>
    <row r="804" spans="1:26" ht="13.5" customHeight="1">
      <c r="A804" s="109"/>
      <c r="B804" s="109"/>
      <c r="C804" s="109"/>
      <c r="D804" s="109"/>
      <c r="E804" s="109"/>
      <c r="F804" s="109"/>
      <c r="G804" s="161"/>
      <c r="H804" s="109"/>
      <c r="I804" s="109"/>
      <c r="J804" s="109"/>
      <c r="K804" s="109"/>
      <c r="L804" s="109"/>
      <c r="M804" s="109"/>
      <c r="N804" s="109"/>
      <c r="O804" s="109"/>
      <c r="P804" s="109"/>
      <c r="Q804" s="109"/>
      <c r="R804" s="109"/>
      <c r="S804" s="109"/>
      <c r="T804" s="109"/>
      <c r="U804" s="109"/>
      <c r="V804" s="109"/>
      <c r="W804" s="109"/>
      <c r="X804" s="109"/>
      <c r="Y804" s="109"/>
      <c r="Z804" s="109"/>
    </row>
    <row r="805" spans="1:26" ht="13.5" customHeight="1">
      <c r="A805" s="109"/>
      <c r="B805" s="109"/>
      <c r="C805" s="109"/>
      <c r="D805" s="109"/>
      <c r="E805" s="109"/>
      <c r="F805" s="109"/>
      <c r="G805" s="161"/>
      <c r="H805" s="109"/>
      <c r="I805" s="109"/>
      <c r="J805" s="109"/>
      <c r="K805" s="109"/>
      <c r="L805" s="109"/>
      <c r="M805" s="109"/>
      <c r="N805" s="109"/>
      <c r="O805" s="109"/>
      <c r="P805" s="109"/>
      <c r="Q805" s="109"/>
      <c r="R805" s="109"/>
      <c r="S805" s="109"/>
      <c r="T805" s="109"/>
      <c r="U805" s="109"/>
      <c r="V805" s="109"/>
      <c r="W805" s="109"/>
      <c r="X805" s="109"/>
      <c r="Y805" s="109"/>
      <c r="Z805" s="109"/>
    </row>
    <row r="806" spans="1:26" ht="13.5" customHeight="1">
      <c r="A806" s="109"/>
      <c r="B806" s="109"/>
      <c r="C806" s="109"/>
      <c r="D806" s="109"/>
      <c r="E806" s="109"/>
      <c r="F806" s="109"/>
      <c r="G806" s="161"/>
      <c r="H806" s="109"/>
      <c r="I806" s="109"/>
      <c r="J806" s="109"/>
      <c r="K806" s="109"/>
      <c r="L806" s="109"/>
      <c r="M806" s="109"/>
      <c r="N806" s="109"/>
      <c r="O806" s="109"/>
      <c r="P806" s="109"/>
      <c r="Q806" s="109"/>
      <c r="R806" s="109"/>
      <c r="S806" s="109"/>
      <c r="T806" s="109"/>
      <c r="U806" s="109"/>
      <c r="V806" s="109"/>
      <c r="W806" s="109"/>
      <c r="X806" s="109"/>
      <c r="Y806" s="109"/>
      <c r="Z806" s="109"/>
    </row>
    <row r="807" spans="1:26" ht="13.5" customHeight="1">
      <c r="A807" s="109"/>
      <c r="B807" s="109"/>
      <c r="C807" s="109"/>
      <c r="D807" s="109"/>
      <c r="E807" s="109"/>
      <c r="F807" s="109"/>
      <c r="G807" s="161"/>
      <c r="H807" s="109"/>
      <c r="I807" s="109"/>
      <c r="J807" s="109"/>
      <c r="K807" s="109"/>
      <c r="L807" s="109"/>
      <c r="M807" s="109"/>
      <c r="N807" s="109"/>
      <c r="O807" s="109"/>
      <c r="P807" s="109"/>
      <c r="Q807" s="109"/>
      <c r="R807" s="109"/>
      <c r="S807" s="109"/>
      <c r="T807" s="109"/>
      <c r="U807" s="109"/>
      <c r="V807" s="109"/>
      <c r="W807" s="109"/>
      <c r="X807" s="109"/>
      <c r="Y807" s="109"/>
      <c r="Z807" s="109"/>
    </row>
    <row r="808" spans="1:26" ht="13.5" customHeight="1">
      <c r="A808" s="109"/>
      <c r="B808" s="109"/>
      <c r="C808" s="109"/>
      <c r="D808" s="109"/>
      <c r="E808" s="109"/>
      <c r="F808" s="109"/>
      <c r="G808" s="161"/>
      <c r="H808" s="109"/>
      <c r="I808" s="109"/>
      <c r="J808" s="109"/>
      <c r="K808" s="109"/>
      <c r="L808" s="109"/>
      <c r="M808" s="109"/>
      <c r="N808" s="109"/>
      <c r="O808" s="109"/>
      <c r="P808" s="109"/>
      <c r="Q808" s="109"/>
      <c r="R808" s="109"/>
      <c r="S808" s="109"/>
      <c r="T808" s="109"/>
      <c r="U808" s="109"/>
      <c r="V808" s="109"/>
      <c r="W808" s="109"/>
      <c r="X808" s="109"/>
      <c r="Y808" s="109"/>
      <c r="Z808" s="109"/>
    </row>
    <row r="809" spans="1:26" ht="13.5" customHeight="1">
      <c r="A809" s="109"/>
      <c r="B809" s="109"/>
      <c r="C809" s="109"/>
      <c r="D809" s="109"/>
      <c r="E809" s="109"/>
      <c r="F809" s="109"/>
      <c r="G809" s="161"/>
      <c r="H809" s="109"/>
      <c r="I809" s="109"/>
      <c r="J809" s="109"/>
      <c r="K809" s="109"/>
      <c r="L809" s="109"/>
      <c r="M809" s="109"/>
      <c r="N809" s="109"/>
      <c r="O809" s="109"/>
      <c r="P809" s="109"/>
      <c r="Q809" s="109"/>
      <c r="R809" s="109"/>
      <c r="S809" s="109"/>
      <c r="T809" s="109"/>
      <c r="U809" s="109"/>
      <c r="V809" s="109"/>
      <c r="W809" s="109"/>
      <c r="X809" s="109"/>
      <c r="Y809" s="109"/>
      <c r="Z809" s="109"/>
    </row>
    <row r="810" spans="1:26" ht="13.5" customHeight="1">
      <c r="A810" s="109"/>
      <c r="B810" s="109"/>
      <c r="C810" s="109"/>
      <c r="D810" s="109"/>
      <c r="E810" s="109"/>
      <c r="F810" s="109"/>
      <c r="G810" s="161"/>
      <c r="H810" s="109"/>
      <c r="I810" s="109"/>
      <c r="J810" s="109"/>
      <c r="K810" s="109"/>
      <c r="L810" s="109"/>
      <c r="M810" s="109"/>
      <c r="N810" s="109"/>
      <c r="O810" s="109"/>
      <c r="P810" s="109"/>
      <c r="Q810" s="109"/>
      <c r="R810" s="109"/>
      <c r="S810" s="109"/>
      <c r="T810" s="109"/>
      <c r="U810" s="109"/>
      <c r="V810" s="109"/>
      <c r="W810" s="109"/>
      <c r="X810" s="109"/>
      <c r="Y810" s="109"/>
      <c r="Z810" s="109"/>
    </row>
    <row r="811" spans="1:26" ht="13.5" customHeight="1">
      <c r="A811" s="109"/>
      <c r="B811" s="109"/>
      <c r="C811" s="109"/>
      <c r="D811" s="109"/>
      <c r="E811" s="109"/>
      <c r="F811" s="109"/>
      <c r="G811" s="161"/>
      <c r="H811" s="109"/>
      <c r="I811" s="109"/>
      <c r="J811" s="109"/>
      <c r="K811" s="109"/>
      <c r="L811" s="109"/>
      <c r="M811" s="109"/>
      <c r="N811" s="109"/>
      <c r="O811" s="109"/>
      <c r="P811" s="109"/>
      <c r="Q811" s="109"/>
      <c r="R811" s="109"/>
      <c r="S811" s="109"/>
      <c r="T811" s="109"/>
      <c r="U811" s="109"/>
      <c r="V811" s="109"/>
      <c r="W811" s="109"/>
      <c r="X811" s="109"/>
      <c r="Y811" s="109"/>
      <c r="Z811" s="109"/>
    </row>
    <row r="812" spans="1:26" ht="13.5" customHeight="1">
      <c r="A812" s="109"/>
      <c r="B812" s="109"/>
      <c r="C812" s="109"/>
      <c r="D812" s="109"/>
      <c r="E812" s="109"/>
      <c r="F812" s="109"/>
      <c r="G812" s="161"/>
      <c r="H812" s="109"/>
      <c r="I812" s="109"/>
      <c r="J812" s="109"/>
      <c r="K812" s="109"/>
      <c r="L812" s="109"/>
      <c r="M812" s="109"/>
      <c r="N812" s="109"/>
      <c r="O812" s="109"/>
      <c r="P812" s="109"/>
      <c r="Q812" s="109"/>
      <c r="R812" s="109"/>
      <c r="S812" s="109"/>
      <c r="T812" s="109"/>
      <c r="U812" s="109"/>
      <c r="V812" s="109"/>
      <c r="W812" s="109"/>
      <c r="X812" s="109"/>
      <c r="Y812" s="109"/>
      <c r="Z812" s="109"/>
    </row>
    <row r="813" spans="1:26" ht="13.5" customHeight="1">
      <c r="A813" s="109"/>
      <c r="B813" s="109"/>
      <c r="C813" s="109"/>
      <c r="D813" s="109"/>
      <c r="E813" s="109"/>
      <c r="F813" s="109"/>
      <c r="G813" s="161"/>
      <c r="H813" s="109"/>
      <c r="I813" s="109"/>
      <c r="J813" s="109"/>
      <c r="K813" s="109"/>
      <c r="L813" s="109"/>
      <c r="M813" s="109"/>
      <c r="N813" s="109"/>
      <c r="O813" s="109"/>
      <c r="P813" s="109"/>
      <c r="Q813" s="109"/>
      <c r="R813" s="109"/>
      <c r="S813" s="109"/>
      <c r="T813" s="109"/>
      <c r="U813" s="109"/>
      <c r="V813" s="109"/>
      <c r="W813" s="109"/>
      <c r="X813" s="109"/>
      <c r="Y813" s="109"/>
      <c r="Z813" s="109"/>
    </row>
    <row r="814" spans="1:26" ht="13.5" customHeight="1">
      <c r="A814" s="109"/>
      <c r="B814" s="109"/>
      <c r="C814" s="109"/>
      <c r="D814" s="109"/>
      <c r="E814" s="109"/>
      <c r="F814" s="109"/>
      <c r="G814" s="161"/>
      <c r="H814" s="109"/>
      <c r="I814" s="109"/>
      <c r="J814" s="109"/>
      <c r="K814" s="109"/>
      <c r="L814" s="109"/>
      <c r="M814" s="109"/>
      <c r="N814" s="109"/>
      <c r="O814" s="109"/>
      <c r="P814" s="109"/>
      <c r="Q814" s="109"/>
      <c r="R814" s="109"/>
      <c r="S814" s="109"/>
      <c r="T814" s="109"/>
      <c r="U814" s="109"/>
      <c r="V814" s="109"/>
      <c r="W814" s="109"/>
      <c r="X814" s="109"/>
      <c r="Y814" s="109"/>
      <c r="Z814" s="109"/>
    </row>
    <row r="815" spans="1:26" ht="13.5" customHeight="1">
      <c r="A815" s="109"/>
      <c r="B815" s="109"/>
      <c r="C815" s="109"/>
      <c r="D815" s="109"/>
      <c r="E815" s="109"/>
      <c r="F815" s="109"/>
      <c r="G815" s="161"/>
      <c r="H815" s="109"/>
      <c r="I815" s="109"/>
      <c r="J815" s="109"/>
      <c r="K815" s="109"/>
      <c r="L815" s="109"/>
      <c r="M815" s="109"/>
      <c r="N815" s="109"/>
      <c r="O815" s="109"/>
      <c r="P815" s="109"/>
      <c r="Q815" s="109"/>
      <c r="R815" s="109"/>
      <c r="S815" s="109"/>
      <c r="T815" s="109"/>
      <c r="U815" s="109"/>
      <c r="V815" s="109"/>
      <c r="W815" s="109"/>
      <c r="X815" s="109"/>
      <c r="Y815" s="109"/>
      <c r="Z815" s="109"/>
    </row>
    <row r="816" spans="1:26" ht="13.5" customHeight="1">
      <c r="A816" s="109"/>
      <c r="B816" s="109"/>
      <c r="C816" s="109"/>
      <c r="D816" s="109"/>
      <c r="E816" s="109"/>
      <c r="F816" s="109"/>
      <c r="G816" s="161"/>
      <c r="H816" s="109"/>
      <c r="I816" s="109"/>
      <c r="J816" s="109"/>
      <c r="K816" s="109"/>
      <c r="L816" s="109"/>
      <c r="M816" s="109"/>
      <c r="N816" s="109"/>
      <c r="O816" s="109"/>
      <c r="P816" s="109"/>
      <c r="Q816" s="109"/>
      <c r="R816" s="109"/>
      <c r="S816" s="109"/>
      <c r="T816" s="109"/>
      <c r="U816" s="109"/>
      <c r="V816" s="109"/>
      <c r="W816" s="109"/>
      <c r="X816" s="109"/>
      <c r="Y816" s="109"/>
      <c r="Z816" s="109"/>
    </row>
    <row r="817" spans="1:26" ht="13.5" customHeight="1">
      <c r="A817" s="109"/>
      <c r="B817" s="109"/>
      <c r="C817" s="109"/>
      <c r="D817" s="109"/>
      <c r="E817" s="109"/>
      <c r="F817" s="109"/>
      <c r="G817" s="161"/>
      <c r="H817" s="109"/>
      <c r="I817" s="109"/>
      <c r="J817" s="109"/>
      <c r="K817" s="109"/>
      <c r="L817" s="109"/>
      <c r="M817" s="109"/>
      <c r="N817" s="109"/>
      <c r="O817" s="109"/>
      <c r="P817" s="109"/>
      <c r="Q817" s="109"/>
      <c r="R817" s="109"/>
      <c r="S817" s="109"/>
      <c r="T817" s="109"/>
      <c r="U817" s="109"/>
      <c r="V817" s="109"/>
      <c r="W817" s="109"/>
      <c r="X817" s="109"/>
      <c r="Y817" s="109"/>
      <c r="Z817" s="109"/>
    </row>
    <row r="818" spans="1:26" ht="13.5" customHeight="1">
      <c r="A818" s="109"/>
      <c r="B818" s="109"/>
      <c r="C818" s="109"/>
      <c r="D818" s="109"/>
      <c r="E818" s="109"/>
      <c r="F818" s="109"/>
      <c r="G818" s="161"/>
      <c r="H818" s="109"/>
      <c r="I818" s="109"/>
      <c r="J818" s="109"/>
      <c r="K818" s="109"/>
      <c r="L818" s="109"/>
      <c r="M818" s="109"/>
      <c r="N818" s="109"/>
      <c r="O818" s="109"/>
      <c r="P818" s="109"/>
      <c r="Q818" s="109"/>
      <c r="R818" s="109"/>
      <c r="S818" s="109"/>
      <c r="T818" s="109"/>
      <c r="U818" s="109"/>
      <c r="V818" s="109"/>
      <c r="W818" s="109"/>
      <c r="X818" s="109"/>
      <c r="Y818" s="109"/>
      <c r="Z818" s="109"/>
    </row>
    <row r="819" spans="1:26" ht="13.5" customHeight="1">
      <c r="A819" s="109"/>
      <c r="B819" s="109"/>
      <c r="C819" s="109"/>
      <c r="D819" s="109"/>
      <c r="E819" s="109"/>
      <c r="F819" s="109"/>
      <c r="G819" s="161"/>
      <c r="H819" s="109"/>
      <c r="I819" s="109"/>
      <c r="J819" s="109"/>
      <c r="K819" s="109"/>
      <c r="L819" s="109"/>
      <c r="M819" s="109"/>
      <c r="N819" s="109"/>
      <c r="O819" s="109"/>
      <c r="P819" s="109"/>
      <c r="Q819" s="109"/>
      <c r="R819" s="109"/>
      <c r="S819" s="109"/>
      <c r="T819" s="109"/>
      <c r="U819" s="109"/>
      <c r="V819" s="109"/>
      <c r="W819" s="109"/>
      <c r="X819" s="109"/>
      <c r="Y819" s="109"/>
      <c r="Z819" s="109"/>
    </row>
    <row r="820" spans="1:26" ht="13.5" customHeight="1">
      <c r="A820" s="109"/>
      <c r="B820" s="109"/>
      <c r="C820" s="109"/>
      <c r="D820" s="109"/>
      <c r="E820" s="109"/>
      <c r="F820" s="109"/>
      <c r="G820" s="161"/>
      <c r="H820" s="109"/>
      <c r="I820" s="109"/>
      <c r="J820" s="109"/>
      <c r="K820" s="109"/>
      <c r="L820" s="109"/>
      <c r="M820" s="109"/>
      <c r="N820" s="109"/>
      <c r="O820" s="109"/>
      <c r="P820" s="109"/>
      <c r="Q820" s="109"/>
      <c r="R820" s="109"/>
      <c r="S820" s="109"/>
      <c r="T820" s="109"/>
      <c r="U820" s="109"/>
      <c r="V820" s="109"/>
      <c r="W820" s="109"/>
      <c r="X820" s="109"/>
      <c r="Y820" s="109"/>
      <c r="Z820" s="109"/>
    </row>
    <row r="821" spans="1:26" ht="13.5" customHeight="1">
      <c r="A821" s="109"/>
      <c r="B821" s="109"/>
      <c r="C821" s="109"/>
      <c r="D821" s="109"/>
      <c r="E821" s="109"/>
      <c r="F821" s="109"/>
      <c r="G821" s="161"/>
      <c r="H821" s="109"/>
      <c r="I821" s="109"/>
      <c r="J821" s="109"/>
      <c r="K821" s="109"/>
      <c r="L821" s="109"/>
      <c r="M821" s="109"/>
      <c r="N821" s="109"/>
      <c r="O821" s="109"/>
      <c r="P821" s="109"/>
      <c r="Q821" s="109"/>
      <c r="R821" s="109"/>
      <c r="S821" s="109"/>
      <c r="T821" s="109"/>
      <c r="U821" s="109"/>
      <c r="V821" s="109"/>
      <c r="W821" s="109"/>
      <c r="X821" s="109"/>
      <c r="Y821" s="109"/>
      <c r="Z821" s="109"/>
    </row>
    <row r="822" spans="1:26" ht="13.5" customHeight="1">
      <c r="A822" s="109"/>
      <c r="B822" s="109"/>
      <c r="C822" s="109"/>
      <c r="D822" s="109"/>
      <c r="E822" s="109"/>
      <c r="F822" s="109"/>
      <c r="G822" s="161"/>
      <c r="H822" s="109"/>
      <c r="I822" s="109"/>
      <c r="J822" s="109"/>
      <c r="K822" s="109"/>
      <c r="L822" s="109"/>
      <c r="M822" s="109"/>
      <c r="N822" s="109"/>
      <c r="O822" s="109"/>
      <c r="P822" s="109"/>
      <c r="Q822" s="109"/>
      <c r="R822" s="109"/>
      <c r="S822" s="109"/>
      <c r="T822" s="109"/>
      <c r="U822" s="109"/>
      <c r="V822" s="109"/>
      <c r="W822" s="109"/>
      <c r="X822" s="109"/>
      <c r="Y822" s="109"/>
      <c r="Z822" s="109"/>
    </row>
    <row r="823" spans="1:26" ht="13.5" customHeight="1">
      <c r="A823" s="109"/>
      <c r="B823" s="109"/>
      <c r="C823" s="109"/>
      <c r="D823" s="109"/>
      <c r="E823" s="109"/>
      <c r="F823" s="109"/>
      <c r="G823" s="161"/>
      <c r="H823" s="109"/>
      <c r="I823" s="109"/>
      <c r="J823" s="109"/>
      <c r="K823" s="109"/>
      <c r="L823" s="109"/>
      <c r="M823" s="109"/>
      <c r="N823" s="109"/>
      <c r="O823" s="109"/>
      <c r="P823" s="109"/>
      <c r="Q823" s="109"/>
      <c r="R823" s="109"/>
      <c r="S823" s="109"/>
      <c r="T823" s="109"/>
      <c r="U823" s="109"/>
      <c r="V823" s="109"/>
      <c r="W823" s="109"/>
      <c r="X823" s="109"/>
      <c r="Y823" s="109"/>
      <c r="Z823" s="109"/>
    </row>
    <row r="824" spans="1:26" ht="13.5" customHeight="1">
      <c r="A824" s="109"/>
      <c r="B824" s="109"/>
      <c r="C824" s="109"/>
      <c r="D824" s="109"/>
      <c r="E824" s="109"/>
      <c r="F824" s="109"/>
      <c r="G824" s="161"/>
      <c r="H824" s="109"/>
      <c r="I824" s="109"/>
      <c r="J824" s="109"/>
      <c r="K824" s="109"/>
      <c r="L824" s="109"/>
      <c r="M824" s="109"/>
      <c r="N824" s="109"/>
      <c r="O824" s="109"/>
      <c r="P824" s="109"/>
      <c r="Q824" s="109"/>
      <c r="R824" s="109"/>
      <c r="S824" s="109"/>
      <c r="T824" s="109"/>
      <c r="U824" s="109"/>
      <c r="V824" s="109"/>
      <c r="W824" s="109"/>
      <c r="X824" s="109"/>
      <c r="Y824" s="109"/>
      <c r="Z824" s="109"/>
    </row>
    <row r="825" spans="1:26" ht="13.5" customHeight="1">
      <c r="A825" s="109"/>
      <c r="B825" s="109"/>
      <c r="C825" s="109"/>
      <c r="D825" s="109"/>
      <c r="E825" s="109"/>
      <c r="F825" s="109"/>
      <c r="G825" s="161"/>
      <c r="H825" s="109"/>
      <c r="I825" s="109"/>
      <c r="J825" s="109"/>
      <c r="K825" s="109"/>
      <c r="L825" s="109"/>
      <c r="M825" s="109"/>
      <c r="N825" s="109"/>
      <c r="O825" s="109"/>
      <c r="P825" s="109"/>
      <c r="Q825" s="109"/>
      <c r="R825" s="109"/>
      <c r="S825" s="109"/>
      <c r="T825" s="109"/>
      <c r="U825" s="109"/>
      <c r="V825" s="109"/>
      <c r="W825" s="109"/>
      <c r="X825" s="109"/>
      <c r="Y825" s="109"/>
      <c r="Z825" s="109"/>
    </row>
    <row r="826" spans="1:26" ht="13.5" customHeight="1">
      <c r="A826" s="109"/>
      <c r="B826" s="109"/>
      <c r="C826" s="109"/>
      <c r="D826" s="109"/>
      <c r="E826" s="109"/>
      <c r="F826" s="109"/>
      <c r="G826" s="161"/>
      <c r="H826" s="109"/>
      <c r="I826" s="109"/>
      <c r="J826" s="109"/>
      <c r="K826" s="109"/>
      <c r="L826" s="109"/>
      <c r="M826" s="109"/>
      <c r="N826" s="109"/>
      <c r="O826" s="109"/>
      <c r="P826" s="109"/>
      <c r="Q826" s="109"/>
      <c r="R826" s="109"/>
      <c r="S826" s="109"/>
      <c r="T826" s="109"/>
      <c r="U826" s="109"/>
      <c r="V826" s="109"/>
      <c r="W826" s="109"/>
      <c r="X826" s="109"/>
      <c r="Y826" s="109"/>
      <c r="Z826" s="109"/>
    </row>
    <row r="827" spans="1:26" ht="13.5" customHeight="1">
      <c r="A827" s="109"/>
      <c r="B827" s="109"/>
      <c r="C827" s="109"/>
      <c r="D827" s="109"/>
      <c r="E827" s="109"/>
      <c r="F827" s="109"/>
      <c r="G827" s="161"/>
      <c r="H827" s="109"/>
      <c r="I827" s="109"/>
      <c r="J827" s="109"/>
      <c r="K827" s="109"/>
      <c r="L827" s="109"/>
      <c r="M827" s="109"/>
      <c r="N827" s="109"/>
      <c r="O827" s="109"/>
      <c r="P827" s="109"/>
      <c r="Q827" s="109"/>
      <c r="R827" s="109"/>
      <c r="S827" s="109"/>
      <c r="T827" s="109"/>
      <c r="U827" s="109"/>
      <c r="V827" s="109"/>
      <c r="W827" s="109"/>
      <c r="X827" s="109"/>
      <c r="Y827" s="109"/>
      <c r="Z827" s="109"/>
    </row>
    <row r="828" spans="1:26" ht="13.5" customHeight="1">
      <c r="A828" s="109"/>
      <c r="B828" s="109"/>
      <c r="C828" s="109"/>
      <c r="D828" s="109"/>
      <c r="E828" s="109"/>
      <c r="F828" s="109"/>
      <c r="G828" s="161"/>
      <c r="H828" s="109"/>
      <c r="I828" s="109"/>
      <c r="J828" s="109"/>
      <c r="K828" s="109"/>
      <c r="L828" s="109"/>
      <c r="M828" s="109"/>
      <c r="N828" s="109"/>
      <c r="O828" s="109"/>
      <c r="P828" s="109"/>
      <c r="Q828" s="109"/>
      <c r="R828" s="109"/>
      <c r="S828" s="109"/>
      <c r="T828" s="109"/>
      <c r="U828" s="109"/>
      <c r="V828" s="109"/>
      <c r="W828" s="109"/>
      <c r="X828" s="109"/>
      <c r="Y828" s="109"/>
      <c r="Z828" s="109"/>
    </row>
    <row r="829" spans="1:26" ht="13.5" customHeight="1">
      <c r="A829" s="109"/>
      <c r="B829" s="109"/>
      <c r="C829" s="109"/>
      <c r="D829" s="109"/>
      <c r="E829" s="109"/>
      <c r="F829" s="109"/>
      <c r="G829" s="161"/>
      <c r="H829" s="109"/>
      <c r="I829" s="109"/>
      <c r="J829" s="109"/>
      <c r="K829" s="109"/>
      <c r="L829" s="109"/>
      <c r="M829" s="109"/>
      <c r="N829" s="109"/>
      <c r="O829" s="109"/>
      <c r="P829" s="109"/>
      <c r="Q829" s="109"/>
      <c r="R829" s="109"/>
      <c r="S829" s="109"/>
      <c r="T829" s="109"/>
      <c r="U829" s="109"/>
      <c r="V829" s="109"/>
      <c r="W829" s="109"/>
      <c r="X829" s="109"/>
      <c r="Y829" s="109"/>
      <c r="Z829" s="109"/>
    </row>
    <row r="830" spans="1:26" ht="13.5" customHeight="1">
      <c r="A830" s="109"/>
      <c r="B830" s="109"/>
      <c r="C830" s="109"/>
      <c r="D830" s="109"/>
      <c r="E830" s="109"/>
      <c r="F830" s="109"/>
      <c r="G830" s="161"/>
      <c r="H830" s="109"/>
      <c r="I830" s="109"/>
      <c r="J830" s="109"/>
      <c r="K830" s="109"/>
      <c r="L830" s="109"/>
      <c r="M830" s="109"/>
      <c r="N830" s="109"/>
      <c r="O830" s="109"/>
      <c r="P830" s="109"/>
      <c r="Q830" s="109"/>
      <c r="R830" s="109"/>
      <c r="S830" s="109"/>
      <c r="T830" s="109"/>
      <c r="U830" s="109"/>
      <c r="V830" s="109"/>
      <c r="W830" s="109"/>
      <c r="X830" s="109"/>
      <c r="Y830" s="109"/>
      <c r="Z830" s="109"/>
    </row>
    <row r="831" spans="1:26" ht="13.5" customHeight="1">
      <c r="A831" s="109"/>
      <c r="B831" s="109"/>
      <c r="C831" s="109"/>
      <c r="D831" s="109"/>
      <c r="E831" s="109"/>
      <c r="F831" s="109"/>
      <c r="G831" s="161"/>
      <c r="H831" s="109"/>
      <c r="I831" s="109"/>
      <c r="J831" s="109"/>
      <c r="K831" s="109"/>
      <c r="L831" s="109"/>
      <c r="M831" s="109"/>
      <c r="N831" s="109"/>
      <c r="O831" s="109"/>
      <c r="P831" s="109"/>
      <c r="Q831" s="109"/>
      <c r="R831" s="109"/>
      <c r="S831" s="109"/>
      <c r="T831" s="109"/>
      <c r="U831" s="109"/>
      <c r="V831" s="109"/>
      <c r="W831" s="109"/>
      <c r="X831" s="109"/>
      <c r="Y831" s="109"/>
      <c r="Z831" s="109"/>
    </row>
    <row r="832" spans="1:26" ht="13.5" customHeight="1">
      <c r="A832" s="109"/>
      <c r="B832" s="109"/>
      <c r="C832" s="109"/>
      <c r="D832" s="109"/>
      <c r="E832" s="109"/>
      <c r="F832" s="109"/>
      <c r="G832" s="161"/>
      <c r="H832" s="109"/>
      <c r="I832" s="109"/>
      <c r="J832" s="109"/>
      <c r="K832" s="109"/>
      <c r="L832" s="109"/>
      <c r="M832" s="109"/>
      <c r="N832" s="109"/>
      <c r="O832" s="109"/>
      <c r="P832" s="109"/>
      <c r="Q832" s="109"/>
      <c r="R832" s="109"/>
      <c r="S832" s="109"/>
      <c r="T832" s="109"/>
      <c r="U832" s="109"/>
      <c r="V832" s="109"/>
      <c r="W832" s="109"/>
      <c r="X832" s="109"/>
      <c r="Y832" s="109"/>
      <c r="Z832" s="109"/>
    </row>
    <row r="833" spans="1:26" ht="13.5" customHeight="1">
      <c r="A833" s="109"/>
      <c r="B833" s="109"/>
      <c r="C833" s="109"/>
      <c r="D833" s="109"/>
      <c r="E833" s="109"/>
      <c r="F833" s="109"/>
      <c r="G833" s="161"/>
      <c r="H833" s="109"/>
      <c r="I833" s="109"/>
      <c r="J833" s="109"/>
      <c r="K833" s="109"/>
      <c r="L833" s="109"/>
      <c r="M833" s="109"/>
      <c r="N833" s="109"/>
      <c r="O833" s="109"/>
      <c r="P833" s="109"/>
      <c r="Q833" s="109"/>
      <c r="R833" s="109"/>
      <c r="S833" s="109"/>
      <c r="T833" s="109"/>
      <c r="U833" s="109"/>
      <c r="V833" s="109"/>
      <c r="W833" s="109"/>
      <c r="X833" s="109"/>
      <c r="Y833" s="109"/>
      <c r="Z833" s="109"/>
    </row>
    <row r="834" spans="1:26" ht="13.5" customHeight="1">
      <c r="A834" s="109"/>
      <c r="B834" s="109"/>
      <c r="C834" s="109"/>
      <c r="D834" s="109"/>
      <c r="E834" s="109"/>
      <c r="F834" s="109"/>
      <c r="G834" s="161"/>
      <c r="H834" s="109"/>
      <c r="I834" s="109"/>
      <c r="J834" s="109"/>
      <c r="K834" s="109"/>
      <c r="L834" s="109"/>
      <c r="M834" s="109"/>
      <c r="N834" s="109"/>
      <c r="O834" s="109"/>
      <c r="P834" s="109"/>
      <c r="Q834" s="109"/>
      <c r="R834" s="109"/>
      <c r="S834" s="109"/>
      <c r="T834" s="109"/>
      <c r="U834" s="109"/>
      <c r="V834" s="109"/>
      <c r="W834" s="109"/>
      <c r="X834" s="109"/>
      <c r="Y834" s="109"/>
      <c r="Z834" s="109"/>
    </row>
    <row r="835" spans="1:26" ht="13.5" customHeight="1">
      <c r="A835" s="109"/>
      <c r="B835" s="109"/>
      <c r="C835" s="109"/>
      <c r="D835" s="109"/>
      <c r="E835" s="109"/>
      <c r="F835" s="109"/>
      <c r="G835" s="161"/>
      <c r="H835" s="109"/>
      <c r="I835" s="109"/>
      <c r="J835" s="109"/>
      <c r="K835" s="109"/>
      <c r="L835" s="109"/>
      <c r="M835" s="109"/>
      <c r="N835" s="109"/>
      <c r="O835" s="109"/>
      <c r="P835" s="109"/>
      <c r="Q835" s="109"/>
      <c r="R835" s="109"/>
      <c r="S835" s="109"/>
      <c r="T835" s="109"/>
      <c r="U835" s="109"/>
      <c r="V835" s="109"/>
      <c r="W835" s="109"/>
      <c r="X835" s="109"/>
      <c r="Y835" s="109"/>
      <c r="Z835" s="109"/>
    </row>
    <row r="836" spans="1:26" ht="13.5" customHeight="1">
      <c r="A836" s="109"/>
      <c r="B836" s="109"/>
      <c r="C836" s="109"/>
      <c r="D836" s="109"/>
      <c r="E836" s="109"/>
      <c r="F836" s="109"/>
      <c r="G836" s="161"/>
      <c r="H836" s="109"/>
      <c r="I836" s="109"/>
      <c r="J836" s="109"/>
      <c r="K836" s="109"/>
      <c r="L836" s="109"/>
      <c r="M836" s="109"/>
      <c r="N836" s="109"/>
      <c r="O836" s="109"/>
      <c r="P836" s="109"/>
      <c r="Q836" s="109"/>
      <c r="R836" s="109"/>
      <c r="S836" s="109"/>
      <c r="T836" s="109"/>
      <c r="U836" s="109"/>
      <c r="V836" s="109"/>
      <c r="W836" s="109"/>
      <c r="X836" s="109"/>
      <c r="Y836" s="109"/>
      <c r="Z836" s="109"/>
    </row>
    <row r="837" spans="1:26" ht="13.5" customHeight="1">
      <c r="A837" s="109"/>
      <c r="B837" s="109"/>
      <c r="C837" s="109"/>
      <c r="D837" s="109"/>
      <c r="E837" s="109"/>
      <c r="F837" s="109"/>
      <c r="G837" s="161"/>
      <c r="H837" s="109"/>
      <c r="I837" s="109"/>
      <c r="J837" s="109"/>
      <c r="K837" s="109"/>
      <c r="L837" s="109"/>
      <c r="M837" s="109"/>
      <c r="N837" s="109"/>
      <c r="O837" s="109"/>
      <c r="P837" s="109"/>
      <c r="Q837" s="109"/>
      <c r="R837" s="109"/>
      <c r="S837" s="109"/>
      <c r="T837" s="109"/>
      <c r="U837" s="109"/>
      <c r="V837" s="109"/>
      <c r="W837" s="109"/>
      <c r="X837" s="109"/>
      <c r="Y837" s="109"/>
      <c r="Z837" s="109"/>
    </row>
    <row r="838" spans="1:26" ht="13.5" customHeight="1">
      <c r="A838" s="109"/>
      <c r="B838" s="109"/>
      <c r="C838" s="109"/>
      <c r="D838" s="109"/>
      <c r="E838" s="109"/>
      <c r="F838" s="109"/>
      <c r="G838" s="161"/>
      <c r="H838" s="109"/>
      <c r="I838" s="109"/>
      <c r="J838" s="109"/>
      <c r="K838" s="109"/>
      <c r="L838" s="109"/>
      <c r="M838" s="109"/>
      <c r="N838" s="109"/>
      <c r="O838" s="109"/>
      <c r="P838" s="109"/>
      <c r="Q838" s="109"/>
      <c r="R838" s="109"/>
      <c r="S838" s="109"/>
      <c r="T838" s="109"/>
      <c r="U838" s="109"/>
      <c r="V838" s="109"/>
      <c r="W838" s="109"/>
      <c r="X838" s="109"/>
      <c r="Y838" s="109"/>
      <c r="Z838" s="109"/>
    </row>
    <row r="839" spans="1:26" ht="13.5" customHeight="1">
      <c r="A839" s="109"/>
      <c r="B839" s="109"/>
      <c r="C839" s="109"/>
      <c r="D839" s="109"/>
      <c r="E839" s="109"/>
      <c r="F839" s="109"/>
      <c r="G839" s="161"/>
      <c r="H839" s="109"/>
      <c r="I839" s="109"/>
      <c r="J839" s="109"/>
      <c r="K839" s="109"/>
      <c r="L839" s="109"/>
      <c r="M839" s="109"/>
      <c r="N839" s="109"/>
      <c r="O839" s="109"/>
      <c r="P839" s="109"/>
      <c r="Q839" s="109"/>
      <c r="R839" s="109"/>
      <c r="S839" s="109"/>
      <c r="T839" s="109"/>
      <c r="U839" s="109"/>
      <c r="V839" s="109"/>
      <c r="W839" s="109"/>
      <c r="X839" s="109"/>
      <c r="Y839" s="109"/>
      <c r="Z839" s="109"/>
    </row>
    <row r="840" spans="1:26" ht="13.5" customHeight="1">
      <c r="A840" s="109"/>
      <c r="B840" s="109"/>
      <c r="C840" s="109"/>
      <c r="D840" s="109"/>
      <c r="E840" s="109"/>
      <c r="F840" s="109"/>
      <c r="G840" s="161"/>
      <c r="H840" s="109"/>
      <c r="I840" s="109"/>
      <c r="J840" s="109"/>
      <c r="K840" s="109"/>
      <c r="L840" s="109"/>
      <c r="M840" s="109"/>
      <c r="N840" s="109"/>
      <c r="O840" s="109"/>
      <c r="P840" s="109"/>
      <c r="Q840" s="109"/>
      <c r="R840" s="109"/>
      <c r="S840" s="109"/>
      <c r="T840" s="109"/>
      <c r="U840" s="109"/>
      <c r="V840" s="109"/>
      <c r="W840" s="109"/>
      <c r="X840" s="109"/>
      <c r="Y840" s="109"/>
      <c r="Z840" s="109"/>
    </row>
    <row r="841" spans="1:26" ht="13.5" customHeight="1">
      <c r="A841" s="109"/>
      <c r="B841" s="109"/>
      <c r="C841" s="109"/>
      <c r="D841" s="109"/>
      <c r="E841" s="109"/>
      <c r="F841" s="109"/>
      <c r="G841" s="161"/>
      <c r="H841" s="109"/>
      <c r="I841" s="109"/>
      <c r="J841" s="109"/>
      <c r="K841" s="109"/>
      <c r="L841" s="109"/>
      <c r="M841" s="109"/>
      <c r="N841" s="109"/>
      <c r="O841" s="109"/>
      <c r="P841" s="109"/>
      <c r="Q841" s="109"/>
      <c r="R841" s="109"/>
      <c r="S841" s="109"/>
      <c r="T841" s="109"/>
      <c r="U841" s="109"/>
      <c r="V841" s="109"/>
      <c r="W841" s="109"/>
      <c r="X841" s="109"/>
      <c r="Y841" s="109"/>
      <c r="Z841" s="109"/>
    </row>
    <row r="842" spans="1:26" ht="13.5" customHeight="1">
      <c r="A842" s="109"/>
      <c r="B842" s="109"/>
      <c r="C842" s="109"/>
      <c r="D842" s="109"/>
      <c r="E842" s="109"/>
      <c r="F842" s="109"/>
      <c r="G842" s="161"/>
      <c r="H842" s="109"/>
      <c r="I842" s="109"/>
      <c r="J842" s="109"/>
      <c r="K842" s="109"/>
      <c r="L842" s="109"/>
      <c r="M842" s="109"/>
      <c r="N842" s="109"/>
      <c r="O842" s="109"/>
      <c r="P842" s="109"/>
      <c r="Q842" s="109"/>
      <c r="R842" s="109"/>
      <c r="S842" s="109"/>
      <c r="T842" s="109"/>
      <c r="U842" s="109"/>
      <c r="V842" s="109"/>
      <c r="W842" s="109"/>
      <c r="X842" s="109"/>
      <c r="Y842" s="109"/>
      <c r="Z842" s="109"/>
    </row>
    <row r="843" spans="1:26" ht="13.5" customHeight="1">
      <c r="A843" s="109"/>
      <c r="B843" s="109"/>
      <c r="C843" s="109"/>
      <c r="D843" s="109"/>
      <c r="E843" s="109"/>
      <c r="F843" s="109"/>
      <c r="G843" s="161"/>
      <c r="H843" s="109"/>
      <c r="I843" s="109"/>
      <c r="J843" s="109"/>
      <c r="K843" s="109"/>
      <c r="L843" s="109"/>
      <c r="M843" s="109"/>
      <c r="N843" s="109"/>
      <c r="O843" s="109"/>
      <c r="P843" s="109"/>
      <c r="Q843" s="109"/>
      <c r="R843" s="109"/>
      <c r="S843" s="109"/>
      <c r="T843" s="109"/>
      <c r="U843" s="109"/>
      <c r="V843" s="109"/>
      <c r="W843" s="109"/>
      <c r="X843" s="109"/>
      <c r="Y843" s="109"/>
      <c r="Z843" s="109"/>
    </row>
    <row r="844" spans="1:26" ht="13.5" customHeight="1">
      <c r="A844" s="109"/>
      <c r="B844" s="109"/>
      <c r="C844" s="109"/>
      <c r="D844" s="109"/>
      <c r="E844" s="109"/>
      <c r="F844" s="109"/>
      <c r="G844" s="161"/>
      <c r="H844" s="109"/>
      <c r="I844" s="109"/>
      <c r="J844" s="109"/>
      <c r="K844" s="109"/>
      <c r="L844" s="109"/>
      <c r="M844" s="109"/>
      <c r="N844" s="109"/>
      <c r="O844" s="109"/>
      <c r="P844" s="109"/>
      <c r="Q844" s="109"/>
      <c r="R844" s="109"/>
      <c r="S844" s="109"/>
      <c r="T844" s="109"/>
      <c r="U844" s="109"/>
      <c r="V844" s="109"/>
      <c r="W844" s="109"/>
      <c r="X844" s="109"/>
      <c r="Y844" s="109"/>
      <c r="Z844" s="109"/>
    </row>
    <row r="845" spans="1:26" ht="13.5" customHeight="1">
      <c r="A845" s="109"/>
      <c r="B845" s="109"/>
      <c r="C845" s="109"/>
      <c r="D845" s="109"/>
      <c r="E845" s="109"/>
      <c r="F845" s="109"/>
      <c r="G845" s="161"/>
      <c r="H845" s="109"/>
      <c r="I845" s="109"/>
      <c r="J845" s="109"/>
      <c r="K845" s="109"/>
      <c r="L845" s="109"/>
      <c r="M845" s="109"/>
      <c r="N845" s="109"/>
      <c r="O845" s="109"/>
      <c r="P845" s="109"/>
      <c r="Q845" s="109"/>
      <c r="R845" s="109"/>
      <c r="S845" s="109"/>
      <c r="T845" s="109"/>
      <c r="U845" s="109"/>
      <c r="V845" s="109"/>
      <c r="W845" s="109"/>
      <c r="X845" s="109"/>
      <c r="Y845" s="109"/>
      <c r="Z845" s="109"/>
    </row>
    <row r="846" spans="1:26" ht="13.5" customHeight="1">
      <c r="A846" s="109"/>
      <c r="B846" s="109"/>
      <c r="C846" s="109"/>
      <c r="D846" s="109"/>
      <c r="E846" s="109"/>
      <c r="F846" s="109"/>
      <c r="G846" s="161"/>
      <c r="H846" s="109"/>
      <c r="I846" s="109"/>
      <c r="J846" s="109"/>
      <c r="K846" s="109"/>
      <c r="L846" s="109"/>
      <c r="M846" s="109"/>
      <c r="N846" s="109"/>
      <c r="O846" s="109"/>
      <c r="P846" s="109"/>
      <c r="Q846" s="109"/>
      <c r="R846" s="109"/>
      <c r="S846" s="109"/>
      <c r="T846" s="109"/>
      <c r="U846" s="109"/>
      <c r="V846" s="109"/>
      <c r="W846" s="109"/>
      <c r="X846" s="109"/>
      <c r="Y846" s="109"/>
      <c r="Z846" s="109"/>
    </row>
    <row r="847" spans="1:26" ht="13.5" customHeight="1">
      <c r="A847" s="109"/>
      <c r="B847" s="109"/>
      <c r="C847" s="109"/>
      <c r="D847" s="109"/>
      <c r="E847" s="109"/>
      <c r="F847" s="109"/>
      <c r="G847" s="161"/>
      <c r="H847" s="109"/>
      <c r="I847" s="109"/>
      <c r="J847" s="109"/>
      <c r="K847" s="109"/>
      <c r="L847" s="109"/>
      <c r="M847" s="109"/>
      <c r="N847" s="109"/>
      <c r="O847" s="109"/>
      <c r="P847" s="109"/>
      <c r="Q847" s="109"/>
      <c r="R847" s="109"/>
      <c r="S847" s="109"/>
      <c r="T847" s="109"/>
      <c r="U847" s="109"/>
      <c r="V847" s="109"/>
      <c r="W847" s="109"/>
      <c r="X847" s="109"/>
      <c r="Y847" s="109"/>
      <c r="Z847" s="109"/>
    </row>
    <row r="848" spans="1:26" ht="13.5" customHeight="1">
      <c r="A848" s="109"/>
      <c r="B848" s="109"/>
      <c r="C848" s="109"/>
      <c r="D848" s="109"/>
      <c r="E848" s="109"/>
      <c r="F848" s="109"/>
      <c r="G848" s="161"/>
      <c r="H848" s="109"/>
      <c r="I848" s="109"/>
      <c r="J848" s="109"/>
      <c r="K848" s="109"/>
      <c r="L848" s="109"/>
      <c r="M848" s="109"/>
      <c r="N848" s="109"/>
      <c r="O848" s="109"/>
      <c r="P848" s="109"/>
      <c r="Q848" s="109"/>
      <c r="R848" s="109"/>
      <c r="S848" s="109"/>
      <c r="T848" s="109"/>
      <c r="U848" s="109"/>
      <c r="V848" s="109"/>
      <c r="W848" s="109"/>
      <c r="X848" s="109"/>
      <c r="Y848" s="109"/>
      <c r="Z848" s="109"/>
    </row>
    <row r="849" spans="1:26" ht="13.5" customHeight="1">
      <c r="A849" s="109"/>
      <c r="B849" s="109"/>
      <c r="C849" s="109"/>
      <c r="D849" s="109"/>
      <c r="E849" s="109"/>
      <c r="F849" s="109"/>
      <c r="G849" s="161"/>
      <c r="H849" s="109"/>
      <c r="I849" s="109"/>
      <c r="J849" s="109"/>
      <c r="K849" s="109"/>
      <c r="L849" s="109"/>
      <c r="M849" s="109"/>
      <c r="N849" s="109"/>
      <c r="O849" s="109"/>
      <c r="P849" s="109"/>
      <c r="Q849" s="109"/>
      <c r="R849" s="109"/>
      <c r="S849" s="109"/>
      <c r="T849" s="109"/>
      <c r="U849" s="109"/>
      <c r="V849" s="109"/>
      <c r="W849" s="109"/>
      <c r="X849" s="109"/>
      <c r="Y849" s="109"/>
      <c r="Z849" s="109"/>
    </row>
    <row r="850" spans="1:26" ht="13.5" customHeight="1">
      <c r="A850" s="109"/>
      <c r="B850" s="109"/>
      <c r="C850" s="109"/>
      <c r="D850" s="109"/>
      <c r="E850" s="109"/>
      <c r="F850" s="109"/>
      <c r="G850" s="161"/>
      <c r="H850" s="109"/>
      <c r="I850" s="109"/>
      <c r="J850" s="109"/>
      <c r="K850" s="109"/>
      <c r="L850" s="109"/>
      <c r="M850" s="109"/>
      <c r="N850" s="109"/>
      <c r="O850" s="109"/>
      <c r="P850" s="109"/>
      <c r="Q850" s="109"/>
      <c r="R850" s="109"/>
      <c r="S850" s="109"/>
      <c r="T850" s="109"/>
      <c r="U850" s="109"/>
      <c r="V850" s="109"/>
      <c r="W850" s="109"/>
      <c r="X850" s="109"/>
      <c r="Y850" s="109"/>
      <c r="Z850" s="109"/>
    </row>
    <row r="851" spans="1:26" ht="13.5" customHeight="1">
      <c r="A851" s="109"/>
      <c r="B851" s="109"/>
      <c r="C851" s="109"/>
      <c r="D851" s="109"/>
      <c r="E851" s="109"/>
      <c r="F851" s="109"/>
      <c r="G851" s="161"/>
      <c r="H851" s="109"/>
      <c r="I851" s="109"/>
      <c r="J851" s="109"/>
      <c r="K851" s="109"/>
      <c r="L851" s="109"/>
      <c r="M851" s="109"/>
      <c r="N851" s="109"/>
      <c r="O851" s="109"/>
      <c r="P851" s="109"/>
      <c r="Q851" s="109"/>
      <c r="R851" s="109"/>
      <c r="S851" s="109"/>
      <c r="T851" s="109"/>
      <c r="U851" s="109"/>
      <c r="V851" s="109"/>
      <c r="W851" s="109"/>
      <c r="X851" s="109"/>
      <c r="Y851" s="109"/>
      <c r="Z851" s="109"/>
    </row>
    <row r="852" spans="1:26" ht="13.5" customHeight="1">
      <c r="A852" s="109"/>
      <c r="B852" s="109"/>
      <c r="C852" s="109"/>
      <c r="D852" s="109"/>
      <c r="E852" s="109"/>
      <c r="F852" s="109"/>
      <c r="G852" s="161"/>
      <c r="H852" s="109"/>
      <c r="I852" s="109"/>
      <c r="J852" s="109"/>
      <c r="K852" s="109"/>
      <c r="L852" s="109"/>
      <c r="M852" s="109"/>
      <c r="N852" s="109"/>
      <c r="O852" s="109"/>
      <c r="P852" s="109"/>
      <c r="Q852" s="109"/>
      <c r="R852" s="109"/>
      <c r="S852" s="109"/>
      <c r="T852" s="109"/>
      <c r="U852" s="109"/>
      <c r="V852" s="109"/>
      <c r="W852" s="109"/>
      <c r="X852" s="109"/>
      <c r="Y852" s="109"/>
      <c r="Z852" s="109"/>
    </row>
    <row r="853" spans="1:26" ht="13.5" customHeight="1">
      <c r="A853" s="109"/>
      <c r="B853" s="109"/>
      <c r="C853" s="109"/>
      <c r="D853" s="109"/>
      <c r="E853" s="109"/>
      <c r="F853" s="109"/>
      <c r="G853" s="161"/>
      <c r="H853" s="109"/>
      <c r="I853" s="109"/>
      <c r="J853" s="109"/>
      <c r="K853" s="109"/>
      <c r="L853" s="109"/>
      <c r="M853" s="109"/>
      <c r="N853" s="109"/>
      <c r="O853" s="109"/>
      <c r="P853" s="109"/>
      <c r="Q853" s="109"/>
      <c r="R853" s="109"/>
      <c r="S853" s="109"/>
      <c r="T853" s="109"/>
      <c r="U853" s="109"/>
      <c r="V853" s="109"/>
      <c r="W853" s="109"/>
      <c r="X853" s="109"/>
      <c r="Y853" s="109"/>
      <c r="Z853" s="109"/>
    </row>
    <row r="854" spans="1:26" ht="13.5" customHeight="1">
      <c r="A854" s="109"/>
      <c r="B854" s="109"/>
      <c r="C854" s="109"/>
      <c r="D854" s="109"/>
      <c r="E854" s="109"/>
      <c r="F854" s="109"/>
      <c r="G854" s="161"/>
      <c r="H854" s="109"/>
      <c r="I854" s="109"/>
      <c r="J854" s="109"/>
      <c r="K854" s="109"/>
      <c r="L854" s="109"/>
      <c r="M854" s="109"/>
      <c r="N854" s="109"/>
      <c r="O854" s="109"/>
      <c r="P854" s="109"/>
      <c r="Q854" s="109"/>
      <c r="R854" s="109"/>
      <c r="S854" s="109"/>
      <c r="T854" s="109"/>
      <c r="U854" s="109"/>
      <c r="V854" s="109"/>
      <c r="W854" s="109"/>
      <c r="X854" s="109"/>
      <c r="Y854" s="109"/>
      <c r="Z854" s="109"/>
    </row>
    <row r="855" spans="1:26" ht="13.5" customHeight="1">
      <c r="A855" s="109"/>
      <c r="B855" s="109"/>
      <c r="C855" s="109"/>
      <c r="D855" s="109"/>
      <c r="E855" s="109"/>
      <c r="F855" s="109"/>
      <c r="G855" s="161"/>
      <c r="H855" s="109"/>
      <c r="I855" s="109"/>
      <c r="J855" s="109"/>
      <c r="K855" s="109"/>
      <c r="L855" s="109"/>
      <c r="M855" s="109"/>
      <c r="N855" s="109"/>
      <c r="O855" s="109"/>
      <c r="P855" s="109"/>
      <c r="Q855" s="109"/>
      <c r="R855" s="109"/>
      <c r="S855" s="109"/>
      <c r="T855" s="109"/>
      <c r="U855" s="109"/>
      <c r="V855" s="109"/>
      <c r="W855" s="109"/>
      <c r="X855" s="109"/>
      <c r="Y855" s="109"/>
      <c r="Z855" s="109"/>
    </row>
    <row r="856" spans="1:26" ht="13.5" customHeight="1">
      <c r="A856" s="109"/>
      <c r="B856" s="109"/>
      <c r="C856" s="109"/>
      <c r="D856" s="109"/>
      <c r="E856" s="109"/>
      <c r="F856" s="109"/>
      <c r="G856" s="161"/>
      <c r="H856" s="109"/>
      <c r="I856" s="109"/>
      <c r="J856" s="109"/>
      <c r="K856" s="109"/>
      <c r="L856" s="109"/>
      <c r="M856" s="109"/>
      <c r="N856" s="109"/>
      <c r="O856" s="109"/>
      <c r="P856" s="109"/>
      <c r="Q856" s="109"/>
      <c r="R856" s="109"/>
      <c r="S856" s="109"/>
      <c r="T856" s="109"/>
      <c r="U856" s="109"/>
      <c r="V856" s="109"/>
      <c r="W856" s="109"/>
      <c r="X856" s="109"/>
      <c r="Y856" s="109"/>
      <c r="Z856" s="109"/>
    </row>
    <row r="857" spans="1:26" ht="13.5" customHeight="1">
      <c r="A857" s="109"/>
      <c r="B857" s="109"/>
      <c r="C857" s="109"/>
      <c r="D857" s="109"/>
      <c r="E857" s="109"/>
      <c r="F857" s="109"/>
      <c r="G857" s="161"/>
      <c r="H857" s="109"/>
      <c r="I857" s="109"/>
      <c r="J857" s="109"/>
      <c r="K857" s="109"/>
      <c r="L857" s="109"/>
      <c r="M857" s="109"/>
      <c r="N857" s="109"/>
      <c r="O857" s="109"/>
      <c r="P857" s="109"/>
      <c r="Q857" s="109"/>
      <c r="R857" s="109"/>
      <c r="S857" s="109"/>
      <c r="T857" s="109"/>
      <c r="U857" s="109"/>
      <c r="V857" s="109"/>
      <c r="W857" s="109"/>
      <c r="X857" s="109"/>
      <c r="Y857" s="109"/>
      <c r="Z857" s="109"/>
    </row>
    <row r="858" spans="1:26" ht="13.5" customHeight="1">
      <c r="A858" s="109"/>
      <c r="B858" s="109"/>
      <c r="C858" s="109"/>
      <c r="D858" s="109"/>
      <c r="E858" s="109"/>
      <c r="F858" s="109"/>
      <c r="G858" s="161"/>
      <c r="H858" s="109"/>
      <c r="I858" s="109"/>
      <c r="J858" s="109"/>
      <c r="K858" s="109"/>
      <c r="L858" s="109"/>
      <c r="M858" s="109"/>
      <c r="N858" s="109"/>
      <c r="O858" s="109"/>
      <c r="P858" s="109"/>
      <c r="Q858" s="109"/>
      <c r="R858" s="109"/>
      <c r="S858" s="109"/>
      <c r="T858" s="109"/>
      <c r="U858" s="109"/>
      <c r="V858" s="109"/>
      <c r="W858" s="109"/>
      <c r="X858" s="109"/>
      <c r="Y858" s="109"/>
      <c r="Z858" s="109"/>
    </row>
    <row r="859" spans="1:26" ht="13.5" customHeight="1">
      <c r="A859" s="109"/>
      <c r="B859" s="109"/>
      <c r="C859" s="109"/>
      <c r="D859" s="109"/>
      <c r="E859" s="109"/>
      <c r="F859" s="109"/>
      <c r="G859" s="161"/>
      <c r="H859" s="109"/>
      <c r="I859" s="109"/>
      <c r="J859" s="109"/>
      <c r="K859" s="109"/>
      <c r="L859" s="109"/>
      <c r="M859" s="109"/>
      <c r="N859" s="109"/>
      <c r="O859" s="109"/>
      <c r="P859" s="109"/>
      <c r="Q859" s="109"/>
      <c r="R859" s="109"/>
      <c r="S859" s="109"/>
      <c r="T859" s="109"/>
      <c r="U859" s="109"/>
      <c r="V859" s="109"/>
      <c r="W859" s="109"/>
      <c r="X859" s="109"/>
      <c r="Y859" s="109"/>
      <c r="Z859" s="109"/>
    </row>
    <row r="860" spans="1:26" ht="13.5" customHeight="1">
      <c r="A860" s="109"/>
      <c r="B860" s="109"/>
      <c r="C860" s="109"/>
      <c r="D860" s="109"/>
      <c r="E860" s="109"/>
      <c r="F860" s="109"/>
      <c r="G860" s="161"/>
      <c r="H860" s="109"/>
      <c r="I860" s="109"/>
      <c r="J860" s="109"/>
      <c r="K860" s="109"/>
      <c r="L860" s="109"/>
      <c r="M860" s="109"/>
      <c r="N860" s="109"/>
      <c r="O860" s="109"/>
      <c r="P860" s="109"/>
      <c r="Q860" s="109"/>
      <c r="R860" s="109"/>
      <c r="S860" s="109"/>
      <c r="T860" s="109"/>
      <c r="U860" s="109"/>
      <c r="V860" s="109"/>
      <c r="W860" s="109"/>
      <c r="X860" s="109"/>
      <c r="Y860" s="109"/>
      <c r="Z860" s="109"/>
    </row>
    <row r="861" spans="1:26" ht="13.5" customHeight="1">
      <c r="A861" s="109"/>
      <c r="B861" s="109"/>
      <c r="C861" s="109"/>
      <c r="D861" s="109"/>
      <c r="E861" s="109"/>
      <c r="F861" s="109"/>
      <c r="G861" s="161"/>
      <c r="H861" s="109"/>
      <c r="I861" s="109"/>
      <c r="J861" s="109"/>
      <c r="K861" s="109"/>
      <c r="L861" s="109"/>
      <c r="M861" s="109"/>
      <c r="N861" s="109"/>
      <c r="O861" s="109"/>
      <c r="P861" s="109"/>
      <c r="Q861" s="109"/>
      <c r="R861" s="109"/>
      <c r="S861" s="109"/>
      <c r="T861" s="109"/>
      <c r="U861" s="109"/>
      <c r="V861" s="109"/>
      <c r="W861" s="109"/>
      <c r="X861" s="109"/>
      <c r="Y861" s="109"/>
      <c r="Z861" s="109"/>
    </row>
    <row r="862" spans="1:26" ht="13.5" customHeight="1">
      <c r="A862" s="109"/>
      <c r="B862" s="109"/>
      <c r="C862" s="109"/>
      <c r="D862" s="109"/>
      <c r="E862" s="109"/>
      <c r="F862" s="109"/>
      <c r="G862" s="161"/>
      <c r="H862" s="109"/>
      <c r="I862" s="109"/>
      <c r="J862" s="109"/>
      <c r="K862" s="109"/>
      <c r="L862" s="109"/>
      <c r="M862" s="109"/>
      <c r="N862" s="109"/>
      <c r="O862" s="109"/>
      <c r="P862" s="109"/>
      <c r="Q862" s="109"/>
      <c r="R862" s="109"/>
      <c r="S862" s="109"/>
      <c r="T862" s="109"/>
      <c r="U862" s="109"/>
      <c r="V862" s="109"/>
      <c r="W862" s="109"/>
      <c r="X862" s="109"/>
      <c r="Y862" s="109"/>
      <c r="Z862" s="109"/>
    </row>
    <row r="863" spans="1:26" ht="13.5" customHeight="1">
      <c r="A863" s="109"/>
      <c r="B863" s="109"/>
      <c r="C863" s="109"/>
      <c r="D863" s="109"/>
      <c r="E863" s="109"/>
      <c r="F863" s="109"/>
      <c r="G863" s="161"/>
      <c r="H863" s="109"/>
      <c r="I863" s="109"/>
      <c r="J863" s="109"/>
      <c r="K863" s="109"/>
      <c r="L863" s="109"/>
      <c r="M863" s="109"/>
      <c r="N863" s="109"/>
      <c r="O863" s="109"/>
      <c r="P863" s="109"/>
      <c r="Q863" s="109"/>
      <c r="R863" s="109"/>
      <c r="S863" s="109"/>
      <c r="T863" s="109"/>
      <c r="U863" s="109"/>
      <c r="V863" s="109"/>
      <c r="W863" s="109"/>
      <c r="X863" s="109"/>
      <c r="Y863" s="109"/>
      <c r="Z863" s="109"/>
    </row>
    <row r="864" spans="1:26" ht="13.5" customHeight="1">
      <c r="A864" s="109"/>
      <c r="B864" s="109"/>
      <c r="C864" s="109"/>
      <c r="D864" s="109"/>
      <c r="E864" s="109"/>
      <c r="F864" s="109"/>
      <c r="G864" s="161"/>
      <c r="H864" s="109"/>
      <c r="I864" s="109"/>
      <c r="J864" s="109"/>
      <c r="K864" s="109"/>
      <c r="L864" s="109"/>
      <c r="M864" s="109"/>
      <c r="N864" s="109"/>
      <c r="O864" s="109"/>
      <c r="P864" s="109"/>
      <c r="Q864" s="109"/>
      <c r="R864" s="109"/>
      <c r="S864" s="109"/>
      <c r="T864" s="109"/>
      <c r="U864" s="109"/>
      <c r="V864" s="109"/>
      <c r="W864" s="109"/>
      <c r="X864" s="109"/>
      <c r="Y864" s="109"/>
      <c r="Z864" s="109"/>
    </row>
    <row r="865" spans="1:26" ht="13.5" customHeight="1">
      <c r="A865" s="109"/>
      <c r="B865" s="109"/>
      <c r="C865" s="109"/>
      <c r="D865" s="109"/>
      <c r="E865" s="109"/>
      <c r="F865" s="109"/>
      <c r="G865" s="161"/>
      <c r="H865" s="109"/>
      <c r="I865" s="109"/>
      <c r="J865" s="109"/>
      <c r="K865" s="109"/>
      <c r="L865" s="109"/>
      <c r="M865" s="109"/>
      <c r="N865" s="109"/>
      <c r="O865" s="109"/>
      <c r="P865" s="109"/>
      <c r="Q865" s="109"/>
      <c r="R865" s="109"/>
      <c r="S865" s="109"/>
      <c r="T865" s="109"/>
      <c r="U865" s="109"/>
      <c r="V865" s="109"/>
      <c r="W865" s="109"/>
      <c r="X865" s="109"/>
      <c r="Y865" s="109"/>
      <c r="Z865" s="109"/>
    </row>
    <row r="866" spans="1:26" ht="13.5" customHeight="1">
      <c r="A866" s="109"/>
      <c r="B866" s="109"/>
      <c r="C866" s="109"/>
      <c r="D866" s="109"/>
      <c r="E866" s="109"/>
      <c r="F866" s="109"/>
      <c r="G866" s="161"/>
      <c r="H866" s="109"/>
      <c r="I866" s="109"/>
      <c r="J866" s="109"/>
      <c r="K866" s="109"/>
      <c r="L866" s="109"/>
      <c r="M866" s="109"/>
      <c r="N866" s="109"/>
      <c r="O866" s="109"/>
      <c r="P866" s="109"/>
      <c r="Q866" s="109"/>
      <c r="R866" s="109"/>
      <c r="S866" s="109"/>
      <c r="T866" s="109"/>
      <c r="U866" s="109"/>
      <c r="V866" s="109"/>
      <c r="W866" s="109"/>
      <c r="X866" s="109"/>
      <c r="Y866" s="109"/>
      <c r="Z866" s="109"/>
    </row>
    <row r="867" spans="1:26" ht="13.5" customHeight="1">
      <c r="A867" s="109"/>
      <c r="B867" s="109"/>
      <c r="C867" s="109"/>
      <c r="D867" s="109"/>
      <c r="E867" s="109"/>
      <c r="F867" s="109"/>
      <c r="G867" s="161"/>
      <c r="H867" s="109"/>
      <c r="I867" s="109"/>
      <c r="J867" s="109"/>
      <c r="K867" s="109"/>
      <c r="L867" s="109"/>
      <c r="M867" s="109"/>
      <c r="N867" s="109"/>
      <c r="O867" s="109"/>
      <c r="P867" s="109"/>
      <c r="Q867" s="109"/>
      <c r="R867" s="109"/>
      <c r="S867" s="109"/>
      <c r="T867" s="109"/>
      <c r="U867" s="109"/>
      <c r="V867" s="109"/>
      <c r="W867" s="109"/>
      <c r="X867" s="109"/>
      <c r="Y867" s="109"/>
      <c r="Z867" s="109"/>
    </row>
    <row r="868" spans="1:26" ht="13.5" customHeight="1">
      <c r="A868" s="109"/>
      <c r="B868" s="109"/>
      <c r="C868" s="109"/>
      <c r="D868" s="109"/>
      <c r="E868" s="109"/>
      <c r="F868" s="109"/>
      <c r="G868" s="161"/>
      <c r="H868" s="109"/>
      <c r="I868" s="109"/>
      <c r="J868" s="109"/>
      <c r="K868" s="109"/>
      <c r="L868" s="109"/>
      <c r="M868" s="109"/>
      <c r="N868" s="109"/>
      <c r="O868" s="109"/>
      <c r="P868" s="109"/>
      <c r="Q868" s="109"/>
      <c r="R868" s="109"/>
      <c r="S868" s="109"/>
      <c r="T868" s="109"/>
      <c r="U868" s="109"/>
      <c r="V868" s="109"/>
      <c r="W868" s="109"/>
      <c r="X868" s="109"/>
      <c r="Y868" s="109"/>
      <c r="Z868" s="109"/>
    </row>
    <row r="869" spans="1:26" ht="13.5" customHeight="1">
      <c r="A869" s="109"/>
      <c r="B869" s="109"/>
      <c r="C869" s="109"/>
      <c r="D869" s="109"/>
      <c r="E869" s="109"/>
      <c r="F869" s="109"/>
      <c r="G869" s="161"/>
      <c r="H869" s="109"/>
      <c r="I869" s="109"/>
      <c r="J869" s="109"/>
      <c r="K869" s="109"/>
      <c r="L869" s="109"/>
      <c r="M869" s="109"/>
      <c r="N869" s="109"/>
      <c r="O869" s="109"/>
      <c r="P869" s="109"/>
      <c r="Q869" s="109"/>
      <c r="R869" s="109"/>
      <c r="S869" s="109"/>
      <c r="T869" s="109"/>
      <c r="U869" s="109"/>
      <c r="V869" s="109"/>
      <c r="W869" s="109"/>
      <c r="X869" s="109"/>
      <c r="Y869" s="109"/>
      <c r="Z869" s="109"/>
    </row>
    <row r="870" spans="1:26" ht="13.5" customHeight="1">
      <c r="A870" s="109"/>
      <c r="B870" s="109"/>
      <c r="C870" s="109"/>
      <c r="D870" s="109"/>
      <c r="E870" s="109"/>
      <c r="F870" s="109"/>
      <c r="G870" s="161"/>
      <c r="H870" s="109"/>
      <c r="I870" s="109"/>
      <c r="J870" s="109"/>
      <c r="K870" s="109"/>
      <c r="L870" s="109"/>
      <c r="M870" s="109"/>
      <c r="N870" s="109"/>
      <c r="O870" s="109"/>
      <c r="P870" s="109"/>
      <c r="Q870" s="109"/>
      <c r="R870" s="109"/>
      <c r="S870" s="109"/>
      <c r="T870" s="109"/>
      <c r="U870" s="109"/>
      <c r="V870" s="109"/>
      <c r="W870" s="109"/>
      <c r="X870" s="109"/>
      <c r="Y870" s="109"/>
      <c r="Z870" s="109"/>
    </row>
    <row r="871" spans="1:26" ht="13.5" customHeight="1">
      <c r="A871" s="109"/>
      <c r="B871" s="109"/>
      <c r="C871" s="109"/>
      <c r="D871" s="109"/>
      <c r="E871" s="109"/>
      <c r="F871" s="109"/>
      <c r="G871" s="161"/>
      <c r="H871" s="109"/>
      <c r="I871" s="109"/>
      <c r="J871" s="109"/>
      <c r="K871" s="109"/>
      <c r="L871" s="109"/>
      <c r="M871" s="109"/>
      <c r="N871" s="109"/>
      <c r="O871" s="109"/>
      <c r="P871" s="109"/>
      <c r="Q871" s="109"/>
      <c r="R871" s="109"/>
      <c r="S871" s="109"/>
      <c r="T871" s="109"/>
      <c r="U871" s="109"/>
      <c r="V871" s="109"/>
      <c r="W871" s="109"/>
      <c r="X871" s="109"/>
      <c r="Y871" s="109"/>
      <c r="Z871" s="109"/>
    </row>
    <row r="872" spans="1:26" ht="13.5" customHeight="1">
      <c r="A872" s="109"/>
      <c r="B872" s="109"/>
      <c r="C872" s="109"/>
      <c r="D872" s="109"/>
      <c r="E872" s="109"/>
      <c r="F872" s="109"/>
      <c r="G872" s="161"/>
      <c r="H872" s="109"/>
      <c r="I872" s="109"/>
      <c r="J872" s="109"/>
      <c r="K872" s="109"/>
      <c r="L872" s="109"/>
      <c r="M872" s="109"/>
      <c r="N872" s="109"/>
      <c r="O872" s="109"/>
      <c r="P872" s="109"/>
      <c r="Q872" s="109"/>
      <c r="R872" s="109"/>
      <c r="S872" s="109"/>
      <c r="T872" s="109"/>
      <c r="U872" s="109"/>
      <c r="V872" s="109"/>
      <c r="W872" s="109"/>
      <c r="X872" s="109"/>
      <c r="Y872" s="109"/>
      <c r="Z872" s="109"/>
    </row>
    <row r="873" spans="1:26" ht="13.5" customHeight="1">
      <c r="A873" s="109"/>
      <c r="B873" s="109"/>
      <c r="C873" s="109"/>
      <c r="D873" s="109"/>
      <c r="E873" s="109"/>
      <c r="F873" s="109"/>
      <c r="G873" s="161"/>
      <c r="H873" s="109"/>
      <c r="I873" s="109"/>
      <c r="J873" s="109"/>
      <c r="K873" s="109"/>
      <c r="L873" s="109"/>
      <c r="M873" s="109"/>
      <c r="N873" s="109"/>
      <c r="O873" s="109"/>
      <c r="P873" s="109"/>
      <c r="Q873" s="109"/>
      <c r="R873" s="109"/>
      <c r="S873" s="109"/>
      <c r="T873" s="109"/>
      <c r="U873" s="109"/>
      <c r="V873" s="109"/>
      <c r="W873" s="109"/>
      <c r="X873" s="109"/>
      <c r="Y873" s="109"/>
      <c r="Z873" s="109"/>
    </row>
    <row r="874" spans="1:26" ht="13.5" customHeight="1">
      <c r="A874" s="109"/>
      <c r="B874" s="109"/>
      <c r="C874" s="109"/>
      <c r="D874" s="109"/>
      <c r="E874" s="109"/>
      <c r="F874" s="109"/>
      <c r="G874" s="161"/>
      <c r="H874" s="109"/>
      <c r="I874" s="109"/>
      <c r="J874" s="109"/>
      <c r="K874" s="109"/>
      <c r="L874" s="109"/>
      <c r="M874" s="109"/>
      <c r="N874" s="109"/>
      <c r="O874" s="109"/>
      <c r="P874" s="109"/>
      <c r="Q874" s="109"/>
      <c r="R874" s="109"/>
      <c r="S874" s="109"/>
      <c r="T874" s="109"/>
      <c r="U874" s="109"/>
      <c r="V874" s="109"/>
      <c r="W874" s="109"/>
      <c r="X874" s="109"/>
      <c r="Y874" s="109"/>
      <c r="Z874" s="109"/>
    </row>
    <row r="875" spans="1:26" ht="13.5" customHeight="1">
      <c r="A875" s="109"/>
      <c r="B875" s="109"/>
      <c r="C875" s="109"/>
      <c r="D875" s="109"/>
      <c r="E875" s="109"/>
      <c r="F875" s="109"/>
      <c r="G875" s="161"/>
      <c r="H875" s="109"/>
      <c r="I875" s="109"/>
      <c r="J875" s="109"/>
      <c r="K875" s="109"/>
      <c r="L875" s="109"/>
      <c r="M875" s="109"/>
      <c r="N875" s="109"/>
      <c r="O875" s="109"/>
      <c r="P875" s="109"/>
      <c r="Q875" s="109"/>
      <c r="R875" s="109"/>
      <c r="S875" s="109"/>
      <c r="T875" s="109"/>
      <c r="U875" s="109"/>
      <c r="V875" s="109"/>
      <c r="W875" s="109"/>
      <c r="X875" s="109"/>
      <c r="Y875" s="109"/>
      <c r="Z875" s="109"/>
    </row>
    <row r="876" spans="1:26" ht="13.5" customHeight="1">
      <c r="A876" s="109"/>
      <c r="B876" s="109"/>
      <c r="C876" s="109"/>
      <c r="D876" s="109"/>
      <c r="E876" s="109"/>
      <c r="F876" s="109"/>
      <c r="G876" s="161"/>
      <c r="H876" s="109"/>
      <c r="I876" s="109"/>
      <c r="J876" s="109"/>
      <c r="K876" s="109"/>
      <c r="L876" s="109"/>
      <c r="M876" s="109"/>
      <c r="N876" s="109"/>
      <c r="O876" s="109"/>
      <c r="P876" s="109"/>
      <c r="Q876" s="109"/>
      <c r="R876" s="109"/>
      <c r="S876" s="109"/>
      <c r="T876" s="109"/>
      <c r="U876" s="109"/>
      <c r="V876" s="109"/>
      <c r="W876" s="109"/>
      <c r="X876" s="109"/>
      <c r="Y876" s="109"/>
      <c r="Z876" s="109"/>
    </row>
    <row r="877" spans="1:26" ht="13.5" customHeight="1">
      <c r="A877" s="109"/>
      <c r="B877" s="109"/>
      <c r="C877" s="109"/>
      <c r="D877" s="109"/>
      <c r="E877" s="109"/>
      <c r="F877" s="109"/>
      <c r="G877" s="161"/>
      <c r="H877" s="109"/>
      <c r="I877" s="109"/>
      <c r="J877" s="109"/>
      <c r="K877" s="109"/>
      <c r="L877" s="109"/>
      <c r="M877" s="109"/>
      <c r="N877" s="109"/>
      <c r="O877" s="109"/>
      <c r="P877" s="109"/>
      <c r="Q877" s="109"/>
      <c r="R877" s="109"/>
      <c r="S877" s="109"/>
      <c r="T877" s="109"/>
      <c r="U877" s="109"/>
      <c r="V877" s="109"/>
      <c r="W877" s="109"/>
      <c r="X877" s="109"/>
      <c r="Y877" s="109"/>
      <c r="Z877" s="109"/>
    </row>
    <row r="878" spans="1:26" ht="13.5" customHeight="1">
      <c r="A878" s="109"/>
      <c r="B878" s="109"/>
      <c r="C878" s="109"/>
      <c r="D878" s="109"/>
      <c r="E878" s="109"/>
      <c r="F878" s="109"/>
      <c r="G878" s="161"/>
      <c r="H878" s="109"/>
      <c r="I878" s="109"/>
      <c r="J878" s="109"/>
      <c r="K878" s="109"/>
      <c r="L878" s="109"/>
      <c r="M878" s="109"/>
      <c r="N878" s="109"/>
      <c r="O878" s="109"/>
      <c r="P878" s="109"/>
      <c r="Q878" s="109"/>
      <c r="R878" s="109"/>
      <c r="S878" s="109"/>
      <c r="T878" s="109"/>
      <c r="U878" s="109"/>
      <c r="V878" s="109"/>
      <c r="W878" s="109"/>
      <c r="X878" s="109"/>
      <c r="Y878" s="109"/>
      <c r="Z878" s="109"/>
    </row>
    <row r="879" spans="1:26" ht="13.5" customHeight="1">
      <c r="A879" s="109"/>
      <c r="B879" s="109"/>
      <c r="C879" s="109"/>
      <c r="D879" s="109"/>
      <c r="E879" s="109"/>
      <c r="F879" s="109"/>
      <c r="G879" s="161"/>
      <c r="H879" s="109"/>
      <c r="I879" s="109"/>
      <c r="J879" s="109"/>
      <c r="K879" s="109"/>
      <c r="L879" s="109"/>
      <c r="M879" s="109"/>
      <c r="N879" s="109"/>
      <c r="O879" s="109"/>
      <c r="P879" s="109"/>
      <c r="Q879" s="109"/>
      <c r="R879" s="109"/>
      <c r="S879" s="109"/>
      <c r="T879" s="109"/>
      <c r="U879" s="109"/>
      <c r="V879" s="109"/>
      <c r="W879" s="109"/>
      <c r="X879" s="109"/>
      <c r="Y879" s="109"/>
      <c r="Z879" s="109"/>
    </row>
    <row r="880" spans="1:26" ht="13.5" customHeight="1">
      <c r="A880" s="109"/>
      <c r="B880" s="109"/>
      <c r="C880" s="109"/>
      <c r="D880" s="109"/>
      <c r="E880" s="109"/>
      <c r="F880" s="109"/>
      <c r="G880" s="161"/>
      <c r="H880" s="109"/>
      <c r="I880" s="109"/>
      <c r="J880" s="109"/>
      <c r="K880" s="109"/>
      <c r="L880" s="109"/>
      <c r="M880" s="109"/>
      <c r="N880" s="109"/>
      <c r="O880" s="109"/>
      <c r="P880" s="109"/>
      <c r="Q880" s="109"/>
      <c r="R880" s="109"/>
      <c r="S880" s="109"/>
      <c r="T880" s="109"/>
      <c r="U880" s="109"/>
      <c r="V880" s="109"/>
      <c r="W880" s="109"/>
      <c r="X880" s="109"/>
      <c r="Y880" s="109"/>
      <c r="Z880" s="109"/>
    </row>
    <row r="881" spans="1:26" ht="13.5" customHeight="1">
      <c r="A881" s="109"/>
      <c r="B881" s="109"/>
      <c r="C881" s="109"/>
      <c r="D881" s="109"/>
      <c r="E881" s="109"/>
      <c r="F881" s="109"/>
      <c r="G881" s="161"/>
      <c r="H881" s="109"/>
      <c r="I881" s="109"/>
      <c r="J881" s="109"/>
      <c r="K881" s="109"/>
      <c r="L881" s="109"/>
      <c r="M881" s="109"/>
      <c r="N881" s="109"/>
      <c r="O881" s="109"/>
      <c r="P881" s="109"/>
      <c r="Q881" s="109"/>
      <c r="R881" s="109"/>
      <c r="S881" s="109"/>
      <c r="T881" s="109"/>
      <c r="U881" s="109"/>
      <c r="V881" s="109"/>
      <c r="W881" s="109"/>
      <c r="X881" s="109"/>
      <c r="Y881" s="109"/>
      <c r="Z881" s="109"/>
    </row>
    <row r="882" spans="1:26" ht="13.5" customHeight="1">
      <c r="A882" s="109"/>
      <c r="B882" s="109"/>
      <c r="C882" s="109"/>
      <c r="D882" s="109"/>
      <c r="E882" s="109"/>
      <c r="F882" s="109"/>
      <c r="G882" s="161"/>
      <c r="H882" s="109"/>
      <c r="I882" s="109"/>
      <c r="J882" s="109"/>
      <c r="K882" s="109"/>
      <c r="L882" s="109"/>
      <c r="M882" s="109"/>
      <c r="N882" s="109"/>
      <c r="O882" s="109"/>
      <c r="P882" s="109"/>
      <c r="Q882" s="109"/>
      <c r="R882" s="109"/>
      <c r="S882" s="109"/>
      <c r="T882" s="109"/>
      <c r="U882" s="109"/>
      <c r="V882" s="109"/>
      <c r="W882" s="109"/>
      <c r="X882" s="109"/>
      <c r="Y882" s="109"/>
      <c r="Z882" s="109"/>
    </row>
    <row r="883" spans="1:26" ht="13.5" customHeight="1">
      <c r="A883" s="109"/>
      <c r="B883" s="109"/>
      <c r="C883" s="109"/>
      <c r="D883" s="109"/>
      <c r="E883" s="109"/>
      <c r="F883" s="109"/>
      <c r="G883" s="161"/>
      <c r="H883" s="109"/>
      <c r="I883" s="109"/>
      <c r="J883" s="109"/>
      <c r="K883" s="109"/>
      <c r="L883" s="109"/>
      <c r="M883" s="109"/>
      <c r="N883" s="109"/>
      <c r="O883" s="109"/>
      <c r="P883" s="109"/>
      <c r="Q883" s="109"/>
      <c r="R883" s="109"/>
      <c r="S883" s="109"/>
      <c r="T883" s="109"/>
      <c r="U883" s="109"/>
      <c r="V883" s="109"/>
      <c r="W883" s="109"/>
      <c r="X883" s="109"/>
      <c r="Y883" s="109"/>
      <c r="Z883" s="109"/>
    </row>
    <row r="884" spans="1:26" ht="13.5" customHeight="1">
      <c r="A884" s="109"/>
      <c r="B884" s="109"/>
      <c r="C884" s="109"/>
      <c r="D884" s="109"/>
      <c r="E884" s="109"/>
      <c r="F884" s="109"/>
      <c r="G884" s="161"/>
      <c r="H884" s="109"/>
      <c r="I884" s="109"/>
      <c r="J884" s="109"/>
      <c r="K884" s="109"/>
      <c r="L884" s="109"/>
      <c r="M884" s="109"/>
      <c r="N884" s="109"/>
      <c r="O884" s="109"/>
      <c r="P884" s="109"/>
      <c r="Q884" s="109"/>
      <c r="R884" s="109"/>
      <c r="S884" s="109"/>
      <c r="T884" s="109"/>
      <c r="U884" s="109"/>
      <c r="V884" s="109"/>
      <c r="W884" s="109"/>
      <c r="X884" s="109"/>
      <c r="Y884" s="109"/>
      <c r="Z884" s="109"/>
    </row>
    <row r="885" spans="1:26" ht="13.5" customHeight="1">
      <c r="A885" s="109"/>
      <c r="B885" s="109"/>
      <c r="C885" s="109"/>
      <c r="D885" s="109"/>
      <c r="E885" s="109"/>
      <c r="F885" s="109"/>
      <c r="G885" s="161"/>
      <c r="H885" s="109"/>
      <c r="I885" s="109"/>
      <c r="J885" s="109"/>
      <c r="K885" s="109"/>
      <c r="L885" s="109"/>
      <c r="M885" s="109"/>
      <c r="N885" s="109"/>
      <c r="O885" s="109"/>
      <c r="P885" s="109"/>
      <c r="Q885" s="109"/>
      <c r="R885" s="109"/>
      <c r="S885" s="109"/>
      <c r="T885" s="109"/>
      <c r="U885" s="109"/>
      <c r="V885" s="109"/>
      <c r="W885" s="109"/>
      <c r="X885" s="109"/>
      <c r="Y885" s="109"/>
      <c r="Z885" s="109"/>
    </row>
    <row r="886" spans="1:26" ht="13.5" customHeight="1">
      <c r="A886" s="109"/>
      <c r="B886" s="109"/>
      <c r="C886" s="109"/>
      <c r="D886" s="109"/>
      <c r="E886" s="109"/>
      <c r="F886" s="109"/>
      <c r="G886" s="161"/>
      <c r="H886" s="109"/>
      <c r="I886" s="109"/>
      <c r="J886" s="109"/>
      <c r="K886" s="109"/>
      <c r="L886" s="109"/>
      <c r="M886" s="109"/>
      <c r="N886" s="109"/>
      <c r="O886" s="109"/>
      <c r="P886" s="109"/>
      <c r="Q886" s="109"/>
      <c r="R886" s="109"/>
      <c r="S886" s="109"/>
      <c r="T886" s="109"/>
      <c r="U886" s="109"/>
      <c r="V886" s="109"/>
      <c r="W886" s="109"/>
      <c r="X886" s="109"/>
      <c r="Y886" s="109"/>
      <c r="Z886" s="109"/>
    </row>
    <row r="887" spans="1:26" ht="13.5" customHeight="1">
      <c r="A887" s="109"/>
      <c r="B887" s="109"/>
      <c r="C887" s="109"/>
      <c r="D887" s="109"/>
      <c r="E887" s="109"/>
      <c r="F887" s="109"/>
      <c r="G887" s="161"/>
      <c r="H887" s="109"/>
      <c r="I887" s="109"/>
      <c r="J887" s="109"/>
      <c r="K887" s="109"/>
      <c r="L887" s="109"/>
      <c r="M887" s="109"/>
      <c r="N887" s="109"/>
      <c r="O887" s="109"/>
      <c r="P887" s="109"/>
      <c r="Q887" s="109"/>
      <c r="R887" s="109"/>
      <c r="S887" s="109"/>
      <c r="T887" s="109"/>
      <c r="U887" s="109"/>
      <c r="V887" s="109"/>
      <c r="W887" s="109"/>
      <c r="X887" s="109"/>
      <c r="Y887" s="109"/>
      <c r="Z887" s="109"/>
    </row>
    <row r="888" spans="1:26" ht="13.5" customHeight="1">
      <c r="A888" s="109"/>
      <c r="B888" s="109"/>
      <c r="C888" s="109"/>
      <c r="D888" s="109"/>
      <c r="E888" s="109"/>
      <c r="F888" s="109"/>
      <c r="G888" s="161"/>
      <c r="H888" s="109"/>
      <c r="I888" s="109"/>
      <c r="J888" s="109"/>
      <c r="K888" s="109"/>
      <c r="L888" s="109"/>
      <c r="M888" s="109"/>
      <c r="N888" s="109"/>
      <c r="O888" s="109"/>
      <c r="P888" s="109"/>
      <c r="Q888" s="109"/>
      <c r="R888" s="109"/>
      <c r="S888" s="109"/>
      <c r="T888" s="109"/>
      <c r="U888" s="109"/>
      <c r="V888" s="109"/>
      <c r="W888" s="109"/>
      <c r="X888" s="109"/>
      <c r="Y888" s="109"/>
      <c r="Z888" s="109"/>
    </row>
    <row r="889" spans="1:26" ht="13.5" customHeight="1">
      <c r="A889" s="109"/>
      <c r="B889" s="109"/>
      <c r="C889" s="109"/>
      <c r="D889" s="109"/>
      <c r="E889" s="109"/>
      <c r="F889" s="109"/>
      <c r="G889" s="161"/>
      <c r="H889" s="109"/>
      <c r="I889" s="109"/>
      <c r="J889" s="109"/>
      <c r="K889" s="109"/>
      <c r="L889" s="109"/>
      <c r="M889" s="109"/>
      <c r="N889" s="109"/>
      <c r="O889" s="109"/>
      <c r="P889" s="109"/>
      <c r="Q889" s="109"/>
      <c r="R889" s="109"/>
      <c r="S889" s="109"/>
      <c r="T889" s="109"/>
      <c r="U889" s="109"/>
      <c r="V889" s="109"/>
      <c r="W889" s="109"/>
      <c r="X889" s="109"/>
      <c r="Y889" s="109"/>
      <c r="Z889" s="109"/>
    </row>
    <row r="890" spans="1:26" ht="13.5" customHeight="1">
      <c r="A890" s="109"/>
      <c r="B890" s="109"/>
      <c r="C890" s="109"/>
      <c r="D890" s="109"/>
      <c r="E890" s="109"/>
      <c r="F890" s="109"/>
      <c r="G890" s="161"/>
      <c r="H890" s="109"/>
      <c r="I890" s="109"/>
      <c r="J890" s="109"/>
      <c r="K890" s="109"/>
      <c r="L890" s="109"/>
      <c r="M890" s="109"/>
      <c r="N890" s="109"/>
      <c r="O890" s="109"/>
      <c r="P890" s="109"/>
      <c r="Q890" s="109"/>
      <c r="R890" s="109"/>
      <c r="S890" s="109"/>
      <c r="T890" s="109"/>
      <c r="U890" s="109"/>
      <c r="V890" s="109"/>
      <c r="W890" s="109"/>
      <c r="X890" s="109"/>
      <c r="Y890" s="109"/>
      <c r="Z890" s="109"/>
    </row>
    <row r="891" spans="1:26" ht="13.5" customHeight="1">
      <c r="A891" s="109"/>
      <c r="B891" s="109"/>
      <c r="C891" s="109"/>
      <c r="D891" s="109"/>
      <c r="E891" s="109"/>
      <c r="F891" s="109"/>
      <c r="G891" s="161"/>
      <c r="H891" s="109"/>
      <c r="I891" s="109"/>
      <c r="J891" s="109"/>
      <c r="K891" s="109"/>
      <c r="L891" s="109"/>
      <c r="M891" s="109"/>
      <c r="N891" s="109"/>
      <c r="O891" s="109"/>
      <c r="P891" s="109"/>
      <c r="Q891" s="109"/>
      <c r="R891" s="109"/>
      <c r="S891" s="109"/>
      <c r="T891" s="109"/>
      <c r="U891" s="109"/>
      <c r="V891" s="109"/>
      <c r="W891" s="109"/>
      <c r="X891" s="109"/>
      <c r="Y891" s="109"/>
      <c r="Z891" s="109"/>
    </row>
    <row r="892" spans="1:26" ht="13.5" customHeight="1">
      <c r="A892" s="109"/>
      <c r="B892" s="109"/>
      <c r="C892" s="109"/>
      <c r="D892" s="109"/>
      <c r="E892" s="109"/>
      <c r="F892" s="109"/>
      <c r="G892" s="161"/>
      <c r="H892" s="109"/>
      <c r="I892" s="109"/>
      <c r="J892" s="109"/>
      <c r="K892" s="109"/>
      <c r="L892" s="109"/>
      <c r="M892" s="109"/>
      <c r="N892" s="109"/>
      <c r="O892" s="109"/>
      <c r="P892" s="109"/>
      <c r="Q892" s="109"/>
      <c r="R892" s="109"/>
      <c r="S892" s="109"/>
      <c r="T892" s="109"/>
      <c r="U892" s="109"/>
      <c r="V892" s="109"/>
      <c r="W892" s="109"/>
      <c r="X892" s="109"/>
      <c r="Y892" s="109"/>
      <c r="Z892" s="109"/>
    </row>
    <row r="893" spans="1:26" ht="13.5" customHeight="1">
      <c r="A893" s="109"/>
      <c r="B893" s="109"/>
      <c r="C893" s="109"/>
      <c r="D893" s="109"/>
      <c r="E893" s="109"/>
      <c r="F893" s="109"/>
      <c r="G893" s="161"/>
      <c r="H893" s="109"/>
      <c r="I893" s="109"/>
      <c r="J893" s="109"/>
      <c r="K893" s="109"/>
      <c r="L893" s="109"/>
      <c r="M893" s="109"/>
      <c r="N893" s="109"/>
      <c r="O893" s="109"/>
      <c r="P893" s="109"/>
      <c r="Q893" s="109"/>
      <c r="R893" s="109"/>
      <c r="S893" s="109"/>
      <c r="T893" s="109"/>
      <c r="U893" s="109"/>
      <c r="V893" s="109"/>
      <c r="W893" s="109"/>
      <c r="X893" s="109"/>
      <c r="Y893" s="109"/>
      <c r="Z893" s="109"/>
    </row>
    <row r="894" spans="1:26" ht="13.5" customHeight="1">
      <c r="A894" s="109"/>
      <c r="B894" s="109"/>
      <c r="C894" s="109"/>
      <c r="D894" s="109"/>
      <c r="E894" s="109"/>
      <c r="F894" s="109"/>
      <c r="G894" s="161"/>
      <c r="H894" s="109"/>
      <c r="I894" s="109"/>
      <c r="J894" s="109"/>
      <c r="K894" s="109"/>
      <c r="L894" s="109"/>
      <c r="M894" s="109"/>
      <c r="N894" s="109"/>
      <c r="O894" s="109"/>
      <c r="P894" s="109"/>
      <c r="Q894" s="109"/>
      <c r="R894" s="109"/>
      <c r="S894" s="109"/>
      <c r="T894" s="109"/>
      <c r="U894" s="109"/>
      <c r="V894" s="109"/>
      <c r="W894" s="109"/>
      <c r="X894" s="109"/>
      <c r="Y894" s="109"/>
      <c r="Z894" s="109"/>
    </row>
    <row r="895" spans="1:26" ht="13.5" customHeight="1">
      <c r="A895" s="109"/>
      <c r="B895" s="109"/>
      <c r="C895" s="109"/>
      <c r="D895" s="109"/>
      <c r="E895" s="109"/>
      <c r="F895" s="109"/>
      <c r="G895" s="161"/>
      <c r="H895" s="109"/>
      <c r="I895" s="109"/>
      <c r="J895" s="109"/>
      <c r="K895" s="109"/>
      <c r="L895" s="109"/>
      <c r="M895" s="109"/>
      <c r="N895" s="109"/>
      <c r="O895" s="109"/>
      <c r="P895" s="109"/>
      <c r="Q895" s="109"/>
      <c r="R895" s="109"/>
      <c r="S895" s="109"/>
      <c r="T895" s="109"/>
      <c r="U895" s="109"/>
      <c r="V895" s="109"/>
      <c r="W895" s="109"/>
      <c r="X895" s="109"/>
      <c r="Y895" s="109"/>
      <c r="Z895" s="109"/>
    </row>
    <row r="896" spans="1:26" ht="13.5" customHeight="1">
      <c r="A896" s="109"/>
      <c r="B896" s="109"/>
      <c r="C896" s="109"/>
      <c r="D896" s="109"/>
      <c r="E896" s="109"/>
      <c r="F896" s="109"/>
      <c r="G896" s="161"/>
      <c r="H896" s="109"/>
      <c r="I896" s="109"/>
      <c r="J896" s="109"/>
      <c r="K896" s="109"/>
      <c r="L896" s="109"/>
      <c r="M896" s="109"/>
      <c r="N896" s="109"/>
      <c r="O896" s="109"/>
      <c r="P896" s="109"/>
      <c r="Q896" s="109"/>
      <c r="R896" s="109"/>
      <c r="S896" s="109"/>
      <c r="T896" s="109"/>
      <c r="U896" s="109"/>
      <c r="V896" s="109"/>
      <c r="W896" s="109"/>
      <c r="X896" s="109"/>
      <c r="Y896" s="109"/>
      <c r="Z896" s="109"/>
    </row>
    <row r="897" spans="1:26" ht="13.5" customHeight="1">
      <c r="A897" s="109"/>
      <c r="B897" s="109"/>
      <c r="C897" s="109"/>
      <c r="D897" s="109"/>
      <c r="E897" s="109"/>
      <c r="F897" s="109"/>
      <c r="G897" s="161"/>
      <c r="H897" s="109"/>
      <c r="I897" s="109"/>
      <c r="J897" s="109"/>
      <c r="K897" s="109"/>
      <c r="L897" s="109"/>
      <c r="M897" s="109"/>
      <c r="N897" s="109"/>
      <c r="O897" s="109"/>
      <c r="P897" s="109"/>
      <c r="Q897" s="109"/>
      <c r="R897" s="109"/>
      <c r="S897" s="109"/>
      <c r="T897" s="109"/>
      <c r="U897" s="109"/>
      <c r="V897" s="109"/>
      <c r="W897" s="109"/>
      <c r="X897" s="109"/>
      <c r="Y897" s="109"/>
      <c r="Z897" s="109"/>
    </row>
    <row r="898" spans="1:26" ht="13.5" customHeight="1">
      <c r="A898" s="109"/>
      <c r="B898" s="109"/>
      <c r="C898" s="109"/>
      <c r="D898" s="109"/>
      <c r="E898" s="109"/>
      <c r="F898" s="109"/>
      <c r="G898" s="161"/>
      <c r="H898" s="109"/>
      <c r="I898" s="109"/>
      <c r="J898" s="109"/>
      <c r="K898" s="109"/>
      <c r="L898" s="109"/>
      <c r="M898" s="109"/>
      <c r="N898" s="109"/>
      <c r="O898" s="109"/>
      <c r="P898" s="109"/>
      <c r="Q898" s="109"/>
      <c r="R898" s="109"/>
      <c r="S898" s="109"/>
      <c r="T898" s="109"/>
      <c r="U898" s="109"/>
      <c r="V898" s="109"/>
      <c r="W898" s="109"/>
      <c r="X898" s="109"/>
      <c r="Y898" s="109"/>
      <c r="Z898" s="109"/>
    </row>
    <row r="899" spans="1:26" ht="13.5" customHeight="1">
      <c r="A899" s="109"/>
      <c r="B899" s="109"/>
      <c r="C899" s="109"/>
      <c r="D899" s="109"/>
      <c r="E899" s="109"/>
      <c r="F899" s="109"/>
      <c r="G899" s="161"/>
      <c r="H899" s="109"/>
      <c r="I899" s="109"/>
      <c r="J899" s="109"/>
      <c r="K899" s="109"/>
      <c r="L899" s="109"/>
      <c r="M899" s="109"/>
      <c r="N899" s="109"/>
      <c r="O899" s="109"/>
      <c r="P899" s="109"/>
      <c r="Q899" s="109"/>
      <c r="R899" s="109"/>
      <c r="S899" s="109"/>
      <c r="T899" s="109"/>
      <c r="U899" s="109"/>
      <c r="V899" s="109"/>
      <c r="W899" s="109"/>
      <c r="X899" s="109"/>
      <c r="Y899" s="109"/>
      <c r="Z899" s="109"/>
    </row>
    <row r="900" spans="1:26" ht="13.5" customHeight="1">
      <c r="A900" s="109"/>
      <c r="B900" s="109"/>
      <c r="C900" s="109"/>
      <c r="D900" s="109"/>
      <c r="E900" s="109"/>
      <c r="F900" s="109"/>
      <c r="G900" s="161"/>
      <c r="H900" s="109"/>
      <c r="I900" s="109"/>
      <c r="J900" s="109"/>
      <c r="K900" s="109"/>
      <c r="L900" s="109"/>
      <c r="M900" s="109"/>
      <c r="N900" s="109"/>
      <c r="O900" s="109"/>
      <c r="P900" s="109"/>
      <c r="Q900" s="109"/>
      <c r="R900" s="109"/>
      <c r="S900" s="109"/>
      <c r="T900" s="109"/>
      <c r="U900" s="109"/>
      <c r="V900" s="109"/>
      <c r="W900" s="109"/>
      <c r="X900" s="109"/>
      <c r="Y900" s="109"/>
      <c r="Z900" s="109"/>
    </row>
    <row r="901" spans="1:26" ht="13.5" customHeight="1">
      <c r="A901" s="109"/>
      <c r="B901" s="109"/>
      <c r="C901" s="109"/>
      <c r="D901" s="109"/>
      <c r="E901" s="109"/>
      <c r="F901" s="109"/>
      <c r="G901" s="161"/>
      <c r="H901" s="109"/>
      <c r="I901" s="109"/>
      <c r="J901" s="109"/>
      <c r="K901" s="109"/>
      <c r="L901" s="109"/>
      <c r="M901" s="109"/>
      <c r="N901" s="109"/>
      <c r="O901" s="109"/>
      <c r="P901" s="109"/>
      <c r="Q901" s="109"/>
      <c r="R901" s="109"/>
      <c r="S901" s="109"/>
      <c r="T901" s="109"/>
      <c r="U901" s="109"/>
      <c r="V901" s="109"/>
      <c r="W901" s="109"/>
      <c r="X901" s="109"/>
      <c r="Y901" s="109"/>
      <c r="Z901" s="109"/>
    </row>
    <row r="902" spans="1:26" ht="13.5" customHeight="1">
      <c r="A902" s="109"/>
      <c r="B902" s="109"/>
      <c r="C902" s="109"/>
      <c r="D902" s="109"/>
      <c r="E902" s="109"/>
      <c r="F902" s="109"/>
      <c r="G902" s="161"/>
      <c r="H902" s="109"/>
      <c r="I902" s="109"/>
      <c r="J902" s="109"/>
      <c r="K902" s="109"/>
      <c r="L902" s="109"/>
      <c r="M902" s="109"/>
      <c r="N902" s="109"/>
      <c r="O902" s="109"/>
      <c r="P902" s="109"/>
      <c r="Q902" s="109"/>
      <c r="R902" s="109"/>
      <c r="S902" s="109"/>
      <c r="T902" s="109"/>
      <c r="U902" s="109"/>
      <c r="V902" s="109"/>
      <c r="W902" s="109"/>
      <c r="X902" s="109"/>
      <c r="Y902" s="109"/>
      <c r="Z902" s="109"/>
    </row>
    <row r="903" spans="1:26" ht="13.5" customHeight="1">
      <c r="A903" s="109"/>
      <c r="B903" s="109"/>
      <c r="C903" s="109"/>
      <c r="D903" s="109"/>
      <c r="E903" s="109"/>
      <c r="F903" s="109"/>
      <c r="G903" s="161"/>
      <c r="H903" s="109"/>
      <c r="I903" s="109"/>
      <c r="J903" s="109"/>
      <c r="K903" s="109"/>
      <c r="L903" s="109"/>
      <c r="M903" s="109"/>
      <c r="N903" s="109"/>
      <c r="O903" s="109"/>
      <c r="P903" s="109"/>
      <c r="Q903" s="109"/>
      <c r="R903" s="109"/>
      <c r="S903" s="109"/>
      <c r="T903" s="109"/>
      <c r="U903" s="109"/>
      <c r="V903" s="109"/>
      <c r="W903" s="109"/>
      <c r="X903" s="109"/>
      <c r="Y903" s="109"/>
      <c r="Z903" s="109"/>
    </row>
    <row r="904" spans="1:26" ht="13.5" customHeight="1">
      <c r="A904" s="109"/>
      <c r="B904" s="109"/>
      <c r="C904" s="109"/>
      <c r="D904" s="109"/>
      <c r="E904" s="109"/>
      <c r="F904" s="109"/>
      <c r="G904" s="161"/>
      <c r="H904" s="109"/>
      <c r="I904" s="109"/>
      <c r="J904" s="109"/>
      <c r="K904" s="109"/>
      <c r="L904" s="109"/>
      <c r="M904" s="109"/>
      <c r="N904" s="109"/>
      <c r="O904" s="109"/>
      <c r="P904" s="109"/>
      <c r="Q904" s="109"/>
      <c r="R904" s="109"/>
      <c r="S904" s="109"/>
      <c r="T904" s="109"/>
      <c r="U904" s="109"/>
      <c r="V904" s="109"/>
      <c r="W904" s="109"/>
      <c r="X904" s="109"/>
      <c r="Y904" s="109"/>
      <c r="Z904" s="109"/>
    </row>
    <row r="905" spans="1:26" ht="13.5" customHeight="1">
      <c r="A905" s="109"/>
      <c r="B905" s="109"/>
      <c r="C905" s="109"/>
      <c r="D905" s="109"/>
      <c r="E905" s="109"/>
      <c r="F905" s="109"/>
      <c r="G905" s="161"/>
      <c r="H905" s="109"/>
      <c r="I905" s="109"/>
      <c r="J905" s="109"/>
      <c r="K905" s="109"/>
      <c r="L905" s="109"/>
      <c r="M905" s="109"/>
      <c r="N905" s="109"/>
      <c r="O905" s="109"/>
      <c r="P905" s="109"/>
      <c r="Q905" s="109"/>
      <c r="R905" s="109"/>
      <c r="S905" s="109"/>
      <c r="T905" s="109"/>
      <c r="U905" s="109"/>
      <c r="V905" s="109"/>
      <c r="W905" s="109"/>
      <c r="X905" s="109"/>
      <c r="Y905" s="109"/>
      <c r="Z905" s="109"/>
    </row>
    <row r="906" spans="1:26" ht="13.5" customHeight="1">
      <c r="A906" s="109"/>
      <c r="B906" s="109"/>
      <c r="C906" s="109"/>
      <c r="D906" s="109"/>
      <c r="E906" s="109"/>
      <c r="F906" s="109"/>
      <c r="G906" s="161"/>
      <c r="H906" s="109"/>
      <c r="I906" s="109"/>
      <c r="J906" s="109"/>
      <c r="K906" s="109"/>
      <c r="L906" s="109"/>
      <c r="M906" s="109"/>
      <c r="N906" s="109"/>
      <c r="O906" s="109"/>
      <c r="P906" s="109"/>
      <c r="Q906" s="109"/>
      <c r="R906" s="109"/>
      <c r="S906" s="109"/>
      <c r="T906" s="109"/>
      <c r="U906" s="109"/>
      <c r="V906" s="109"/>
      <c r="W906" s="109"/>
      <c r="X906" s="109"/>
      <c r="Y906" s="109"/>
      <c r="Z906" s="109"/>
    </row>
    <row r="907" spans="1:26" ht="13.5" customHeight="1">
      <c r="A907" s="109"/>
      <c r="B907" s="109"/>
      <c r="C907" s="109"/>
      <c r="D907" s="109"/>
      <c r="E907" s="109"/>
      <c r="F907" s="109"/>
      <c r="G907" s="161"/>
      <c r="H907" s="109"/>
      <c r="I907" s="109"/>
      <c r="J907" s="109"/>
      <c r="K907" s="109"/>
      <c r="L907" s="109"/>
      <c r="M907" s="109"/>
      <c r="N907" s="109"/>
      <c r="O907" s="109"/>
      <c r="P907" s="109"/>
      <c r="Q907" s="109"/>
      <c r="R907" s="109"/>
      <c r="S907" s="109"/>
      <c r="T907" s="109"/>
      <c r="U907" s="109"/>
      <c r="V907" s="109"/>
      <c r="W907" s="109"/>
      <c r="X907" s="109"/>
      <c r="Y907" s="109"/>
      <c r="Z907" s="109"/>
    </row>
    <row r="908" spans="1:26" ht="13.5" customHeight="1">
      <c r="A908" s="109"/>
      <c r="B908" s="109"/>
      <c r="C908" s="109"/>
      <c r="D908" s="109"/>
      <c r="E908" s="109"/>
      <c r="F908" s="109"/>
      <c r="G908" s="161"/>
      <c r="H908" s="109"/>
      <c r="I908" s="109"/>
      <c r="J908" s="109"/>
      <c r="K908" s="109"/>
      <c r="L908" s="109"/>
      <c r="M908" s="109"/>
      <c r="N908" s="109"/>
      <c r="O908" s="109"/>
      <c r="P908" s="109"/>
      <c r="Q908" s="109"/>
      <c r="R908" s="109"/>
      <c r="S908" s="109"/>
      <c r="T908" s="109"/>
      <c r="U908" s="109"/>
      <c r="V908" s="109"/>
      <c r="W908" s="109"/>
      <c r="X908" s="109"/>
      <c r="Y908" s="109"/>
      <c r="Z908" s="109"/>
    </row>
    <row r="909" spans="1:26" ht="13.5" customHeight="1">
      <c r="A909" s="109"/>
      <c r="B909" s="109"/>
      <c r="C909" s="109"/>
      <c r="D909" s="109"/>
      <c r="E909" s="109"/>
      <c r="F909" s="109"/>
      <c r="G909" s="161"/>
      <c r="H909" s="109"/>
      <c r="I909" s="109"/>
      <c r="J909" s="109"/>
      <c r="K909" s="109"/>
      <c r="L909" s="109"/>
      <c r="M909" s="109"/>
      <c r="N909" s="109"/>
      <c r="O909" s="109"/>
      <c r="P909" s="109"/>
      <c r="Q909" s="109"/>
      <c r="R909" s="109"/>
      <c r="S909" s="109"/>
      <c r="T909" s="109"/>
      <c r="U909" s="109"/>
      <c r="V909" s="109"/>
      <c r="W909" s="109"/>
      <c r="X909" s="109"/>
      <c r="Y909" s="109"/>
      <c r="Z909" s="109"/>
    </row>
    <row r="910" spans="1:26" ht="13.5" customHeight="1">
      <c r="A910" s="109"/>
      <c r="B910" s="109"/>
      <c r="C910" s="109"/>
      <c r="D910" s="109"/>
      <c r="E910" s="109"/>
      <c r="F910" s="109"/>
      <c r="G910" s="161"/>
      <c r="H910" s="109"/>
      <c r="I910" s="109"/>
      <c r="J910" s="109"/>
      <c r="K910" s="109"/>
      <c r="L910" s="109"/>
      <c r="M910" s="109"/>
      <c r="N910" s="109"/>
      <c r="O910" s="109"/>
      <c r="P910" s="109"/>
      <c r="Q910" s="109"/>
      <c r="R910" s="109"/>
      <c r="S910" s="109"/>
      <c r="T910" s="109"/>
      <c r="U910" s="109"/>
      <c r="V910" s="109"/>
      <c r="W910" s="109"/>
      <c r="X910" s="109"/>
      <c r="Y910" s="109"/>
      <c r="Z910" s="109"/>
    </row>
    <row r="911" spans="1:26" ht="13.5" customHeight="1">
      <c r="A911" s="109"/>
      <c r="B911" s="109"/>
      <c r="C911" s="109"/>
      <c r="D911" s="109"/>
      <c r="E911" s="109"/>
      <c r="F911" s="109"/>
      <c r="G911" s="161"/>
      <c r="H911" s="109"/>
      <c r="I911" s="109"/>
      <c r="J911" s="109"/>
      <c r="K911" s="109"/>
      <c r="L911" s="109"/>
      <c r="M911" s="109"/>
      <c r="N911" s="109"/>
      <c r="O911" s="109"/>
      <c r="P911" s="109"/>
      <c r="Q911" s="109"/>
      <c r="R911" s="109"/>
      <c r="S911" s="109"/>
      <c r="T911" s="109"/>
      <c r="U911" s="109"/>
      <c r="V911" s="109"/>
      <c r="W911" s="109"/>
      <c r="X911" s="109"/>
      <c r="Y911" s="109"/>
      <c r="Z911" s="109"/>
    </row>
    <row r="912" spans="1:26" ht="13.5" customHeight="1">
      <c r="A912" s="109"/>
      <c r="B912" s="109"/>
      <c r="C912" s="109"/>
      <c r="D912" s="109"/>
      <c r="E912" s="109"/>
      <c r="F912" s="109"/>
      <c r="G912" s="161"/>
      <c r="H912" s="109"/>
      <c r="I912" s="109"/>
      <c r="J912" s="109"/>
      <c r="K912" s="109"/>
      <c r="L912" s="109"/>
      <c r="M912" s="109"/>
      <c r="N912" s="109"/>
      <c r="O912" s="109"/>
      <c r="P912" s="109"/>
      <c r="Q912" s="109"/>
      <c r="R912" s="109"/>
      <c r="S912" s="109"/>
      <c r="T912" s="109"/>
      <c r="U912" s="109"/>
      <c r="V912" s="109"/>
      <c r="W912" s="109"/>
      <c r="X912" s="109"/>
      <c r="Y912" s="109"/>
      <c r="Z912" s="109"/>
    </row>
    <row r="913" spans="1:26" ht="13.5" customHeight="1">
      <c r="A913" s="109"/>
      <c r="B913" s="109"/>
      <c r="C913" s="109"/>
      <c r="D913" s="109"/>
      <c r="E913" s="109"/>
      <c r="F913" s="109"/>
      <c r="G913" s="161"/>
      <c r="H913" s="109"/>
      <c r="I913" s="109"/>
      <c r="J913" s="109"/>
      <c r="K913" s="109"/>
      <c r="L913" s="109"/>
      <c r="M913" s="109"/>
      <c r="N913" s="109"/>
      <c r="O913" s="109"/>
      <c r="P913" s="109"/>
      <c r="Q913" s="109"/>
      <c r="R913" s="109"/>
      <c r="S913" s="109"/>
      <c r="T913" s="109"/>
      <c r="U913" s="109"/>
      <c r="V913" s="109"/>
      <c r="W913" s="109"/>
      <c r="X913" s="109"/>
      <c r="Y913" s="109"/>
      <c r="Z913" s="109"/>
    </row>
    <row r="914" spans="1:26" ht="13.5" customHeight="1">
      <c r="A914" s="109"/>
      <c r="B914" s="109"/>
      <c r="C914" s="109"/>
      <c r="D914" s="109"/>
      <c r="E914" s="109"/>
      <c r="F914" s="109"/>
      <c r="G914" s="161"/>
      <c r="H914" s="109"/>
      <c r="I914" s="109"/>
      <c r="J914" s="109"/>
      <c r="K914" s="109"/>
      <c r="L914" s="109"/>
      <c r="M914" s="109"/>
      <c r="N914" s="109"/>
      <c r="O914" s="109"/>
      <c r="P914" s="109"/>
      <c r="Q914" s="109"/>
      <c r="R914" s="109"/>
      <c r="S914" s="109"/>
      <c r="T914" s="109"/>
      <c r="U914" s="109"/>
      <c r="V914" s="109"/>
      <c r="W914" s="109"/>
      <c r="X914" s="109"/>
      <c r="Y914" s="109"/>
      <c r="Z914" s="109"/>
    </row>
    <row r="915" spans="1:26" ht="13.5" customHeight="1">
      <c r="A915" s="109"/>
      <c r="B915" s="109"/>
      <c r="C915" s="109"/>
      <c r="D915" s="109"/>
      <c r="E915" s="109"/>
      <c r="F915" s="109"/>
      <c r="G915" s="161"/>
      <c r="H915" s="109"/>
      <c r="I915" s="109"/>
      <c r="J915" s="109"/>
      <c r="K915" s="109"/>
      <c r="L915" s="109"/>
      <c r="M915" s="109"/>
      <c r="N915" s="109"/>
      <c r="O915" s="109"/>
      <c r="P915" s="109"/>
      <c r="Q915" s="109"/>
      <c r="R915" s="109"/>
      <c r="S915" s="109"/>
      <c r="T915" s="109"/>
      <c r="U915" s="109"/>
      <c r="V915" s="109"/>
      <c r="W915" s="109"/>
      <c r="X915" s="109"/>
      <c r="Y915" s="109"/>
      <c r="Z915" s="109"/>
    </row>
    <row r="916" spans="1:26" ht="13.5" customHeight="1">
      <c r="A916" s="109"/>
      <c r="B916" s="109"/>
      <c r="C916" s="109"/>
      <c r="D916" s="109"/>
      <c r="E916" s="109"/>
      <c r="F916" s="109"/>
      <c r="G916" s="161"/>
      <c r="H916" s="109"/>
      <c r="I916" s="109"/>
      <c r="J916" s="109"/>
      <c r="K916" s="109"/>
      <c r="L916" s="109"/>
      <c r="M916" s="109"/>
      <c r="N916" s="109"/>
      <c r="O916" s="109"/>
      <c r="P916" s="109"/>
      <c r="Q916" s="109"/>
      <c r="R916" s="109"/>
      <c r="S916" s="109"/>
      <c r="T916" s="109"/>
      <c r="U916" s="109"/>
      <c r="V916" s="109"/>
      <c r="W916" s="109"/>
      <c r="X916" s="109"/>
      <c r="Y916" s="109"/>
      <c r="Z916" s="109"/>
    </row>
    <row r="917" spans="1:26" ht="13.5" customHeight="1">
      <c r="A917" s="109"/>
      <c r="B917" s="109"/>
      <c r="C917" s="109"/>
      <c r="D917" s="109"/>
      <c r="E917" s="109"/>
      <c r="F917" s="109"/>
      <c r="G917" s="161"/>
      <c r="H917" s="109"/>
      <c r="I917" s="109"/>
      <c r="J917" s="109"/>
      <c r="K917" s="109"/>
      <c r="L917" s="109"/>
      <c r="M917" s="109"/>
      <c r="N917" s="109"/>
      <c r="O917" s="109"/>
      <c r="P917" s="109"/>
      <c r="Q917" s="109"/>
      <c r="R917" s="109"/>
      <c r="S917" s="109"/>
      <c r="T917" s="109"/>
      <c r="U917" s="109"/>
      <c r="V917" s="109"/>
      <c r="W917" s="109"/>
      <c r="X917" s="109"/>
      <c r="Y917" s="109"/>
      <c r="Z917" s="109"/>
    </row>
    <row r="918" spans="1:26" ht="13.5" customHeight="1">
      <c r="A918" s="109"/>
      <c r="B918" s="109"/>
      <c r="C918" s="109"/>
      <c r="D918" s="109"/>
      <c r="E918" s="109"/>
      <c r="F918" s="109"/>
      <c r="G918" s="161"/>
      <c r="H918" s="109"/>
      <c r="I918" s="109"/>
      <c r="J918" s="109"/>
      <c r="K918" s="109"/>
      <c r="L918" s="109"/>
      <c r="M918" s="109"/>
      <c r="N918" s="109"/>
      <c r="O918" s="109"/>
      <c r="P918" s="109"/>
      <c r="Q918" s="109"/>
      <c r="R918" s="109"/>
      <c r="S918" s="109"/>
      <c r="T918" s="109"/>
      <c r="U918" s="109"/>
      <c r="V918" s="109"/>
      <c r="W918" s="109"/>
      <c r="X918" s="109"/>
      <c r="Y918" s="109"/>
      <c r="Z918" s="109"/>
    </row>
    <row r="919" spans="1:26" ht="13.5" customHeight="1">
      <c r="A919" s="109"/>
      <c r="B919" s="109"/>
      <c r="C919" s="109"/>
      <c r="D919" s="109"/>
      <c r="E919" s="109"/>
      <c r="F919" s="109"/>
      <c r="G919" s="161"/>
      <c r="H919" s="109"/>
      <c r="I919" s="109"/>
      <c r="J919" s="109"/>
      <c r="K919" s="109"/>
      <c r="L919" s="109"/>
      <c r="M919" s="109"/>
      <c r="N919" s="109"/>
      <c r="O919" s="109"/>
      <c r="P919" s="109"/>
      <c r="Q919" s="109"/>
      <c r="R919" s="109"/>
      <c r="S919" s="109"/>
      <c r="T919" s="109"/>
      <c r="U919" s="109"/>
      <c r="V919" s="109"/>
      <c r="W919" s="109"/>
      <c r="X919" s="109"/>
      <c r="Y919" s="109"/>
      <c r="Z919" s="109"/>
    </row>
    <row r="920" spans="1:26" ht="13.5" customHeight="1">
      <c r="A920" s="109"/>
      <c r="B920" s="109"/>
      <c r="C920" s="109"/>
      <c r="D920" s="109"/>
      <c r="E920" s="109"/>
      <c r="F920" s="109"/>
      <c r="G920" s="161"/>
      <c r="H920" s="109"/>
      <c r="I920" s="109"/>
      <c r="J920" s="109"/>
      <c r="K920" s="109"/>
      <c r="L920" s="109"/>
      <c r="M920" s="109"/>
      <c r="N920" s="109"/>
      <c r="O920" s="109"/>
      <c r="P920" s="109"/>
      <c r="Q920" s="109"/>
      <c r="R920" s="109"/>
      <c r="S920" s="109"/>
      <c r="T920" s="109"/>
      <c r="U920" s="109"/>
      <c r="V920" s="109"/>
      <c r="W920" s="109"/>
      <c r="X920" s="109"/>
      <c r="Y920" s="109"/>
      <c r="Z920" s="109"/>
    </row>
    <row r="921" spans="1:26" ht="13.5" customHeight="1">
      <c r="A921" s="109"/>
      <c r="B921" s="109"/>
      <c r="C921" s="109"/>
      <c r="D921" s="109"/>
      <c r="E921" s="109"/>
      <c r="F921" s="109"/>
      <c r="G921" s="161"/>
      <c r="H921" s="109"/>
      <c r="I921" s="109"/>
      <c r="J921" s="109"/>
      <c r="K921" s="109"/>
      <c r="L921" s="109"/>
      <c r="M921" s="109"/>
      <c r="N921" s="109"/>
      <c r="O921" s="109"/>
      <c r="P921" s="109"/>
      <c r="Q921" s="109"/>
      <c r="R921" s="109"/>
      <c r="S921" s="109"/>
      <c r="T921" s="109"/>
      <c r="U921" s="109"/>
      <c r="V921" s="109"/>
      <c r="W921" s="109"/>
      <c r="X921" s="109"/>
      <c r="Y921" s="109"/>
      <c r="Z921" s="109"/>
    </row>
    <row r="922" spans="1:26" ht="13.5" customHeight="1">
      <c r="A922" s="109"/>
      <c r="B922" s="109"/>
      <c r="C922" s="109"/>
      <c r="D922" s="109"/>
      <c r="E922" s="109"/>
      <c r="F922" s="109"/>
      <c r="G922" s="161"/>
      <c r="H922" s="109"/>
      <c r="I922" s="109"/>
      <c r="J922" s="109"/>
      <c r="K922" s="109"/>
      <c r="L922" s="109"/>
      <c r="M922" s="109"/>
      <c r="N922" s="109"/>
      <c r="O922" s="109"/>
      <c r="P922" s="109"/>
      <c r="Q922" s="109"/>
      <c r="R922" s="109"/>
      <c r="S922" s="109"/>
      <c r="T922" s="109"/>
      <c r="U922" s="109"/>
      <c r="V922" s="109"/>
      <c r="W922" s="109"/>
      <c r="X922" s="109"/>
      <c r="Y922" s="109"/>
      <c r="Z922" s="109"/>
    </row>
    <row r="923" spans="1:26" ht="13.5" customHeight="1">
      <c r="A923" s="109"/>
      <c r="B923" s="109"/>
      <c r="C923" s="109"/>
      <c r="D923" s="109"/>
      <c r="E923" s="109"/>
      <c r="F923" s="109"/>
      <c r="G923" s="161"/>
      <c r="H923" s="109"/>
      <c r="I923" s="109"/>
      <c r="J923" s="109"/>
      <c r="K923" s="109"/>
      <c r="L923" s="109"/>
      <c r="M923" s="109"/>
      <c r="N923" s="109"/>
      <c r="O923" s="109"/>
      <c r="P923" s="109"/>
      <c r="Q923" s="109"/>
      <c r="R923" s="109"/>
      <c r="S923" s="109"/>
      <c r="T923" s="109"/>
      <c r="U923" s="109"/>
      <c r="V923" s="109"/>
      <c r="W923" s="109"/>
      <c r="X923" s="109"/>
      <c r="Y923" s="109"/>
      <c r="Z923" s="109"/>
    </row>
    <row r="924" spans="1:26" ht="13.5" customHeight="1">
      <c r="A924" s="109"/>
      <c r="B924" s="109"/>
      <c r="C924" s="109"/>
      <c r="D924" s="109"/>
      <c r="E924" s="109"/>
      <c r="F924" s="109"/>
      <c r="G924" s="161"/>
      <c r="H924" s="109"/>
      <c r="I924" s="109"/>
      <c r="J924" s="109"/>
      <c r="K924" s="109"/>
      <c r="L924" s="109"/>
      <c r="M924" s="109"/>
      <c r="N924" s="109"/>
      <c r="O924" s="109"/>
      <c r="P924" s="109"/>
      <c r="Q924" s="109"/>
      <c r="R924" s="109"/>
      <c r="S924" s="109"/>
      <c r="T924" s="109"/>
      <c r="U924" s="109"/>
      <c r="V924" s="109"/>
      <c r="W924" s="109"/>
      <c r="X924" s="109"/>
      <c r="Y924" s="109"/>
      <c r="Z924" s="109"/>
    </row>
    <row r="925" spans="1:26" ht="13.5" customHeight="1">
      <c r="A925" s="109"/>
      <c r="B925" s="109"/>
      <c r="C925" s="109"/>
      <c r="D925" s="109"/>
      <c r="E925" s="109"/>
      <c r="F925" s="109"/>
      <c r="G925" s="161"/>
      <c r="H925" s="109"/>
      <c r="I925" s="109"/>
      <c r="J925" s="109"/>
      <c r="K925" s="109"/>
      <c r="L925" s="109"/>
      <c r="M925" s="109"/>
      <c r="N925" s="109"/>
      <c r="O925" s="109"/>
      <c r="P925" s="109"/>
      <c r="Q925" s="109"/>
      <c r="R925" s="109"/>
      <c r="S925" s="109"/>
      <c r="T925" s="109"/>
      <c r="U925" s="109"/>
      <c r="V925" s="109"/>
      <c r="W925" s="109"/>
      <c r="X925" s="109"/>
      <c r="Y925" s="109"/>
      <c r="Z925" s="109"/>
    </row>
    <row r="926" spans="1:26" ht="13.5" customHeight="1">
      <c r="A926" s="109"/>
      <c r="B926" s="109"/>
      <c r="C926" s="109"/>
      <c r="D926" s="109"/>
      <c r="E926" s="109"/>
      <c r="F926" s="109"/>
      <c r="G926" s="161"/>
      <c r="H926" s="109"/>
      <c r="I926" s="109"/>
      <c r="J926" s="109"/>
      <c r="K926" s="109"/>
      <c r="L926" s="109"/>
      <c r="M926" s="109"/>
      <c r="N926" s="109"/>
      <c r="O926" s="109"/>
      <c r="P926" s="109"/>
      <c r="Q926" s="109"/>
      <c r="R926" s="109"/>
      <c r="S926" s="109"/>
      <c r="T926" s="109"/>
      <c r="U926" s="109"/>
      <c r="V926" s="109"/>
      <c r="W926" s="109"/>
      <c r="X926" s="109"/>
      <c r="Y926" s="109"/>
      <c r="Z926" s="109"/>
    </row>
    <row r="927" spans="1:26" ht="13.5" customHeight="1">
      <c r="A927" s="109"/>
      <c r="B927" s="109"/>
      <c r="C927" s="109"/>
      <c r="D927" s="109"/>
      <c r="E927" s="109"/>
      <c r="F927" s="109"/>
      <c r="G927" s="161"/>
      <c r="H927" s="109"/>
      <c r="I927" s="109"/>
      <c r="J927" s="109"/>
      <c r="K927" s="109"/>
      <c r="L927" s="109"/>
      <c r="M927" s="109"/>
      <c r="N927" s="109"/>
      <c r="O927" s="109"/>
      <c r="P927" s="109"/>
      <c r="Q927" s="109"/>
      <c r="R927" s="109"/>
      <c r="S927" s="109"/>
      <c r="T927" s="109"/>
      <c r="U927" s="109"/>
      <c r="V927" s="109"/>
      <c r="W927" s="109"/>
      <c r="X927" s="109"/>
      <c r="Y927" s="109"/>
      <c r="Z927" s="109"/>
    </row>
    <row r="928" spans="1:26" ht="13.5" customHeight="1">
      <c r="A928" s="109"/>
      <c r="B928" s="109"/>
      <c r="C928" s="109"/>
      <c r="D928" s="109"/>
      <c r="E928" s="109"/>
      <c r="F928" s="109"/>
      <c r="G928" s="161"/>
      <c r="H928" s="109"/>
      <c r="I928" s="109"/>
      <c r="J928" s="109"/>
      <c r="K928" s="109"/>
      <c r="L928" s="109"/>
      <c r="M928" s="109"/>
      <c r="N928" s="109"/>
      <c r="O928" s="109"/>
      <c r="P928" s="109"/>
      <c r="Q928" s="109"/>
      <c r="R928" s="109"/>
      <c r="S928" s="109"/>
      <c r="T928" s="109"/>
      <c r="U928" s="109"/>
      <c r="V928" s="109"/>
      <c r="W928" s="109"/>
      <c r="X928" s="109"/>
      <c r="Y928" s="109"/>
      <c r="Z928" s="109"/>
    </row>
    <row r="929" spans="1:26" ht="13.5" customHeight="1">
      <c r="A929" s="109"/>
      <c r="B929" s="109"/>
      <c r="C929" s="109"/>
      <c r="D929" s="109"/>
      <c r="E929" s="109"/>
      <c r="F929" s="109"/>
      <c r="G929" s="161"/>
      <c r="H929" s="109"/>
      <c r="I929" s="109"/>
      <c r="J929" s="109"/>
      <c r="K929" s="109"/>
      <c r="L929" s="109"/>
      <c r="M929" s="109"/>
      <c r="N929" s="109"/>
      <c r="O929" s="109"/>
      <c r="P929" s="109"/>
      <c r="Q929" s="109"/>
      <c r="R929" s="109"/>
      <c r="S929" s="109"/>
      <c r="T929" s="109"/>
      <c r="U929" s="109"/>
      <c r="V929" s="109"/>
      <c r="W929" s="109"/>
      <c r="X929" s="109"/>
      <c r="Y929" s="109"/>
      <c r="Z929" s="109"/>
    </row>
    <row r="930" spans="1:26" ht="13.5" customHeight="1">
      <c r="A930" s="109"/>
      <c r="B930" s="109"/>
      <c r="C930" s="109"/>
      <c r="D930" s="109"/>
      <c r="E930" s="109"/>
      <c r="F930" s="109"/>
      <c r="G930" s="161"/>
      <c r="H930" s="109"/>
      <c r="I930" s="109"/>
      <c r="J930" s="109"/>
      <c r="K930" s="109"/>
      <c r="L930" s="109"/>
      <c r="M930" s="109"/>
      <c r="N930" s="109"/>
      <c r="O930" s="109"/>
      <c r="P930" s="109"/>
      <c r="Q930" s="109"/>
      <c r="R930" s="109"/>
      <c r="S930" s="109"/>
      <c r="T930" s="109"/>
      <c r="U930" s="109"/>
      <c r="V930" s="109"/>
      <c r="W930" s="109"/>
      <c r="X930" s="109"/>
      <c r="Y930" s="109"/>
      <c r="Z930" s="109"/>
    </row>
    <row r="931" spans="1:26" ht="13.5" customHeight="1">
      <c r="A931" s="109"/>
      <c r="B931" s="109"/>
      <c r="C931" s="109"/>
      <c r="D931" s="109"/>
      <c r="E931" s="109"/>
      <c r="F931" s="109"/>
      <c r="G931" s="161"/>
      <c r="H931" s="109"/>
      <c r="I931" s="109"/>
      <c r="J931" s="109"/>
      <c r="K931" s="109"/>
      <c r="L931" s="109"/>
      <c r="M931" s="109"/>
      <c r="N931" s="109"/>
      <c r="O931" s="109"/>
      <c r="P931" s="109"/>
      <c r="Q931" s="109"/>
      <c r="R931" s="109"/>
      <c r="S931" s="109"/>
      <c r="T931" s="109"/>
      <c r="U931" s="109"/>
      <c r="V931" s="109"/>
      <c r="W931" s="109"/>
      <c r="X931" s="109"/>
      <c r="Y931" s="109"/>
      <c r="Z931" s="109"/>
    </row>
    <row r="932" spans="1:26" ht="13.5" customHeight="1">
      <c r="A932" s="109"/>
      <c r="B932" s="109"/>
      <c r="C932" s="109"/>
      <c r="D932" s="109"/>
      <c r="E932" s="109"/>
      <c r="F932" s="109"/>
      <c r="G932" s="161"/>
      <c r="H932" s="109"/>
      <c r="I932" s="109"/>
      <c r="J932" s="109"/>
      <c r="K932" s="109"/>
      <c r="L932" s="109"/>
      <c r="M932" s="109"/>
      <c r="N932" s="109"/>
      <c r="O932" s="109"/>
      <c r="P932" s="109"/>
      <c r="Q932" s="109"/>
      <c r="R932" s="109"/>
      <c r="S932" s="109"/>
      <c r="T932" s="109"/>
      <c r="U932" s="109"/>
      <c r="V932" s="109"/>
      <c r="W932" s="109"/>
      <c r="X932" s="109"/>
      <c r="Y932" s="109"/>
      <c r="Z932" s="109"/>
    </row>
    <row r="933" spans="1:26" ht="13.5" customHeight="1">
      <c r="A933" s="109"/>
      <c r="B933" s="109"/>
      <c r="C933" s="109"/>
      <c r="D933" s="109"/>
      <c r="E933" s="109"/>
      <c r="F933" s="109"/>
      <c r="G933" s="161"/>
      <c r="H933" s="109"/>
      <c r="I933" s="109"/>
      <c r="J933" s="109"/>
      <c r="K933" s="109"/>
      <c r="L933" s="109"/>
      <c r="M933" s="109"/>
      <c r="N933" s="109"/>
      <c r="O933" s="109"/>
      <c r="P933" s="109"/>
      <c r="Q933" s="109"/>
      <c r="R933" s="109"/>
      <c r="S933" s="109"/>
      <c r="T933" s="109"/>
      <c r="U933" s="109"/>
      <c r="V933" s="109"/>
      <c r="W933" s="109"/>
      <c r="X933" s="109"/>
      <c r="Y933" s="109"/>
      <c r="Z933" s="109"/>
    </row>
    <row r="934" spans="1:26" ht="13.5" customHeight="1">
      <c r="A934" s="109"/>
      <c r="B934" s="109"/>
      <c r="C934" s="109"/>
      <c r="D934" s="109"/>
      <c r="E934" s="109"/>
      <c r="F934" s="109"/>
      <c r="G934" s="161"/>
      <c r="H934" s="109"/>
      <c r="I934" s="109"/>
      <c r="J934" s="109"/>
      <c r="K934" s="109"/>
      <c r="L934" s="109"/>
      <c r="M934" s="109"/>
      <c r="N934" s="109"/>
      <c r="O934" s="109"/>
      <c r="P934" s="109"/>
      <c r="Q934" s="109"/>
      <c r="R934" s="109"/>
      <c r="S934" s="109"/>
      <c r="T934" s="109"/>
      <c r="U934" s="109"/>
      <c r="V934" s="109"/>
      <c r="W934" s="109"/>
      <c r="X934" s="109"/>
      <c r="Y934" s="109"/>
      <c r="Z934" s="109"/>
    </row>
    <row r="935" spans="1:26" ht="13.5" customHeight="1">
      <c r="A935" s="109"/>
      <c r="B935" s="109"/>
      <c r="C935" s="109"/>
      <c r="D935" s="109"/>
      <c r="E935" s="109"/>
      <c r="F935" s="109"/>
      <c r="G935" s="161"/>
      <c r="H935" s="109"/>
      <c r="I935" s="109"/>
      <c r="J935" s="109"/>
      <c r="K935" s="109"/>
      <c r="L935" s="109"/>
      <c r="M935" s="109"/>
      <c r="N935" s="109"/>
      <c r="O935" s="109"/>
      <c r="P935" s="109"/>
      <c r="Q935" s="109"/>
      <c r="R935" s="109"/>
      <c r="S935" s="109"/>
      <c r="T935" s="109"/>
      <c r="U935" s="109"/>
      <c r="V935" s="109"/>
      <c r="W935" s="109"/>
      <c r="X935" s="109"/>
      <c r="Y935" s="109"/>
      <c r="Z935" s="109"/>
    </row>
    <row r="936" spans="1:26" ht="13.5" customHeight="1">
      <c r="A936" s="109"/>
      <c r="B936" s="109"/>
      <c r="C936" s="109"/>
      <c r="D936" s="109"/>
      <c r="E936" s="109"/>
      <c r="F936" s="109"/>
      <c r="G936" s="161"/>
      <c r="H936" s="109"/>
      <c r="I936" s="109"/>
      <c r="J936" s="109"/>
      <c r="K936" s="109"/>
      <c r="L936" s="109"/>
      <c r="M936" s="109"/>
      <c r="N936" s="109"/>
      <c r="O936" s="109"/>
      <c r="P936" s="109"/>
      <c r="Q936" s="109"/>
      <c r="R936" s="109"/>
      <c r="S936" s="109"/>
      <c r="T936" s="109"/>
      <c r="U936" s="109"/>
      <c r="V936" s="109"/>
      <c r="W936" s="109"/>
      <c r="X936" s="109"/>
      <c r="Y936" s="109"/>
      <c r="Z936" s="109"/>
    </row>
    <row r="937" spans="1:26" ht="13.5" customHeight="1">
      <c r="A937" s="109"/>
      <c r="B937" s="109"/>
      <c r="C937" s="109"/>
      <c r="D937" s="109"/>
      <c r="E937" s="109"/>
      <c r="F937" s="109"/>
      <c r="G937" s="161"/>
      <c r="H937" s="109"/>
      <c r="I937" s="109"/>
      <c r="J937" s="109"/>
      <c r="K937" s="109"/>
      <c r="L937" s="109"/>
      <c r="M937" s="109"/>
      <c r="N937" s="109"/>
      <c r="O937" s="109"/>
      <c r="P937" s="109"/>
      <c r="Q937" s="109"/>
      <c r="R937" s="109"/>
      <c r="S937" s="109"/>
      <c r="T937" s="109"/>
      <c r="U937" s="109"/>
      <c r="V937" s="109"/>
      <c r="W937" s="109"/>
      <c r="X937" s="109"/>
      <c r="Y937" s="109"/>
      <c r="Z937" s="109"/>
    </row>
    <row r="938" spans="1:26" ht="13.5" customHeight="1">
      <c r="A938" s="109"/>
      <c r="B938" s="109"/>
      <c r="C938" s="109"/>
      <c r="D938" s="109"/>
      <c r="E938" s="109"/>
      <c r="F938" s="109"/>
      <c r="G938" s="161"/>
      <c r="H938" s="109"/>
      <c r="I938" s="109"/>
      <c r="J938" s="109"/>
      <c r="K938" s="109"/>
      <c r="L938" s="109"/>
      <c r="M938" s="109"/>
      <c r="N938" s="109"/>
      <c r="O938" s="109"/>
      <c r="P938" s="109"/>
      <c r="Q938" s="109"/>
      <c r="R938" s="109"/>
      <c r="S938" s="109"/>
      <c r="T938" s="109"/>
      <c r="U938" s="109"/>
      <c r="V938" s="109"/>
      <c r="W938" s="109"/>
      <c r="X938" s="109"/>
      <c r="Y938" s="109"/>
      <c r="Z938" s="109"/>
    </row>
    <row r="939" spans="1:26" ht="13.5" customHeight="1">
      <c r="A939" s="109"/>
      <c r="B939" s="109"/>
      <c r="C939" s="109"/>
      <c r="D939" s="109"/>
      <c r="E939" s="109"/>
      <c r="F939" s="109"/>
      <c r="G939" s="161"/>
      <c r="H939" s="109"/>
      <c r="I939" s="109"/>
      <c r="J939" s="109"/>
      <c r="K939" s="109"/>
      <c r="L939" s="109"/>
      <c r="M939" s="109"/>
      <c r="N939" s="109"/>
      <c r="O939" s="109"/>
      <c r="P939" s="109"/>
      <c r="Q939" s="109"/>
      <c r="R939" s="109"/>
      <c r="S939" s="109"/>
      <c r="T939" s="109"/>
      <c r="U939" s="109"/>
      <c r="V939" s="109"/>
      <c r="W939" s="109"/>
      <c r="X939" s="109"/>
      <c r="Y939" s="109"/>
      <c r="Z939" s="109"/>
    </row>
    <row r="940" spans="1:26" ht="13.5" customHeight="1">
      <c r="A940" s="109"/>
      <c r="B940" s="109"/>
      <c r="C940" s="109"/>
      <c r="D940" s="109"/>
      <c r="E940" s="109"/>
      <c r="F940" s="109"/>
      <c r="G940" s="161"/>
      <c r="H940" s="109"/>
      <c r="I940" s="109"/>
      <c r="J940" s="109"/>
      <c r="K940" s="109"/>
      <c r="L940" s="109"/>
      <c r="M940" s="109"/>
      <c r="N940" s="109"/>
      <c r="O940" s="109"/>
      <c r="P940" s="109"/>
      <c r="Q940" s="109"/>
      <c r="R940" s="109"/>
      <c r="S940" s="109"/>
      <c r="T940" s="109"/>
      <c r="U940" s="109"/>
      <c r="V940" s="109"/>
      <c r="W940" s="109"/>
      <c r="X940" s="109"/>
      <c r="Y940" s="109"/>
      <c r="Z940" s="109"/>
    </row>
    <row r="941" spans="1:26" ht="13.5" customHeight="1">
      <c r="A941" s="109"/>
      <c r="B941" s="109"/>
      <c r="C941" s="109"/>
      <c r="D941" s="109"/>
      <c r="E941" s="109"/>
      <c r="F941" s="109"/>
      <c r="G941" s="161"/>
      <c r="H941" s="109"/>
      <c r="I941" s="109"/>
      <c r="J941" s="109"/>
      <c r="K941" s="109"/>
      <c r="L941" s="109"/>
      <c r="M941" s="109"/>
      <c r="N941" s="109"/>
      <c r="O941" s="109"/>
      <c r="P941" s="109"/>
      <c r="Q941" s="109"/>
      <c r="R941" s="109"/>
      <c r="S941" s="109"/>
      <c r="T941" s="109"/>
      <c r="U941" s="109"/>
      <c r="V941" s="109"/>
      <c r="W941" s="109"/>
      <c r="X941" s="109"/>
      <c r="Y941" s="109"/>
      <c r="Z941" s="109"/>
    </row>
    <row r="942" spans="1:26" ht="13.5" customHeight="1">
      <c r="A942" s="109"/>
      <c r="B942" s="109"/>
      <c r="C942" s="109"/>
      <c r="D942" s="109"/>
      <c r="E942" s="109"/>
      <c r="F942" s="109"/>
      <c r="G942" s="161"/>
      <c r="H942" s="109"/>
      <c r="I942" s="109"/>
      <c r="J942" s="109"/>
      <c r="K942" s="109"/>
      <c r="L942" s="109"/>
      <c r="M942" s="109"/>
      <c r="N942" s="109"/>
      <c r="O942" s="109"/>
      <c r="P942" s="109"/>
      <c r="Q942" s="109"/>
      <c r="R942" s="109"/>
      <c r="S942" s="109"/>
      <c r="T942" s="109"/>
      <c r="U942" s="109"/>
      <c r="V942" s="109"/>
      <c r="W942" s="109"/>
      <c r="X942" s="109"/>
      <c r="Y942" s="109"/>
      <c r="Z942" s="109"/>
    </row>
    <row r="943" spans="1:26" ht="13.5" customHeight="1">
      <c r="A943" s="109"/>
      <c r="B943" s="109"/>
      <c r="C943" s="109"/>
      <c r="D943" s="109"/>
      <c r="E943" s="109"/>
      <c r="F943" s="109"/>
      <c r="G943" s="161"/>
      <c r="H943" s="109"/>
      <c r="I943" s="109"/>
      <c r="J943" s="109"/>
      <c r="K943" s="109"/>
      <c r="L943" s="109"/>
      <c r="M943" s="109"/>
      <c r="N943" s="109"/>
      <c r="O943" s="109"/>
      <c r="P943" s="109"/>
      <c r="Q943" s="109"/>
      <c r="R943" s="109"/>
      <c r="S943" s="109"/>
      <c r="T943" s="109"/>
      <c r="U943" s="109"/>
      <c r="V943" s="109"/>
      <c r="W943" s="109"/>
      <c r="X943" s="109"/>
      <c r="Y943" s="109"/>
      <c r="Z943" s="109"/>
    </row>
    <row r="944" spans="1:26" ht="13.5" customHeight="1">
      <c r="A944" s="109"/>
      <c r="B944" s="109"/>
      <c r="C944" s="109"/>
      <c r="D944" s="109"/>
      <c r="E944" s="109"/>
      <c r="F944" s="109"/>
      <c r="G944" s="161"/>
      <c r="H944" s="109"/>
      <c r="I944" s="109"/>
      <c r="J944" s="109"/>
      <c r="K944" s="109"/>
      <c r="L944" s="109"/>
      <c r="M944" s="109"/>
      <c r="N944" s="109"/>
      <c r="O944" s="109"/>
      <c r="P944" s="109"/>
      <c r="Q944" s="109"/>
      <c r="R944" s="109"/>
      <c r="S944" s="109"/>
      <c r="T944" s="109"/>
      <c r="U944" s="109"/>
      <c r="V944" s="109"/>
      <c r="W944" s="109"/>
      <c r="X944" s="109"/>
      <c r="Y944" s="109"/>
      <c r="Z944" s="109"/>
    </row>
    <row r="945" spans="1:26" ht="13.5" customHeight="1">
      <c r="A945" s="109"/>
      <c r="B945" s="109"/>
      <c r="C945" s="109"/>
      <c r="D945" s="109"/>
      <c r="E945" s="109"/>
      <c r="F945" s="109"/>
      <c r="G945" s="161"/>
      <c r="H945" s="109"/>
      <c r="I945" s="109"/>
      <c r="J945" s="109"/>
      <c r="K945" s="109"/>
      <c r="L945" s="109"/>
      <c r="M945" s="109"/>
      <c r="N945" s="109"/>
      <c r="O945" s="109"/>
      <c r="P945" s="109"/>
      <c r="Q945" s="109"/>
      <c r="R945" s="109"/>
      <c r="S945" s="109"/>
      <c r="T945" s="109"/>
      <c r="U945" s="109"/>
      <c r="V945" s="109"/>
      <c r="W945" s="109"/>
      <c r="X945" s="109"/>
      <c r="Y945" s="109"/>
      <c r="Z945" s="109"/>
    </row>
    <row r="946" spans="1:26" ht="13.5" customHeight="1">
      <c r="A946" s="109"/>
      <c r="B946" s="109"/>
      <c r="C946" s="109"/>
      <c r="D946" s="109"/>
      <c r="E946" s="109"/>
      <c r="F946" s="109"/>
      <c r="G946" s="161"/>
      <c r="H946" s="109"/>
      <c r="I946" s="109"/>
      <c r="J946" s="109"/>
      <c r="K946" s="109"/>
      <c r="L946" s="109"/>
      <c r="M946" s="109"/>
      <c r="N946" s="109"/>
      <c r="O946" s="109"/>
      <c r="P946" s="109"/>
      <c r="Q946" s="109"/>
      <c r="R946" s="109"/>
      <c r="S946" s="109"/>
      <c r="T946" s="109"/>
      <c r="U946" s="109"/>
      <c r="V946" s="109"/>
      <c r="W946" s="109"/>
      <c r="X946" s="109"/>
      <c r="Y946" s="109"/>
      <c r="Z946" s="109"/>
    </row>
    <row r="947" spans="1:26" ht="13.5" customHeight="1">
      <c r="A947" s="109"/>
      <c r="B947" s="109"/>
      <c r="C947" s="109"/>
      <c r="D947" s="109"/>
      <c r="E947" s="109"/>
      <c r="F947" s="109"/>
      <c r="G947" s="161"/>
      <c r="H947" s="109"/>
      <c r="I947" s="109"/>
      <c r="J947" s="109"/>
      <c r="K947" s="109"/>
      <c r="L947" s="109"/>
      <c r="M947" s="109"/>
      <c r="N947" s="109"/>
      <c r="O947" s="109"/>
      <c r="P947" s="109"/>
      <c r="Q947" s="109"/>
      <c r="R947" s="109"/>
      <c r="S947" s="109"/>
      <c r="T947" s="109"/>
      <c r="U947" s="109"/>
      <c r="V947" s="109"/>
      <c r="W947" s="109"/>
      <c r="X947" s="109"/>
      <c r="Y947" s="109"/>
      <c r="Z947" s="109"/>
    </row>
    <row r="948" spans="1:26" ht="13.5" customHeight="1">
      <c r="A948" s="109"/>
      <c r="B948" s="109"/>
      <c r="C948" s="109"/>
      <c r="D948" s="109"/>
      <c r="E948" s="109"/>
      <c r="F948" s="109"/>
      <c r="G948" s="161"/>
      <c r="H948" s="109"/>
      <c r="I948" s="109"/>
      <c r="J948" s="109"/>
      <c r="K948" s="109"/>
      <c r="L948" s="109"/>
      <c r="M948" s="109"/>
      <c r="N948" s="109"/>
      <c r="O948" s="109"/>
      <c r="P948" s="109"/>
      <c r="Q948" s="109"/>
      <c r="R948" s="109"/>
      <c r="S948" s="109"/>
      <c r="T948" s="109"/>
      <c r="U948" s="109"/>
      <c r="V948" s="109"/>
      <c r="W948" s="109"/>
      <c r="X948" s="109"/>
      <c r="Y948" s="109"/>
      <c r="Z948" s="109"/>
    </row>
    <row r="949" spans="1:26" ht="13.5" customHeight="1">
      <c r="A949" s="109"/>
      <c r="B949" s="109"/>
      <c r="C949" s="109"/>
      <c r="D949" s="109"/>
      <c r="E949" s="109"/>
      <c r="F949" s="109"/>
      <c r="G949" s="161"/>
      <c r="H949" s="109"/>
      <c r="I949" s="109"/>
      <c r="J949" s="109"/>
      <c r="K949" s="109"/>
      <c r="L949" s="109"/>
      <c r="M949" s="109"/>
      <c r="N949" s="109"/>
      <c r="O949" s="109"/>
      <c r="P949" s="109"/>
      <c r="Q949" s="109"/>
      <c r="R949" s="109"/>
      <c r="S949" s="109"/>
      <c r="T949" s="109"/>
      <c r="U949" s="109"/>
      <c r="V949" s="109"/>
      <c r="W949" s="109"/>
      <c r="X949" s="109"/>
      <c r="Y949" s="109"/>
      <c r="Z949" s="109"/>
    </row>
    <row r="950" spans="1:26" ht="13.5" customHeight="1">
      <c r="A950" s="109"/>
      <c r="B950" s="109"/>
      <c r="C950" s="109"/>
      <c r="D950" s="109"/>
      <c r="E950" s="109"/>
      <c r="F950" s="109"/>
      <c r="G950" s="161"/>
      <c r="H950" s="109"/>
      <c r="I950" s="109"/>
      <c r="J950" s="109"/>
      <c r="K950" s="109"/>
      <c r="L950" s="109"/>
      <c r="M950" s="109"/>
      <c r="N950" s="109"/>
      <c r="O950" s="109"/>
      <c r="P950" s="109"/>
      <c r="Q950" s="109"/>
      <c r="R950" s="109"/>
      <c r="S950" s="109"/>
      <c r="T950" s="109"/>
      <c r="U950" s="109"/>
      <c r="V950" s="109"/>
      <c r="W950" s="109"/>
      <c r="X950" s="109"/>
      <c r="Y950" s="109"/>
      <c r="Z950" s="109"/>
    </row>
    <row r="951" spans="1:26" ht="13.5" customHeight="1">
      <c r="A951" s="109"/>
      <c r="B951" s="109"/>
      <c r="C951" s="109"/>
      <c r="D951" s="109"/>
      <c r="E951" s="109"/>
      <c r="F951" s="109"/>
      <c r="G951" s="161"/>
      <c r="H951" s="109"/>
      <c r="I951" s="109"/>
      <c r="J951" s="109"/>
      <c r="K951" s="109"/>
      <c r="L951" s="109"/>
      <c r="M951" s="109"/>
      <c r="N951" s="109"/>
      <c r="O951" s="109"/>
      <c r="P951" s="109"/>
      <c r="Q951" s="109"/>
      <c r="R951" s="109"/>
      <c r="S951" s="109"/>
      <c r="T951" s="109"/>
      <c r="U951" s="109"/>
      <c r="V951" s="109"/>
      <c r="W951" s="109"/>
      <c r="X951" s="109"/>
      <c r="Y951" s="109"/>
      <c r="Z951" s="109"/>
    </row>
    <row r="952" spans="1:26" ht="13.5" customHeight="1">
      <c r="A952" s="109"/>
      <c r="B952" s="109"/>
      <c r="C952" s="109"/>
      <c r="D952" s="109"/>
      <c r="E952" s="109"/>
      <c r="F952" s="109"/>
      <c r="G952" s="161"/>
      <c r="H952" s="109"/>
      <c r="I952" s="109"/>
      <c r="J952" s="109"/>
      <c r="K952" s="109"/>
      <c r="L952" s="109"/>
      <c r="M952" s="109"/>
      <c r="N952" s="109"/>
      <c r="O952" s="109"/>
      <c r="P952" s="109"/>
      <c r="Q952" s="109"/>
      <c r="R952" s="109"/>
      <c r="S952" s="109"/>
      <c r="T952" s="109"/>
      <c r="U952" s="109"/>
      <c r="V952" s="109"/>
      <c r="W952" s="109"/>
      <c r="X952" s="109"/>
      <c r="Y952" s="109"/>
      <c r="Z952" s="109"/>
    </row>
    <row r="953" spans="1:26" ht="13.5" customHeight="1">
      <c r="A953" s="109"/>
      <c r="B953" s="109"/>
      <c r="C953" s="109"/>
      <c r="D953" s="109"/>
      <c r="E953" s="109"/>
      <c r="F953" s="109"/>
      <c r="G953" s="161"/>
      <c r="H953" s="109"/>
      <c r="I953" s="109"/>
      <c r="J953" s="109"/>
      <c r="K953" s="109"/>
      <c r="L953" s="109"/>
      <c r="M953" s="109"/>
      <c r="N953" s="109"/>
      <c r="O953" s="109"/>
      <c r="P953" s="109"/>
      <c r="Q953" s="109"/>
      <c r="R953" s="109"/>
      <c r="S953" s="109"/>
      <c r="T953" s="109"/>
      <c r="U953" s="109"/>
      <c r="V953" s="109"/>
      <c r="W953" s="109"/>
      <c r="X953" s="109"/>
      <c r="Y953" s="109"/>
      <c r="Z953" s="109"/>
    </row>
    <row r="954" spans="1:26" ht="13.5" customHeight="1">
      <c r="A954" s="109"/>
      <c r="B954" s="109"/>
      <c r="C954" s="109"/>
      <c r="D954" s="109"/>
      <c r="E954" s="109"/>
      <c r="F954" s="109"/>
      <c r="G954" s="161"/>
      <c r="H954" s="109"/>
      <c r="I954" s="109"/>
      <c r="J954" s="109"/>
      <c r="K954" s="109"/>
      <c r="L954" s="109"/>
      <c r="M954" s="109"/>
      <c r="N954" s="109"/>
      <c r="O954" s="109"/>
      <c r="P954" s="109"/>
      <c r="Q954" s="109"/>
      <c r="R954" s="109"/>
      <c r="S954" s="109"/>
      <c r="T954" s="109"/>
      <c r="U954" s="109"/>
      <c r="V954" s="109"/>
      <c r="W954" s="109"/>
      <c r="X954" s="109"/>
      <c r="Y954" s="109"/>
      <c r="Z954" s="109"/>
    </row>
    <row r="955" spans="1:26" ht="13.5" customHeight="1">
      <c r="A955" s="109"/>
      <c r="B955" s="109"/>
      <c r="C955" s="109"/>
      <c r="D955" s="109"/>
      <c r="E955" s="109"/>
      <c r="F955" s="109"/>
      <c r="G955" s="161"/>
      <c r="H955" s="109"/>
      <c r="I955" s="109"/>
      <c r="J955" s="109"/>
      <c r="K955" s="109"/>
      <c r="L955" s="109"/>
      <c r="M955" s="109"/>
      <c r="N955" s="109"/>
      <c r="O955" s="109"/>
      <c r="P955" s="109"/>
      <c r="Q955" s="109"/>
      <c r="R955" s="109"/>
      <c r="S955" s="109"/>
      <c r="T955" s="109"/>
      <c r="U955" s="109"/>
      <c r="V955" s="109"/>
      <c r="W955" s="109"/>
      <c r="X955" s="109"/>
      <c r="Y955" s="109"/>
      <c r="Z955" s="109"/>
    </row>
    <row r="956" spans="1:26" ht="13.5" customHeight="1">
      <c r="A956" s="109"/>
      <c r="B956" s="109"/>
      <c r="C956" s="109"/>
      <c r="D956" s="109"/>
      <c r="E956" s="109"/>
      <c r="F956" s="109"/>
      <c r="G956" s="161"/>
      <c r="H956" s="109"/>
      <c r="I956" s="109"/>
      <c r="J956" s="109"/>
      <c r="K956" s="109"/>
      <c r="L956" s="109"/>
      <c r="M956" s="109"/>
      <c r="N956" s="109"/>
      <c r="O956" s="109"/>
      <c r="P956" s="109"/>
      <c r="Q956" s="109"/>
      <c r="R956" s="109"/>
      <c r="S956" s="109"/>
      <c r="T956" s="109"/>
      <c r="U956" s="109"/>
      <c r="V956" s="109"/>
      <c r="W956" s="109"/>
      <c r="X956" s="109"/>
      <c r="Y956" s="109"/>
      <c r="Z956" s="109"/>
    </row>
    <row r="957" spans="1:26" ht="13.5" customHeight="1">
      <c r="A957" s="109"/>
      <c r="B957" s="109"/>
      <c r="C957" s="109"/>
      <c r="D957" s="109"/>
      <c r="E957" s="109"/>
      <c r="F957" s="109"/>
      <c r="G957" s="161"/>
      <c r="H957" s="109"/>
      <c r="I957" s="109"/>
      <c r="J957" s="109"/>
      <c r="K957" s="109"/>
      <c r="L957" s="109"/>
      <c r="M957" s="109"/>
      <c r="N957" s="109"/>
      <c r="O957" s="109"/>
      <c r="P957" s="109"/>
      <c r="Q957" s="109"/>
      <c r="R957" s="109"/>
      <c r="S957" s="109"/>
      <c r="T957" s="109"/>
      <c r="U957" s="109"/>
      <c r="V957" s="109"/>
      <c r="W957" s="109"/>
      <c r="X957" s="109"/>
      <c r="Y957" s="109"/>
      <c r="Z957" s="109"/>
    </row>
    <row r="958" spans="1:26" ht="13.5" customHeight="1">
      <c r="A958" s="109"/>
      <c r="B958" s="109"/>
      <c r="C958" s="109"/>
      <c r="D958" s="109"/>
      <c r="E958" s="109"/>
      <c r="F958" s="109"/>
      <c r="G958" s="161"/>
      <c r="H958" s="109"/>
      <c r="I958" s="109"/>
      <c r="J958" s="109"/>
      <c r="K958" s="109"/>
      <c r="L958" s="109"/>
      <c r="M958" s="109"/>
      <c r="N958" s="109"/>
      <c r="O958" s="109"/>
      <c r="P958" s="109"/>
      <c r="Q958" s="109"/>
      <c r="R958" s="109"/>
      <c r="S958" s="109"/>
      <c r="T958" s="109"/>
      <c r="U958" s="109"/>
      <c r="V958" s="109"/>
      <c r="W958" s="109"/>
      <c r="X958" s="109"/>
      <c r="Y958" s="109"/>
      <c r="Z958" s="109"/>
    </row>
    <row r="959" spans="1:26" ht="13.5" customHeight="1">
      <c r="A959" s="109"/>
      <c r="B959" s="109"/>
      <c r="C959" s="109"/>
      <c r="D959" s="109"/>
      <c r="E959" s="109"/>
      <c r="F959" s="109"/>
      <c r="G959" s="161"/>
      <c r="H959" s="109"/>
      <c r="I959" s="109"/>
      <c r="J959" s="109"/>
      <c r="K959" s="109"/>
      <c r="L959" s="109"/>
      <c r="M959" s="109"/>
      <c r="N959" s="109"/>
      <c r="O959" s="109"/>
      <c r="P959" s="109"/>
      <c r="Q959" s="109"/>
      <c r="R959" s="109"/>
      <c r="S959" s="109"/>
      <c r="T959" s="109"/>
      <c r="U959" s="109"/>
      <c r="V959" s="109"/>
      <c r="W959" s="109"/>
      <c r="X959" s="109"/>
      <c r="Y959" s="109"/>
      <c r="Z959" s="109"/>
    </row>
    <row r="960" spans="1:26" ht="13.5" customHeight="1">
      <c r="A960" s="109"/>
      <c r="B960" s="109"/>
      <c r="C960" s="109"/>
      <c r="D960" s="109"/>
      <c r="E960" s="109"/>
      <c r="F960" s="109"/>
      <c r="G960" s="161"/>
      <c r="H960" s="109"/>
      <c r="I960" s="109"/>
      <c r="J960" s="109"/>
      <c r="K960" s="109"/>
      <c r="L960" s="109"/>
      <c r="M960" s="109"/>
      <c r="N960" s="109"/>
      <c r="O960" s="109"/>
      <c r="P960" s="109"/>
      <c r="Q960" s="109"/>
      <c r="R960" s="109"/>
      <c r="S960" s="109"/>
      <c r="T960" s="109"/>
      <c r="U960" s="109"/>
      <c r="V960" s="109"/>
      <c r="W960" s="109"/>
      <c r="X960" s="109"/>
      <c r="Y960" s="109"/>
      <c r="Z960" s="109"/>
    </row>
    <row r="961" spans="1:26" ht="13.5" customHeight="1">
      <c r="A961" s="109"/>
      <c r="B961" s="109"/>
      <c r="C961" s="109"/>
      <c r="D961" s="109"/>
      <c r="E961" s="109"/>
      <c r="F961" s="109"/>
      <c r="G961" s="161"/>
      <c r="H961" s="109"/>
      <c r="I961" s="109"/>
      <c r="J961" s="109"/>
      <c r="K961" s="109"/>
      <c r="L961" s="109"/>
      <c r="M961" s="109"/>
      <c r="N961" s="109"/>
      <c r="O961" s="109"/>
      <c r="P961" s="109"/>
      <c r="Q961" s="109"/>
      <c r="R961" s="109"/>
      <c r="S961" s="109"/>
      <c r="T961" s="109"/>
      <c r="U961" s="109"/>
      <c r="V961" s="109"/>
      <c r="W961" s="109"/>
      <c r="X961" s="109"/>
      <c r="Y961" s="109"/>
      <c r="Z961" s="109"/>
    </row>
    <row r="962" spans="1:26" ht="13.5" customHeight="1">
      <c r="A962" s="109"/>
      <c r="B962" s="109"/>
      <c r="C962" s="109"/>
      <c r="D962" s="109"/>
      <c r="E962" s="109"/>
      <c r="F962" s="109"/>
      <c r="G962" s="161"/>
      <c r="H962" s="109"/>
      <c r="I962" s="109"/>
      <c r="J962" s="109"/>
      <c r="K962" s="109"/>
      <c r="L962" s="109"/>
      <c r="M962" s="109"/>
      <c r="N962" s="109"/>
      <c r="O962" s="109"/>
      <c r="P962" s="109"/>
      <c r="Q962" s="109"/>
      <c r="R962" s="109"/>
      <c r="S962" s="109"/>
      <c r="T962" s="109"/>
      <c r="U962" s="109"/>
      <c r="V962" s="109"/>
      <c r="W962" s="109"/>
      <c r="X962" s="109"/>
      <c r="Y962" s="109"/>
      <c r="Z962" s="109"/>
    </row>
    <row r="963" spans="1:26" ht="13.5" customHeight="1">
      <c r="A963" s="109"/>
      <c r="B963" s="109"/>
      <c r="C963" s="109"/>
      <c r="D963" s="109"/>
      <c r="E963" s="109"/>
      <c r="F963" s="109"/>
      <c r="G963" s="161"/>
      <c r="H963" s="109"/>
      <c r="I963" s="109"/>
      <c r="J963" s="109"/>
      <c r="K963" s="109"/>
      <c r="L963" s="109"/>
      <c r="M963" s="109"/>
      <c r="N963" s="109"/>
      <c r="O963" s="109"/>
      <c r="P963" s="109"/>
      <c r="Q963" s="109"/>
      <c r="R963" s="109"/>
      <c r="S963" s="109"/>
      <c r="T963" s="109"/>
      <c r="U963" s="109"/>
      <c r="V963" s="109"/>
      <c r="W963" s="109"/>
      <c r="X963" s="109"/>
      <c r="Y963" s="109"/>
      <c r="Z963" s="109"/>
    </row>
    <row r="964" spans="1:26" ht="13.5" customHeight="1">
      <c r="A964" s="109"/>
      <c r="B964" s="109"/>
      <c r="C964" s="109"/>
      <c r="D964" s="109"/>
      <c r="E964" s="109"/>
      <c r="F964" s="109"/>
      <c r="G964" s="161"/>
      <c r="H964" s="109"/>
      <c r="I964" s="109"/>
      <c r="J964" s="109"/>
      <c r="K964" s="109"/>
      <c r="L964" s="109"/>
      <c r="M964" s="109"/>
      <c r="N964" s="109"/>
      <c r="O964" s="109"/>
      <c r="P964" s="109"/>
      <c r="Q964" s="109"/>
      <c r="R964" s="109"/>
      <c r="S964" s="109"/>
      <c r="T964" s="109"/>
      <c r="U964" s="109"/>
      <c r="V964" s="109"/>
      <c r="W964" s="109"/>
      <c r="X964" s="109"/>
      <c r="Y964" s="109"/>
      <c r="Z964" s="109"/>
    </row>
    <row r="965" spans="1:26" ht="13.5" customHeight="1">
      <c r="A965" s="109"/>
      <c r="B965" s="109"/>
      <c r="C965" s="109"/>
      <c r="D965" s="109"/>
      <c r="E965" s="109"/>
      <c r="F965" s="109"/>
      <c r="G965" s="161"/>
      <c r="H965" s="109"/>
      <c r="I965" s="109"/>
      <c r="J965" s="109"/>
      <c r="K965" s="109"/>
      <c r="L965" s="109"/>
      <c r="M965" s="109"/>
      <c r="N965" s="109"/>
      <c r="O965" s="109"/>
      <c r="P965" s="109"/>
      <c r="Q965" s="109"/>
      <c r="R965" s="109"/>
      <c r="S965" s="109"/>
      <c r="T965" s="109"/>
      <c r="U965" s="109"/>
      <c r="V965" s="109"/>
      <c r="W965" s="109"/>
      <c r="X965" s="109"/>
      <c r="Y965" s="109"/>
      <c r="Z965" s="109"/>
    </row>
    <row r="966" spans="1:26" ht="13.5" customHeight="1">
      <c r="A966" s="109"/>
      <c r="B966" s="109"/>
      <c r="C966" s="109"/>
      <c r="D966" s="109"/>
      <c r="E966" s="109"/>
      <c r="F966" s="109"/>
      <c r="G966" s="161"/>
      <c r="H966" s="109"/>
      <c r="I966" s="109"/>
      <c r="J966" s="109"/>
      <c r="K966" s="109"/>
      <c r="L966" s="109"/>
      <c r="M966" s="109"/>
      <c r="N966" s="109"/>
      <c r="O966" s="109"/>
      <c r="P966" s="109"/>
      <c r="Q966" s="109"/>
      <c r="R966" s="109"/>
      <c r="S966" s="109"/>
      <c r="T966" s="109"/>
      <c r="U966" s="109"/>
      <c r="V966" s="109"/>
      <c r="W966" s="109"/>
      <c r="X966" s="109"/>
      <c r="Y966" s="109"/>
      <c r="Z966" s="109"/>
    </row>
    <row r="967" spans="1:26" ht="13.5" customHeight="1">
      <c r="A967" s="109"/>
      <c r="B967" s="109"/>
      <c r="C967" s="109"/>
      <c r="D967" s="109"/>
      <c r="E967" s="109"/>
      <c r="F967" s="109"/>
      <c r="G967" s="161"/>
      <c r="H967" s="109"/>
      <c r="I967" s="109"/>
      <c r="J967" s="109"/>
      <c r="K967" s="109"/>
      <c r="L967" s="109"/>
      <c r="M967" s="109"/>
      <c r="N967" s="109"/>
      <c r="O967" s="109"/>
      <c r="P967" s="109"/>
      <c r="Q967" s="109"/>
      <c r="R967" s="109"/>
      <c r="S967" s="109"/>
      <c r="T967" s="109"/>
      <c r="U967" s="109"/>
      <c r="V967" s="109"/>
      <c r="W967" s="109"/>
      <c r="X967" s="109"/>
      <c r="Y967" s="109"/>
      <c r="Z967" s="109"/>
    </row>
    <row r="968" spans="1:26" ht="13.5" customHeight="1">
      <c r="A968" s="109"/>
      <c r="B968" s="109"/>
      <c r="C968" s="109"/>
      <c r="D968" s="109"/>
      <c r="E968" s="109"/>
      <c r="F968" s="109"/>
      <c r="G968" s="161"/>
      <c r="H968" s="109"/>
      <c r="I968" s="109"/>
      <c r="J968" s="109"/>
      <c r="K968" s="109"/>
      <c r="L968" s="109"/>
      <c r="M968" s="109"/>
      <c r="N968" s="109"/>
      <c r="O968" s="109"/>
      <c r="P968" s="109"/>
      <c r="Q968" s="109"/>
      <c r="R968" s="109"/>
      <c r="S968" s="109"/>
      <c r="T968" s="109"/>
      <c r="U968" s="109"/>
      <c r="V968" s="109"/>
      <c r="W968" s="109"/>
      <c r="X968" s="109"/>
      <c r="Y968" s="109"/>
      <c r="Z968" s="109"/>
    </row>
    <row r="969" spans="1:26" ht="13.5" customHeight="1">
      <c r="A969" s="109"/>
      <c r="B969" s="109"/>
      <c r="C969" s="109"/>
      <c r="D969" s="109"/>
      <c r="E969" s="109"/>
      <c r="F969" s="109"/>
      <c r="G969" s="161"/>
      <c r="H969" s="109"/>
      <c r="I969" s="109"/>
      <c r="J969" s="109"/>
      <c r="K969" s="109"/>
      <c r="L969" s="109"/>
      <c r="M969" s="109"/>
      <c r="N969" s="109"/>
      <c r="O969" s="109"/>
      <c r="P969" s="109"/>
      <c r="Q969" s="109"/>
      <c r="R969" s="109"/>
      <c r="S969" s="109"/>
      <c r="T969" s="109"/>
      <c r="U969" s="109"/>
      <c r="V969" s="109"/>
      <c r="W969" s="109"/>
      <c r="X969" s="109"/>
      <c r="Y969" s="109"/>
      <c r="Z969" s="109"/>
    </row>
    <row r="970" spans="1:26" ht="13.5" customHeight="1">
      <c r="A970" s="109"/>
      <c r="B970" s="109"/>
      <c r="C970" s="109"/>
      <c r="D970" s="109"/>
      <c r="E970" s="109"/>
      <c r="F970" s="109"/>
      <c r="G970" s="161"/>
      <c r="H970" s="109"/>
      <c r="I970" s="109"/>
      <c r="J970" s="109"/>
      <c r="K970" s="109"/>
      <c r="L970" s="109"/>
      <c r="M970" s="109"/>
      <c r="N970" s="109"/>
      <c r="O970" s="109"/>
      <c r="P970" s="109"/>
      <c r="Q970" s="109"/>
      <c r="R970" s="109"/>
      <c r="S970" s="109"/>
      <c r="T970" s="109"/>
      <c r="U970" s="109"/>
      <c r="V970" s="109"/>
      <c r="W970" s="109"/>
      <c r="X970" s="109"/>
      <c r="Y970" s="109"/>
      <c r="Z970" s="109"/>
    </row>
    <row r="971" spans="1:26" ht="13.5" customHeight="1">
      <c r="A971" s="109"/>
      <c r="B971" s="109"/>
      <c r="C971" s="109"/>
      <c r="D971" s="109"/>
      <c r="E971" s="109"/>
      <c r="F971" s="109"/>
      <c r="G971" s="161"/>
      <c r="H971" s="109"/>
      <c r="I971" s="109"/>
      <c r="J971" s="109"/>
      <c r="K971" s="109"/>
      <c r="L971" s="109"/>
      <c r="M971" s="109"/>
      <c r="N971" s="109"/>
      <c r="O971" s="109"/>
      <c r="P971" s="109"/>
      <c r="Q971" s="109"/>
      <c r="R971" s="109"/>
      <c r="S971" s="109"/>
      <c r="T971" s="109"/>
      <c r="U971" s="109"/>
      <c r="V971" s="109"/>
      <c r="W971" s="109"/>
      <c r="X971" s="109"/>
      <c r="Y971" s="109"/>
      <c r="Z971" s="109"/>
    </row>
    <row r="972" spans="1:26" ht="13.5" customHeight="1">
      <c r="A972" s="109"/>
      <c r="B972" s="109"/>
      <c r="C972" s="109"/>
      <c r="D972" s="109"/>
      <c r="E972" s="109"/>
      <c r="F972" s="109"/>
      <c r="G972" s="161"/>
      <c r="H972" s="109"/>
      <c r="I972" s="109"/>
      <c r="J972" s="109"/>
      <c r="K972" s="109"/>
      <c r="L972" s="109"/>
      <c r="M972" s="109"/>
      <c r="N972" s="109"/>
      <c r="O972" s="109"/>
      <c r="P972" s="109"/>
      <c r="Q972" s="109"/>
      <c r="R972" s="109"/>
      <c r="S972" s="109"/>
      <c r="T972" s="109"/>
      <c r="U972" s="109"/>
      <c r="V972" s="109"/>
      <c r="W972" s="109"/>
      <c r="X972" s="109"/>
      <c r="Y972" s="109"/>
      <c r="Z972" s="109"/>
    </row>
    <row r="973" spans="1:26" ht="13.5" customHeight="1">
      <c r="A973" s="109"/>
      <c r="B973" s="109"/>
      <c r="C973" s="109"/>
      <c r="D973" s="109"/>
      <c r="E973" s="109"/>
      <c r="F973" s="109"/>
      <c r="G973" s="161"/>
      <c r="H973" s="109"/>
      <c r="I973" s="109"/>
      <c r="J973" s="109"/>
      <c r="K973" s="109"/>
      <c r="L973" s="109"/>
      <c r="M973" s="109"/>
      <c r="N973" s="109"/>
      <c r="O973" s="109"/>
      <c r="P973" s="109"/>
      <c r="Q973" s="109"/>
      <c r="R973" s="109"/>
      <c r="S973" s="109"/>
      <c r="T973" s="109"/>
      <c r="U973" s="109"/>
      <c r="V973" s="109"/>
      <c r="W973" s="109"/>
      <c r="X973" s="109"/>
      <c r="Y973" s="109"/>
      <c r="Z973" s="109"/>
    </row>
    <row r="974" spans="1:26" ht="13.5" customHeight="1">
      <c r="A974" s="109"/>
      <c r="B974" s="109"/>
      <c r="C974" s="109"/>
      <c r="D974" s="109"/>
      <c r="E974" s="109"/>
      <c r="F974" s="109"/>
      <c r="G974" s="161"/>
      <c r="H974" s="109"/>
      <c r="I974" s="109"/>
      <c r="J974" s="109"/>
      <c r="K974" s="109"/>
      <c r="L974" s="109"/>
      <c r="M974" s="109"/>
      <c r="N974" s="109"/>
      <c r="O974" s="109"/>
      <c r="P974" s="109"/>
      <c r="Q974" s="109"/>
      <c r="R974" s="109"/>
      <c r="S974" s="109"/>
      <c r="T974" s="109"/>
      <c r="U974" s="109"/>
      <c r="V974" s="109"/>
      <c r="W974" s="109"/>
      <c r="X974" s="109"/>
      <c r="Y974" s="109"/>
      <c r="Z974" s="109"/>
    </row>
    <row r="975" spans="1:26" ht="13.5" customHeight="1">
      <c r="A975" s="109"/>
      <c r="B975" s="109"/>
      <c r="C975" s="109"/>
      <c r="D975" s="109"/>
      <c r="E975" s="109"/>
      <c r="F975" s="109"/>
      <c r="G975" s="161"/>
      <c r="H975" s="109"/>
      <c r="I975" s="109"/>
      <c r="J975" s="109"/>
      <c r="K975" s="109"/>
      <c r="L975" s="109"/>
      <c r="M975" s="109"/>
      <c r="N975" s="109"/>
      <c r="O975" s="109"/>
      <c r="P975" s="109"/>
      <c r="Q975" s="109"/>
      <c r="R975" s="109"/>
      <c r="S975" s="109"/>
      <c r="T975" s="109"/>
      <c r="U975" s="109"/>
      <c r="V975" s="109"/>
      <c r="W975" s="109"/>
      <c r="X975" s="109"/>
      <c r="Y975" s="109"/>
      <c r="Z975" s="109"/>
    </row>
    <row r="976" spans="1:26" ht="13.5" customHeight="1">
      <c r="A976" s="109"/>
      <c r="B976" s="109"/>
      <c r="C976" s="109"/>
      <c r="D976" s="109"/>
      <c r="E976" s="109"/>
      <c r="F976" s="109"/>
      <c r="G976" s="161"/>
      <c r="H976" s="109"/>
      <c r="I976" s="109"/>
      <c r="J976" s="109"/>
      <c r="K976" s="109"/>
      <c r="L976" s="109"/>
      <c r="M976" s="109"/>
      <c r="N976" s="109"/>
      <c r="O976" s="109"/>
      <c r="P976" s="109"/>
      <c r="Q976" s="109"/>
      <c r="R976" s="109"/>
      <c r="S976" s="109"/>
      <c r="T976" s="109"/>
      <c r="U976" s="109"/>
      <c r="V976" s="109"/>
      <c r="W976" s="109"/>
      <c r="X976" s="109"/>
      <c r="Y976" s="109"/>
      <c r="Z976" s="109"/>
    </row>
    <row r="977" spans="1:26" ht="13.5" customHeight="1">
      <c r="A977" s="109"/>
      <c r="B977" s="109"/>
      <c r="C977" s="109"/>
      <c r="D977" s="109"/>
      <c r="E977" s="109"/>
      <c r="F977" s="109"/>
      <c r="G977" s="161"/>
      <c r="H977" s="109"/>
      <c r="I977" s="109"/>
      <c r="J977" s="109"/>
      <c r="K977" s="109"/>
      <c r="L977" s="109"/>
      <c r="M977" s="109"/>
      <c r="N977" s="109"/>
      <c r="O977" s="109"/>
      <c r="P977" s="109"/>
      <c r="Q977" s="109"/>
      <c r="R977" s="109"/>
      <c r="S977" s="109"/>
      <c r="T977" s="109"/>
      <c r="U977" s="109"/>
      <c r="V977" s="109"/>
      <c r="W977" s="109"/>
      <c r="X977" s="109"/>
      <c r="Y977" s="109"/>
      <c r="Z977" s="109"/>
    </row>
    <row r="978" spans="1:26" ht="13.5" customHeight="1">
      <c r="A978" s="109"/>
      <c r="B978" s="109"/>
      <c r="C978" s="109"/>
      <c r="D978" s="109"/>
      <c r="E978" s="109"/>
      <c r="F978" s="109"/>
      <c r="G978" s="161"/>
      <c r="H978" s="109"/>
      <c r="I978" s="109"/>
      <c r="J978" s="109"/>
      <c r="K978" s="109"/>
      <c r="L978" s="109"/>
      <c r="M978" s="109"/>
      <c r="N978" s="109"/>
      <c r="O978" s="109"/>
      <c r="P978" s="109"/>
      <c r="Q978" s="109"/>
      <c r="R978" s="109"/>
      <c r="S978" s="109"/>
      <c r="T978" s="109"/>
      <c r="U978" s="109"/>
      <c r="V978" s="109"/>
      <c r="W978" s="109"/>
      <c r="X978" s="109"/>
      <c r="Y978" s="109"/>
      <c r="Z978" s="109"/>
    </row>
    <row r="979" spans="1:26" ht="13.5" customHeight="1">
      <c r="A979" s="109"/>
      <c r="B979" s="109"/>
      <c r="C979" s="109"/>
      <c r="D979" s="109"/>
      <c r="E979" s="109"/>
      <c r="F979" s="109"/>
      <c r="G979" s="161"/>
      <c r="H979" s="109"/>
      <c r="I979" s="109"/>
      <c r="J979" s="109"/>
      <c r="K979" s="109"/>
      <c r="L979" s="109"/>
      <c r="M979" s="109"/>
      <c r="N979" s="109"/>
      <c r="O979" s="109"/>
      <c r="P979" s="109"/>
      <c r="Q979" s="109"/>
      <c r="R979" s="109"/>
      <c r="S979" s="109"/>
      <c r="T979" s="109"/>
      <c r="U979" s="109"/>
      <c r="V979" s="109"/>
      <c r="W979" s="109"/>
      <c r="X979" s="109"/>
      <c r="Y979" s="109"/>
      <c r="Z979" s="109"/>
    </row>
    <row r="980" spans="1:26" ht="13.5" customHeight="1">
      <c r="A980" s="109"/>
      <c r="B980" s="109"/>
      <c r="C980" s="109"/>
      <c r="D980" s="109"/>
      <c r="E980" s="109"/>
      <c r="F980" s="109"/>
      <c r="G980" s="161"/>
      <c r="H980" s="109"/>
      <c r="I980" s="109"/>
      <c r="J980" s="109"/>
      <c r="K980" s="109"/>
      <c r="L980" s="109"/>
      <c r="M980" s="109"/>
      <c r="N980" s="109"/>
      <c r="O980" s="109"/>
      <c r="P980" s="109"/>
      <c r="Q980" s="109"/>
      <c r="R980" s="109"/>
      <c r="S980" s="109"/>
      <c r="T980" s="109"/>
      <c r="U980" s="109"/>
      <c r="V980" s="109"/>
      <c r="W980" s="109"/>
      <c r="X980" s="109"/>
      <c r="Y980" s="109"/>
      <c r="Z980" s="109"/>
    </row>
    <row r="981" spans="1:26" ht="13.5" customHeight="1">
      <c r="A981" s="109"/>
      <c r="B981" s="109"/>
      <c r="C981" s="109"/>
      <c r="D981" s="109"/>
      <c r="E981" s="109"/>
      <c r="F981" s="109"/>
      <c r="G981" s="161"/>
      <c r="H981" s="109"/>
      <c r="I981" s="109"/>
      <c r="J981" s="109"/>
      <c r="K981" s="109"/>
      <c r="L981" s="109"/>
      <c r="M981" s="109"/>
      <c r="N981" s="109"/>
      <c r="O981" s="109"/>
      <c r="P981" s="109"/>
      <c r="Q981" s="109"/>
      <c r="R981" s="109"/>
      <c r="S981" s="109"/>
      <c r="T981" s="109"/>
      <c r="U981" s="109"/>
      <c r="V981" s="109"/>
      <c r="W981" s="109"/>
      <c r="X981" s="109"/>
      <c r="Y981" s="109"/>
      <c r="Z981" s="109"/>
    </row>
    <row r="982" spans="1:26" ht="13.5" customHeight="1">
      <c r="A982" s="109"/>
      <c r="B982" s="109"/>
      <c r="C982" s="109"/>
      <c r="D982" s="109"/>
      <c r="E982" s="109"/>
      <c r="F982" s="109"/>
      <c r="G982" s="161"/>
      <c r="H982" s="109"/>
      <c r="I982" s="109"/>
      <c r="J982" s="109"/>
      <c r="K982" s="109"/>
      <c r="L982" s="109"/>
      <c r="M982" s="109"/>
      <c r="N982" s="109"/>
      <c r="O982" s="109"/>
      <c r="P982" s="109"/>
      <c r="Q982" s="109"/>
      <c r="R982" s="109"/>
      <c r="S982" s="109"/>
      <c r="T982" s="109"/>
      <c r="U982" s="109"/>
      <c r="V982" s="109"/>
      <c r="W982" s="109"/>
      <c r="X982" s="109"/>
      <c r="Y982" s="109"/>
      <c r="Z982" s="109"/>
    </row>
    <row r="983" spans="1:26" ht="13.5" customHeight="1">
      <c r="A983" s="109"/>
      <c r="B983" s="109"/>
      <c r="C983" s="109"/>
      <c r="D983" s="109"/>
      <c r="E983" s="109"/>
      <c r="F983" s="109"/>
      <c r="G983" s="161"/>
      <c r="H983" s="109"/>
      <c r="I983" s="109"/>
      <c r="J983" s="109"/>
      <c r="K983" s="109"/>
      <c r="L983" s="109"/>
      <c r="M983" s="109"/>
      <c r="N983" s="109"/>
      <c r="O983" s="109"/>
      <c r="P983" s="109"/>
      <c r="Q983" s="109"/>
      <c r="R983" s="109"/>
      <c r="S983" s="109"/>
      <c r="T983" s="109"/>
      <c r="U983" s="109"/>
      <c r="V983" s="109"/>
      <c r="W983" s="109"/>
      <c r="X983" s="109"/>
      <c r="Y983" s="109"/>
      <c r="Z983" s="109"/>
    </row>
    <row r="984" spans="1:26" ht="13.5" customHeight="1">
      <c r="A984" s="109"/>
      <c r="B984" s="109"/>
      <c r="C984" s="109"/>
      <c r="D984" s="109"/>
      <c r="E984" s="109"/>
      <c r="F984" s="109"/>
      <c r="G984" s="161"/>
      <c r="H984" s="109"/>
      <c r="I984" s="109"/>
      <c r="J984" s="109"/>
      <c r="K984" s="109"/>
      <c r="L984" s="109"/>
      <c r="M984" s="109"/>
      <c r="N984" s="109"/>
      <c r="O984" s="109"/>
      <c r="P984" s="109"/>
      <c r="Q984" s="109"/>
      <c r="R984" s="109"/>
      <c r="S984" s="109"/>
      <c r="T984" s="109"/>
      <c r="U984" s="109"/>
      <c r="V984" s="109"/>
      <c r="W984" s="109"/>
      <c r="X984" s="109"/>
      <c r="Y984" s="109"/>
      <c r="Z984" s="109"/>
    </row>
    <row r="985" spans="1:26" ht="13.5" customHeight="1">
      <c r="A985" s="109"/>
      <c r="B985" s="109"/>
      <c r="C985" s="109"/>
      <c r="D985" s="109"/>
      <c r="E985" s="109"/>
      <c r="F985" s="109"/>
      <c r="G985" s="161"/>
      <c r="H985" s="109"/>
      <c r="I985" s="109"/>
      <c r="J985" s="109"/>
      <c r="K985" s="109"/>
      <c r="L985" s="109"/>
      <c r="M985" s="109"/>
      <c r="N985" s="109"/>
      <c r="O985" s="109"/>
      <c r="P985" s="109"/>
      <c r="Q985" s="109"/>
      <c r="R985" s="109"/>
      <c r="S985" s="109"/>
      <c r="T985" s="109"/>
      <c r="U985" s="109"/>
      <c r="V985" s="109"/>
      <c r="W985" s="109"/>
      <c r="X985" s="109"/>
      <c r="Y985" s="109"/>
      <c r="Z985" s="109"/>
    </row>
    <row r="986" spans="1:26" ht="13.5" customHeight="1">
      <c r="A986" s="109"/>
      <c r="B986" s="109"/>
      <c r="C986" s="109"/>
      <c r="D986" s="109"/>
      <c r="E986" s="109"/>
      <c r="F986" s="109"/>
      <c r="G986" s="161"/>
      <c r="H986" s="109"/>
      <c r="I986" s="109"/>
      <c r="J986" s="109"/>
      <c r="K986" s="109"/>
      <c r="L986" s="109"/>
      <c r="M986" s="109"/>
      <c r="N986" s="109"/>
      <c r="O986" s="109"/>
      <c r="P986" s="109"/>
      <c r="Q986" s="109"/>
      <c r="R986" s="109"/>
      <c r="S986" s="109"/>
      <c r="T986" s="109"/>
      <c r="U986" s="109"/>
      <c r="V986" s="109"/>
      <c r="W986" s="109"/>
      <c r="X986" s="109"/>
      <c r="Y986" s="109"/>
      <c r="Z986" s="109"/>
    </row>
    <row r="987" spans="1:26" ht="13.5" customHeight="1">
      <c r="A987" s="109"/>
      <c r="B987" s="109"/>
      <c r="C987" s="109"/>
      <c r="D987" s="109"/>
      <c r="E987" s="109"/>
      <c r="F987" s="109"/>
      <c r="G987" s="161"/>
      <c r="H987" s="109"/>
      <c r="I987" s="109"/>
      <c r="J987" s="109"/>
      <c r="K987" s="109"/>
      <c r="L987" s="109"/>
      <c r="M987" s="109"/>
      <c r="N987" s="109"/>
      <c r="O987" s="109"/>
      <c r="P987" s="109"/>
      <c r="Q987" s="109"/>
      <c r="R987" s="109"/>
      <c r="S987" s="109"/>
      <c r="T987" s="109"/>
      <c r="U987" s="109"/>
      <c r="V987" s="109"/>
      <c r="W987" s="109"/>
      <c r="X987" s="109"/>
      <c r="Y987" s="109"/>
      <c r="Z987" s="109"/>
    </row>
    <row r="988" spans="1:26" ht="13.5" customHeight="1">
      <c r="A988" s="109"/>
      <c r="B988" s="109"/>
      <c r="C988" s="109"/>
      <c r="D988" s="109"/>
      <c r="E988" s="109"/>
      <c r="F988" s="109"/>
      <c r="G988" s="161"/>
      <c r="H988" s="109"/>
      <c r="I988" s="109"/>
      <c r="J988" s="109"/>
      <c r="K988" s="109"/>
      <c r="L988" s="109"/>
      <c r="M988" s="109"/>
      <c r="N988" s="109"/>
      <c r="O988" s="109"/>
      <c r="P988" s="109"/>
      <c r="Q988" s="109"/>
      <c r="R988" s="109"/>
      <c r="S988" s="109"/>
      <c r="T988" s="109"/>
      <c r="U988" s="109"/>
      <c r="V988" s="109"/>
      <c r="W988" s="109"/>
      <c r="X988" s="109"/>
      <c r="Y988" s="109"/>
      <c r="Z988" s="109"/>
    </row>
    <row r="989" spans="1:26" ht="13.5" customHeight="1">
      <c r="A989" s="109"/>
      <c r="B989" s="109"/>
      <c r="C989" s="109"/>
      <c r="D989" s="109"/>
      <c r="E989" s="109"/>
      <c r="F989" s="109"/>
      <c r="G989" s="161"/>
      <c r="H989" s="109"/>
      <c r="I989" s="109"/>
      <c r="J989" s="109"/>
      <c r="K989" s="109"/>
      <c r="L989" s="109"/>
      <c r="M989" s="109"/>
      <c r="N989" s="109"/>
      <c r="O989" s="109"/>
      <c r="P989" s="109"/>
      <c r="Q989" s="109"/>
      <c r="R989" s="109"/>
      <c r="S989" s="109"/>
      <c r="T989" s="109"/>
      <c r="U989" s="109"/>
      <c r="V989" s="109"/>
      <c r="W989" s="109"/>
      <c r="X989" s="109"/>
      <c r="Y989" s="109"/>
      <c r="Z989" s="109"/>
    </row>
    <row r="990" spans="1:26" ht="13.5" customHeight="1">
      <c r="A990" s="109"/>
      <c r="B990" s="109"/>
      <c r="C990" s="109"/>
      <c r="D990" s="109"/>
      <c r="E990" s="109"/>
      <c r="F990" s="109"/>
      <c r="G990" s="161"/>
      <c r="H990" s="109"/>
      <c r="I990" s="109"/>
      <c r="J990" s="109"/>
      <c r="K990" s="109"/>
      <c r="L990" s="109"/>
      <c r="M990" s="109"/>
      <c r="N990" s="109"/>
      <c r="O990" s="109"/>
      <c r="P990" s="109"/>
      <c r="Q990" s="109"/>
      <c r="R990" s="109"/>
      <c r="S990" s="109"/>
      <c r="T990" s="109"/>
      <c r="U990" s="109"/>
      <c r="V990" s="109"/>
      <c r="W990" s="109"/>
      <c r="X990" s="109"/>
      <c r="Y990" s="109"/>
      <c r="Z990" s="109"/>
    </row>
    <row r="991" spans="1:26" ht="13.5" customHeight="1">
      <c r="A991" s="109"/>
      <c r="B991" s="109"/>
      <c r="C991" s="109"/>
      <c r="D991" s="109"/>
      <c r="E991" s="109"/>
      <c r="F991" s="109"/>
      <c r="G991" s="161"/>
      <c r="H991" s="109"/>
      <c r="I991" s="109"/>
      <c r="J991" s="109"/>
      <c r="K991" s="109"/>
      <c r="L991" s="109"/>
      <c r="M991" s="109"/>
      <c r="N991" s="109"/>
      <c r="O991" s="109"/>
      <c r="P991" s="109"/>
      <c r="Q991" s="109"/>
      <c r="R991" s="109"/>
      <c r="S991" s="109"/>
      <c r="T991" s="109"/>
      <c r="U991" s="109"/>
      <c r="V991" s="109"/>
      <c r="W991" s="109"/>
      <c r="X991" s="109"/>
      <c r="Y991" s="109"/>
      <c r="Z991" s="109"/>
    </row>
    <row r="992" spans="1:26" ht="13.5" customHeight="1">
      <c r="A992" s="109"/>
      <c r="B992" s="109"/>
      <c r="C992" s="109"/>
      <c r="D992" s="109"/>
      <c r="E992" s="109"/>
      <c r="F992" s="109"/>
      <c r="G992" s="161"/>
      <c r="H992" s="109"/>
      <c r="I992" s="109"/>
      <c r="J992" s="109"/>
      <c r="K992" s="109"/>
      <c r="L992" s="109"/>
      <c r="M992" s="109"/>
      <c r="N992" s="109"/>
      <c r="O992" s="109"/>
      <c r="P992" s="109"/>
      <c r="Q992" s="109"/>
      <c r="R992" s="109"/>
      <c r="S992" s="109"/>
      <c r="T992" s="109"/>
      <c r="U992" s="109"/>
      <c r="V992" s="109"/>
      <c r="W992" s="109"/>
      <c r="X992" s="109"/>
      <c r="Y992" s="109"/>
      <c r="Z992" s="109"/>
    </row>
    <row r="993" spans="1:26" ht="13.5" customHeight="1">
      <c r="A993" s="109"/>
      <c r="B993" s="109"/>
      <c r="C993" s="109"/>
      <c r="D993" s="109"/>
      <c r="E993" s="109"/>
      <c r="F993" s="109"/>
      <c r="G993" s="161"/>
      <c r="H993" s="109"/>
      <c r="I993" s="109"/>
      <c r="J993" s="109"/>
      <c r="K993" s="109"/>
      <c r="L993" s="109"/>
      <c r="M993" s="109"/>
      <c r="N993" s="109"/>
      <c r="O993" s="109"/>
      <c r="P993" s="109"/>
      <c r="Q993" s="109"/>
      <c r="R993" s="109"/>
      <c r="S993" s="109"/>
      <c r="T993" s="109"/>
      <c r="U993" s="109"/>
      <c r="V993" s="109"/>
      <c r="W993" s="109"/>
      <c r="X993" s="109"/>
      <c r="Y993" s="109"/>
      <c r="Z993" s="109"/>
    </row>
    <row r="994" spans="1:26" ht="13.5" customHeight="1">
      <c r="A994" s="109"/>
      <c r="B994" s="109"/>
      <c r="C994" s="109"/>
      <c r="D994" s="109"/>
      <c r="E994" s="109"/>
      <c r="F994" s="109"/>
      <c r="G994" s="161"/>
      <c r="H994" s="109"/>
      <c r="I994" s="109"/>
      <c r="J994" s="109"/>
      <c r="K994" s="109"/>
      <c r="L994" s="109"/>
      <c r="M994" s="109"/>
      <c r="N994" s="109"/>
      <c r="O994" s="109"/>
      <c r="P994" s="109"/>
      <c r="Q994" s="109"/>
      <c r="R994" s="109"/>
      <c r="S994" s="109"/>
      <c r="T994" s="109"/>
      <c r="U994" s="109"/>
      <c r="V994" s="109"/>
      <c r="W994" s="109"/>
      <c r="X994" s="109"/>
      <c r="Y994" s="109"/>
      <c r="Z994" s="109"/>
    </row>
    <row r="995" spans="1:26" ht="13.5" customHeight="1">
      <c r="A995" s="109"/>
      <c r="B995" s="109"/>
      <c r="C995" s="109"/>
      <c r="D995" s="109"/>
      <c r="E995" s="109"/>
      <c r="F995" s="109"/>
      <c r="G995" s="161"/>
      <c r="H995" s="109"/>
      <c r="I995" s="109"/>
      <c r="J995" s="109"/>
      <c r="K995" s="109"/>
      <c r="L995" s="109"/>
      <c r="M995" s="109"/>
      <c r="N995" s="109"/>
      <c r="O995" s="109"/>
      <c r="P995" s="109"/>
      <c r="Q995" s="109"/>
      <c r="R995" s="109"/>
      <c r="S995" s="109"/>
      <c r="T995" s="109"/>
      <c r="U995" s="109"/>
      <c r="V995" s="109"/>
      <c r="W995" s="109"/>
      <c r="X995" s="109"/>
      <c r="Y995" s="109"/>
      <c r="Z995" s="109"/>
    </row>
    <row r="996" spans="1:26" ht="13.5" customHeight="1">
      <c r="A996" s="109"/>
      <c r="B996" s="109"/>
      <c r="C996" s="109"/>
      <c r="D996" s="109"/>
      <c r="E996" s="109"/>
      <c r="F996" s="109"/>
      <c r="G996" s="161"/>
      <c r="H996" s="109"/>
      <c r="I996" s="109"/>
      <c r="J996" s="109"/>
      <c r="K996" s="109"/>
      <c r="L996" s="109"/>
      <c r="M996" s="109"/>
      <c r="N996" s="109"/>
      <c r="O996" s="109"/>
      <c r="P996" s="109"/>
      <c r="Q996" s="109"/>
      <c r="R996" s="109"/>
      <c r="S996" s="109"/>
      <c r="T996" s="109"/>
      <c r="U996" s="109"/>
      <c r="V996" s="109"/>
      <c r="W996" s="109"/>
      <c r="X996" s="109"/>
      <c r="Y996" s="109"/>
      <c r="Z996" s="109"/>
    </row>
    <row r="997" spans="1:26" ht="13.5" customHeight="1">
      <c r="A997" s="109"/>
      <c r="B997" s="109"/>
      <c r="C997" s="109"/>
      <c r="D997" s="109"/>
      <c r="E997" s="109"/>
      <c r="F997" s="109"/>
      <c r="G997" s="161"/>
      <c r="H997" s="109"/>
      <c r="I997" s="109"/>
      <c r="J997" s="109"/>
      <c r="K997" s="109"/>
      <c r="L997" s="109"/>
      <c r="M997" s="109"/>
      <c r="N997" s="109"/>
      <c r="O997" s="109"/>
      <c r="P997" s="109"/>
      <c r="Q997" s="109"/>
      <c r="R997" s="109"/>
      <c r="S997" s="109"/>
      <c r="T997" s="109"/>
      <c r="U997" s="109"/>
      <c r="V997" s="109"/>
      <c r="W997" s="109"/>
      <c r="X997" s="109"/>
      <c r="Y997" s="109"/>
      <c r="Z997" s="109"/>
    </row>
    <row r="998" spans="1:26" ht="13.5" customHeight="1">
      <c r="A998" s="109"/>
      <c r="B998" s="109"/>
      <c r="C998" s="109"/>
      <c r="D998" s="109"/>
      <c r="E998" s="109"/>
      <c r="F998" s="109"/>
      <c r="G998" s="161"/>
      <c r="H998" s="109"/>
      <c r="I998" s="109"/>
      <c r="J998" s="109"/>
      <c r="K998" s="109"/>
      <c r="L998" s="109"/>
      <c r="M998" s="109"/>
      <c r="N998" s="109"/>
      <c r="O998" s="109"/>
      <c r="P998" s="109"/>
      <c r="Q998" s="109"/>
      <c r="R998" s="109"/>
      <c r="S998" s="109"/>
      <c r="T998" s="109"/>
      <c r="U998" s="109"/>
      <c r="V998" s="109"/>
      <c r="W998" s="109"/>
      <c r="X998" s="109"/>
      <c r="Y998" s="109"/>
      <c r="Z998" s="109"/>
    </row>
    <row r="999" spans="1:26" ht="13.5" customHeight="1">
      <c r="A999" s="109"/>
      <c r="B999" s="109"/>
      <c r="C999" s="109"/>
      <c r="D999" s="109"/>
      <c r="E999" s="109"/>
      <c r="F999" s="109"/>
      <c r="G999" s="161"/>
      <c r="H999" s="109"/>
      <c r="I999" s="109"/>
      <c r="J999" s="109"/>
      <c r="K999" s="109"/>
      <c r="L999" s="109"/>
      <c r="M999" s="109"/>
      <c r="N999" s="109"/>
      <c r="O999" s="109"/>
      <c r="P999" s="109"/>
      <c r="Q999" s="109"/>
      <c r="R999" s="109"/>
      <c r="S999" s="109"/>
      <c r="T999" s="109"/>
      <c r="U999" s="109"/>
      <c r="V999" s="109"/>
      <c r="W999" s="109"/>
      <c r="X999" s="109"/>
      <c r="Y999" s="109"/>
      <c r="Z999" s="109"/>
    </row>
    <row r="1000" spans="1:26" ht="13.5" customHeight="1">
      <c r="A1000" s="109"/>
      <c r="B1000" s="109"/>
      <c r="C1000" s="109"/>
      <c r="D1000" s="109"/>
      <c r="E1000" s="109"/>
      <c r="F1000" s="109"/>
      <c r="G1000" s="161"/>
      <c r="H1000" s="109"/>
      <c r="I1000" s="109"/>
      <c r="J1000" s="109"/>
      <c r="K1000" s="109"/>
      <c r="L1000" s="109"/>
      <c r="M1000" s="109"/>
      <c r="N1000" s="109"/>
      <c r="O1000" s="109"/>
      <c r="P1000" s="109"/>
      <c r="Q1000" s="109"/>
      <c r="R1000" s="109"/>
      <c r="S1000" s="109"/>
      <c r="T1000" s="109"/>
      <c r="U1000" s="109"/>
      <c r="V1000" s="109"/>
      <c r="W1000" s="109"/>
      <c r="X1000" s="109"/>
      <c r="Y1000" s="109"/>
      <c r="Z1000" s="109"/>
    </row>
    <row r="1001" spans="1:26" ht="13.5" customHeight="1">
      <c r="A1001" s="109"/>
      <c r="B1001" s="109"/>
      <c r="C1001" s="109"/>
      <c r="D1001" s="109"/>
      <c r="E1001" s="109"/>
      <c r="F1001" s="109"/>
      <c r="G1001" s="161"/>
      <c r="H1001" s="109"/>
      <c r="I1001" s="109"/>
      <c r="J1001" s="109"/>
      <c r="K1001" s="109"/>
      <c r="L1001" s="109"/>
      <c r="M1001" s="109"/>
      <c r="N1001" s="109"/>
      <c r="O1001" s="109"/>
      <c r="P1001" s="109"/>
      <c r="Q1001" s="109"/>
      <c r="R1001" s="109"/>
      <c r="S1001" s="109"/>
      <c r="T1001" s="109"/>
      <c r="U1001" s="109"/>
      <c r="V1001" s="109"/>
      <c r="W1001" s="109"/>
      <c r="X1001" s="109"/>
      <c r="Y1001" s="109"/>
      <c r="Z1001" s="109"/>
    </row>
    <row r="1002" spans="1:26" ht="13.5" customHeight="1">
      <c r="A1002" s="109"/>
      <c r="B1002" s="109"/>
      <c r="C1002" s="109"/>
      <c r="D1002" s="109"/>
      <c r="E1002" s="109"/>
      <c r="F1002" s="109"/>
      <c r="G1002" s="161"/>
      <c r="H1002" s="109"/>
      <c r="I1002" s="109"/>
      <c r="J1002" s="109"/>
      <c r="K1002" s="109"/>
      <c r="L1002" s="109"/>
      <c r="M1002" s="109"/>
      <c r="N1002" s="109"/>
      <c r="O1002" s="109"/>
      <c r="P1002" s="109"/>
      <c r="Q1002" s="109"/>
      <c r="R1002" s="109"/>
      <c r="S1002" s="109"/>
      <c r="T1002" s="109"/>
      <c r="U1002" s="109"/>
      <c r="V1002" s="109"/>
      <c r="W1002" s="109"/>
      <c r="X1002" s="109"/>
      <c r="Y1002" s="109"/>
      <c r="Z1002" s="109"/>
    </row>
    <row r="1003" spans="1:26" ht="13.5" customHeight="1">
      <c r="A1003" s="109"/>
      <c r="B1003" s="109"/>
      <c r="C1003" s="109"/>
      <c r="D1003" s="109"/>
      <c r="E1003" s="109"/>
      <c r="F1003" s="109"/>
      <c r="G1003" s="161"/>
      <c r="H1003" s="109"/>
      <c r="I1003" s="109"/>
      <c r="J1003" s="109"/>
      <c r="K1003" s="109"/>
      <c r="L1003" s="109"/>
      <c r="M1003" s="109"/>
      <c r="N1003" s="109"/>
      <c r="O1003" s="109"/>
      <c r="P1003" s="109"/>
      <c r="Q1003" s="109"/>
      <c r="R1003" s="109"/>
      <c r="S1003" s="109"/>
      <c r="T1003" s="109"/>
      <c r="U1003" s="109"/>
      <c r="V1003" s="109"/>
      <c r="W1003" s="109"/>
      <c r="X1003" s="109"/>
      <c r="Y1003" s="109"/>
      <c r="Z1003" s="109"/>
    </row>
    <row r="1004" spans="1:26" ht="13.5" customHeight="1">
      <c r="A1004" s="109"/>
      <c r="B1004" s="109"/>
      <c r="C1004" s="109"/>
      <c r="D1004" s="109"/>
      <c r="E1004" s="109"/>
      <c r="F1004" s="109"/>
      <c r="G1004" s="161"/>
      <c r="H1004" s="109"/>
      <c r="I1004" s="109"/>
      <c r="J1004" s="109"/>
      <c r="K1004" s="109"/>
      <c r="L1004" s="109"/>
      <c r="M1004" s="109"/>
      <c r="N1004" s="109"/>
      <c r="O1004" s="109"/>
      <c r="P1004" s="109"/>
      <c r="Q1004" s="109"/>
      <c r="R1004" s="109"/>
      <c r="S1004" s="109"/>
      <c r="T1004" s="109"/>
      <c r="U1004" s="109"/>
      <c r="V1004" s="109"/>
      <c r="W1004" s="109"/>
      <c r="X1004" s="109"/>
      <c r="Y1004" s="109"/>
      <c r="Z1004" s="109"/>
    </row>
    <row r="1005" spans="1:26" ht="13.5" customHeight="1">
      <c r="A1005" s="109"/>
      <c r="B1005" s="109"/>
      <c r="C1005" s="109"/>
      <c r="D1005" s="109"/>
      <c r="E1005" s="109"/>
      <c r="F1005" s="109"/>
      <c r="G1005" s="161"/>
      <c r="H1005" s="109"/>
      <c r="I1005" s="109"/>
      <c r="J1005" s="109"/>
      <c r="K1005" s="109"/>
      <c r="L1005" s="109"/>
      <c r="M1005" s="109"/>
      <c r="N1005" s="109"/>
      <c r="O1005" s="109"/>
      <c r="P1005" s="109"/>
      <c r="Q1005" s="109"/>
      <c r="R1005" s="109"/>
      <c r="S1005" s="109"/>
      <c r="T1005" s="109"/>
      <c r="U1005" s="109"/>
      <c r="V1005" s="109"/>
      <c r="W1005" s="109"/>
      <c r="X1005" s="109"/>
      <c r="Y1005" s="109"/>
      <c r="Z1005" s="109"/>
    </row>
    <row r="1006" spans="1:26" ht="13.5" customHeight="1">
      <c r="A1006" s="109"/>
      <c r="B1006" s="109"/>
      <c r="C1006" s="109"/>
      <c r="D1006" s="109"/>
      <c r="E1006" s="109"/>
      <c r="F1006" s="109"/>
      <c r="G1006" s="161"/>
      <c r="H1006" s="109"/>
      <c r="I1006" s="109"/>
      <c r="J1006" s="109"/>
      <c r="K1006" s="109"/>
      <c r="L1006" s="109"/>
      <c r="M1006" s="109"/>
      <c r="N1006" s="109"/>
      <c r="O1006" s="109"/>
      <c r="P1006" s="109"/>
      <c r="Q1006" s="109"/>
      <c r="R1006" s="109"/>
      <c r="S1006" s="109"/>
      <c r="T1006" s="109"/>
      <c r="U1006" s="109"/>
      <c r="V1006" s="109"/>
      <c r="W1006" s="109"/>
      <c r="X1006" s="109"/>
      <c r="Y1006" s="109"/>
      <c r="Z1006" s="109"/>
    </row>
    <row r="1007" spans="1:26" ht="13.5" customHeight="1">
      <c r="A1007" s="109"/>
      <c r="B1007" s="109"/>
      <c r="C1007" s="109"/>
      <c r="D1007" s="109"/>
      <c r="E1007" s="109"/>
      <c r="F1007" s="109"/>
      <c r="G1007" s="161"/>
      <c r="H1007" s="109"/>
      <c r="I1007" s="109"/>
      <c r="J1007" s="109"/>
      <c r="K1007" s="109"/>
      <c r="L1007" s="109"/>
      <c r="M1007" s="109"/>
      <c r="N1007" s="109"/>
      <c r="O1007" s="109"/>
      <c r="P1007" s="109"/>
      <c r="Q1007" s="109"/>
      <c r="R1007" s="109"/>
      <c r="S1007" s="109"/>
      <c r="T1007" s="109"/>
      <c r="U1007" s="109"/>
      <c r="V1007" s="109"/>
      <c r="W1007" s="109"/>
      <c r="X1007" s="109"/>
      <c r="Y1007" s="109"/>
      <c r="Z1007" s="109"/>
    </row>
  </sheetData>
  <pageMargins left="0.75" right="0.75" top="1" bottom="1" header="0" footer="0"/>
  <pageSetup orientation="landscape"/>
  <rowBreaks count="5" manualBreakCount="5">
    <brk id="53" man="1"/>
    <brk id="153" man="1"/>
    <brk id="91" man="1"/>
    <brk id="260" man="1"/>
    <brk id="191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07A1E-DB0D-4FFA-ADA4-28BA02467E57}">
  <sheetPr>
    <tabColor rgb="FFCC3333"/>
  </sheetPr>
  <dimension ref="A1:Z1001"/>
  <sheetViews>
    <sheetView tabSelected="1" topLeftCell="D121" zoomScale="55" workbookViewId="0">
      <selection activeCell="I128" sqref="I128"/>
    </sheetView>
  </sheetViews>
  <sheetFormatPr defaultColWidth="12.5" defaultRowHeight="15" customHeight="1"/>
  <cols>
    <col min="1" max="1" width="28.5" style="107" customWidth="1"/>
    <col min="2" max="2" width="36.296875" style="107" customWidth="1"/>
    <col min="3" max="3" width="26.5" style="107" customWidth="1"/>
    <col min="4" max="4" width="32.5" style="107" customWidth="1"/>
    <col min="5" max="5" width="28.69921875" style="107" customWidth="1"/>
    <col min="6" max="6" width="29.19921875" style="107" customWidth="1"/>
    <col min="7" max="7" width="5.19921875" style="107" customWidth="1"/>
    <col min="8" max="8" width="29.5" style="107" customWidth="1"/>
    <col min="9" max="9" width="5.19921875" style="107" customWidth="1"/>
    <col min="10" max="11" width="5.296875" style="107" customWidth="1"/>
    <col min="12" max="12" width="6" style="107" customWidth="1"/>
    <col min="13" max="13" width="10.296875" style="107" customWidth="1"/>
    <col min="14" max="14" width="10" style="107" customWidth="1"/>
    <col min="15" max="15" width="12.796875" style="107" customWidth="1"/>
    <col min="16" max="16" width="2.5" style="107" customWidth="1"/>
    <col min="17" max="26" width="12.796875" style="107" customWidth="1"/>
    <col min="27" max="16384" width="12.5" style="107"/>
  </cols>
  <sheetData>
    <row r="1" spans="1:26" ht="13.5" customHeight="1" thickTop="1" thickBot="1">
      <c r="A1" s="105" t="s">
        <v>61</v>
      </c>
      <c r="B1" s="2" t="s">
        <v>62</v>
      </c>
      <c r="C1" s="2" t="s">
        <v>63</v>
      </c>
      <c r="D1" s="49" t="s">
        <v>64</v>
      </c>
      <c r="E1" s="106"/>
      <c r="F1" s="106"/>
      <c r="G1" s="300"/>
      <c r="H1" s="148"/>
      <c r="I1" s="300"/>
      <c r="J1" s="148"/>
      <c r="K1" s="148"/>
      <c r="L1" s="148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 spans="1:26" ht="13.5" customHeight="1" thickBot="1">
      <c r="A2" s="108">
        <v>46221</v>
      </c>
      <c r="B2" s="2"/>
      <c r="C2" s="2"/>
      <c r="D2" s="51" t="s">
        <v>1352</v>
      </c>
      <c r="E2" s="106"/>
      <c r="F2" s="106"/>
      <c r="G2" s="110"/>
      <c r="H2" s="106"/>
      <c r="I2" s="110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</row>
    <row r="3" spans="1:26" ht="13.5" customHeight="1" thickBot="1">
      <c r="A3" s="106"/>
      <c r="B3" s="106"/>
      <c r="C3" s="106"/>
      <c r="D3" s="150" t="s">
        <v>72</v>
      </c>
      <c r="E3" s="106"/>
      <c r="F3" s="106"/>
      <c r="G3" s="110"/>
      <c r="H3" s="106"/>
      <c r="I3" s="110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</row>
    <row r="4" spans="1:26" ht="13.5" customHeight="1">
      <c r="A4" s="301" t="s">
        <v>85</v>
      </c>
      <c r="B4" s="301" t="s">
        <v>86</v>
      </c>
      <c r="C4" s="301" t="s">
        <v>87</v>
      </c>
      <c r="D4" s="301" t="s">
        <v>88</v>
      </c>
      <c r="E4" s="301" t="s">
        <v>89</v>
      </c>
      <c r="F4" s="301" t="s">
        <v>90</v>
      </c>
      <c r="G4" s="110"/>
      <c r="H4" s="152" t="s">
        <v>227</v>
      </c>
      <c r="I4" s="110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</row>
    <row r="5" spans="1:26" ht="13.5" customHeight="1">
      <c r="A5" s="122" t="s">
        <v>1353</v>
      </c>
      <c r="B5" s="122" t="s">
        <v>1354</v>
      </c>
      <c r="C5" s="122" t="s">
        <v>1355</v>
      </c>
      <c r="D5" s="122" t="s">
        <v>1302</v>
      </c>
      <c r="E5" s="122" t="s">
        <v>1356</v>
      </c>
      <c r="F5" s="122" t="s">
        <v>1357</v>
      </c>
      <c r="G5" s="110"/>
      <c r="H5" s="106"/>
      <c r="I5" s="110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</row>
    <row r="6" spans="1:26" ht="13.5" customHeight="1">
      <c r="A6" s="122" t="s">
        <v>1358</v>
      </c>
      <c r="B6" s="122" t="s">
        <v>1359</v>
      </c>
      <c r="C6" s="122" t="s">
        <v>1360</v>
      </c>
      <c r="D6" s="122" t="s">
        <v>1361</v>
      </c>
      <c r="E6" s="122" t="s">
        <v>1362</v>
      </c>
      <c r="F6" s="122" t="s">
        <v>1363</v>
      </c>
      <c r="G6" s="110"/>
      <c r="H6" s="106"/>
      <c r="I6" s="110"/>
      <c r="J6" s="106"/>
      <c r="K6" s="106"/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</row>
    <row r="7" spans="1:26" ht="13.5" customHeight="1">
      <c r="A7" s="122" t="s">
        <v>1364</v>
      </c>
      <c r="B7" s="122" t="s">
        <v>1365</v>
      </c>
      <c r="C7" s="122" t="s">
        <v>1366</v>
      </c>
      <c r="D7" s="122" t="s">
        <v>1367</v>
      </c>
      <c r="E7" s="122" t="s">
        <v>1368</v>
      </c>
      <c r="F7" s="122" t="s">
        <v>1369</v>
      </c>
      <c r="G7" s="110"/>
      <c r="H7" s="106"/>
      <c r="I7" s="110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</row>
    <row r="8" spans="1:26" ht="13.5" customHeight="1">
      <c r="A8" s="122" t="s">
        <v>1370</v>
      </c>
      <c r="B8" s="122" t="s">
        <v>1371</v>
      </c>
      <c r="C8" s="122" t="s">
        <v>1372</v>
      </c>
      <c r="D8" s="122" t="s">
        <v>1373</v>
      </c>
      <c r="E8" s="122" t="s">
        <v>1374</v>
      </c>
      <c r="F8" s="122" t="s">
        <v>1375</v>
      </c>
      <c r="G8" s="110"/>
      <c r="H8" s="106"/>
      <c r="I8" s="110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</row>
    <row r="9" spans="1:26" ht="13.5" customHeight="1">
      <c r="A9" s="106"/>
      <c r="B9" s="106"/>
      <c r="C9" s="106"/>
      <c r="D9" s="106"/>
      <c r="E9" s="106"/>
      <c r="F9" s="106"/>
      <c r="G9" s="110"/>
      <c r="H9" s="106"/>
      <c r="I9" s="110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</row>
    <row r="10" spans="1:26" ht="13.5" customHeight="1">
      <c r="A10" s="301" t="s">
        <v>246</v>
      </c>
      <c r="B10" s="301" t="s">
        <v>247</v>
      </c>
      <c r="C10" s="301" t="s">
        <v>248</v>
      </c>
      <c r="D10" s="301" t="s">
        <v>249</v>
      </c>
      <c r="E10" s="301" t="s">
        <v>250</v>
      </c>
      <c r="F10" s="301" t="s">
        <v>251</v>
      </c>
      <c r="G10" s="110"/>
      <c r="H10" s="106"/>
      <c r="I10" s="110"/>
      <c r="J10" s="106"/>
      <c r="K10" s="106"/>
      <c r="L10" s="106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</row>
    <row r="11" spans="1:26" ht="13.5" customHeight="1">
      <c r="A11" s="122" t="s">
        <v>1376</v>
      </c>
      <c r="B11" s="122" t="s">
        <v>1377</v>
      </c>
      <c r="C11" s="122" t="s">
        <v>1378</v>
      </c>
      <c r="D11" s="122" t="s">
        <v>1379</v>
      </c>
      <c r="E11" s="122" t="s">
        <v>1380</v>
      </c>
      <c r="F11" s="122" t="s">
        <v>1381</v>
      </c>
      <c r="G11" s="110"/>
      <c r="H11" s="106"/>
      <c r="I11" s="110"/>
      <c r="J11" s="106"/>
      <c r="K11" s="106"/>
      <c r="L11" s="106"/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</row>
    <row r="12" spans="1:26" ht="13.5" customHeight="1">
      <c r="A12" s="122" t="s">
        <v>1382</v>
      </c>
      <c r="B12" s="122" t="s">
        <v>1383</v>
      </c>
      <c r="C12" s="122" t="s">
        <v>1384</v>
      </c>
      <c r="D12" s="122" t="s">
        <v>1385</v>
      </c>
      <c r="E12" s="122" t="s">
        <v>1386</v>
      </c>
      <c r="F12" s="122" t="s">
        <v>1387</v>
      </c>
      <c r="G12" s="110"/>
      <c r="H12" s="106"/>
      <c r="I12" s="110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</row>
    <row r="13" spans="1:26" ht="13.5" customHeight="1">
      <c r="A13" s="122" t="s">
        <v>1388</v>
      </c>
      <c r="B13" s="122" t="s">
        <v>1389</v>
      </c>
      <c r="C13" s="122" t="s">
        <v>1390</v>
      </c>
      <c r="D13" s="122" t="s">
        <v>1391</v>
      </c>
      <c r="E13" s="122" t="s">
        <v>1392</v>
      </c>
      <c r="F13" s="122" t="s">
        <v>1393</v>
      </c>
      <c r="G13" s="110"/>
      <c r="H13" s="106"/>
      <c r="I13" s="110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</row>
    <row r="14" spans="1:26" ht="13.5" customHeight="1">
      <c r="A14" s="122" t="s">
        <v>1394</v>
      </c>
      <c r="B14" s="122" t="s">
        <v>1395</v>
      </c>
      <c r="C14" s="122" t="s">
        <v>1396</v>
      </c>
      <c r="D14" s="122" t="s">
        <v>1397</v>
      </c>
      <c r="E14" s="122" t="s">
        <v>1398</v>
      </c>
      <c r="F14" s="122" t="s">
        <v>645</v>
      </c>
      <c r="G14" s="110"/>
      <c r="H14" s="106"/>
      <c r="I14" s="110"/>
      <c r="J14" s="106"/>
      <c r="K14" s="106"/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</row>
    <row r="15" spans="1:26" ht="13.5" customHeight="1" thickBot="1">
      <c r="A15" s="106"/>
      <c r="B15" s="106"/>
      <c r="C15" s="106"/>
      <c r="D15" s="106"/>
      <c r="E15" s="106"/>
      <c r="F15" s="106"/>
      <c r="G15" s="110"/>
      <c r="H15" s="106"/>
      <c r="I15" s="110"/>
      <c r="J15" s="106"/>
      <c r="K15" s="106"/>
      <c r="L15" s="106" t="s">
        <v>1399</v>
      </c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</row>
    <row r="16" spans="1:26" ht="13.5" customHeight="1" thickBot="1">
      <c r="A16" s="106"/>
      <c r="B16" s="106"/>
      <c r="C16" s="106"/>
      <c r="D16" s="150" t="str">
        <f>'CHICLETS MASTER S1'!$AY$3</f>
        <v>CHAPMAN UNIVERSITY</v>
      </c>
      <c r="E16" s="106"/>
      <c r="F16" s="106"/>
      <c r="G16" s="110"/>
      <c r="H16" s="106"/>
      <c r="I16" s="110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</row>
    <row r="17" spans="1:26" ht="13.5" customHeight="1">
      <c r="A17" s="301" t="s">
        <v>110</v>
      </c>
      <c r="B17" s="301" t="s">
        <v>111</v>
      </c>
      <c r="C17" s="301" t="s">
        <v>112</v>
      </c>
      <c r="D17" s="301" t="s">
        <v>113</v>
      </c>
      <c r="E17" s="301" t="s">
        <v>114</v>
      </c>
      <c r="F17" s="301" t="s">
        <v>115</v>
      </c>
      <c r="G17" s="302" t="s">
        <v>116</v>
      </c>
      <c r="H17" s="301" t="s">
        <v>117</v>
      </c>
      <c r="I17" s="302" t="s">
        <v>116</v>
      </c>
      <c r="J17" s="301" t="s">
        <v>118</v>
      </c>
      <c r="K17" s="301" t="s">
        <v>119</v>
      </c>
      <c r="L17" s="301" t="s">
        <v>120</v>
      </c>
      <c r="M17" s="106"/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</row>
    <row r="18" spans="1:26" ht="13.5" customHeight="1">
      <c r="A18" s="155">
        <f t="shared" ref="A18:A27" si="0">$A$2</f>
        <v>46221</v>
      </c>
      <c r="B18" s="156">
        <f>'CHICLETS MASTER S1'!AU4</f>
        <v>0.29166666666666669</v>
      </c>
      <c r="C18" s="122" t="s">
        <v>163</v>
      </c>
      <c r="D18" s="122" t="str">
        <f t="shared" ref="D18:D27" si="1">$D$16</f>
        <v>CHAPMAN UNIVERSITY</v>
      </c>
      <c r="E18" s="122">
        <v>1</v>
      </c>
      <c r="F18" s="122" t="str">
        <f>A5</f>
        <v>1-NEWPORT BEACH</v>
      </c>
      <c r="G18" s="157">
        <v>1</v>
      </c>
      <c r="H18" s="122" t="str">
        <f>A8</f>
        <v>48-SOUTH COAST RED</v>
      </c>
      <c r="I18" s="157">
        <v>7</v>
      </c>
      <c r="J18" s="122">
        <v>26</v>
      </c>
      <c r="K18" s="122">
        <v>27</v>
      </c>
      <c r="L18" s="122" t="str">
        <f t="shared" ref="L18:L27" si="2">$L$15&amp;"-"&amp;TEXT(E18,"000")</f>
        <v>18G-001</v>
      </c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</row>
    <row r="19" spans="1:26" ht="13.5" customHeight="1">
      <c r="A19" s="155">
        <f t="shared" si="0"/>
        <v>46221</v>
      </c>
      <c r="B19" s="156">
        <f>'CHICLETS MASTER S1'!AU5</f>
        <v>0.33333333333333298</v>
      </c>
      <c r="C19" s="122" t="s">
        <v>163</v>
      </c>
      <c r="D19" s="122" t="str">
        <f t="shared" si="1"/>
        <v>CHAPMAN UNIVERSITY</v>
      </c>
      <c r="E19" s="122">
        <v>6</v>
      </c>
      <c r="F19" s="122" t="str">
        <f t="shared" ref="F19:F20" si="3">C5</f>
        <v>3-SOCAL BLACK</v>
      </c>
      <c r="G19" s="157">
        <v>2</v>
      </c>
      <c r="H19" s="122" t="str">
        <f>C8</f>
        <v>46-NORCO</v>
      </c>
      <c r="I19" s="157">
        <v>8</v>
      </c>
      <c r="J19" s="122">
        <v>31</v>
      </c>
      <c r="K19" s="122">
        <v>36</v>
      </c>
      <c r="L19" s="122" t="str">
        <f t="shared" si="2"/>
        <v>18G-006</v>
      </c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</row>
    <row r="20" spans="1:26" ht="13.5" customHeight="1">
      <c r="A20" s="155">
        <f t="shared" si="0"/>
        <v>46221</v>
      </c>
      <c r="B20" s="156">
        <f>'CHICLETS MASTER S1'!AU6</f>
        <v>0.375</v>
      </c>
      <c r="C20" s="122" t="s">
        <v>163</v>
      </c>
      <c r="D20" s="122" t="str">
        <f t="shared" si="1"/>
        <v>CHAPMAN UNIVERSITY</v>
      </c>
      <c r="E20" s="122">
        <v>11</v>
      </c>
      <c r="F20" s="122" t="str">
        <f t="shared" si="3"/>
        <v>22-SEASIDE</v>
      </c>
      <c r="G20" s="157">
        <v>1</v>
      </c>
      <c r="H20" s="122" t="str">
        <f>C7</f>
        <v>27-VIPER PIGEON</v>
      </c>
      <c r="I20" s="157">
        <v>53</v>
      </c>
      <c r="J20" s="122">
        <v>31</v>
      </c>
      <c r="K20" s="122">
        <v>36</v>
      </c>
      <c r="L20" s="122" t="str">
        <f t="shared" si="2"/>
        <v>18G-011</v>
      </c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</row>
    <row r="21" spans="1:26" ht="13.5" customHeight="1">
      <c r="A21" s="155">
        <f t="shared" si="0"/>
        <v>46221</v>
      </c>
      <c r="B21" s="156">
        <f>'CHICLETS MASTER S1'!AU7</f>
        <v>0.41666666666666702</v>
      </c>
      <c r="C21" s="122" t="s">
        <v>163</v>
      </c>
      <c r="D21" s="122" t="str">
        <f t="shared" si="1"/>
        <v>CHAPMAN UNIVERSITY</v>
      </c>
      <c r="E21" s="122">
        <v>16</v>
      </c>
      <c r="F21" s="122" t="str">
        <f t="shared" ref="F21:F22" si="4">D5</f>
        <v>4-LAMORINDA A</v>
      </c>
      <c r="G21" s="157">
        <v>3</v>
      </c>
      <c r="H21" s="122" t="str">
        <f>D8</f>
        <v>45-OAHU</v>
      </c>
      <c r="I21" s="157">
        <v>6</v>
      </c>
      <c r="J21" s="122">
        <v>41</v>
      </c>
      <c r="K21" s="122">
        <v>45</v>
      </c>
      <c r="L21" s="122" t="str">
        <f t="shared" si="2"/>
        <v>18G-016</v>
      </c>
      <c r="M21" s="106"/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</row>
    <row r="22" spans="1:26" ht="13.5" customHeight="1">
      <c r="A22" s="155">
        <f t="shared" si="0"/>
        <v>46221</v>
      </c>
      <c r="B22" s="156">
        <f>'CHICLETS MASTER S1'!AU8</f>
        <v>0.45833333333333298</v>
      </c>
      <c r="C22" s="122" t="s">
        <v>163</v>
      </c>
      <c r="D22" s="122" t="str">
        <f t="shared" si="1"/>
        <v>CHAPMAN UNIVERSITY</v>
      </c>
      <c r="E22" s="122">
        <v>21</v>
      </c>
      <c r="F22" s="122" t="str">
        <f t="shared" si="4"/>
        <v>21-SANTA CRUZ</v>
      </c>
      <c r="G22" s="157">
        <v>1</v>
      </c>
      <c r="H22" s="122" t="str">
        <f>D7</f>
        <v>28-SHAQ BLUE</v>
      </c>
      <c r="I22" s="157">
        <v>5</v>
      </c>
      <c r="J22" s="122">
        <v>41</v>
      </c>
      <c r="K22" s="122">
        <v>45</v>
      </c>
      <c r="L22" s="122" t="str">
        <f t="shared" si="2"/>
        <v>18G-021</v>
      </c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</row>
    <row r="23" spans="1:26" ht="13.5" customHeight="1">
      <c r="A23" s="155">
        <f t="shared" si="0"/>
        <v>46221</v>
      </c>
      <c r="B23" s="156">
        <f>'CHICLETS MASTER S1'!AU9</f>
        <v>0.5</v>
      </c>
      <c r="C23" s="122" t="s">
        <v>163</v>
      </c>
      <c r="D23" s="122" t="str">
        <f t="shared" si="1"/>
        <v>CHAPMAN UNIVERSITY</v>
      </c>
      <c r="E23" s="122">
        <v>26</v>
      </c>
      <c r="F23" s="122" t="str">
        <f>IF(G18 = "", "W1", IF(G18 &gt; I18, _xlfn.CONCAT("W1-", RIGHT(F18, LEN(F18) - FIND("-", F18))), _xlfn.CONCAT("W1-", RIGHT(H18, LEN(H18) - FIND("-", H18)))))</f>
        <v>W1-SOUTH COAST RED</v>
      </c>
      <c r="G23" s="157">
        <v>5</v>
      </c>
      <c r="H23" s="152" t="str">
        <f>IF(G34 = "", "W2", IF(G34 &gt; I34, _xlfn.CONCAT("W2-", RIGHT(F34, LEN(F34) - FIND("-", F34))), _xlfn.CONCAT("W2-", RIGHT(H34, LEN(H34) - FIND("-", H34)))))</f>
        <v>W2-FOOTHILL</v>
      </c>
      <c r="I23" s="157">
        <v>86</v>
      </c>
      <c r="J23" s="122" t="s">
        <v>164</v>
      </c>
      <c r="K23" s="122">
        <v>50</v>
      </c>
      <c r="L23" s="122" t="str">
        <f t="shared" si="2"/>
        <v>18G-026</v>
      </c>
      <c r="M23" s="106"/>
      <c r="N23" s="106"/>
      <c r="O23" s="106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</row>
    <row r="24" spans="1:26" ht="13.5" customHeight="1">
      <c r="A24" s="155">
        <f t="shared" si="0"/>
        <v>46221</v>
      </c>
      <c r="B24" s="156">
        <f>'CHICLETS MASTER S1'!AU10</f>
        <v>0.54166666666666696</v>
      </c>
      <c r="C24" s="122" t="s">
        <v>163</v>
      </c>
      <c r="D24" s="122" t="str">
        <f t="shared" si="1"/>
        <v>CHAPMAN UNIVERSITY</v>
      </c>
      <c r="E24" s="122">
        <v>31</v>
      </c>
      <c r="F24" s="122" t="str">
        <f>IF(G19 = "", "W6", IF(G19 &gt; I19, _xlfn.CONCAT("W6-", RIGHT(F19, LEN(F19) - FIND("-", F19))), _xlfn.CONCAT("W6-", RIGHT(H19, LEN(H19) - FIND("-", H19)))))</f>
        <v>W6-NORCO</v>
      </c>
      <c r="G24" s="157">
        <v>1</v>
      </c>
      <c r="H24" s="122" t="str">
        <f>IF(G20 = "", "W11", IF(G20 &gt; I20, _xlfn.CONCAT("W11-", RIGHT(F20, LEN(F20) - FIND("-", F20))), _xlfn.CONCAT("W11-", RIGHT(H20, LEN(H20) - FIND("-", H20)))))</f>
        <v>W11-VIPER PIGEON</v>
      </c>
      <c r="I24" s="157">
        <v>54</v>
      </c>
      <c r="J24" s="122" t="s">
        <v>174</v>
      </c>
      <c r="K24" s="122">
        <v>56</v>
      </c>
      <c r="L24" s="122" t="str">
        <f t="shared" si="2"/>
        <v>18G-031</v>
      </c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</row>
    <row r="25" spans="1:26" ht="13.5" customHeight="1">
      <c r="A25" s="155">
        <f t="shared" si="0"/>
        <v>46221</v>
      </c>
      <c r="B25" s="156">
        <f>'CHICLETS MASTER S1'!AU11</f>
        <v>0.58333333333333304</v>
      </c>
      <c r="C25" s="122" t="s">
        <v>163</v>
      </c>
      <c r="D25" s="122" t="str">
        <f t="shared" si="1"/>
        <v>CHAPMAN UNIVERSITY</v>
      </c>
      <c r="E25" s="122">
        <v>36</v>
      </c>
      <c r="F25" s="122" t="str">
        <f>IF(G19 = "", "L6", IF(G19 &lt; I19, _xlfn.CONCAT("L6-", RIGHT(F19, LEN(F19) - FIND("-", F19))), _xlfn.CONCAT("L6-", RIGHT(H19, LEN(H19) - FIND("-", H19)))))</f>
        <v>L6-SOCAL BLACK</v>
      </c>
      <c r="G25" s="157">
        <v>2</v>
      </c>
      <c r="H25" s="122" t="str">
        <f>IF(G20 = "", "L11", IF(G20 &lt; I20, _xlfn.CONCAT("L11-", RIGHT(F20, LEN(F20) - FIND("-", F20))), _xlfn.CONCAT("L11-", RIGHT(H20, LEN(H20) - FIND("-", H20)))))</f>
        <v>L11-SEASIDE</v>
      </c>
      <c r="I25" s="157">
        <v>54</v>
      </c>
      <c r="J25" s="122">
        <v>51</v>
      </c>
      <c r="K25" s="122" t="s">
        <v>654</v>
      </c>
      <c r="L25" s="122" t="str">
        <f t="shared" si="2"/>
        <v>18G-036</v>
      </c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</row>
    <row r="26" spans="1:26" ht="13.5" customHeight="1">
      <c r="A26" s="155">
        <f t="shared" si="0"/>
        <v>46221</v>
      </c>
      <c r="B26" s="156">
        <f>'CHICLETS MASTER S1'!AU12</f>
        <v>0.625</v>
      </c>
      <c r="C26" s="122" t="s">
        <v>163</v>
      </c>
      <c r="D26" s="122" t="str">
        <f t="shared" si="1"/>
        <v>CHAPMAN UNIVERSITY</v>
      </c>
      <c r="E26" s="122">
        <v>41</v>
      </c>
      <c r="F26" s="122" t="str">
        <f>IF(G21 = "", "W16", IF(G21 &gt; I21, _xlfn.CONCAT("W16-", RIGHT(F21, LEN(F21) - FIND("-", F21))), _xlfn.CONCAT("W16-", RIGHT(H21, LEN(H21) - FIND("-", H21)))))</f>
        <v>W16-OAHU</v>
      </c>
      <c r="G26" s="157">
        <v>3</v>
      </c>
      <c r="H26" s="122" t="str">
        <f>IF(G22 = "", "W21", IF(G22 &gt; I22, _xlfn.CONCAT("W21-", RIGHT(F22, LEN(F22) - FIND("-", F22))), _xlfn.CONCAT("W21-", RIGHT(H22, LEN(H22) - FIND("-", H22)))))</f>
        <v>W21-SHAQ BLUE</v>
      </c>
      <c r="I26" s="157">
        <v>6</v>
      </c>
      <c r="J26" s="122" t="s">
        <v>175</v>
      </c>
      <c r="K26" s="122">
        <v>51</v>
      </c>
      <c r="L26" s="122" t="str">
        <f t="shared" si="2"/>
        <v>18G-041</v>
      </c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</row>
    <row r="27" spans="1:26" ht="13.5" customHeight="1">
      <c r="A27" s="155">
        <f t="shared" si="0"/>
        <v>46221</v>
      </c>
      <c r="B27" s="156">
        <f>'CHICLETS MASTER S1'!AU13</f>
        <v>0.66666666666666696</v>
      </c>
      <c r="C27" s="122" t="s">
        <v>163</v>
      </c>
      <c r="D27" s="122" t="str">
        <f t="shared" si="1"/>
        <v>CHAPMAN UNIVERSITY</v>
      </c>
      <c r="E27" s="122">
        <v>45</v>
      </c>
      <c r="F27" s="122" t="str">
        <f>IF(G21 = "", "L16", IF(G21 &lt; I21, _xlfn.CONCAT("L16-", RIGHT(F21, LEN(F21) - FIND("-", F21))), _xlfn.CONCAT("L16-", RIGHT(H21, LEN(H21) - FIND("-", H21)))))</f>
        <v>L16-LAMORINDA A</v>
      </c>
      <c r="G27" s="157">
        <v>4</v>
      </c>
      <c r="H27" s="122" t="str">
        <f>IF(G22 = "", "L21", IF(G22 &lt; I22, _xlfn.CONCAT("L21-", RIGHT(F22, LEN(F22) - FIND("-", F22))), _xlfn.CONCAT("L21-", RIGHT(H22, LEN(H22) - FIND("-", H22)))))</f>
        <v>L21-SANTA CRUZ</v>
      </c>
      <c r="I27" s="157">
        <v>7</v>
      </c>
      <c r="J27" s="122">
        <v>56</v>
      </c>
      <c r="K27" s="122" t="s">
        <v>705</v>
      </c>
      <c r="L27" s="122" t="str">
        <f t="shared" si="2"/>
        <v>18G-045</v>
      </c>
      <c r="M27" s="106"/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</row>
    <row r="28" spans="1:26" ht="13.5" customHeight="1">
      <c r="A28" s="158"/>
      <c r="B28" s="106" t="s">
        <v>204</v>
      </c>
      <c r="C28" s="106"/>
      <c r="D28" s="106"/>
      <c r="E28" s="106"/>
      <c r="F28" s="106"/>
      <c r="G28" s="110"/>
      <c r="H28" s="106"/>
      <c r="I28" s="106"/>
      <c r="J28" s="106"/>
      <c r="K28" s="106"/>
      <c r="L28" s="106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</row>
    <row r="29" spans="1:26" ht="13.5" customHeight="1">
      <c r="A29" s="155">
        <f t="shared" ref="A29:A30" si="5">$A$2</f>
        <v>46221</v>
      </c>
      <c r="B29" s="156">
        <f>'CHICLETS MASTER S1'!AU15</f>
        <v>0.75</v>
      </c>
      <c r="C29" s="122" t="s">
        <v>275</v>
      </c>
      <c r="D29" s="122" t="str">
        <f t="shared" ref="D29:D30" si="6">$D$16</f>
        <v>CHAPMAN UNIVERSITY</v>
      </c>
      <c r="E29" s="122">
        <v>51</v>
      </c>
      <c r="F29" s="122" t="str">
        <f>IF(G26 = "", "L41", IF(G26 &lt; I26, _xlfn.CONCAT("L41-", RIGHT(F26, LEN(F26) - FIND("-", F26))), _xlfn.CONCAT("L41-", RIGHT(H26, LEN(H26) - FIND("-", H26)))))</f>
        <v>L41-OAHU</v>
      </c>
      <c r="G29" s="157">
        <v>6</v>
      </c>
      <c r="H29" s="122" t="str">
        <f>IF(G25 = "", "W36", IF(G25 &gt; I25, _xlfn.CONCAT("W36-", RIGHT(F25, LEN(F25) - FIND("-", F25))), _xlfn.CONCAT("W36-", RIGHT(H25, LEN(H25) - FIND("-", H25)))))</f>
        <v>W36-SEASIDE</v>
      </c>
      <c r="I29" s="157">
        <v>8</v>
      </c>
      <c r="J29" s="122" t="s">
        <v>142</v>
      </c>
      <c r="K29" s="122" t="s">
        <v>289</v>
      </c>
      <c r="L29" s="122" t="str">
        <f t="shared" ref="L29:L30" si="7">$L$15&amp;"-"&amp;TEXT(E29,"000")</f>
        <v>18G-051</v>
      </c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</row>
    <row r="30" spans="1:26" ht="13.5" customHeight="1">
      <c r="A30" s="155">
        <f t="shared" si="5"/>
        <v>46221</v>
      </c>
      <c r="B30" s="156">
        <f>'CHICLETS MASTER S1'!AU16</f>
        <v>0.79166666666666696</v>
      </c>
      <c r="C30" s="122" t="s">
        <v>275</v>
      </c>
      <c r="D30" s="122" t="str">
        <f t="shared" si="6"/>
        <v>CHAPMAN UNIVERSITY</v>
      </c>
      <c r="E30" s="122">
        <v>56</v>
      </c>
      <c r="F30" s="122" t="str">
        <f>IF(G24 = "", "L31", IF(G24 &lt; I24, _xlfn.CONCAT("L31-", RIGHT(F24, LEN(F24) - FIND("-", F24))), _xlfn.CONCAT("L31-", RIGHT(H24, LEN(H24) - FIND("-", H24)))))</f>
        <v>L31-NORCO</v>
      </c>
      <c r="G30" s="157">
        <v>7</v>
      </c>
      <c r="H30" s="122" t="str">
        <f>IF(G27 = "", "W45", IF(G27 &gt; I27, _xlfn.CONCAT("W45-", RIGHT(F27, LEN(F27) - FIND("-", F27))), _xlfn.CONCAT("W45-", RIGHT(H27, LEN(H27) - FIND("-", H27)))))</f>
        <v>W45-SANTA CRUZ</v>
      </c>
      <c r="I30" s="157">
        <v>2</v>
      </c>
      <c r="J30" s="122" t="s">
        <v>138</v>
      </c>
      <c r="K30" s="122" t="s">
        <v>286</v>
      </c>
      <c r="L30" s="122" t="str">
        <f t="shared" si="7"/>
        <v>18G-056</v>
      </c>
      <c r="M30" s="106"/>
      <c r="N30" s="106"/>
      <c r="O30" s="106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</row>
    <row r="31" spans="1:26" ht="13.5" customHeight="1" thickBot="1">
      <c r="A31" s="158"/>
      <c r="B31" s="160"/>
      <c r="C31" s="106"/>
      <c r="D31" s="106"/>
      <c r="E31" s="106"/>
      <c r="F31" s="106"/>
      <c r="G31" s="110"/>
      <c r="H31" s="106"/>
      <c r="I31" s="110"/>
      <c r="J31" s="106"/>
      <c r="K31" s="106"/>
      <c r="L31" s="106"/>
      <c r="M31" s="106"/>
      <c r="N31" s="106"/>
      <c r="O31" s="106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</row>
    <row r="32" spans="1:26" ht="13.5" customHeight="1" thickBot="1">
      <c r="A32" s="106"/>
      <c r="B32" s="106"/>
      <c r="C32" s="106"/>
      <c r="D32" s="150" t="str">
        <f>'CHICLETS MASTER S1'!$BB$3</f>
        <v>FULLERTON COLLEGE</v>
      </c>
      <c r="E32" s="106"/>
      <c r="F32" s="106"/>
      <c r="G32" s="110"/>
      <c r="H32" s="106"/>
      <c r="I32" s="110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</row>
    <row r="33" spans="1:26" ht="13.5" customHeight="1">
      <c r="A33" s="301" t="s">
        <v>110</v>
      </c>
      <c r="B33" s="301" t="s">
        <v>111</v>
      </c>
      <c r="C33" s="301" t="s">
        <v>112</v>
      </c>
      <c r="D33" s="301" t="s">
        <v>113</v>
      </c>
      <c r="E33" s="301" t="s">
        <v>114</v>
      </c>
      <c r="F33" s="301" t="s">
        <v>115</v>
      </c>
      <c r="G33" s="302" t="s">
        <v>116</v>
      </c>
      <c r="H33" s="301" t="s">
        <v>117</v>
      </c>
      <c r="I33" s="302" t="s">
        <v>116</v>
      </c>
      <c r="J33" s="301" t="s">
        <v>118</v>
      </c>
      <c r="K33" s="301" t="s">
        <v>119</v>
      </c>
      <c r="L33" s="301" t="s">
        <v>120</v>
      </c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</row>
    <row r="34" spans="1:26" ht="13.5" customHeight="1">
      <c r="A34" s="155">
        <f t="shared" ref="A34:A43" si="8">$A$2</f>
        <v>46221</v>
      </c>
      <c r="B34" s="156">
        <f>'CHICLETS MASTER S1'!AU4</f>
        <v>0.29166666666666669</v>
      </c>
      <c r="C34" s="122" t="s">
        <v>163</v>
      </c>
      <c r="D34" s="122" t="str">
        <f t="shared" ref="D34:D43" si="9">$D$32</f>
        <v>FULLERTON COLLEGE</v>
      </c>
      <c r="E34" s="122">
        <v>2</v>
      </c>
      <c r="F34" s="122" t="str">
        <f>A6</f>
        <v>24-STANFORD A</v>
      </c>
      <c r="G34" s="157">
        <v>1</v>
      </c>
      <c r="H34" s="122" t="str">
        <f>A7</f>
        <v>25-FOOTHILL</v>
      </c>
      <c r="I34" s="157">
        <v>7</v>
      </c>
      <c r="J34" s="122">
        <v>26</v>
      </c>
      <c r="K34" s="122">
        <v>27</v>
      </c>
      <c r="L34" s="122" t="str">
        <f t="shared" ref="L34:L43" si="10">$L$15&amp;"-"&amp;TEXT(E34,"000")</f>
        <v>18G-002</v>
      </c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</row>
    <row r="35" spans="1:26" ht="13.5" customHeight="1">
      <c r="A35" s="155">
        <f t="shared" si="8"/>
        <v>46221</v>
      </c>
      <c r="B35" s="156">
        <f>'CHICLETS MASTER S1'!AU5</f>
        <v>0.33333333333333298</v>
      </c>
      <c r="C35" s="122" t="s">
        <v>163</v>
      </c>
      <c r="D35" s="122" t="str">
        <f t="shared" si="9"/>
        <v>FULLERTON COLLEGE</v>
      </c>
      <c r="E35" s="122">
        <v>7</v>
      </c>
      <c r="F35" s="122" t="str">
        <f t="shared" ref="F35:F36" si="11">E5</f>
        <v>5-LB VIKING WHITE</v>
      </c>
      <c r="G35" s="157">
        <v>2</v>
      </c>
      <c r="H35" s="122" t="str">
        <f>E8</f>
        <v>44-NORTH IDAHO</v>
      </c>
      <c r="I35" s="157">
        <v>8</v>
      </c>
      <c r="J35" s="122">
        <v>32</v>
      </c>
      <c r="K35" s="122">
        <v>37</v>
      </c>
      <c r="L35" s="122" t="str">
        <f t="shared" si="10"/>
        <v>18G-007</v>
      </c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</row>
    <row r="36" spans="1:26" ht="13.5" customHeight="1">
      <c r="A36" s="155">
        <f t="shared" si="8"/>
        <v>46221</v>
      </c>
      <c r="B36" s="156">
        <f>'CHICLETS MASTER S1'!AU6</f>
        <v>0.375</v>
      </c>
      <c r="C36" s="122" t="s">
        <v>163</v>
      </c>
      <c r="D36" s="122" t="str">
        <f t="shared" si="9"/>
        <v>FULLERTON COLLEGE</v>
      </c>
      <c r="E36" s="122">
        <v>12</v>
      </c>
      <c r="F36" s="122" t="str">
        <f t="shared" si="11"/>
        <v>20-MID VALLEY BLUE</v>
      </c>
      <c r="G36" s="157">
        <v>1</v>
      </c>
      <c r="H36" s="122" t="str">
        <f>E7</f>
        <v>29-BIG VALLEY</v>
      </c>
      <c r="I36" s="157">
        <v>53</v>
      </c>
      <c r="J36" s="122">
        <v>32</v>
      </c>
      <c r="K36" s="122">
        <v>37</v>
      </c>
      <c r="L36" s="122" t="str">
        <f t="shared" si="10"/>
        <v>18G-012</v>
      </c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</row>
    <row r="37" spans="1:26" ht="13.5" customHeight="1">
      <c r="A37" s="155">
        <f t="shared" si="8"/>
        <v>46221</v>
      </c>
      <c r="B37" s="156">
        <f>'CHICLETS MASTER S1'!AU7</f>
        <v>0.41666666666666702</v>
      </c>
      <c r="C37" s="122" t="s">
        <v>163</v>
      </c>
      <c r="D37" s="122" t="str">
        <f t="shared" si="9"/>
        <v>FULLERTON COLLEGE</v>
      </c>
      <c r="E37" s="122">
        <v>17</v>
      </c>
      <c r="F37" s="122" t="str">
        <f t="shared" ref="F37:F38" si="12">F5</f>
        <v>6-SD SHORES BLACK</v>
      </c>
      <c r="G37" s="157">
        <v>3</v>
      </c>
      <c r="H37" s="122" t="str">
        <f>F8</f>
        <v>43-ELMHURST</v>
      </c>
      <c r="I37" s="157">
        <v>6</v>
      </c>
      <c r="J37" s="122">
        <v>42</v>
      </c>
      <c r="K37" s="122">
        <v>46</v>
      </c>
      <c r="L37" s="122" t="str">
        <f t="shared" si="10"/>
        <v>18G-017</v>
      </c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</row>
    <row r="38" spans="1:26" ht="13.5" customHeight="1">
      <c r="A38" s="155">
        <f t="shared" si="8"/>
        <v>46221</v>
      </c>
      <c r="B38" s="156">
        <f>'CHICLETS MASTER S1'!AU8</f>
        <v>0.45833333333333298</v>
      </c>
      <c r="C38" s="122" t="s">
        <v>163</v>
      </c>
      <c r="D38" s="122" t="str">
        <f t="shared" si="9"/>
        <v>FULLERTON COLLEGE</v>
      </c>
      <c r="E38" s="122">
        <v>22</v>
      </c>
      <c r="F38" s="122" t="str">
        <f t="shared" si="12"/>
        <v>19-ASPHALT GREEN</v>
      </c>
      <c r="G38" s="157">
        <v>1</v>
      </c>
      <c r="H38" s="122" t="str">
        <f>F7</f>
        <v>30-DIABLO ALLIANCE B</v>
      </c>
      <c r="I38" s="157">
        <v>5</v>
      </c>
      <c r="J38" s="122">
        <v>42</v>
      </c>
      <c r="K38" s="122">
        <v>46</v>
      </c>
      <c r="L38" s="122" t="str">
        <f t="shared" si="10"/>
        <v>18G-022</v>
      </c>
      <c r="M38" s="106"/>
      <c r="N38" s="106"/>
      <c r="O38" s="106"/>
      <c r="P38" s="106" t="s">
        <v>1400</v>
      </c>
      <c r="Q38" s="106"/>
      <c r="R38" s="106"/>
      <c r="S38" s="106"/>
      <c r="T38" s="106"/>
      <c r="U38" s="106"/>
      <c r="V38" s="106"/>
      <c r="W38" s="106"/>
      <c r="X38" s="106"/>
      <c r="Y38" s="106"/>
      <c r="Z38" s="106"/>
    </row>
    <row r="39" spans="1:26" ht="13.5" customHeight="1">
      <c r="A39" s="155">
        <f t="shared" si="8"/>
        <v>46221</v>
      </c>
      <c r="B39" s="156">
        <f>'CHICLETS MASTER S1'!AU9</f>
        <v>0.5</v>
      </c>
      <c r="C39" s="122" t="s">
        <v>163</v>
      </c>
      <c r="D39" s="122" t="str">
        <f t="shared" si="9"/>
        <v>FULLERTON COLLEGE</v>
      </c>
      <c r="E39" s="122">
        <v>27</v>
      </c>
      <c r="F39" s="152" t="str">
        <f>IF(G18 = "", "L1", IF(G18 &lt; I18, _xlfn.CONCAT("L1-", RIGHT(F18, LEN(F18) - FIND("-", F18))), _xlfn.CONCAT("L1-", RIGHT(H18, LEN(H18) - FIND("-", H18)))))</f>
        <v>L1-NEWPORT BEACH</v>
      </c>
      <c r="G39" s="157">
        <v>5</v>
      </c>
      <c r="H39" s="122" t="str">
        <f>IF(G34 = "", "L2", IF(G34 &lt; I34, _xlfn.CONCAT("L2-", RIGHT(F34, LEN(F34) - FIND("-", F34))), _xlfn.CONCAT("L2-", RIGHT(H34, LEN(H34) - FIND("-", H34)))))</f>
        <v>L2-STANFORD A</v>
      </c>
      <c r="I39" s="157">
        <v>86</v>
      </c>
      <c r="J39" s="122">
        <v>49</v>
      </c>
      <c r="K39" s="122" t="s">
        <v>1291</v>
      </c>
      <c r="L39" s="122" t="str">
        <f t="shared" si="10"/>
        <v>18G-027</v>
      </c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</row>
    <row r="40" spans="1:26" ht="13.5" customHeight="1">
      <c r="A40" s="155">
        <f t="shared" si="8"/>
        <v>46221</v>
      </c>
      <c r="B40" s="156">
        <f>'CHICLETS MASTER S1'!AU10</f>
        <v>0.54166666666666696</v>
      </c>
      <c r="C40" s="122" t="s">
        <v>163</v>
      </c>
      <c r="D40" s="122" t="str">
        <f t="shared" si="9"/>
        <v>FULLERTON COLLEGE</v>
      </c>
      <c r="E40" s="122">
        <v>32</v>
      </c>
      <c r="F40" s="122" t="str">
        <f>IF(G35 = "", "W7", IF(G35 &gt; I35, _xlfn.CONCAT("W7-", RIGHT(F35, LEN(F35) - FIND("-", F35))), _xlfn.CONCAT("W7-", RIGHT(H35, LEN(H35) - FIND("-", H35)))))</f>
        <v>W7-NORTH IDAHO</v>
      </c>
      <c r="G40" s="157">
        <v>1</v>
      </c>
      <c r="H40" s="122" t="str">
        <f>IF(G36 = "", "W12", IF(G36 &gt; I36, _xlfn.CONCAT("W12-", RIGHT(F36, LEN(F36) - FIND("-", F36))), _xlfn.CONCAT("W12-", RIGHT(H36, LEN(H36) - FIND("-", H36)))))</f>
        <v>W12-BIG VALLEY</v>
      </c>
      <c r="I40" s="157">
        <v>54</v>
      </c>
      <c r="J40" s="122" t="s">
        <v>177</v>
      </c>
      <c r="K40" s="122">
        <v>57</v>
      </c>
      <c r="L40" s="122" t="str">
        <f t="shared" si="10"/>
        <v>18G-032</v>
      </c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</row>
    <row r="41" spans="1:26" ht="13.5" customHeight="1">
      <c r="A41" s="155">
        <f t="shared" si="8"/>
        <v>46221</v>
      </c>
      <c r="B41" s="156">
        <f>'CHICLETS MASTER S1'!AU11</f>
        <v>0.58333333333333304</v>
      </c>
      <c r="C41" s="122" t="s">
        <v>163</v>
      </c>
      <c r="D41" s="122" t="str">
        <f t="shared" si="9"/>
        <v>FULLERTON COLLEGE</v>
      </c>
      <c r="E41" s="122">
        <v>37</v>
      </c>
      <c r="F41" s="122" t="str">
        <f>IF(G35 = "", "L7", IF(G35 &lt; I35, _xlfn.CONCAT("L7-", RIGHT(F35, LEN(F35) - FIND("-", F35))), _xlfn.CONCAT("L7-", RIGHT(H35, LEN(H35) - FIND("-", H35)))))</f>
        <v>L7-LB VIKING WHITE</v>
      </c>
      <c r="G41" s="157">
        <v>2</v>
      </c>
      <c r="H41" s="122" t="str">
        <f>IF(G36 = "", "L12", IF(G36 &lt; I36, _xlfn.CONCAT("L12-", RIGHT(F36, LEN(F36) - FIND("-", F36))), _xlfn.CONCAT("L12-", RIGHT(H36, LEN(H36) - FIND("-", H36)))))</f>
        <v>L12-MID VALLEY BLUE</v>
      </c>
      <c r="I41" s="157">
        <v>54</v>
      </c>
      <c r="J41" s="122">
        <v>52</v>
      </c>
      <c r="K41" s="122" t="s">
        <v>710</v>
      </c>
      <c r="L41" s="122" t="str">
        <f t="shared" si="10"/>
        <v>18G-037</v>
      </c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</row>
    <row r="42" spans="1:26" ht="13.5" customHeight="1">
      <c r="A42" s="155">
        <f t="shared" si="8"/>
        <v>46221</v>
      </c>
      <c r="B42" s="156">
        <f>'CHICLETS MASTER S1'!AU12</f>
        <v>0.625</v>
      </c>
      <c r="C42" s="122" t="s">
        <v>163</v>
      </c>
      <c r="D42" s="122" t="str">
        <f t="shared" si="9"/>
        <v>FULLERTON COLLEGE</v>
      </c>
      <c r="E42" s="122">
        <v>42</v>
      </c>
      <c r="F42" s="122" t="str">
        <f>IF(G37 = "", "W17", IF(G37 &gt; I37, _xlfn.CONCAT("W17-", RIGHT(F37, LEN(F37) - FIND("-", F37))), _xlfn.CONCAT("W17-", RIGHT(H37, LEN(H37) - FIND("-", H37)))))</f>
        <v>W17-ELMHURST</v>
      </c>
      <c r="G42" s="157">
        <v>3</v>
      </c>
      <c r="H42" s="122" t="str">
        <f>IF(G38 = "", "W22", IF(G38 &gt; I38, _xlfn.CONCAT("W22-", RIGHT(F38, LEN(F38) - FIND("-", F38))), _xlfn.CONCAT("W12-", RIGHT(H38, LEN(H38) - FIND("-", H38)))))</f>
        <v>W12-DIABLO ALLIANCE B</v>
      </c>
      <c r="I42" s="157">
        <v>6</v>
      </c>
      <c r="J42" s="122" t="s">
        <v>176</v>
      </c>
      <c r="K42" s="122">
        <v>52</v>
      </c>
      <c r="L42" s="122" t="str">
        <f t="shared" si="10"/>
        <v>18G-042</v>
      </c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</row>
    <row r="43" spans="1:26" ht="13.5" customHeight="1">
      <c r="A43" s="155">
        <f t="shared" si="8"/>
        <v>46221</v>
      </c>
      <c r="B43" s="156">
        <f>'CHICLETS MASTER S1'!AU13</f>
        <v>0.66666666666666696</v>
      </c>
      <c r="C43" s="122" t="s">
        <v>163</v>
      </c>
      <c r="D43" s="122" t="str">
        <f t="shared" si="9"/>
        <v>FULLERTON COLLEGE</v>
      </c>
      <c r="E43" s="122">
        <v>46</v>
      </c>
      <c r="F43" s="122" t="str">
        <f>IF(G37 = "", "L17", IF(G37 &lt; I37, _xlfn.CONCAT("L17-", RIGHT(F37, LEN(F37) - FIND("-", F37))), _xlfn.CONCAT("L17-", RIGHT(H37, LEN(H37) - FIND("-", H37)))))</f>
        <v>L17-SD SHORES BLACK</v>
      </c>
      <c r="G43" s="157">
        <v>4</v>
      </c>
      <c r="H43" s="122" t="str">
        <f>IF(G38 = "", "L22", IF(G38 &lt; I38, _xlfn.CONCAT("L22-", RIGHT(F38, LEN(F38) - FIND("-", F38))), _xlfn.CONCAT("L22-", RIGHT(H38, LEN(H38) - FIND("-", H38)))))</f>
        <v>L22-ASPHALT GREEN</v>
      </c>
      <c r="I43" s="157">
        <v>7</v>
      </c>
      <c r="J43" s="122">
        <v>57</v>
      </c>
      <c r="K43" s="122" t="s">
        <v>689</v>
      </c>
      <c r="L43" s="122" t="str">
        <f t="shared" si="10"/>
        <v>18G-046</v>
      </c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</row>
    <row r="44" spans="1:26" ht="13.5" customHeight="1">
      <c r="A44" s="158"/>
      <c r="B44" s="106" t="s">
        <v>204</v>
      </c>
      <c r="C44" s="106"/>
      <c r="D44" s="106"/>
      <c r="E44" s="106"/>
      <c r="F44" s="106"/>
      <c r="G44" s="110"/>
      <c r="H44" s="106"/>
      <c r="I44" s="106"/>
      <c r="J44" s="106"/>
      <c r="K44" s="106"/>
      <c r="L44" s="106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</row>
    <row r="45" spans="1:26" ht="13.5" customHeight="1">
      <c r="A45" s="155">
        <f t="shared" ref="A45:A46" si="13">$A$2</f>
        <v>46221</v>
      </c>
      <c r="B45" s="156">
        <f>'CHICLETS MASTER S1'!AU15</f>
        <v>0.75</v>
      </c>
      <c r="C45" s="122" t="s">
        <v>275</v>
      </c>
      <c r="D45" s="122" t="str">
        <f t="shared" ref="D45:D46" si="14">$D$32</f>
        <v>FULLERTON COLLEGE</v>
      </c>
      <c r="E45" s="122">
        <v>52</v>
      </c>
      <c r="F45" s="122" t="str">
        <f>IF(G42 = "", "L42", IF(G42 &lt; I42, _xlfn.CONCAT("L42-", RIGHT(F42, LEN(F42) - FIND("-", F42))), _xlfn.CONCAT("L42-", RIGHT(H42, LEN(H42) - FIND("-", H42)))))</f>
        <v>L42-ELMHURST</v>
      </c>
      <c r="G45" s="157">
        <v>6</v>
      </c>
      <c r="H45" s="122" t="str">
        <f>IF(G41 = "", "W37", IF(G41 &gt; I41, _xlfn.CONCAT("W37-", RIGHT(F41, LEN(F41) - FIND("-", F41))), _xlfn.CONCAT("W37-", RIGHT(H41, LEN(H41) - FIND("-", H41)))))</f>
        <v>W37-MID VALLEY BLUE</v>
      </c>
      <c r="I45" s="157">
        <v>8</v>
      </c>
      <c r="J45" s="122" t="s">
        <v>134</v>
      </c>
      <c r="K45" s="122" t="s">
        <v>304</v>
      </c>
      <c r="L45" s="122" t="str">
        <f t="shared" ref="L45:L46" si="15">$L$15&amp;"-"&amp;TEXT(E45,"000")</f>
        <v>18G-052</v>
      </c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</row>
    <row r="46" spans="1:26" ht="13.5" customHeight="1">
      <c r="A46" s="155">
        <f t="shared" si="13"/>
        <v>46221</v>
      </c>
      <c r="B46" s="156">
        <f>'CHICLETS MASTER S1'!AU16</f>
        <v>0.79166666666666696</v>
      </c>
      <c r="C46" s="122" t="s">
        <v>275</v>
      </c>
      <c r="D46" s="122" t="str">
        <f t="shared" si="14"/>
        <v>FULLERTON COLLEGE</v>
      </c>
      <c r="E46" s="122">
        <v>57</v>
      </c>
      <c r="F46" s="122" t="str">
        <f>IF(G40 = "", "L32", IF(G40 &lt; I40, _xlfn.CONCAT("L32-", RIGHT(F40, LEN(F40) - FIND("-", F40))), _xlfn.CONCAT("L32-", RIGHT(H40, LEN(H40) - FIND("-", H40)))))</f>
        <v>L32-NORTH IDAHO</v>
      </c>
      <c r="G46" s="157">
        <v>7</v>
      </c>
      <c r="H46" s="122" t="str">
        <f>IF(G43 = "", "W46", IF(G43 &gt; I43, _xlfn.CONCAT("W46-", RIGHT(F43, LEN(F43) - FIND("-", F43))), _xlfn.CONCAT("W46-", RIGHT(H43, LEN(H43) - FIND("-", H43)))))</f>
        <v>W46-ASPHALT GREEN</v>
      </c>
      <c r="I46" s="157">
        <v>2</v>
      </c>
      <c r="J46" s="122" t="s">
        <v>146</v>
      </c>
      <c r="K46" s="122" t="s">
        <v>307</v>
      </c>
      <c r="L46" s="122" t="str">
        <f t="shared" si="15"/>
        <v>18G-057</v>
      </c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</row>
    <row r="47" spans="1:26" ht="13.5" customHeight="1" thickBot="1">
      <c r="A47" s="158"/>
      <c r="B47" s="160"/>
      <c r="C47" s="106"/>
      <c r="D47" s="106"/>
      <c r="E47" s="106"/>
      <c r="F47" s="106"/>
      <c r="G47" s="110"/>
      <c r="H47" s="106"/>
      <c r="I47" s="110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</row>
    <row r="48" spans="1:26" ht="13.5" customHeight="1" thickBot="1">
      <c r="A48" s="106"/>
      <c r="B48" s="106"/>
      <c r="C48" s="106"/>
      <c r="D48" s="150" t="str">
        <f>'CHICLETS MASTER S1'!$AV$3</f>
        <v>SAN JUAN HILLS HS</v>
      </c>
      <c r="E48" s="106"/>
      <c r="F48" s="106"/>
      <c r="G48" s="110"/>
      <c r="H48" s="106"/>
      <c r="I48" s="110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</row>
    <row r="49" spans="1:26" ht="13.5" customHeight="1">
      <c r="A49" s="301" t="s">
        <v>110</v>
      </c>
      <c r="B49" s="301" t="s">
        <v>111</v>
      </c>
      <c r="C49" s="301" t="s">
        <v>112</v>
      </c>
      <c r="D49" s="301" t="s">
        <v>113</v>
      </c>
      <c r="E49" s="301" t="s">
        <v>114</v>
      </c>
      <c r="F49" s="301" t="s">
        <v>115</v>
      </c>
      <c r="G49" s="302" t="s">
        <v>116</v>
      </c>
      <c r="H49" s="301" t="s">
        <v>117</v>
      </c>
      <c r="I49" s="302" t="s">
        <v>116</v>
      </c>
      <c r="J49" s="301" t="s">
        <v>118</v>
      </c>
      <c r="K49" s="301" t="s">
        <v>119</v>
      </c>
      <c r="L49" s="301" t="s">
        <v>120</v>
      </c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</row>
    <row r="50" spans="1:26" ht="13.5" customHeight="1">
      <c r="A50" s="155">
        <f t="shared" ref="A50:A71" si="16">$A$2</f>
        <v>46221</v>
      </c>
      <c r="B50" s="156">
        <f>'CHICLETS MASTER S1'!AU4</f>
        <v>0.29166666666666669</v>
      </c>
      <c r="C50" s="122" t="s">
        <v>163</v>
      </c>
      <c r="D50" s="122" t="str">
        <f t="shared" ref="D50:D59" si="17">$D$48</f>
        <v>SAN JUAN HILLS HS</v>
      </c>
      <c r="E50" s="122">
        <v>4</v>
      </c>
      <c r="F50" s="122" t="str">
        <f>B6</f>
        <v>23-PALOS VERDES BLACK</v>
      </c>
      <c r="G50" s="157">
        <v>5</v>
      </c>
      <c r="H50" s="122" t="str">
        <f>B7</f>
        <v>26-NORCAL BLACK</v>
      </c>
      <c r="I50" s="157">
        <v>1</v>
      </c>
      <c r="J50" s="122">
        <v>28</v>
      </c>
      <c r="K50" s="122">
        <v>29</v>
      </c>
      <c r="L50" s="122" t="str">
        <f t="shared" ref="L50:L59" si="18">$L$15&amp;"-"&amp;TEXT(E50,"000")</f>
        <v>18G-004</v>
      </c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</row>
    <row r="51" spans="1:26" ht="13.5" customHeight="1">
      <c r="A51" s="155">
        <f t="shared" si="16"/>
        <v>46221</v>
      </c>
      <c r="B51" s="156">
        <f>'CHICLETS MASTER S1'!AU5</f>
        <v>0.33333333333333298</v>
      </c>
      <c r="C51" s="173" t="s">
        <v>163</v>
      </c>
      <c r="D51" s="122" t="str">
        <f t="shared" si="17"/>
        <v>SAN JUAN HILLS HS</v>
      </c>
      <c r="E51" s="176">
        <v>8</v>
      </c>
      <c r="F51" s="122" t="str">
        <f t="shared" ref="F51:F52" si="19">A11</f>
        <v>7-CORONA DEL MAR</v>
      </c>
      <c r="G51" s="157">
        <v>3</v>
      </c>
      <c r="H51" s="122" t="str">
        <f>A14</f>
        <v>42-NIPC</v>
      </c>
      <c r="I51" s="157">
        <v>4</v>
      </c>
      <c r="J51" s="122">
        <v>33</v>
      </c>
      <c r="K51" s="122">
        <v>38</v>
      </c>
      <c r="L51" s="122" t="str">
        <f t="shared" si="18"/>
        <v>18G-008</v>
      </c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</row>
    <row r="52" spans="1:26" ht="13.5" customHeight="1">
      <c r="A52" s="155">
        <f t="shared" si="16"/>
        <v>46221</v>
      </c>
      <c r="B52" s="156">
        <f>'CHICLETS MASTER S1'!AU6</f>
        <v>0.375</v>
      </c>
      <c r="C52" s="173" t="s">
        <v>163</v>
      </c>
      <c r="D52" s="122" t="str">
        <f t="shared" si="17"/>
        <v>SAN JUAN HILLS HS</v>
      </c>
      <c r="E52" s="176">
        <v>13</v>
      </c>
      <c r="F52" s="122" t="str">
        <f t="shared" si="19"/>
        <v>18-ROSE BOWL RED</v>
      </c>
      <c r="G52" s="157">
        <v>2</v>
      </c>
      <c r="H52" s="122" t="str">
        <f>A13</f>
        <v>31-COLORADO</v>
      </c>
      <c r="I52" s="157">
        <v>2</v>
      </c>
      <c r="J52" s="122">
        <v>33</v>
      </c>
      <c r="K52" s="122">
        <v>38</v>
      </c>
      <c r="L52" s="122" t="str">
        <f t="shared" si="18"/>
        <v>18G-013</v>
      </c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</row>
    <row r="53" spans="1:26" ht="13.5" customHeight="1">
      <c r="A53" s="155">
        <f t="shared" si="16"/>
        <v>46221</v>
      </c>
      <c r="B53" s="156">
        <f>'CHICLETS MASTER S1'!AU7</f>
        <v>0.41666666666666702</v>
      </c>
      <c r="C53" s="173" t="s">
        <v>163</v>
      </c>
      <c r="D53" s="122" t="str">
        <f t="shared" si="17"/>
        <v>SAN JUAN HILLS HS</v>
      </c>
      <c r="E53" s="176">
        <v>18</v>
      </c>
      <c r="F53" s="122" t="str">
        <f t="shared" ref="F53:F54" si="20">B11</f>
        <v>8-LEGACY</v>
      </c>
      <c r="G53" s="157">
        <v>3</v>
      </c>
      <c r="H53" s="122" t="str">
        <f>B14</f>
        <v>41-WOLVERINE</v>
      </c>
      <c r="I53" s="157">
        <v>43</v>
      </c>
      <c r="J53" s="122">
        <v>43</v>
      </c>
      <c r="K53" s="122">
        <v>47</v>
      </c>
      <c r="L53" s="122" t="str">
        <f t="shared" si="18"/>
        <v>18G-018</v>
      </c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</row>
    <row r="54" spans="1:26" ht="13.5" customHeight="1">
      <c r="A54" s="155">
        <f t="shared" si="16"/>
        <v>46221</v>
      </c>
      <c r="B54" s="156">
        <f>'CHICLETS MASTER S1'!AU8</f>
        <v>0.45833333333333298</v>
      </c>
      <c r="C54" s="173" t="s">
        <v>163</v>
      </c>
      <c r="D54" s="122" t="str">
        <f t="shared" si="17"/>
        <v>SAN JUAN HILLS HS</v>
      </c>
      <c r="E54" s="176">
        <v>23</v>
      </c>
      <c r="F54" s="122" t="str">
        <f t="shared" si="20"/>
        <v>17-DAVIS</v>
      </c>
      <c r="G54" s="157">
        <v>45</v>
      </c>
      <c r="H54" s="122" t="str">
        <f>B13</f>
        <v>32-SD SHORES GOLD</v>
      </c>
      <c r="I54" s="157">
        <v>5</v>
      </c>
      <c r="J54" s="122">
        <v>43</v>
      </c>
      <c r="K54" s="122">
        <v>47</v>
      </c>
      <c r="L54" s="122" t="str">
        <f t="shared" si="18"/>
        <v>18G-023</v>
      </c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</row>
    <row r="55" spans="1:26" ht="13.5" customHeight="1">
      <c r="A55" s="155">
        <f t="shared" ref="A55:A75" si="21">$A$2</f>
        <v>46221</v>
      </c>
      <c r="B55" s="156">
        <f>'CHICLETS MASTER S1'!AU9</f>
        <v>0.5</v>
      </c>
      <c r="C55" s="122" t="s">
        <v>163</v>
      </c>
      <c r="D55" s="122" t="str">
        <f t="shared" si="17"/>
        <v>SAN JUAN HILLS HS</v>
      </c>
      <c r="E55" s="122">
        <v>29</v>
      </c>
      <c r="F55" s="152" t="str">
        <f>IF(G66 = "", "L3", IF(G66 &lt; I66, _xlfn.CONCAT("L3-", RIGHT(F66, LEN(F66) - FIND("-", F66))), _xlfn.CONCAT("L3-", RIGHT(H66, LEN(H66) - FIND("-", H66)))))</f>
        <v>L3-CHAWP WHITE</v>
      </c>
      <c r="G55" s="157">
        <v>3</v>
      </c>
      <c r="H55" s="122" t="str">
        <f>IF(G50 = "", "L4", IF(G50 &lt; I50, _xlfn.CONCAT("L4-", RIGHT(F50, LEN(F50) - FIND("-", F50))), _xlfn.CONCAT("L4-", RIGHT(H50, LEN(H50) - FIND("-", H50)))))</f>
        <v>L4-NORCAL BLACK</v>
      </c>
      <c r="I55" s="157">
        <v>2</v>
      </c>
      <c r="J55" s="122">
        <v>50</v>
      </c>
      <c r="K55" s="122" t="s">
        <v>660</v>
      </c>
      <c r="L55" s="122" t="str">
        <f>$L$15&amp;"-"&amp;TEXT(E55,"000")</f>
        <v>18G-029</v>
      </c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</row>
    <row r="56" spans="1:26" ht="13.5" customHeight="1">
      <c r="A56" s="155">
        <f t="shared" si="16"/>
        <v>46221</v>
      </c>
      <c r="B56" s="156">
        <f>'CHICLETS MASTER S1'!AU10</f>
        <v>0.54166666666666696</v>
      </c>
      <c r="C56" s="173" t="s">
        <v>163</v>
      </c>
      <c r="D56" s="122" t="str">
        <f t="shared" si="17"/>
        <v>SAN JUAN HILLS HS</v>
      </c>
      <c r="E56" s="176">
        <v>33</v>
      </c>
      <c r="F56" s="122" t="str">
        <f>IF(G51 = "", "W8", IF(G51 &gt; I51, _xlfn.CONCAT("W8-", RIGHT(F51, LEN(F51) - FIND("-", F51))), _xlfn.CONCAT("W8-", RIGHT(H51, LEN(H51) - FIND("-", H51)))))</f>
        <v>W8-NIPC</v>
      </c>
      <c r="G56" s="157">
        <v>9</v>
      </c>
      <c r="H56" s="122" t="str">
        <f>IF(G52 = "", "W13", IF(G52 &gt; I52, _xlfn.CONCAT("W13-", RIGHT(F52, LEN(F52) - FIND("-", F52))), _xlfn.CONCAT("W13-", RIGHT(H52, LEN(H52) - FIND("-", H52)))))</f>
        <v>W13-COLORADO</v>
      </c>
      <c r="I56" s="157">
        <v>53</v>
      </c>
      <c r="J56" s="122" t="s">
        <v>137</v>
      </c>
      <c r="K56" s="122">
        <v>58</v>
      </c>
      <c r="L56" s="122" t="str">
        <f t="shared" si="18"/>
        <v>18G-033</v>
      </c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</row>
    <row r="57" spans="1:26" ht="13.5" customHeight="1">
      <c r="A57" s="155">
        <f t="shared" si="16"/>
        <v>46221</v>
      </c>
      <c r="B57" s="156">
        <f>'CHICLETS MASTER S1'!AU11</f>
        <v>0.58333333333333304</v>
      </c>
      <c r="C57" s="173" t="s">
        <v>163</v>
      </c>
      <c r="D57" s="122" t="str">
        <f t="shared" si="17"/>
        <v>SAN JUAN HILLS HS</v>
      </c>
      <c r="E57" s="176">
        <v>38</v>
      </c>
      <c r="F57" s="122" t="str">
        <f>IF(G51 = "", "L8", IF(G51 &lt; I51, _xlfn.CONCAT("L8-", RIGHT(F51, LEN(F51) - FIND("-", F51))), _xlfn.CONCAT("L8-", RIGHT(H51, LEN(H51) - FIND("-", H51)))))</f>
        <v>L8-CORONA DEL MAR</v>
      </c>
      <c r="G57" s="157">
        <v>7</v>
      </c>
      <c r="H57" s="122" t="str">
        <f>IF(G52 = "", "L13", IF(G52 &lt; I52, _xlfn.CONCAT("L13-", RIGHT(F52, LEN(F52) - FIND("-", F52))), _xlfn.CONCAT("L13-", RIGHT(H52, LEN(H52) - FIND("-", H52)))))</f>
        <v>L13-COLORADO</v>
      </c>
      <c r="I57" s="157">
        <v>5</v>
      </c>
      <c r="J57" s="122">
        <v>53</v>
      </c>
      <c r="K57" s="122" t="s">
        <v>694</v>
      </c>
      <c r="L57" s="122" t="str">
        <f t="shared" si="18"/>
        <v>18G-038</v>
      </c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</row>
    <row r="58" spans="1:26" ht="13.5" customHeight="1">
      <c r="A58" s="155">
        <f t="shared" si="16"/>
        <v>46221</v>
      </c>
      <c r="B58" s="156">
        <f>'CHICLETS MASTER S1'!AU12</f>
        <v>0.625</v>
      </c>
      <c r="C58" s="173" t="s">
        <v>163</v>
      </c>
      <c r="D58" s="122" t="str">
        <f t="shared" si="17"/>
        <v>SAN JUAN HILLS HS</v>
      </c>
      <c r="E58" s="176">
        <v>43</v>
      </c>
      <c r="F58" s="122" t="str">
        <f>IF(G53 = "", "W18", IF(G53 &gt; I53, _xlfn.CONCAT("W18-", RIGHT(F53, LEN(F53) - FIND("-", F53))), _xlfn.CONCAT("W18-", RIGHT(H53, LEN(H53) - FIND("-", H53)))))</f>
        <v>W18-WOLVERINE</v>
      </c>
      <c r="G58" s="157">
        <v>5</v>
      </c>
      <c r="H58" s="122" t="str">
        <f>IF(G54 = "", "W23", IF(G54 &gt; I54, _xlfn.CONCAT("W23-", RIGHT(F54, LEN(F54) - FIND("-", F54))), _xlfn.CONCAT("W23-", RIGHT(H54, LEN(H54) - FIND("-", H54)))))</f>
        <v>W23-DAVIS</v>
      </c>
      <c r="I58" s="157">
        <v>7</v>
      </c>
      <c r="J58" s="122" t="s">
        <v>141</v>
      </c>
      <c r="K58" s="122">
        <v>53</v>
      </c>
      <c r="L58" s="122" t="str">
        <f t="shared" si="18"/>
        <v>18G-043</v>
      </c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</row>
    <row r="59" spans="1:26" ht="13.5" customHeight="1">
      <c r="A59" s="155">
        <f t="shared" si="16"/>
        <v>46221</v>
      </c>
      <c r="B59" s="156">
        <f>'CHICLETS MASTER S1'!AU13</f>
        <v>0.66666666666666696</v>
      </c>
      <c r="C59" s="173" t="s">
        <v>163</v>
      </c>
      <c r="D59" s="122" t="str">
        <f t="shared" si="17"/>
        <v>SAN JUAN HILLS HS</v>
      </c>
      <c r="E59" s="176">
        <v>47</v>
      </c>
      <c r="F59" s="122" t="str">
        <f>IF(G53 = "", "L18", IF(G53 &lt; I53, _xlfn.CONCAT("L18-", RIGHT(F53, LEN(F53) - FIND("-", F53))), _xlfn.CONCAT("L18-", RIGHT(H53, LEN(H53) - FIND("-", H53)))))</f>
        <v>L18-LEGACY</v>
      </c>
      <c r="G59" s="157">
        <v>4</v>
      </c>
      <c r="H59" s="122" t="str">
        <f>IF(G54 = "", "L23", IF(G54 &lt; I54, _xlfn.CONCAT("L23-", RIGHT(F54, LEN(F54) - FIND("-", F54))), _xlfn.CONCAT("L23-", RIGHT(H54, LEN(H54) - FIND("-", H54)))))</f>
        <v>L23-SD SHORES GOLD</v>
      </c>
      <c r="I59" s="157">
        <v>9</v>
      </c>
      <c r="J59" s="122">
        <v>58</v>
      </c>
      <c r="K59" s="122" t="s">
        <v>1292</v>
      </c>
      <c r="L59" s="122" t="str">
        <f t="shared" si="18"/>
        <v>18G-047</v>
      </c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</row>
    <row r="60" spans="1:26" ht="13.5" customHeight="1">
      <c r="A60" s="158"/>
      <c r="B60" s="106" t="s">
        <v>204</v>
      </c>
      <c r="C60" s="106"/>
      <c r="D60" s="106"/>
      <c r="E60" s="106"/>
      <c r="F60" s="106"/>
      <c r="G60" s="110"/>
      <c r="H60" s="106"/>
      <c r="I60" s="106"/>
      <c r="J60" s="106"/>
      <c r="K60" s="106"/>
      <c r="L60" s="106"/>
      <c r="M60" s="109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109"/>
      <c r="Y60" s="109"/>
      <c r="Z60" s="109"/>
    </row>
    <row r="61" spans="1:26" ht="13.5" customHeight="1">
      <c r="A61" s="155">
        <f t="shared" ref="A61:A77" si="22">$A$2</f>
        <v>46221</v>
      </c>
      <c r="B61" s="156">
        <f>'CHICLETS MASTER S1'!AU15</f>
        <v>0.75</v>
      </c>
      <c r="C61" s="173" t="s">
        <v>275</v>
      </c>
      <c r="D61" s="122" t="str">
        <f t="shared" ref="D61:D62" si="23">$D$48</f>
        <v>SAN JUAN HILLS HS</v>
      </c>
      <c r="E61" s="176">
        <v>53</v>
      </c>
      <c r="F61" s="122" t="str">
        <f>IF(G58 = "", "L43", IF(G58 &lt; I58, _xlfn.CONCAT("L43-", RIGHT(F58, LEN(F58) - FIND("-", F58))), _xlfn.CONCAT("L43-", RIGHT(H58, LEN(H58) - FIND("-", H58)))))</f>
        <v>L43-WOLVERINE</v>
      </c>
      <c r="G61" s="157">
        <v>2</v>
      </c>
      <c r="H61" s="122" t="str">
        <f>IF(G57 = "", "W38", IF(G57 &gt; I57, _xlfn.CONCAT("W38-", RIGHT(F57, LEN(F57) - FIND("-", F57))), _xlfn.CONCAT("W38-", RIGHT(H57, LEN(H57) - FIND("-", H57)))))</f>
        <v>W38-CORONA DEL MAR</v>
      </c>
      <c r="I61" s="157">
        <v>4</v>
      </c>
      <c r="J61" s="122" t="s">
        <v>296</v>
      </c>
      <c r="K61" s="122" t="s">
        <v>297</v>
      </c>
      <c r="L61" s="122" t="str">
        <f t="shared" ref="L61:L62" si="24">$L$15&amp;"-"&amp;TEXT(E61,"000")</f>
        <v>18G-053</v>
      </c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</row>
    <row r="62" spans="1:26" ht="13.5" customHeight="1">
      <c r="A62" s="155">
        <f t="shared" si="22"/>
        <v>46221</v>
      </c>
      <c r="B62" s="156">
        <f>'CHICLETS MASTER S1'!AU16</f>
        <v>0.79166666666666696</v>
      </c>
      <c r="C62" s="173" t="s">
        <v>275</v>
      </c>
      <c r="D62" s="122" t="str">
        <f t="shared" si="23"/>
        <v>SAN JUAN HILLS HS</v>
      </c>
      <c r="E62" s="176">
        <v>58</v>
      </c>
      <c r="F62" s="122" t="str">
        <f>IF(G56 = "", "L33", IF(G56 &lt; I56, _xlfn.CONCAT("L33-", RIGHT(F56, LEN(F56) - FIND("-", F56))), _xlfn.CONCAT("L33-", RIGHT(H56, LEN(H56) - FIND("-", H56)))))</f>
        <v>L33-NIPC</v>
      </c>
      <c r="G62" s="157">
        <v>4</v>
      </c>
      <c r="H62" s="122" t="str">
        <f>IF(G59 = "", "W47", IF(G59 &gt; I59, _xlfn.CONCAT("W47-", RIGHT(F59, LEN(F59) - FIND("-", F59))), _xlfn.CONCAT("W47-", RIGHT(H59, LEN(H59) - FIND("-", H59)))))</f>
        <v>W47-SD SHORES GOLD</v>
      </c>
      <c r="I62" s="157">
        <v>2</v>
      </c>
      <c r="J62" s="122" t="s">
        <v>300</v>
      </c>
      <c r="K62" s="122" t="s">
        <v>301</v>
      </c>
      <c r="L62" s="122" t="str">
        <f t="shared" si="24"/>
        <v>18G-058</v>
      </c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</row>
    <row r="63" spans="1:26" ht="13.5" customHeight="1" thickBot="1">
      <c r="A63" s="155"/>
      <c r="B63" s="156"/>
      <c r="C63" s="122"/>
      <c r="D63" s="122"/>
      <c r="E63" s="122"/>
      <c r="F63" s="122"/>
      <c r="G63" s="157"/>
      <c r="H63" s="122"/>
      <c r="I63" s="157"/>
      <c r="J63" s="122"/>
      <c r="K63" s="122"/>
      <c r="L63" s="122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</row>
    <row r="64" spans="1:26" ht="13.5" customHeight="1" thickBot="1">
      <c r="A64" s="106"/>
      <c r="B64" s="106"/>
      <c r="C64" s="106"/>
      <c r="D64" s="150" t="str">
        <f>'CHICLETS MASTER S1'!$AZ$3</f>
        <v>WESTMINSTER HS</v>
      </c>
      <c r="E64" s="106"/>
      <c r="F64" s="106"/>
      <c r="G64" s="110"/>
      <c r="H64" s="106"/>
      <c r="I64" s="110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</row>
    <row r="65" spans="1:26" ht="13.5" customHeight="1">
      <c r="A65" s="301" t="s">
        <v>110</v>
      </c>
      <c r="B65" s="301" t="s">
        <v>111</v>
      </c>
      <c r="C65" s="301" t="s">
        <v>112</v>
      </c>
      <c r="D65" s="301" t="s">
        <v>113</v>
      </c>
      <c r="E65" s="301" t="s">
        <v>114</v>
      </c>
      <c r="F65" s="301" t="s">
        <v>115</v>
      </c>
      <c r="G65" s="302" t="s">
        <v>116</v>
      </c>
      <c r="H65" s="301" t="s">
        <v>117</v>
      </c>
      <c r="I65" s="302" t="s">
        <v>116</v>
      </c>
      <c r="J65" s="301" t="s">
        <v>118</v>
      </c>
      <c r="K65" s="301" t="s">
        <v>119</v>
      </c>
      <c r="L65" s="301" t="s">
        <v>120</v>
      </c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</row>
    <row r="66" spans="1:26" ht="13.5" customHeight="1">
      <c r="A66" s="155">
        <f t="shared" si="21"/>
        <v>46221</v>
      </c>
      <c r="B66" s="156">
        <f>'CHICLETS MASTER S1'!AU4</f>
        <v>0.29166666666666669</v>
      </c>
      <c r="C66" s="173" t="s">
        <v>163</v>
      </c>
      <c r="D66" s="122" t="str">
        <f t="shared" ref="D66:D78" si="25">$D$64</f>
        <v>WESTMINSTER HS</v>
      </c>
      <c r="E66" s="176">
        <v>3</v>
      </c>
      <c r="F66" s="122" t="str">
        <f>B5</f>
        <v>2-REGENCY</v>
      </c>
      <c r="G66" s="157">
        <v>12</v>
      </c>
      <c r="H66" s="122" t="str">
        <f>B8</f>
        <v>47-CHAWP WHITE</v>
      </c>
      <c r="I66" s="157">
        <v>1</v>
      </c>
      <c r="J66" s="122">
        <v>28</v>
      </c>
      <c r="K66" s="122">
        <v>29</v>
      </c>
      <c r="L66" s="122" t="str">
        <f t="shared" ref="L66:L75" si="26">$L$15&amp;"-"&amp;TEXT(E66,"000")</f>
        <v>18G-003</v>
      </c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</row>
    <row r="67" spans="1:26" ht="13.5" customHeight="1">
      <c r="A67" s="155">
        <f t="shared" si="21"/>
        <v>46221</v>
      </c>
      <c r="B67" s="156">
        <f>'CHICLETS MASTER S1'!AU5</f>
        <v>0.33333333333333298</v>
      </c>
      <c r="C67" s="122" t="s">
        <v>163</v>
      </c>
      <c r="D67" s="122" t="str">
        <f t="shared" si="25"/>
        <v>WESTMINSTER HS</v>
      </c>
      <c r="E67" s="122">
        <v>9</v>
      </c>
      <c r="F67" s="122" t="str">
        <f>C11</f>
        <v>9-DIABLO ALLIANCE A</v>
      </c>
      <c r="G67" s="157">
        <v>23</v>
      </c>
      <c r="H67" s="122" t="str">
        <f>C14</f>
        <v>40-TEXAS THUNDER</v>
      </c>
      <c r="I67" s="157">
        <v>2</v>
      </c>
      <c r="J67" s="122">
        <v>34</v>
      </c>
      <c r="K67" s="122">
        <v>39</v>
      </c>
      <c r="L67" s="122" t="str">
        <f t="shared" si="26"/>
        <v>18G-009</v>
      </c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</row>
    <row r="68" spans="1:26" ht="13.5" customHeight="1">
      <c r="A68" s="155">
        <f t="shared" si="21"/>
        <v>46221</v>
      </c>
      <c r="B68" s="156">
        <f>'CHICLETS MASTER S1'!AU6</f>
        <v>0.375</v>
      </c>
      <c r="C68" s="122" t="s">
        <v>163</v>
      </c>
      <c r="D68" s="122" t="str">
        <f t="shared" si="25"/>
        <v>WESTMINSTER HS</v>
      </c>
      <c r="E68" s="122">
        <v>14</v>
      </c>
      <c r="F68" s="122" t="str">
        <f>C12</f>
        <v>16-GREENWICH</v>
      </c>
      <c r="G68" s="303">
        <v>5</v>
      </c>
      <c r="H68" s="304" t="str">
        <f>C13</f>
        <v>33-HAWAIIAN ISLANDS</v>
      </c>
      <c r="I68" s="157">
        <v>3</v>
      </c>
      <c r="J68" s="122">
        <v>34</v>
      </c>
      <c r="K68" s="122">
        <v>39</v>
      </c>
      <c r="L68" s="122" t="str">
        <f t="shared" si="26"/>
        <v>18G-014</v>
      </c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</row>
    <row r="69" spans="1:26" ht="13.5" customHeight="1">
      <c r="A69" s="155">
        <f t="shared" si="21"/>
        <v>46221</v>
      </c>
      <c r="B69" s="156">
        <f>'CHICLETS MASTER S1'!AU7</f>
        <v>0.41666666666666702</v>
      </c>
      <c r="C69" s="122" t="s">
        <v>163</v>
      </c>
      <c r="D69" s="122" t="str">
        <f t="shared" si="25"/>
        <v>WESTMINSTER HS</v>
      </c>
      <c r="E69" s="122">
        <v>19</v>
      </c>
      <c r="F69" s="173" t="str">
        <f>D11</f>
        <v>10-CLOVIS</v>
      </c>
      <c r="G69" s="305">
        <v>8</v>
      </c>
      <c r="H69" s="122" t="str">
        <f>D14</f>
        <v>39-RAIN CITY</v>
      </c>
      <c r="I69" s="306">
        <v>3</v>
      </c>
      <c r="J69" s="122">
        <v>44</v>
      </c>
      <c r="K69" s="122">
        <v>48</v>
      </c>
      <c r="L69" s="122" t="str">
        <f t="shared" si="26"/>
        <v>18G-019</v>
      </c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</row>
    <row r="70" spans="1:26" ht="13.5" customHeight="1">
      <c r="A70" s="155">
        <f t="shared" si="21"/>
        <v>46221</v>
      </c>
      <c r="B70" s="156">
        <f>'CHICLETS MASTER S1'!AU8</f>
        <v>0.45833333333333298</v>
      </c>
      <c r="C70" s="122" t="s">
        <v>163</v>
      </c>
      <c r="D70" s="122" t="str">
        <f t="shared" si="25"/>
        <v>WESTMINSTER HS</v>
      </c>
      <c r="E70" s="122">
        <v>24</v>
      </c>
      <c r="F70" s="122" t="str">
        <f>D12</f>
        <v>15-LA JOLLA UNITED</v>
      </c>
      <c r="G70" s="307">
        <v>7</v>
      </c>
      <c r="H70" s="308" t="str">
        <f>D13</f>
        <v>34-BULLDOG</v>
      </c>
      <c r="I70" s="157">
        <v>4</v>
      </c>
      <c r="J70" s="122">
        <v>44</v>
      </c>
      <c r="K70" s="122">
        <v>48</v>
      </c>
      <c r="L70" s="122" t="str">
        <f t="shared" si="26"/>
        <v>18G-024</v>
      </c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</row>
    <row r="71" spans="1:26" ht="13.5" customHeight="1">
      <c r="A71" s="155">
        <f t="shared" si="16"/>
        <v>46221</v>
      </c>
      <c r="B71" s="156">
        <f>'CHICLETS MASTER S1'!AU9</f>
        <v>0.5</v>
      </c>
      <c r="C71" s="173" t="s">
        <v>163</v>
      </c>
      <c r="D71" s="122" t="str">
        <f t="shared" si="25"/>
        <v>WESTMINSTER HS</v>
      </c>
      <c r="E71" s="176">
        <v>28</v>
      </c>
      <c r="F71" s="122" t="str">
        <f>IF(G66 = "", "W3", IF(G66 &gt; I66, _xlfn.CONCAT("W3-", RIGHT(F66, LEN(F66) - FIND("-", F66))), _xlfn.CONCAT("W3-", RIGHT(H66, LEN(H66) - FIND("-", H66)))))</f>
        <v>W3-REGENCY</v>
      </c>
      <c r="G71" s="157">
        <v>6</v>
      </c>
      <c r="H71" s="152" t="str">
        <f>IF(G50 = "", "W4", IF(G50 &gt; I50, _xlfn.CONCAT("W4-", RIGHT(F50, LEN(F50) - FIND("-", F50))), _xlfn.CONCAT("W4-", RIGHT(H50, LEN(H50) - FIND("-", H50)))))</f>
        <v>W4-PALOS VERDES BLACK</v>
      </c>
      <c r="I71" s="157">
        <v>4</v>
      </c>
      <c r="J71" s="122" t="s">
        <v>165</v>
      </c>
      <c r="K71" s="122">
        <v>49</v>
      </c>
      <c r="L71" s="122" t="str">
        <f>$L$15&amp;"-"&amp;TEXT(E71,"000")</f>
        <v>18G-028</v>
      </c>
      <c r="M71" s="106"/>
      <c r="N71" s="106" t="s">
        <v>1401</v>
      </c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</row>
    <row r="72" spans="1:26" ht="13.5" customHeight="1">
      <c r="A72" s="155">
        <f t="shared" si="21"/>
        <v>46221</v>
      </c>
      <c r="B72" s="156">
        <f>'CHICLETS MASTER S1'!AU10</f>
        <v>0.54166666666666696</v>
      </c>
      <c r="C72" s="122" t="s">
        <v>163</v>
      </c>
      <c r="D72" s="122" t="str">
        <f t="shared" si="25"/>
        <v>WESTMINSTER HS</v>
      </c>
      <c r="E72" s="122">
        <v>34</v>
      </c>
      <c r="F72" s="122" t="str">
        <f>IF(G67 = "", "W9", IF(G67 &gt; I67, _xlfn.CONCAT("W9-", RIGHT(F67, LEN(F67) - FIND("-", F67))), _xlfn.CONCAT("W9-", RIGHT(H67, LEN(H67) - FIND("-", H67)))))</f>
        <v>W9-DIABLO ALLIANCE A</v>
      </c>
      <c r="G72" s="157">
        <v>9</v>
      </c>
      <c r="H72" s="122" t="str">
        <f>IF(G68 = "", "W14", IF(G68 &gt; I68, _xlfn.CONCAT("W14-", RIGHT(F68, LEN(F68) - FIND("-", F68))), _xlfn.CONCAT("W14-", RIGHT(H68, LEN(H68) - FIND("-", H68)))))</f>
        <v>W14-GREENWICH</v>
      </c>
      <c r="I72" s="157">
        <v>3</v>
      </c>
      <c r="J72" s="122" t="s">
        <v>145</v>
      </c>
      <c r="K72" s="122">
        <v>59</v>
      </c>
      <c r="L72" s="122" t="str">
        <f t="shared" si="26"/>
        <v>18G-034</v>
      </c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</row>
    <row r="73" spans="1:26" ht="13.5" customHeight="1">
      <c r="A73" s="155">
        <f t="shared" si="21"/>
        <v>46221</v>
      </c>
      <c r="B73" s="156">
        <f>'CHICLETS MASTER S1'!AU11</f>
        <v>0.58333333333333304</v>
      </c>
      <c r="C73" s="122" t="s">
        <v>163</v>
      </c>
      <c r="D73" s="122" t="str">
        <f t="shared" si="25"/>
        <v>WESTMINSTER HS</v>
      </c>
      <c r="E73" s="122">
        <v>39</v>
      </c>
      <c r="F73" s="122" t="str">
        <f>IF(G67 = "", "L9", IF(G67 &lt; I67, _xlfn.CONCAT("L9-", RIGHT(F67, LEN(F67) - FIND("-", F67))), _xlfn.CONCAT("L9-", RIGHT(H67, LEN(H67) - FIND("-", H67)))))</f>
        <v>L9-TEXAS THUNDER</v>
      </c>
      <c r="G73" s="157">
        <v>6</v>
      </c>
      <c r="H73" s="122" t="str">
        <f>IF(G68 = "", "L14", IF(G68 &lt; I68, _xlfn.CONCAT("L14-", RIGHT(F68, LEN(F68) - FIND("-", F68))), _xlfn.CONCAT("L14-", RIGHT(H68, LEN(H68) - FIND("-", H68)))))</f>
        <v>L14-HAWAIIAN ISLANDS</v>
      </c>
      <c r="I73" s="157">
        <v>2</v>
      </c>
      <c r="J73" s="122">
        <v>54</v>
      </c>
      <c r="K73" s="122" t="s">
        <v>1042</v>
      </c>
      <c r="L73" s="122" t="str">
        <f t="shared" si="26"/>
        <v>18G-039</v>
      </c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</row>
    <row r="74" spans="1:26" ht="13.5" customHeight="1">
      <c r="A74" s="155">
        <f t="shared" si="21"/>
        <v>46221</v>
      </c>
      <c r="B74" s="156">
        <f>'CHICLETS MASTER S1'!AU12</f>
        <v>0.625</v>
      </c>
      <c r="C74" s="122" t="s">
        <v>163</v>
      </c>
      <c r="D74" s="122" t="str">
        <f t="shared" si="25"/>
        <v>WESTMINSTER HS</v>
      </c>
      <c r="E74" s="122">
        <v>44</v>
      </c>
      <c r="F74" s="122" t="str">
        <f>IF(G69 = "", "W19", IF(G69 &gt; I69, _xlfn.CONCAT("W19-", RIGHT(F69, LEN(F69) - FIND("-", F69))), _xlfn.CONCAT("W19-", RIGHT(H69, LEN(H69) - FIND("-", H69)))))</f>
        <v>W19-CLOVIS</v>
      </c>
      <c r="G74" s="157">
        <v>3</v>
      </c>
      <c r="H74" s="122" t="str">
        <f>IF(G70 = "", "W24", IF(G70 &gt; I70, _xlfn.CONCAT("W24-", RIGHT(F70, LEN(F70) - FIND("-", F70))), _xlfn.CONCAT("W24-", RIGHT(H70, LEN(H70) - FIND("-", H70)))))</f>
        <v>W24-LA JOLLA UNITED</v>
      </c>
      <c r="I74" s="157">
        <v>8</v>
      </c>
      <c r="J74" s="122" t="s">
        <v>133</v>
      </c>
      <c r="K74" s="122">
        <v>54</v>
      </c>
      <c r="L74" s="122" t="str">
        <f t="shared" si="26"/>
        <v>18G-044</v>
      </c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</row>
    <row r="75" spans="1:26" ht="13.5" customHeight="1">
      <c r="A75" s="155">
        <f t="shared" si="21"/>
        <v>46221</v>
      </c>
      <c r="B75" s="156">
        <f>'CHICLETS MASTER S1'!AU13</f>
        <v>0.66666666666666696</v>
      </c>
      <c r="C75" s="122" t="s">
        <v>163</v>
      </c>
      <c r="D75" s="122" t="str">
        <f t="shared" si="25"/>
        <v>WESTMINSTER HS</v>
      </c>
      <c r="E75" s="122">
        <v>48</v>
      </c>
      <c r="F75" s="122" t="str">
        <f>IF(G69 = "", "L19", IF(G69 &lt; I69, _xlfn.CONCAT("L19-", RIGHT(F69, LEN(F69) - FIND("-", F69))), _xlfn.CONCAT("L19-", RIGHT(H69, LEN(H69) - FIND("-", H69)))))</f>
        <v>L19-RAIN CITY</v>
      </c>
      <c r="G75" s="157">
        <v>4</v>
      </c>
      <c r="H75" s="122" t="str">
        <f>IF(G70 = "", "L24", IF(G70 &lt; I70, _xlfn.CONCAT("L24-", RIGHT(F70, LEN(F70) - FIND("-", F70))), _xlfn.CONCAT("L24-", RIGHT(H70, LEN(H70) - FIND("-", H70)))))</f>
        <v>L24-BULLDOG</v>
      </c>
      <c r="I75" s="157">
        <v>5</v>
      </c>
      <c r="J75" s="122">
        <v>59</v>
      </c>
      <c r="K75" s="122" t="s">
        <v>668</v>
      </c>
      <c r="L75" s="122" t="str">
        <f t="shared" si="26"/>
        <v>18G-048</v>
      </c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</row>
    <row r="76" spans="1:26" ht="13.5" customHeight="1">
      <c r="A76" s="158"/>
      <c r="B76" s="106" t="s">
        <v>204</v>
      </c>
      <c r="C76" s="106"/>
      <c r="D76" s="106"/>
      <c r="E76" s="106"/>
      <c r="F76" s="106"/>
      <c r="G76" s="110"/>
      <c r="H76" s="106"/>
      <c r="I76" s="106"/>
      <c r="J76" s="106"/>
      <c r="K76" s="106"/>
      <c r="L76" s="106"/>
      <c r="M76" s="109"/>
      <c r="N76" s="109"/>
      <c r="O76" s="109"/>
      <c r="P76" s="109"/>
      <c r="Q76" s="109"/>
      <c r="R76" s="109"/>
      <c r="S76" s="109"/>
      <c r="T76" s="109"/>
      <c r="U76" s="109"/>
      <c r="V76" s="109"/>
      <c r="W76" s="109"/>
      <c r="X76" s="109"/>
      <c r="Y76" s="109"/>
      <c r="Z76" s="109"/>
    </row>
    <row r="77" spans="1:26" ht="13.5" customHeight="1">
      <c r="A77" s="155">
        <f t="shared" si="22"/>
        <v>46221</v>
      </c>
      <c r="B77" s="156">
        <f>'CHICLETS MASTER S1'!AU15</f>
        <v>0.75</v>
      </c>
      <c r="C77" s="122" t="s">
        <v>275</v>
      </c>
      <c r="D77" s="122" t="str">
        <f t="shared" si="25"/>
        <v>WESTMINSTER HS</v>
      </c>
      <c r="E77" s="122">
        <v>54</v>
      </c>
      <c r="F77" s="122" t="str">
        <f>IF(G74 = "", "L44", IF(G74 &lt; I74, _xlfn.CONCAT("L44-", RIGHT(F74, LEN(F74) - FIND("-", F74))), _xlfn.CONCAT("L44-", RIGHT(H74, LEN(H74) - FIND("-", H74)))))</f>
        <v>L44-CLOVIS</v>
      </c>
      <c r="G77" s="157">
        <v>1</v>
      </c>
      <c r="H77" s="122" t="str">
        <f>IF(G73 = "", "W39", IF(G73 &gt; I73, _xlfn.CONCAT("W39-", RIGHT(F73, LEN(F73) - FIND("-", F73))), _xlfn.CONCAT("W39-", RIGHT(H73, LEN(H73) - FIND("-", H73)))))</f>
        <v>W39-TEXAS THUNDER</v>
      </c>
      <c r="I77" s="157">
        <v>4</v>
      </c>
      <c r="J77" s="122" t="s">
        <v>318</v>
      </c>
      <c r="K77" s="122" t="s">
        <v>319</v>
      </c>
      <c r="L77" s="122" t="str">
        <f>$L$15&amp;"-"&amp;TEXT(E77,"000")</f>
        <v>18G-054</v>
      </c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</row>
    <row r="78" spans="1:26" ht="13.5" customHeight="1">
      <c r="A78" s="155">
        <f t="shared" ref="A78:A94" si="27">$A$2</f>
        <v>46221</v>
      </c>
      <c r="B78" s="156">
        <f>'CHICLETS MASTER S1'!AU16</f>
        <v>0.79166666666666696</v>
      </c>
      <c r="C78" s="122" t="s">
        <v>275</v>
      </c>
      <c r="D78" s="122" t="str">
        <f t="shared" si="25"/>
        <v>WESTMINSTER HS</v>
      </c>
      <c r="E78" s="122">
        <v>59</v>
      </c>
      <c r="F78" s="122" t="str">
        <f>IF(G72 = "", "L34", IF(G72 &lt; I72, _xlfn.CONCAT("L34-", RIGHT(F72, LEN(F72) - FIND("-", F72))), _xlfn.CONCAT("L34-", RIGHT(H72, LEN(H72) - FIND("-", H72)))))</f>
        <v>L34-GREENWICH</v>
      </c>
      <c r="G78" s="157">
        <v>3</v>
      </c>
      <c r="H78" s="122" t="str">
        <f>IF(G75 = "", "W48", IF(G75 &gt; I75, _xlfn.CONCAT("W48-", RIGHT(F75, LEN(F75) - FIND("-", F75))), _xlfn.CONCAT("W48-", RIGHT(H75, LEN(H75) - FIND("-", H75)))))</f>
        <v>W48-BULLDOG</v>
      </c>
      <c r="I78" s="157">
        <v>6</v>
      </c>
      <c r="J78" s="122" t="s">
        <v>314</v>
      </c>
      <c r="K78" s="122" t="s">
        <v>315</v>
      </c>
      <c r="L78" s="122" t="str">
        <f>$L$15&amp;"-"&amp;TEXT(E78,"000")</f>
        <v>18G-059</v>
      </c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</row>
    <row r="79" spans="1:26" ht="13.5" customHeight="1" thickBot="1">
      <c r="A79" s="158"/>
      <c r="B79" s="106"/>
      <c r="C79" s="106"/>
      <c r="D79" s="106"/>
      <c r="E79" s="106"/>
      <c r="F79" s="106"/>
      <c r="G79" s="110"/>
      <c r="H79" s="106"/>
      <c r="I79" s="110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</row>
    <row r="80" spans="1:26" ht="13.5" customHeight="1" thickBot="1">
      <c r="A80" s="106"/>
      <c r="B80" s="106"/>
      <c r="C80" s="106"/>
      <c r="D80" s="150" t="str">
        <f>'CHICLETS MASTER S1'!$AX$3</f>
        <v>WOOLLETT NEAR LEFT</v>
      </c>
      <c r="E80" s="106"/>
      <c r="F80" s="106"/>
      <c r="G80" s="110"/>
      <c r="H80" s="106"/>
      <c r="I80" s="110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</row>
    <row r="81" spans="1:26" ht="13.5" customHeight="1">
      <c r="A81" s="301" t="s">
        <v>110</v>
      </c>
      <c r="B81" s="301" t="s">
        <v>111</v>
      </c>
      <c r="C81" s="301" t="s">
        <v>112</v>
      </c>
      <c r="D81" s="301" t="s">
        <v>113</v>
      </c>
      <c r="E81" s="301" t="s">
        <v>114</v>
      </c>
      <c r="F81" s="301" t="s">
        <v>115</v>
      </c>
      <c r="G81" s="302" t="s">
        <v>116</v>
      </c>
      <c r="H81" s="301" t="s">
        <v>117</v>
      </c>
      <c r="I81" s="302" t="s">
        <v>116</v>
      </c>
      <c r="J81" s="301" t="s">
        <v>118</v>
      </c>
      <c r="K81" s="301" t="s">
        <v>119</v>
      </c>
      <c r="L81" s="301" t="s">
        <v>120</v>
      </c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</row>
    <row r="82" spans="1:26" ht="13.5" customHeight="1">
      <c r="A82" s="155">
        <f t="shared" ref="A82:A89" si="28">$A$2</f>
        <v>46221</v>
      </c>
      <c r="B82" s="156">
        <f>'CHICLETS MASTER S1'!AU4</f>
        <v>0.29166666666666669</v>
      </c>
      <c r="C82" s="122" t="s">
        <v>163</v>
      </c>
      <c r="D82" s="122" t="str">
        <f t="shared" ref="D82:D89" si="29">$D$80</f>
        <v>WOOLLETT NEAR LEFT</v>
      </c>
      <c r="E82" s="122">
        <v>5</v>
      </c>
      <c r="F82" s="122" t="str">
        <f>E11</f>
        <v>11-SANTA BARBARA WPC A</v>
      </c>
      <c r="G82" s="157">
        <v>2</v>
      </c>
      <c r="H82" s="122" t="str">
        <f>E14</f>
        <v>38-PACIFIC VALLEY PREMIER</v>
      </c>
      <c r="I82" s="157">
        <v>8</v>
      </c>
      <c r="J82" s="122">
        <v>25</v>
      </c>
      <c r="K82" s="122">
        <v>30</v>
      </c>
      <c r="L82" s="122" t="str">
        <f t="shared" ref="L82:L89" si="30">$L$15&amp;"-"&amp;TEXT(E82,"000")</f>
        <v>18G-005</v>
      </c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 spans="1:26" ht="13.5" customHeight="1">
      <c r="A83" s="155">
        <f t="shared" si="28"/>
        <v>46221</v>
      </c>
      <c r="B83" s="156">
        <f>'CHICLETS MASTER S1'!AU5</f>
        <v>0.33333333333333298</v>
      </c>
      <c r="C83" s="122" t="s">
        <v>163</v>
      </c>
      <c r="D83" s="122" t="str">
        <f t="shared" si="29"/>
        <v>WOOLLETT NEAR LEFT</v>
      </c>
      <c r="E83" s="122">
        <v>10</v>
      </c>
      <c r="F83" s="122" t="str">
        <f>E12</f>
        <v>14-SANTA BARBARA WPC B</v>
      </c>
      <c r="G83" s="157">
        <v>3</v>
      </c>
      <c r="H83" s="122" t="str">
        <f>E13</f>
        <v>35-LYONS AQUATICS</v>
      </c>
      <c r="I83" s="157">
        <v>6</v>
      </c>
      <c r="J83" s="122">
        <v>25</v>
      </c>
      <c r="K83" s="122">
        <v>30</v>
      </c>
      <c r="L83" s="122" t="str">
        <f t="shared" si="30"/>
        <v>18G-010</v>
      </c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 spans="1:26" ht="13.5" customHeight="1">
      <c r="A84" s="155">
        <f t="shared" si="28"/>
        <v>46221</v>
      </c>
      <c r="B84" s="156">
        <f>'CHICLETS MASTER S1'!AU6</f>
        <v>0.375</v>
      </c>
      <c r="C84" s="122" t="s">
        <v>163</v>
      </c>
      <c r="D84" s="122" t="str">
        <f t="shared" si="29"/>
        <v>WOOLLETT NEAR LEFT</v>
      </c>
      <c r="E84" s="122">
        <v>15</v>
      </c>
      <c r="F84" s="122" t="str">
        <f>F11</f>
        <v>12-MISSION</v>
      </c>
      <c r="G84" s="157">
        <v>5</v>
      </c>
      <c r="H84" s="122" t="str">
        <f>F14</f>
        <v>37-BAINBRIDGE</v>
      </c>
      <c r="I84" s="157">
        <v>6</v>
      </c>
      <c r="J84" s="122">
        <v>35</v>
      </c>
      <c r="K84" s="122">
        <v>40</v>
      </c>
      <c r="L84" s="122" t="str">
        <f t="shared" si="30"/>
        <v>18G-015</v>
      </c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 spans="1:26" ht="13.5" customHeight="1">
      <c r="A85" s="155">
        <f t="shared" si="28"/>
        <v>46221</v>
      </c>
      <c r="B85" s="156">
        <f>'CHICLETS MASTER S1'!AU7</f>
        <v>0.41666666666666702</v>
      </c>
      <c r="C85" s="122" t="s">
        <v>163</v>
      </c>
      <c r="D85" s="122" t="str">
        <f t="shared" si="29"/>
        <v>WOOLLETT NEAR LEFT</v>
      </c>
      <c r="E85" s="122">
        <v>20</v>
      </c>
      <c r="F85" s="122" t="str">
        <f>F12</f>
        <v>13-680 RED</v>
      </c>
      <c r="G85" s="157">
        <v>6</v>
      </c>
      <c r="H85" s="122" t="str">
        <f>F13</f>
        <v>36-SKIP</v>
      </c>
      <c r="I85" s="157">
        <v>3</v>
      </c>
      <c r="J85" s="122">
        <v>35</v>
      </c>
      <c r="K85" s="122">
        <v>40</v>
      </c>
      <c r="L85" s="122" t="str">
        <f t="shared" si="30"/>
        <v>18G-020</v>
      </c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 spans="1:26" ht="13.5" customHeight="1">
      <c r="A86" s="155">
        <f t="shared" si="28"/>
        <v>46221</v>
      </c>
      <c r="B86" s="156">
        <f>'CHICLETS MASTER S1'!AU8</f>
        <v>0.45833333333333298</v>
      </c>
      <c r="C86" s="122" t="s">
        <v>163</v>
      </c>
      <c r="D86" s="122" t="str">
        <f t="shared" si="29"/>
        <v>WOOLLETT NEAR LEFT</v>
      </c>
      <c r="E86" s="122">
        <v>25</v>
      </c>
      <c r="F86" s="122" t="str">
        <f>IF(G82 = "", "W5", IF(G82 &gt; I82, _xlfn.CONCAT("W5-", RIGHT(F82, LEN(F82) - FIND("-", F82))), _xlfn.CONCAT("W5-", RIGHT(H82, LEN(H82) - FIND("-", H82)))))</f>
        <v>W5-PACIFIC VALLEY PREMIER</v>
      </c>
      <c r="G86" s="157">
        <v>4</v>
      </c>
      <c r="H86" s="122" t="str">
        <f>IF(G83 = "", "W10", IF(G83 &gt; I83, _xlfn.CONCAT("W10-", RIGHT(F83, LEN(F83) - FIND("-", F83))), _xlfn.CONCAT("W10-", RIGHT(H83, LEN(H83) - FIND("-", H83)))))</f>
        <v>W10-LYONS AQUATICS</v>
      </c>
      <c r="I86" s="157">
        <v>1</v>
      </c>
      <c r="J86" s="122" t="s">
        <v>129</v>
      </c>
      <c r="K86" s="122">
        <v>60</v>
      </c>
      <c r="L86" s="122" t="str">
        <f t="shared" si="30"/>
        <v>18G-025</v>
      </c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 spans="1:26" ht="13.5" customHeight="1">
      <c r="A87" s="155">
        <f t="shared" si="28"/>
        <v>46221</v>
      </c>
      <c r="B87" s="156">
        <f>'CHICLETS MASTER S1'!AU9</f>
        <v>0.5</v>
      </c>
      <c r="C87" s="122" t="s">
        <v>163</v>
      </c>
      <c r="D87" s="122" t="str">
        <f t="shared" si="29"/>
        <v>WOOLLETT NEAR LEFT</v>
      </c>
      <c r="E87" s="122">
        <v>30</v>
      </c>
      <c r="F87" s="122" t="str">
        <f>IF(G82 = "", "L5", IF(G82 &lt; I82, _xlfn.CONCAT("L5-", RIGHT(F82, LEN(F82) - FIND("-", F82))), _xlfn.CONCAT("L5-", RIGHT(H82, LEN(H82) - FIND("-", H82)))))</f>
        <v>L5-SANTA BARBARA WPC A</v>
      </c>
      <c r="G87" s="157">
        <v>8</v>
      </c>
      <c r="H87" s="122" t="str">
        <f>IF(G83 = "", "L10", IF(G83 &lt; I83, _xlfn.CONCAT("L10-", RIGHT(F83, LEN(F83) - FIND("-", F83))), _xlfn.CONCAT("L10-", RIGHT(H83, LEN(H83) - FIND("-", H83)))))</f>
        <v>L10-SANTA BARBARA WPC B</v>
      </c>
      <c r="I87" s="157">
        <v>2</v>
      </c>
      <c r="J87" s="122">
        <v>55</v>
      </c>
      <c r="K87" s="122" t="s">
        <v>673</v>
      </c>
      <c r="L87" s="122" t="str">
        <f t="shared" si="30"/>
        <v>18G-030</v>
      </c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 spans="1:26" ht="13.5" customHeight="1">
      <c r="A88" s="155">
        <f t="shared" si="28"/>
        <v>46221</v>
      </c>
      <c r="B88" s="156">
        <f>'CHICLETS MASTER S1'!AU10</f>
        <v>0.54166666666666696</v>
      </c>
      <c r="C88" s="122" t="s">
        <v>163</v>
      </c>
      <c r="D88" s="122" t="str">
        <f t="shared" si="29"/>
        <v>WOOLLETT NEAR LEFT</v>
      </c>
      <c r="E88" s="122">
        <v>35</v>
      </c>
      <c r="F88" s="122" t="str">
        <f>IF(G84 = "", "W15", IF(G84 &gt; I84, _xlfn.CONCAT("W15-", RIGHT(F84, LEN(F84) - FIND("-", F84))), _xlfn.CONCAT("W15-", RIGHT(H84, LEN(H84) - FIND("-", H84)))))</f>
        <v>W15-BAINBRIDGE</v>
      </c>
      <c r="G88" s="157">
        <v>9</v>
      </c>
      <c r="H88" s="122" t="str">
        <f>IF(G85 = "", "W20", IF(G85 &gt; I85, _xlfn.CONCAT("W20-", RIGHT(F85, LEN(F85) - FIND("-", F85))), _xlfn.CONCAT("W20-", RIGHT(H85, LEN(H85) - FIND("-", H85)))))</f>
        <v>W20-680 RED</v>
      </c>
      <c r="I88" s="157">
        <v>4</v>
      </c>
      <c r="J88" s="122" t="s">
        <v>125</v>
      </c>
      <c r="K88" s="122">
        <v>55</v>
      </c>
      <c r="L88" s="122" t="str">
        <f t="shared" si="30"/>
        <v>18G-035</v>
      </c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 spans="1:26" ht="13.5" customHeight="1">
      <c r="A89" s="155">
        <f t="shared" si="28"/>
        <v>46221</v>
      </c>
      <c r="B89" s="156">
        <f>'CHICLETS MASTER S1'!AU11</f>
        <v>0.58333333333333304</v>
      </c>
      <c r="C89" s="122" t="s">
        <v>163</v>
      </c>
      <c r="D89" s="122" t="str">
        <f t="shared" si="29"/>
        <v>WOOLLETT NEAR LEFT</v>
      </c>
      <c r="E89" s="122">
        <v>40</v>
      </c>
      <c r="F89" s="122" t="str">
        <f>IF(G84 = "", "L15", IF(G84 &lt; I84, _xlfn.CONCAT("L15-", RIGHT(F84, LEN(F84) - FIND("-", F84))), _xlfn.CONCAT("L15-", RIGHT(H84, LEN(H84) - FIND("-", H84)))))</f>
        <v>L15-MISSION</v>
      </c>
      <c r="G89" s="157">
        <v>2</v>
      </c>
      <c r="H89" s="122" t="str">
        <f>IF(G85 = "", "L20", IF(G85 &lt; I85, _xlfn.CONCAT("L20-", RIGHT(F85, LEN(F85) - FIND("-", F85))), _xlfn.CONCAT("L20-", RIGHT(H85, LEN(H85) - FIND("-", H85)))))</f>
        <v>L20-SKIP</v>
      </c>
      <c r="I89" s="157">
        <v>23</v>
      </c>
      <c r="J89" s="122">
        <v>60</v>
      </c>
      <c r="K89" s="122" t="s">
        <v>678</v>
      </c>
      <c r="L89" s="122" t="str">
        <f t="shared" si="30"/>
        <v>18G-040</v>
      </c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 spans="1:26" ht="13.5" customHeight="1">
      <c r="A90" s="158"/>
      <c r="B90" s="106" t="s">
        <v>204</v>
      </c>
      <c r="C90" s="106"/>
      <c r="D90" s="106"/>
      <c r="E90" s="106"/>
      <c r="F90" s="106"/>
      <c r="G90" s="110"/>
      <c r="H90" s="106"/>
      <c r="I90" s="106"/>
      <c r="J90" s="106"/>
      <c r="K90" s="106"/>
      <c r="L90" s="106"/>
      <c r="M90" s="109"/>
      <c r="N90" s="109"/>
      <c r="O90" s="109"/>
      <c r="P90" s="109"/>
      <c r="Q90" s="109"/>
      <c r="R90" s="109"/>
      <c r="S90" s="109"/>
      <c r="T90" s="109"/>
      <c r="U90" s="109"/>
      <c r="V90" s="109"/>
      <c r="W90" s="109"/>
      <c r="X90" s="109"/>
      <c r="Y90" s="109"/>
      <c r="Z90" s="109"/>
    </row>
    <row r="91" spans="1:26" ht="13.5" customHeight="1">
      <c r="A91" s="155">
        <f t="shared" si="27"/>
        <v>46221</v>
      </c>
      <c r="B91" s="156">
        <f>'CHICLETS MASTER S1'!AU13</f>
        <v>0.66666666666666696</v>
      </c>
      <c r="C91" s="122" t="s">
        <v>275</v>
      </c>
      <c r="D91" s="122" t="str">
        <f t="shared" ref="D91:D94" si="31">$D$80</f>
        <v>WOOLLETT NEAR LEFT</v>
      </c>
      <c r="E91" s="122">
        <v>49</v>
      </c>
      <c r="F91" s="152" t="str">
        <f>IF(G71 = "", "L28", IF(G71 &lt; I71, _xlfn.CONCAT("L28-", RIGHT(F71, LEN(F71) - FIND("-", F71))), _xlfn.CONCAT("L28-", RIGHT(H71, LEN(H71) - FIND("-", H71)))))</f>
        <v>L28-PALOS VERDES BLACK</v>
      </c>
      <c r="G91" s="157">
        <v>6</v>
      </c>
      <c r="H91" s="152" t="str">
        <f>IF(G39 = "", "W27", IF(G39 &gt; I39, _xlfn.CONCAT("W27-", RIGHT(F39, LEN(F39) - FIND("-", F39))), _xlfn.CONCAT("W27-", RIGHT(H39, LEN(H39) - FIND("-", H39)))))</f>
        <v>W27-STANFORD A</v>
      </c>
      <c r="I91" s="157">
        <v>1</v>
      </c>
      <c r="J91" s="122" t="s">
        <v>282</v>
      </c>
      <c r="K91" s="122" t="s">
        <v>283</v>
      </c>
      <c r="L91" s="122" t="str">
        <f t="shared" ref="L91:L94" si="32">$L$15&amp;"-"&amp;TEXT(E91,"000")</f>
        <v>18G-049</v>
      </c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 spans="1:26" ht="13.5" customHeight="1">
      <c r="A92" s="155">
        <f t="shared" si="27"/>
        <v>46221</v>
      </c>
      <c r="B92" s="156">
        <f>'CHICLETS MASTER S1'!AU14</f>
        <v>0.70833333333333304</v>
      </c>
      <c r="C92" s="122" t="s">
        <v>275</v>
      </c>
      <c r="D92" s="122" t="str">
        <f t="shared" si="31"/>
        <v>WOOLLETT NEAR LEFT</v>
      </c>
      <c r="E92" s="122">
        <v>50</v>
      </c>
      <c r="F92" s="152" t="str">
        <f>IF(G23 = "", "L26", IF(G23 &lt; I23, _xlfn.CONCAT("L26-", RIGHT(F23, LEN(F23) - FIND("-", F23))), _xlfn.CONCAT("L26-", RIGHT(H23, LEN(H23) - FIND("-", H23)))))</f>
        <v>L26-SOUTH COAST RED</v>
      </c>
      <c r="G92" s="157">
        <v>4</v>
      </c>
      <c r="H92" s="152" t="str">
        <f>IF(G55 = "", "W29", IF(G55 &gt; I55, _xlfn.CONCAT("W29-", RIGHT(F55, LEN(F55) - FIND("-", F55))), _xlfn.CONCAT("W29-", RIGHT(H55, LEN(H55) - FIND("-", H55)))))</f>
        <v>W29-CHAWP WHITE</v>
      </c>
      <c r="I92" s="157">
        <v>6</v>
      </c>
      <c r="J92" s="122" t="s">
        <v>278</v>
      </c>
      <c r="K92" s="122" t="s">
        <v>279</v>
      </c>
      <c r="L92" s="122" t="str">
        <f t="shared" si="32"/>
        <v>18G-050</v>
      </c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 spans="1:26" ht="13.5" customHeight="1">
      <c r="A93" s="155">
        <f t="shared" si="27"/>
        <v>46221</v>
      </c>
      <c r="B93" s="156">
        <f>'CHICLETS MASTER S1'!AU15</f>
        <v>0.75</v>
      </c>
      <c r="C93" s="122" t="s">
        <v>275</v>
      </c>
      <c r="D93" s="122" t="str">
        <f t="shared" si="31"/>
        <v>WOOLLETT NEAR LEFT</v>
      </c>
      <c r="E93" s="122">
        <v>55</v>
      </c>
      <c r="F93" s="122" t="str">
        <f>IF(G88 = "", "L35", IF(G88 &lt; I88, _xlfn.CONCAT("L35-", RIGHT(F88, LEN(F88) - FIND("-", F88))), _xlfn.CONCAT("L35-", RIGHT(H88, LEN(H88) - FIND("-", H88)))))</f>
        <v>L35-680 RED</v>
      </c>
      <c r="G93" s="157">
        <v>2</v>
      </c>
      <c r="H93" s="122" t="str">
        <f>IF(G87 = "", "W30", IF(G87 &gt; I87, _xlfn.CONCAT("W30-", RIGHT(F87, LEN(F87) - FIND("-", F87))), _xlfn.CONCAT("W30-", RIGHT(H87, LEN(H87) - FIND("-", H87)))))</f>
        <v>W30-SANTA BARBARA WPC A</v>
      </c>
      <c r="I93" s="157">
        <v>3</v>
      </c>
      <c r="J93" s="122" t="s">
        <v>126</v>
      </c>
      <c r="K93" s="122" t="s">
        <v>325</v>
      </c>
      <c r="L93" s="122" t="str">
        <f t="shared" si="32"/>
        <v>18G-055</v>
      </c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 spans="1:26" ht="13.5" customHeight="1">
      <c r="A94" s="155">
        <f t="shared" si="27"/>
        <v>46221</v>
      </c>
      <c r="B94" s="156">
        <f>'CHICLETS MASTER S1'!AU16</f>
        <v>0.79166666666666696</v>
      </c>
      <c r="C94" s="122" t="s">
        <v>275</v>
      </c>
      <c r="D94" s="122" t="str">
        <f t="shared" si="31"/>
        <v>WOOLLETT NEAR LEFT</v>
      </c>
      <c r="E94" s="122">
        <v>60</v>
      </c>
      <c r="F94" s="122" t="str">
        <f>IF(G86 = "", "L25", IF(G86 &lt; I86, _xlfn.CONCAT("L25-", RIGHT(F86, LEN(F86) - FIND("-", F86))), _xlfn.CONCAT("L25-", RIGHT(H86, LEN(H86) - FIND("-", H86)))))</f>
        <v>L25-LYONS AQUATICS</v>
      </c>
      <c r="G94" s="157">
        <v>5</v>
      </c>
      <c r="H94" s="122" t="str">
        <f>IF(G89 = "", "W40", IF(G89 &gt; I89, _xlfn.CONCAT("W40-", RIGHT(F89, LEN(F89) - FIND("-", F89))), _xlfn.CONCAT("W40-", RIGHT(H89, LEN(H89) - FIND("-", H89)))))</f>
        <v>W40-SKIP</v>
      </c>
      <c r="I94" s="157">
        <v>7</v>
      </c>
      <c r="J94" s="122" t="s">
        <v>130</v>
      </c>
      <c r="K94" s="122" t="s">
        <v>322</v>
      </c>
      <c r="L94" s="122" t="str">
        <f t="shared" si="32"/>
        <v>18G-060</v>
      </c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 spans="1:26" ht="13.5" customHeight="1" thickBot="1">
      <c r="A95" s="106"/>
      <c r="B95" s="106"/>
      <c r="C95" s="106"/>
      <c r="D95" s="106"/>
      <c r="E95" s="106"/>
      <c r="F95" s="106"/>
      <c r="G95" s="110"/>
      <c r="H95" s="106"/>
      <c r="I95" s="110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 spans="1:26" ht="13.5" customHeight="1" thickTop="1" thickBot="1">
      <c r="A96" s="105" t="s">
        <v>326</v>
      </c>
      <c r="B96" s="148"/>
      <c r="C96" s="148"/>
      <c r="D96" s="148"/>
      <c r="E96" s="148"/>
      <c r="F96" s="148"/>
      <c r="G96" s="300"/>
      <c r="H96" s="148"/>
      <c r="I96" s="300"/>
      <c r="J96" s="148"/>
      <c r="K96" s="148"/>
      <c r="L96" s="148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 spans="1:26" ht="13.5" customHeight="1">
      <c r="A97" s="108">
        <v>46222</v>
      </c>
      <c r="B97" s="106"/>
      <c r="C97" s="106"/>
      <c r="D97" s="106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 spans="1:26" ht="13.5" customHeight="1">
      <c r="A98" s="106"/>
      <c r="B98" s="106" t="s">
        <v>148</v>
      </c>
      <c r="C98" s="106"/>
      <c r="D98" s="106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 spans="1:26" ht="13.5" customHeight="1">
      <c r="A99" s="106"/>
      <c r="B99" s="167" t="s">
        <v>327</v>
      </c>
      <c r="C99" s="167" t="s">
        <v>328</v>
      </c>
      <c r="D99" s="167" t="s">
        <v>329</v>
      </c>
      <c r="E99" s="167" t="s">
        <v>330</v>
      </c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 spans="1:26" ht="13.5" customHeight="1">
      <c r="A100" s="106">
        <v>1</v>
      </c>
      <c r="B100" s="122" t="str">
        <f>IF(G23 = "", "W26", IF(G23 &gt; I23, _xlfn.CONCAT("W26-", RIGHT(F23, LEN(F23) - FIND("-", F23))), _xlfn.CONCAT("W26-", RIGHT(H23, LEN(H23) - FIND("-", H23)))))</f>
        <v>W26-FOOTHILL</v>
      </c>
      <c r="C100" s="122" t="str">
        <f>IF(G71 = "", "W28", IF(G71 &gt; I71, _xlfn.CONCAT("W28-", RIGHT(F71, LEN(F71) - FIND("-", F71))), _xlfn.CONCAT("W28-", RIGHT(H71, LEN(H71) - FIND("-", H71)))))</f>
        <v>W28-REGENCY</v>
      </c>
      <c r="D100" s="122" t="str">
        <f>IF(G24 = "", "W31", IF(G24 &gt; I24, _xlfn.CONCAT("W31-", RIGHT(F24, LEN(F24) - FIND("-", F24))), _xlfn.CONCAT("W31-", RIGHT(H24, LEN(H24) - FIND("-", H24)))))</f>
        <v>W31-VIPER PIGEON</v>
      </c>
      <c r="E100" s="122" t="str">
        <f>IF(G26 = "", "W41", IF(G26 &gt; I26, _xlfn.CONCAT("W41-", RIGHT(F26, LEN(F26) - FIND("-", F26))), _xlfn.CONCAT("W41-", RIGHT(H26, LEN(H26) - FIND("-", H26)))))</f>
        <v>W41-SHAQ BLUE</v>
      </c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  <row r="101" spans="1:26" ht="13.5" customHeight="1">
      <c r="A101" s="106">
        <v>2</v>
      </c>
      <c r="B101" s="122" t="str">
        <f>IF(G58 = "", "W43", IF(G58 &gt; I58, _xlfn.CONCAT("W43-", RIGHT(F58, LEN(F58) - FIND("-", F58))), _xlfn.CONCAT("W43-", RIGHT(H58, LEN(H58) - FIND("-", H58)))))</f>
        <v>W43-DAVIS</v>
      </c>
      <c r="C101" s="122" t="str">
        <f>IF(G56 = "", "W33", IF(G56 &gt; I56, _xlfn.CONCAT("W33-", RIGHT(F56, LEN(F56) - FIND("-", F56))), _xlfn.CONCAT("W33-", RIGHT(H56, LEN(H56) - FIND("-", H56)))))</f>
        <v>W33-COLORADO</v>
      </c>
      <c r="D101" s="122" t="str">
        <f>IF(G42 = "", "W42", IF(G42 &gt; I42, _xlfn.CONCAT("W42-", RIGHT(F42, LEN(F42) - FIND("-", F42))), _xlfn.CONCAT("W42-", RIGHT(H42, LEN(H42) - FIND("-", H42)))))</f>
        <v>W42-DIABLO ALLIANCE B</v>
      </c>
      <c r="E101" s="122" t="str">
        <f>IF(G40 = "", "W32", IF(G40 &gt; I40, _xlfn.CONCAT("W32-", RIGHT(F40, LEN(F40) - FIND("-", F40))), _xlfn.CONCAT("W32-", RIGHT(H40, LEN(H40) - FIND("-", H40)))))</f>
        <v>W32-BIG VALLEY</v>
      </c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</row>
    <row r="102" spans="1:26" ht="13.5" customHeight="1">
      <c r="A102" s="106">
        <v>3</v>
      </c>
      <c r="B102" s="122" t="str">
        <f>IF(G72 = "", "W34", IF(G72 &gt; I72, _xlfn.CONCAT("W34-", RIGHT(F72, LEN(F72) - FIND("-", F72))), _xlfn.CONCAT("W34-", RIGHT(H72, LEN(H72) - FIND("-", H72)))))</f>
        <v>W34-DIABLO ALLIANCE A</v>
      </c>
      <c r="C102" s="122" t="str">
        <f>IF(G74 = "", "W44", IF(G74 &gt; I74, _xlfn.CONCAT("W44-", RIGHT(F74, LEN(F74) - FIND("-", F74))), _xlfn.CONCAT("W44-", RIGHT(H74, LEN(H74) - FIND("-", H74)))))</f>
        <v>W44-LA JOLLA UNITED</v>
      </c>
      <c r="D102" s="122" t="str">
        <f>IF(G86 = "", "W25", IF(G86 &gt; I86, _xlfn.CONCAT("W25-", RIGHT(F86, LEN(F86) - FIND("-", F86))), _xlfn.CONCAT("W25-", RIGHT(H86, LEN(H86) - FIND("-", H86)))))</f>
        <v>W25-PACIFIC VALLEY PREMIER</v>
      </c>
      <c r="E102" s="122" t="str">
        <f>IF(G88 = "", "W35", IF(G88 &gt; I88, _xlfn.CONCAT("W35-", RIGHT(F88, LEN(F88) - FIND("-", F88))), _xlfn.CONCAT("W35-", RIGHT(H88, LEN(H88) - FIND("-", H88)))))</f>
        <v>W35-BAINBRIDGE</v>
      </c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</row>
    <row r="103" spans="1:26" ht="13.5" customHeight="1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</row>
    <row r="104" spans="1:26" ht="13.5" customHeight="1">
      <c r="A104" s="106"/>
      <c r="B104" s="167" t="s">
        <v>343</v>
      </c>
      <c r="C104" s="167" t="s">
        <v>344</v>
      </c>
      <c r="D104" s="167" t="s">
        <v>345</v>
      </c>
      <c r="E104" s="167" t="s">
        <v>346</v>
      </c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</row>
    <row r="105" spans="1:26" ht="13.5" customHeight="1">
      <c r="A105" s="106">
        <v>1</v>
      </c>
      <c r="B105" s="122" t="str">
        <f>IF(G93 = "", "W55", IF(G93 &gt; I93, _xlfn.CONCAT("W55-", RIGHT(F93, LEN(F93) - FIND("-", F93))), _xlfn.CONCAT("W55-", RIGHT(H93, LEN(H93) - FIND("-", H93)))))</f>
        <v>W55-SANTA BARBARA WPC A</v>
      </c>
      <c r="C105" s="122" t="str">
        <f>IF(G94 = "", "W60", IF(G94 &gt; I94, _xlfn.CONCAT("W60-", RIGHT(F94, LEN(F94) - FIND("-", F94))), _xlfn.CONCAT("W60-", RIGHT(H94, LEN(H94) - FIND("-", H94)))))</f>
        <v>W60-SKIP</v>
      </c>
      <c r="D105" s="122" t="str">
        <f>IF(G77 = "", "W54", IF(G77 &gt; I77, _xlfn.CONCAT("W54-", RIGHT(F77, LEN(F77) - FIND("-", F77))), _xlfn.CONCAT("W54-", RIGHT(H77, LEN(H77) - FIND("-", H77)))))</f>
        <v>W54-TEXAS THUNDER</v>
      </c>
      <c r="E105" s="122" t="str">
        <f>IF(G78 = "", "W59", IF(G78 &gt; I78, _xlfn.CONCAT("W59-", RIGHT(F78, LEN(F78) - FIND("-", F78))), _xlfn.CONCAT("W59-", RIGHT(H78, LEN(H78) - FIND("-", H78)))))</f>
        <v>W59-BULLDOG</v>
      </c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</row>
    <row r="106" spans="1:26" ht="13.5" customHeight="1">
      <c r="A106" s="106">
        <v>2</v>
      </c>
      <c r="B106" s="122" t="str">
        <f>IF(G46 = "", "W57", IF(G46 &gt; I46, _xlfn.CONCAT("W57-", RIGHT(F46, LEN(F46) - FIND("-", F46))), _xlfn.CONCAT("W57-", RIGHT(H46, LEN(H46) - FIND("-", H46)))))</f>
        <v>W57-NORTH IDAHO</v>
      </c>
      <c r="C106" s="122" t="str">
        <f>IF(G45 = "", "W52", IF(G45 &gt; I45, _xlfn.CONCAT("W52-", RIGHT(F45, LEN(F45) - FIND("-", F45))), _xlfn.CONCAT("W52-", RIGHT(H45, LEN(H45) - FIND("-", H45)))))</f>
        <v>W52-MID VALLEY BLUE</v>
      </c>
      <c r="D106" s="122" t="str">
        <f>IF(G62 = "", "W58", IF(G62 &gt; I62, _xlfn.CONCAT("W58-", RIGHT(F62, LEN(F62) - FIND("-", F62))), _xlfn.CONCAT("W58-", RIGHT(H62, LEN(H62) - FIND("-", H62)))))</f>
        <v>W58-NIPC</v>
      </c>
      <c r="E106" s="122" t="str">
        <f>IF(G61 = "", "W53", IF(G61 &gt; I61, _xlfn.CONCAT("W53-", RIGHT(F61, LEN(F61) - FIND("-", F61))), _xlfn.CONCAT("W53-", RIGHT(H61, LEN(H61) - FIND("-", H61)))))</f>
        <v>W53-CORONA DEL MAR</v>
      </c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</row>
    <row r="107" spans="1:26" ht="13.5" customHeight="1">
      <c r="A107" s="106">
        <v>3</v>
      </c>
      <c r="B107" s="122" t="str">
        <f>IF(G29 = "", "W51", IF(G29 &gt; I29, _xlfn.CONCAT("W51-", RIGHT(F29, LEN(F29) - FIND("-", F29))), _xlfn.CONCAT("W51-", RIGHT(H29, LEN(H29) - FIND("-", H29)))))</f>
        <v>W51-SEASIDE</v>
      </c>
      <c r="C107" s="122" t="str">
        <f>IF(G30 = "", "W56", IF(G30 &gt; I30, _xlfn.CONCAT("W56-", RIGHT(F30, LEN(F30) - FIND("-", F30))), _xlfn.CONCAT("W56-", RIGHT(H30, LEN(H30) - FIND("-", H30)))))</f>
        <v>W56-NORCO</v>
      </c>
      <c r="D107" s="122" t="str">
        <f>IF(G91 = "", "W49", IF(G91 &gt; I91, _xlfn.CONCAT("W49-", RIGHT(F91, LEN(F91) - FIND("-", F91))), _xlfn.CONCAT("W49-", RIGHT(H91, LEN(H91) - FIND("-", H91)))))</f>
        <v>W49-PALOS VERDES BLACK</v>
      </c>
      <c r="E107" s="122" t="str">
        <f>IF(G92 = "", "W50", IF(G92 &gt; I92, _xlfn.CONCAT("W50-", RIGHT(F92, LEN(F92) - FIND("-", F92))), _xlfn.CONCAT("W50-", RIGHT(H92, LEN(H92) - FIND("-", H92)))))</f>
        <v>W50-CHAWP WHITE</v>
      </c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</row>
    <row r="108" spans="1:26" ht="13.5" customHeight="1">
      <c r="A108" s="106"/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 spans="1:26" ht="13.5" customHeight="1">
      <c r="A109" s="106"/>
      <c r="B109" s="106" t="s">
        <v>368</v>
      </c>
      <c r="C109" s="106"/>
      <c r="D109" s="106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</row>
    <row r="110" spans="1:26" ht="13.5" customHeight="1">
      <c r="A110" s="106"/>
      <c r="B110" s="168" t="s">
        <v>369</v>
      </c>
      <c r="C110" s="168" t="s">
        <v>370</v>
      </c>
      <c r="D110" s="168" t="s">
        <v>371</v>
      </c>
      <c r="E110" s="168" t="s">
        <v>372</v>
      </c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</row>
    <row r="111" spans="1:26" ht="13.5" customHeight="1">
      <c r="A111" s="106">
        <v>1</v>
      </c>
      <c r="B111" s="122" t="str">
        <f>IF(G91 = "", "L49", IF(G91 &lt; I91, _xlfn.CONCAT("L49-", RIGHT(F91, LEN(F91) - FIND("-", F91))), _xlfn.CONCAT("L49-", RIGHT(H91, LEN(H91) - FIND("-", H91)))))</f>
        <v>L49-STANFORD A</v>
      </c>
      <c r="C111" s="122" t="str">
        <f>IF(G92 = "", "L50", IF(G92 &lt; I92, _xlfn.CONCAT("L50-", RIGHT(F92, LEN(F92) - FIND("-", F92))), _xlfn.CONCAT("L50-", RIGHT(H92, LEN(H92) - FIND("-", H92)))))</f>
        <v>L50-SOUTH COAST RED</v>
      </c>
      <c r="D111" s="122" t="str">
        <f>IF(G29 = "", "L51", IF(G29 &lt; I29, _xlfn.CONCAT("L51-", RIGHT(F29, LEN(F29) - FIND("-", F29))), _xlfn.CONCAT("L51-", RIGHT(H29, LEN(H29) - FIND("-", H29)))))</f>
        <v>L51-OAHU</v>
      </c>
      <c r="E111" s="122" t="str">
        <f>IF(G30 = "", "L56", IF(G30 &lt; I30, _xlfn.CONCAT("L56-", RIGHT(F30, LEN(F30) - FIND("-", F30))), _xlfn.CONCAT("L56-", RIGHT(H30, LEN(H30) - FIND("-", H30)))))</f>
        <v>L56-SANTA CRUZ</v>
      </c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 spans="1:26" ht="13.5" customHeight="1">
      <c r="A112" s="106">
        <v>2</v>
      </c>
      <c r="B112" s="122" t="str">
        <f>IF(G62 = "", "L58", IF(G62 &lt; I62, _xlfn.CONCAT("L58-", RIGHT(F62, LEN(F62) - FIND("-", F62))), _xlfn.CONCAT("L58-", RIGHT(H62, LEN(H62) - FIND("-", H62)))))</f>
        <v>L58-SD SHORES GOLD</v>
      </c>
      <c r="C112" s="122" t="str">
        <f>IF(G61 = "", "L53", IF(G61 &lt; I61, _xlfn.CONCAT("L53-", RIGHT(F61, LEN(F61) - FIND("-", F61))), _xlfn.CONCAT("L53-", RIGHT(H61, LEN(H61) - FIND("-", H61)))))</f>
        <v>L53-WOLVERINE</v>
      </c>
      <c r="D112" s="122" t="str">
        <f>IF(G46 = "", "L57", IF(G46 &lt; I46, _xlfn.CONCAT("L57-", RIGHT(F46, LEN(F46) - FIND("-", F46))), _xlfn.CONCAT("L57-", RIGHT(H46, LEN(H46) - FIND("-", H46)))))</f>
        <v>L57-ASPHALT GREEN</v>
      </c>
      <c r="E112" s="122" t="str">
        <f>IF(G45 = "", "L52", IF(G45 &lt; I45, _xlfn.CONCAT("L52-", RIGHT(F45, LEN(F45) - FIND("-", F45))), _xlfn.CONCAT("L52-", RIGHT(H45, LEN(H45) - FIND("-", H45)))))</f>
        <v>L52-ELMHURST</v>
      </c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 spans="1:26" ht="13.5" customHeight="1">
      <c r="A113" s="106">
        <v>3</v>
      </c>
      <c r="B113" s="122" t="str">
        <f>IF(G77 = "", "L54", IF(G77 &lt; I77, _xlfn.CONCAT("L54-", RIGHT(F77, LEN(F77) - FIND("-", F77))), _xlfn.CONCAT("L54-", RIGHT(H77, LEN(H77) - FIND("-", H77)))))</f>
        <v>L54-CLOVIS</v>
      </c>
      <c r="C113" s="122" t="str">
        <f>IF(G78 = "", "L59", IF(G78 &lt; I78, _xlfn.CONCAT("L59-", RIGHT(F78, LEN(F78) - FIND("-", F78))), _xlfn.CONCAT("L59-", RIGHT(H78, LEN(H78) - FIND("-", H78)))))</f>
        <v>L59-GREENWICH</v>
      </c>
      <c r="D113" s="122" t="str">
        <f>IF(G93 = "", "L55", IF(G93 &lt; I93, _xlfn.CONCAT("L55-", RIGHT(F93, LEN(F93) - FIND("-", F93))), _xlfn.CONCAT("L55-", RIGHT(H93, LEN(H93) - FIND("-", H93)))))</f>
        <v>L55-680 RED</v>
      </c>
      <c r="E113" s="122" t="str">
        <f>IF(G94 = "", "L60", IF(G94 &lt; I94, _xlfn.CONCAT("L60-", RIGHT(F94, LEN(F94) - FIND("-", F94))), _xlfn.CONCAT("L60-", RIGHT(H94, LEN(H94) - FIND("-", H94)))))</f>
        <v>L60-LYONS AQUATICS</v>
      </c>
      <c r="F113" s="106"/>
      <c r="G113" s="110"/>
      <c r="H113" s="106"/>
      <c r="I113" s="110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 spans="1:26" ht="13.5" customHeight="1">
      <c r="A114" s="106"/>
      <c r="B114" s="106"/>
      <c r="C114" s="106"/>
      <c r="D114" s="106"/>
      <c r="E114" s="106"/>
      <c r="F114" s="106"/>
      <c r="G114" s="110"/>
      <c r="H114" s="106"/>
      <c r="I114" s="110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 spans="1:26" ht="13.5" customHeight="1">
      <c r="A115" s="106"/>
      <c r="B115" s="168" t="s">
        <v>745</v>
      </c>
      <c r="C115" s="168" t="s">
        <v>746</v>
      </c>
      <c r="D115" s="168" t="s">
        <v>747</v>
      </c>
      <c r="E115" s="168" t="s">
        <v>748</v>
      </c>
      <c r="F115" s="106"/>
      <c r="G115" s="110"/>
      <c r="H115" s="106"/>
      <c r="I115" s="110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 spans="1:26" ht="13.5" customHeight="1">
      <c r="A116" s="106">
        <v>1</v>
      </c>
      <c r="B116" s="122" t="str">
        <f>IF(G89 = "", "L40", IF(G89 &lt; I89, _xlfn.CONCAT("L40-", RIGHT(F89, LEN(F89) - FIND("-", F89))), _xlfn.CONCAT("L40-", RIGHT(H89, LEN(H89) - FIND("-", H89)))))</f>
        <v>L40-MISSION</v>
      </c>
      <c r="C116" s="122" t="str">
        <f>IF(G87 = "", "L30", IF(G87 &lt; I87, _xlfn.CONCAT("L30-", RIGHT(F87, LEN(F87) - FIND("-", F87))), _xlfn.CONCAT("L30-", RIGHT(H87, LEN(H87) - FIND("-", H87)))))</f>
        <v>L30-SANTA BARBARA WPC B</v>
      </c>
      <c r="D116" s="122" t="str">
        <f>IF(G75 = "", "L48", IF(G75 &lt; I75, _xlfn.CONCAT("L48-", RIGHT(F75, LEN(F75) - FIND("-", F75))), _xlfn.CONCAT("L48-", RIGHT(H75, LEN(H75) - FIND("-", H75)))))</f>
        <v>L48-RAIN CITY</v>
      </c>
      <c r="E116" s="122" t="str">
        <f>IF(G73 = "", "L39", IF(G73 &lt; I73, _xlfn.CONCAT("L39-", RIGHT(F73, LEN(F73) - FIND("-", F73))), _xlfn.CONCAT("L39-", RIGHT(H73, LEN(H73) - FIND("-", H73)))))</f>
        <v>L39-HAWAIIAN ISLANDS</v>
      </c>
      <c r="F116" s="106"/>
      <c r="G116" s="110"/>
      <c r="H116" s="106"/>
      <c r="I116" s="110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 spans="1:26" ht="13.5" customHeight="1">
      <c r="A117" s="106">
        <v>2</v>
      </c>
      <c r="B117" s="122" t="str">
        <f>IF(G41 = "", "L37", IF(G41 &lt; I41, _xlfn.CONCAT("L37-", RIGHT(F41, LEN(F41) - FIND("-", F41))), _xlfn.CONCAT("L37-", RIGHT(H41, LEN(H41) - FIND("-", H41)))))</f>
        <v>L37-LB VIKING WHITE</v>
      </c>
      <c r="C117" s="122" t="str">
        <f>IF(G43 = "", "L46", IF(G43 &lt; I43, _xlfn.CONCAT("L46-", RIGHT(F43, LEN(F43) - FIND("-", F43))), _xlfn.CONCAT("L46-", RIGHT(H43, LEN(H43) - FIND("-", H43)))))</f>
        <v>L46-SD SHORES BLACK</v>
      </c>
      <c r="D117" s="122" t="str">
        <f>IF(G57 = "", "L38", IF(G57 &lt; I57, _xlfn.CONCAT("L38-", RIGHT(F57, LEN(F57) - FIND("-", F57))), _xlfn.CONCAT("L38-", RIGHT(H57, LEN(H57) - FIND("-", H57)))))</f>
        <v>L38-COLORADO</v>
      </c>
      <c r="E117" s="122" t="str">
        <f>IF(G59 = "", "L47", IF(G59 &lt; I59, _xlfn.CONCAT("L47-", RIGHT(F59, LEN(F59) - FIND("-", F59))), _xlfn.CONCAT("L47-", RIGHT(H59, LEN(H59) - FIND("-", H59)))))</f>
        <v>L47-LEGACY</v>
      </c>
      <c r="F117" s="106"/>
      <c r="G117" s="110"/>
      <c r="H117" s="106"/>
      <c r="I117" s="110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 spans="1:26" ht="13.5" customHeight="1">
      <c r="A118" s="106">
        <v>3</v>
      </c>
      <c r="B118" s="122" t="str">
        <f>IF(G27 = "", "L45", IF(G27 &lt; I27, _xlfn.CONCAT("L45-", RIGHT(F27, LEN(F27) - FIND("-", F27))), _xlfn.CONCAT("L45-", RIGHT(H27, LEN(H27) - FIND("-", H27)))))</f>
        <v>L45-LAMORINDA A</v>
      </c>
      <c r="C118" s="122" t="str">
        <f>IF(G25 = "", "L36", IF(G25 &lt; I25, _xlfn.CONCAT("L36-", RIGHT(F25, LEN(F25) - FIND("-", F25))), _xlfn.CONCAT("L36-", RIGHT(H25, LEN(H25) - FIND("-", H25)))))</f>
        <v>L36-SOCAL BLACK</v>
      </c>
      <c r="D118" s="122" t="str">
        <f>IF(G55 = "", "L29", IF(G55 &lt; I55, _xlfn.CONCAT("L29-", RIGHT(F55, LEN(F55) - FIND("-", F55))), _xlfn.CONCAT("L29-", RIGHT(H55, LEN(H55) - FIND("-", H55)))))</f>
        <v>L29-NORCAL BLACK</v>
      </c>
      <c r="E118" s="122" t="str">
        <f>IF(G39 = "", "L27", IF(G39 &lt; I39, _xlfn.CONCAT("L27-", RIGHT(F39, LEN(F39) - FIND("-", F39))), _xlfn.CONCAT("L27-", RIGHT(H39, LEN(H39) - FIND("-", H39)))))</f>
        <v>L27-NEWPORT BEACH</v>
      </c>
      <c r="F118" s="106"/>
      <c r="G118" s="110"/>
      <c r="H118" s="106"/>
      <c r="I118" s="110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 spans="1:26" ht="13.5" customHeight="1" thickBot="1">
      <c r="A119" s="106"/>
      <c r="B119" s="106"/>
      <c r="C119" s="106"/>
      <c r="D119" s="106"/>
      <c r="E119" s="106"/>
      <c r="F119" s="106"/>
      <c r="G119" s="110"/>
      <c r="H119" s="106"/>
      <c r="I119" s="110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 spans="1:26" ht="13.5" customHeight="1" thickBot="1">
      <c r="A120" s="106"/>
      <c r="B120" s="106"/>
      <c r="C120" s="106"/>
      <c r="D120" s="150" t="str">
        <f>'CHICLETS MASTER S1'!$AV$27</f>
        <v>SAN JUAN HILLS HS</v>
      </c>
      <c r="E120" s="106"/>
      <c r="F120" s="106"/>
      <c r="G120" s="110"/>
      <c r="H120" s="106"/>
      <c r="I120" s="110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 spans="1:26" ht="13.5" customHeight="1">
      <c r="A121" s="301" t="s">
        <v>110</v>
      </c>
      <c r="B121" s="301" t="s">
        <v>111</v>
      </c>
      <c r="C121" s="301" t="s">
        <v>112</v>
      </c>
      <c r="D121" s="301" t="s">
        <v>113</v>
      </c>
      <c r="E121" s="301" t="s">
        <v>114</v>
      </c>
      <c r="F121" s="301" t="s">
        <v>115</v>
      </c>
      <c r="G121" s="302" t="s">
        <v>116</v>
      </c>
      <c r="H121" s="301" t="s">
        <v>117</v>
      </c>
      <c r="I121" s="302" t="s">
        <v>116</v>
      </c>
      <c r="J121" s="301" t="s">
        <v>118</v>
      </c>
      <c r="K121" s="301" t="s">
        <v>119</v>
      </c>
      <c r="L121" s="301" t="s">
        <v>120</v>
      </c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</row>
    <row r="122" spans="1:26" ht="13.5" customHeight="1">
      <c r="A122" s="309">
        <f t="shared" ref="A122:A130" si="33">$A$97</f>
        <v>46222</v>
      </c>
      <c r="B122" s="156">
        <f>'CHICLETS MASTER S1'!AU28</f>
        <v>0.29166666666666669</v>
      </c>
      <c r="C122" s="122" t="s">
        <v>163</v>
      </c>
      <c r="D122" s="122" t="str">
        <f t="shared" ref="D122:D130" si="34">$D$120</f>
        <v>SAN JUAN HILLS HS</v>
      </c>
      <c r="E122" s="122">
        <v>64</v>
      </c>
      <c r="F122" s="169" t="str">
        <f>IF(G42 = "", "pt_O2", IF(G42 &gt; I42, _xlfn.CONCAT("pt_O2-", RIGHT(F42, LEN(F42) - FIND("-", F42))), _xlfn.CONCAT("pt_O2-", RIGHT(H42, LEN(H42) - FIND("-", H42)))))</f>
        <v>pt_O2-DIABLO ALLIANCE B</v>
      </c>
      <c r="G122" s="171">
        <v>10</v>
      </c>
      <c r="H122" s="169" t="str">
        <f>IF(G86 = "", "pt_O3", IF(G86 &gt; I86, _xlfn.CONCAT("pt_O3-", RIGHT(F86, LEN(F86) - FIND("-", F86))), _xlfn.CONCAT("pt_O3-", RIGHT(H86, LEN(H86) - FIND("-", H86)))))</f>
        <v>pt_O3-PACIFIC VALLEY PREMIER</v>
      </c>
      <c r="I122" s="171">
        <v>2</v>
      </c>
      <c r="J122" s="169"/>
      <c r="K122" s="169"/>
      <c r="L122" s="169" t="str">
        <f t="shared" ref="L122:L130" si="35">$L$15&amp;"-"&amp;TEXT(E122,"000")</f>
        <v>18G-064</v>
      </c>
      <c r="M122" s="106"/>
      <c r="N122" s="106" t="str">
        <f t="shared" ref="N122:N130" si="36">$K$261&amp;C122</f>
        <v>pt_Group</v>
      </c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  <row r="123" spans="1:26" ht="13.5" customHeight="1">
      <c r="A123" s="309">
        <f t="shared" si="33"/>
        <v>46222</v>
      </c>
      <c r="B123" s="156">
        <f>'CHICLETS MASTER S1'!AU29</f>
        <v>0.33333333333333298</v>
      </c>
      <c r="C123" s="122" t="s">
        <v>163</v>
      </c>
      <c r="D123" s="122" t="str">
        <f t="shared" si="34"/>
        <v>SAN JUAN HILLS HS</v>
      </c>
      <c r="E123" s="122">
        <v>68</v>
      </c>
      <c r="F123" s="169" t="str">
        <f>IF(G23 = "", "pt_M1", IF(G23 &gt; I23, _xlfn.CONCAT("pt_M1-", RIGHT(F23, LEN(F23) - FIND("-", F23))), _xlfn.CONCAT("pt_M1-", RIGHT(H23, LEN(H23) - FIND("-", H23)))))</f>
        <v>pt_M1-FOOTHILL</v>
      </c>
      <c r="G123" s="171"/>
      <c r="H123" s="169" t="str">
        <f>IF(G58 = "", "pt_M2", IF(G58 &gt; I58, _xlfn.CONCAT("pt_M2-", RIGHT(F58, LEN(F58) - FIND("-", F58))), _xlfn.CONCAT("pt_M2-", RIGHT(H58, LEN(H58) - FIND("-", H58)))))</f>
        <v>pt_M2-DAVIS</v>
      </c>
      <c r="I123" s="171"/>
      <c r="J123" s="169"/>
      <c r="K123" s="169"/>
      <c r="L123" s="169" t="str">
        <f t="shared" si="35"/>
        <v>18G-068</v>
      </c>
      <c r="M123" s="106"/>
      <c r="N123" s="106" t="str">
        <f t="shared" si="36"/>
        <v>pt_Group</v>
      </c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</row>
    <row r="124" spans="1:26" ht="13.5" customHeight="1">
      <c r="A124" s="309">
        <f t="shared" si="33"/>
        <v>46222</v>
      </c>
      <c r="B124" s="156">
        <f>'CHICLETS MASTER S1'!AU30</f>
        <v>0.375</v>
      </c>
      <c r="C124" s="122" t="s">
        <v>163</v>
      </c>
      <c r="D124" s="122" t="str">
        <f t="shared" si="34"/>
        <v>SAN JUAN HILLS HS</v>
      </c>
      <c r="E124" s="122">
        <v>74</v>
      </c>
      <c r="F124" s="169" t="str">
        <f>IF(G93 = "", "pt_R1", IF(G93 &gt; I93, _xlfn.CONCAT("pt_R1-", RIGHT(F93, LEN(F93) - FIND("-", F93))), _xlfn.CONCAT("pt_R1-", RIGHT(H93, LEN(H93) - FIND("-", H93)))))</f>
        <v>pt_R1-SANTA BARBARA WPC A</v>
      </c>
      <c r="G124" s="171"/>
      <c r="H124" s="169" t="str">
        <f>IF(G46 = "", "pt_R2", IF(G46 &gt; I46, _xlfn.CONCAT("pt_R2-", RIGHT(F46, LEN(F46) - FIND("-", F46))), _xlfn.CONCAT("pt_R2-", RIGHT(H46, LEN(H46) - FIND("-", H46)))))</f>
        <v>pt_R2-NORTH IDAHO</v>
      </c>
      <c r="I124" s="171"/>
      <c r="J124" s="169"/>
      <c r="K124" s="169"/>
      <c r="L124" s="169" t="str">
        <f t="shared" si="35"/>
        <v>18G-074</v>
      </c>
      <c r="M124" s="106"/>
      <c r="N124" s="106" t="str">
        <f t="shared" si="36"/>
        <v>pt_Group</v>
      </c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 spans="1:26" ht="13.5" customHeight="1">
      <c r="A125" s="309">
        <f t="shared" si="33"/>
        <v>46222</v>
      </c>
      <c r="B125" s="156">
        <f>'CHICLETS MASTER S1'!AU31</f>
        <v>0.41666666666666702</v>
      </c>
      <c r="C125" s="122" t="s">
        <v>163</v>
      </c>
      <c r="D125" s="122" t="str">
        <f t="shared" si="34"/>
        <v>SAN JUAN HILLS HS</v>
      </c>
      <c r="E125" s="122">
        <v>79</v>
      </c>
      <c r="F125" s="169" t="str">
        <f>IF(G24 = "", "pt_O1", IF(G24 &gt; I24, _xlfn.CONCAT("pt_O1-", RIGHT(F24, LEN(F24) - FIND("-", F24))), _xlfn.CONCAT("pt_O1-", RIGHT(H24, LEN(H24) - FIND("-", H24)))))</f>
        <v>pt_O1-VIPER PIGEON</v>
      </c>
      <c r="G125" s="171">
        <v>1</v>
      </c>
      <c r="H125" s="169" t="str">
        <f>IF(G86 = "", "pt_O3", IF(G86 &gt; I86, _xlfn.CONCAT("pt_O3-", RIGHT(F86, LEN(F86) - FIND("-", F86))), _xlfn.CONCAT("pt_O3-", RIGHT(H86, LEN(H86) - FIND("-", H86)))))</f>
        <v>pt_O3-PACIFIC VALLEY PREMIER</v>
      </c>
      <c r="I125" s="171">
        <v>3</v>
      </c>
      <c r="J125" s="169"/>
      <c r="K125" s="169"/>
      <c r="L125" s="169" t="str">
        <f t="shared" si="35"/>
        <v>18G-079</v>
      </c>
      <c r="M125" s="106"/>
      <c r="N125" s="106" t="str">
        <f t="shared" si="36"/>
        <v>pt_Group</v>
      </c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</row>
    <row r="126" spans="1:26" ht="13.5" customHeight="1">
      <c r="A126" s="309">
        <f t="shared" si="33"/>
        <v>46222</v>
      </c>
      <c r="B126" s="156">
        <f>'CHICLETS MASTER S1'!AU32</f>
        <v>0.45833333333333298</v>
      </c>
      <c r="C126" s="122" t="s">
        <v>163</v>
      </c>
      <c r="D126" s="122" t="str">
        <f t="shared" si="34"/>
        <v>SAN JUAN HILLS HS</v>
      </c>
      <c r="E126" s="122">
        <v>88</v>
      </c>
      <c r="F126" s="169" t="str">
        <f>IF(G58 = "", "pt_M2", IF(G58 &gt; I58, _xlfn.CONCAT("pt_M2-", RIGHT(F58, LEN(F58) - FIND("-", F58))), _xlfn.CONCAT("pt_M2-", RIGHT(H58, LEN(H58) - FIND("-", H58)))))</f>
        <v>pt_M2-DAVIS</v>
      </c>
      <c r="G126" s="171"/>
      <c r="H126" s="169" t="str">
        <f>IF(G72 = "", "pt_M3", IF(G72 &gt; I72, _xlfn.CONCAT("pt_M3-", RIGHT(F72, LEN(F72) - FIND("-", F72))), _xlfn.CONCAT("pt_M3-", RIGHT(H72, LEN(H72) - FIND("-", H72)))))</f>
        <v>pt_M3-DIABLO ALLIANCE A</v>
      </c>
      <c r="I126" s="171"/>
      <c r="J126" s="169"/>
      <c r="K126" s="169"/>
      <c r="L126" s="169" t="str">
        <f t="shared" si="35"/>
        <v>18G-088</v>
      </c>
      <c r="M126" s="106"/>
      <c r="N126" s="106" t="str">
        <f t="shared" si="36"/>
        <v>pt_Group</v>
      </c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 spans="1:26" ht="13.5" customHeight="1">
      <c r="A127" s="309">
        <f t="shared" si="33"/>
        <v>46222</v>
      </c>
      <c r="B127" s="156">
        <f>'CHICLETS MASTER S1'!AU33</f>
        <v>0.5</v>
      </c>
      <c r="C127" s="122" t="s">
        <v>163</v>
      </c>
      <c r="D127" s="122" t="str">
        <f t="shared" si="34"/>
        <v>SAN JUAN HILLS HS</v>
      </c>
      <c r="E127" s="122">
        <v>89</v>
      </c>
      <c r="F127" s="169" t="str">
        <f>IF(G93 = "", "pt_R1", IF(G93 &gt; I93, _xlfn.CONCAT("pt_R1-", RIGHT(F93, LEN(F93) - FIND("-", F93))), _xlfn.CONCAT("pt_R1-", RIGHT(H93, LEN(H93) - FIND("-", H93)))))</f>
        <v>pt_R1-SANTA BARBARA WPC A</v>
      </c>
      <c r="G127" s="310"/>
      <c r="H127" s="169" t="str">
        <f>IF(G29 = "", "pt_R3", IF(G29 &gt; I29, _xlfn.CONCAT("pt_R3-", RIGHT(F29, LEN(F29) - FIND("-", F29))), _xlfn.CONCAT("pt_R3-", RIGHT(H29, LEN(H29) - FIND("-", H29)))))</f>
        <v>pt_R3-SEASIDE</v>
      </c>
      <c r="I127" s="310"/>
      <c r="J127" s="169"/>
      <c r="K127" s="169"/>
      <c r="L127" s="169" t="str">
        <f t="shared" si="35"/>
        <v>18G-089</v>
      </c>
      <c r="M127" s="106"/>
      <c r="N127" s="106" t="str">
        <f t="shared" si="36"/>
        <v>pt_Group</v>
      </c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 spans="1:26" ht="13.5" customHeight="1">
      <c r="A128" s="309">
        <f t="shared" si="33"/>
        <v>46222</v>
      </c>
      <c r="B128" s="156">
        <f>'CHICLETS MASTER S1'!AU34</f>
        <v>0.54166666666666696</v>
      </c>
      <c r="C128" s="122" t="s">
        <v>163</v>
      </c>
      <c r="D128" s="122" t="str">
        <f t="shared" si="34"/>
        <v>SAN JUAN HILLS HS</v>
      </c>
      <c r="E128" s="122">
        <v>94</v>
      </c>
      <c r="F128" s="169" t="str">
        <f>IF(G24 = "", "pt_O1", IF(G24 &gt; I24, _xlfn.CONCAT("pt_O1-", RIGHT(F24, LEN(F24) - FIND("-", F24))), _xlfn.CONCAT("pt_O1-", RIGHT(H24, LEN(H24) - FIND("-", H24)))))</f>
        <v>pt_O1-VIPER PIGEON</v>
      </c>
      <c r="G128" s="171">
        <v>4</v>
      </c>
      <c r="H128" s="169" t="str">
        <f>IF(G42 = "", "pt_O2", IF(G42 &gt; I42, _xlfn.CONCAT("pt_O2-", RIGHT(F42, LEN(F42) - FIND("-", F42))), _xlfn.CONCAT("pt_O2-", RIGHT(H42, LEN(H42) - FIND("-", H42)))))</f>
        <v>pt_O2-DIABLO ALLIANCE B</v>
      </c>
      <c r="I128" s="171" t="s">
        <v>1848</v>
      </c>
      <c r="J128" s="169"/>
      <c r="K128" s="169"/>
      <c r="L128" s="169" t="str">
        <f t="shared" si="35"/>
        <v>18G-094</v>
      </c>
      <c r="M128" s="106"/>
      <c r="N128" s="106" t="str">
        <f t="shared" si="36"/>
        <v>pt_Group</v>
      </c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 spans="1:26" ht="13.5" customHeight="1">
      <c r="A129" s="309">
        <f t="shared" si="33"/>
        <v>46222</v>
      </c>
      <c r="B129" s="156">
        <f>'CHICLETS MASTER S1'!AU35</f>
        <v>0.58333333333333304</v>
      </c>
      <c r="C129" s="122" t="s">
        <v>163</v>
      </c>
      <c r="D129" s="122" t="str">
        <f t="shared" si="34"/>
        <v>SAN JUAN HILLS HS</v>
      </c>
      <c r="E129" s="122">
        <v>103</v>
      </c>
      <c r="F129" s="169" t="str">
        <f>IF(G23 = "", "pt_M1", IF(G23 &gt; I23, _xlfn.CONCAT("pt_M1-", RIGHT(F23, LEN(F23) - FIND("-", F23))), _xlfn.CONCAT("pt_M1-", RIGHT(H23, LEN(H23) - FIND("-", H23)))))</f>
        <v>pt_M1-FOOTHILL</v>
      </c>
      <c r="G129" s="171"/>
      <c r="H129" s="169" t="str">
        <f>IF(G72 = "", "pt_M3", IF(G72 &gt; I72, _xlfn.CONCAT("pt_M3-", RIGHT(F72, LEN(F72) - FIND("-", F72))), _xlfn.CONCAT("pt_M3-", RIGHT(H72, LEN(H72) - FIND("-", H72)))))</f>
        <v>pt_M3-DIABLO ALLIANCE A</v>
      </c>
      <c r="I129" s="171"/>
      <c r="J129" s="169"/>
      <c r="K129" s="169"/>
      <c r="L129" s="169" t="str">
        <f t="shared" si="35"/>
        <v>18G-103</v>
      </c>
      <c r="M129" s="106"/>
      <c r="N129" s="106" t="str">
        <f t="shared" si="36"/>
        <v>pt_Group</v>
      </c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 spans="1:26" ht="13.5" customHeight="1">
      <c r="A130" s="309">
        <f t="shared" si="33"/>
        <v>46222</v>
      </c>
      <c r="B130" s="156">
        <f>'CHICLETS MASTER S1'!AU36</f>
        <v>0.625</v>
      </c>
      <c r="C130" s="122" t="s">
        <v>163</v>
      </c>
      <c r="D130" s="122" t="str">
        <f t="shared" si="34"/>
        <v>SAN JUAN HILLS HS</v>
      </c>
      <c r="E130" s="122">
        <v>104</v>
      </c>
      <c r="F130" s="169" t="str">
        <f>IF(G46 = "", "pt_R2", IF(G46 &gt; I46, _xlfn.CONCAT("pt_R2-", RIGHT(F46, LEN(F46) - FIND("-", F46))), _xlfn.CONCAT("pt_R2-", RIGHT(H46, LEN(H46) - FIND("-", H46)))))</f>
        <v>pt_R2-NORTH IDAHO</v>
      </c>
      <c r="G130" s="171"/>
      <c r="H130" s="169" t="str">
        <f>IF(G29 = "", "pt_R3", IF(G29 &gt; I29, _xlfn.CONCAT("pt_R3-", RIGHT(F29, LEN(F29) - FIND("-", F29))), _xlfn.CONCAT("pt_R3-", RIGHT(H29, LEN(H29) - FIND("-", H29)))))</f>
        <v>pt_R3-SEASIDE</v>
      </c>
      <c r="I130" s="171"/>
      <c r="J130" s="169"/>
      <c r="K130" s="169"/>
      <c r="L130" s="169" t="str">
        <f t="shared" si="35"/>
        <v>18G-104</v>
      </c>
      <c r="M130" s="106"/>
      <c r="N130" s="106" t="str">
        <f t="shared" si="36"/>
        <v>pt_Group</v>
      </c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 spans="1:26" ht="13.5" customHeight="1">
      <c r="A131" s="158"/>
      <c r="B131" s="160"/>
      <c r="C131" s="106"/>
      <c r="D131" s="106"/>
      <c r="E131" s="106"/>
      <c r="F131" s="106"/>
      <c r="G131" s="110"/>
      <c r="H131" s="106"/>
      <c r="I131" s="110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 spans="1:26" ht="13.5" customHeight="1">
      <c r="A132" s="158"/>
      <c r="B132" s="160"/>
      <c r="C132" s="106"/>
      <c r="D132" s="106"/>
      <c r="E132" s="106"/>
      <c r="F132" s="106"/>
      <c r="G132" s="110"/>
      <c r="H132" s="106"/>
      <c r="I132" s="110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</row>
    <row r="133" spans="1:26" ht="13.5" customHeight="1" thickBot="1">
      <c r="A133" s="158"/>
      <c r="B133" s="160"/>
      <c r="C133" s="106"/>
      <c r="D133" s="106"/>
      <c r="E133" s="106"/>
      <c r="F133" s="106"/>
      <c r="G133" s="110"/>
      <c r="H133" s="106"/>
      <c r="I133" s="110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 spans="1:26" ht="13.5" customHeight="1" thickBot="1">
      <c r="A134" s="106"/>
      <c r="B134" s="106"/>
      <c r="C134" s="106"/>
      <c r="D134" s="150" t="str">
        <f>'CHICLETS MASTER S1'!$AX$27</f>
        <v>WOOLLETT NEAR LEFT</v>
      </c>
      <c r="E134" s="106"/>
      <c r="F134" s="106"/>
      <c r="G134" s="110"/>
      <c r="H134" s="106"/>
      <c r="I134" s="110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 spans="1:26" ht="13.5" customHeight="1">
      <c r="A135" s="301" t="s">
        <v>110</v>
      </c>
      <c r="B135" s="301" t="s">
        <v>111</v>
      </c>
      <c r="C135" s="301" t="s">
        <v>112</v>
      </c>
      <c r="D135" s="301" t="s">
        <v>113</v>
      </c>
      <c r="E135" s="301" t="s">
        <v>114</v>
      </c>
      <c r="F135" s="301" t="s">
        <v>115</v>
      </c>
      <c r="G135" s="302" t="s">
        <v>116</v>
      </c>
      <c r="H135" s="301" t="s">
        <v>117</v>
      </c>
      <c r="I135" s="302" t="s">
        <v>116</v>
      </c>
      <c r="J135" s="301" t="s">
        <v>118</v>
      </c>
      <c r="K135" s="301" t="s">
        <v>119</v>
      </c>
      <c r="L135" s="301" t="s">
        <v>120</v>
      </c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 spans="1:26" ht="13.5" customHeight="1">
      <c r="A136" s="309">
        <f t="shared" ref="A136:A144" si="37">$A$97</f>
        <v>46222</v>
      </c>
      <c r="B136" s="156">
        <f>'CHICLETS MASTER S1'!AU28</f>
        <v>0.29166666666666669</v>
      </c>
      <c r="C136" s="122" t="s">
        <v>163</v>
      </c>
      <c r="D136" s="122" t="str">
        <f t="shared" ref="D136:D144" si="38">$D$134</f>
        <v>WOOLLETT NEAR LEFT</v>
      </c>
      <c r="E136" s="122">
        <v>65</v>
      </c>
      <c r="F136" s="169" t="str">
        <f>IF(G40 = "", "pt_P2", IF(G40 &gt; I40, _xlfn.CONCAT("pt_P2-", RIGHT(F40, LEN(F40) - FIND("-", F40))), _xlfn.CONCAT("pt_P2-", RIGHT(H40, LEN(H40) - FIND("-", H40)))))</f>
        <v>pt_P2-BIG VALLEY</v>
      </c>
      <c r="G136" s="310"/>
      <c r="H136" s="169" t="str">
        <f>IF(G88 = "", "pt_P3", IF(G88 &gt; I88, _xlfn.CONCAT("pt_P3-", RIGHT(F88, LEN(F88) - FIND("-", F88))), _xlfn.CONCAT("pt_P3-", RIGHT(H88, LEN(H88) - FIND("-", H88)))))</f>
        <v>pt_P3-BAINBRIDGE</v>
      </c>
      <c r="I136" s="310"/>
      <c r="J136" s="169"/>
      <c r="K136" s="169"/>
      <c r="L136" s="169" t="str">
        <f t="shared" ref="L136:L144" si="39">$L$15&amp;"-"&amp;TEXT(E136,"000")</f>
        <v>18G-065</v>
      </c>
      <c r="M136" s="106"/>
      <c r="N136" s="106" t="str">
        <f t="shared" ref="N136:N144" si="40">$K$261&amp;C136</f>
        <v>pt_Group</v>
      </c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 spans="1:26" ht="13.5" customHeight="1">
      <c r="A137" s="309">
        <f t="shared" si="37"/>
        <v>46222</v>
      </c>
      <c r="B137" s="156">
        <f>'CHICLETS MASTER S1'!AU29</f>
        <v>0.33333333333333298</v>
      </c>
      <c r="C137" s="122" t="s">
        <v>163</v>
      </c>
      <c r="D137" s="122" t="str">
        <f t="shared" si="38"/>
        <v>WOOLLETT NEAR LEFT</v>
      </c>
      <c r="E137" s="122">
        <v>70</v>
      </c>
      <c r="F137" s="169" t="str">
        <f>IF(G77 = "", "pt_T1", IF(G77 &gt; I77, _xlfn.CONCAT("pt_T1-", RIGHT(F77, LEN(F77) - FIND("-", F77))), _xlfn.CONCAT("pt_T1-", RIGHT(H77, LEN(H77) - FIND("-", H77)))))</f>
        <v>pt_T1-TEXAS THUNDER</v>
      </c>
      <c r="G137" s="171"/>
      <c r="H137" s="169" t="str">
        <f>IF(G62 = "", "pt_T2", IF(G62 &gt; I62, _xlfn.CONCAT("pt_T2-", RIGHT(F62, LEN(F62) - FIND("-", F62))), _xlfn.CONCAT("pt_T2-", RIGHT(H62, LEN(H62) - FIND("-", H62)))))</f>
        <v>pt_T2-NIPC</v>
      </c>
      <c r="I137" s="171"/>
      <c r="J137" s="169"/>
      <c r="K137" s="169"/>
      <c r="L137" s="169" t="str">
        <f t="shared" si="39"/>
        <v>18G-070</v>
      </c>
      <c r="M137" s="106"/>
      <c r="N137" s="106" t="str">
        <f t="shared" si="40"/>
        <v>pt_Group</v>
      </c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 spans="1:26" ht="13.5" customHeight="1">
      <c r="A138" s="309">
        <f t="shared" si="37"/>
        <v>46222</v>
      </c>
      <c r="B138" s="156">
        <f>'CHICLETS MASTER S1'!AU30</f>
        <v>0.375</v>
      </c>
      <c r="C138" s="122" t="s">
        <v>163</v>
      </c>
      <c r="D138" s="122" t="str">
        <f t="shared" si="38"/>
        <v>WOOLLETT NEAR LEFT</v>
      </c>
      <c r="E138" s="122">
        <v>75</v>
      </c>
      <c r="F138" s="169" t="str">
        <f>IF(G78 = "", "pt_U1", IF(G78 &gt; I78, _xlfn.CONCAT("pt_U1-", RIGHT(F78, LEN(F78) - FIND("-", F78))), _xlfn.CONCAT("pt_U1-", RIGHT(H78, LEN(H78) - FIND("-", H78)))))</f>
        <v>pt_U1-BULLDOG</v>
      </c>
      <c r="G138" s="171"/>
      <c r="H138" s="169" t="str">
        <f>IF(G61 = "", "pt_U2", IF(G61 &gt; I61, _xlfn.CONCAT("pt_U2-", RIGHT(F61, LEN(F61) - FIND("-", F61))), _xlfn.CONCAT("pt_U2-", RIGHT(H61, LEN(H61) - FIND("-", H61)))))</f>
        <v>pt_U2-CORONA DEL MAR</v>
      </c>
      <c r="I138" s="171"/>
      <c r="J138" s="169"/>
      <c r="K138" s="169"/>
      <c r="L138" s="169" t="str">
        <f t="shared" si="39"/>
        <v>18G-075</v>
      </c>
      <c r="M138" s="106"/>
      <c r="N138" s="106" t="str">
        <f t="shared" si="40"/>
        <v>pt_Group</v>
      </c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 spans="1:26" ht="13.5" customHeight="1">
      <c r="A139" s="309">
        <f t="shared" si="37"/>
        <v>46222</v>
      </c>
      <c r="B139" s="156">
        <f>'CHICLETS MASTER S1'!AU31</f>
        <v>0.41666666666666702</v>
      </c>
      <c r="C139" s="122" t="s">
        <v>163</v>
      </c>
      <c r="D139" s="122" t="str">
        <f t="shared" si="38"/>
        <v>WOOLLETT NEAR LEFT</v>
      </c>
      <c r="E139" s="122">
        <v>80</v>
      </c>
      <c r="F139" s="169" t="str">
        <f>IF(G26 = "", "pt_P1", IF(G26 &gt; I26, _xlfn.CONCAT("pt_P1-", RIGHT(F26, LEN(F26) - FIND("-", F26))), _xlfn.CONCAT("pt_P1-", RIGHT(H26, LEN(H26) - FIND("-", H26)))))</f>
        <v>pt_P1-SHAQ BLUE</v>
      </c>
      <c r="G139" s="171"/>
      <c r="H139" s="169" t="str">
        <f>IF(G88 = "", "pt_P3", IF(G88 &gt; I88, _xlfn.CONCAT("pt_P3-", RIGHT(F88, LEN(F88) - FIND("-", F88))), _xlfn.CONCAT("pt_P3-", RIGHT(H88, LEN(H88) - FIND("-", H88)))))</f>
        <v>pt_P3-BAINBRIDGE</v>
      </c>
      <c r="I139" s="171"/>
      <c r="J139" s="169"/>
      <c r="K139" s="169"/>
      <c r="L139" s="169" t="str">
        <f t="shared" si="39"/>
        <v>18G-080</v>
      </c>
      <c r="M139" s="106"/>
      <c r="N139" s="106" t="str">
        <f t="shared" si="40"/>
        <v>pt_Group</v>
      </c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 spans="1:26" ht="13.5" customHeight="1">
      <c r="A140" s="309">
        <f t="shared" si="37"/>
        <v>46222</v>
      </c>
      <c r="B140" s="156">
        <f>'CHICLETS MASTER S1'!AU32</f>
        <v>0.45833333333333298</v>
      </c>
      <c r="C140" s="122" t="s">
        <v>163</v>
      </c>
      <c r="D140" s="122" t="str">
        <f t="shared" si="38"/>
        <v>WOOLLETT NEAR LEFT</v>
      </c>
      <c r="E140" s="122">
        <v>85</v>
      </c>
      <c r="F140" s="169" t="str">
        <f>IF(G77 = "", "pt_T1", IF(G77 &gt; I77, _xlfn.CONCAT("pt_T1-", RIGHT(F77, LEN(F77) - FIND("-", F77))), _xlfn.CONCAT("pt_T1-", RIGHT(H77, LEN(H77) - FIND("-", H77)))))</f>
        <v>pt_T1-TEXAS THUNDER</v>
      </c>
      <c r="G140" s="171"/>
      <c r="H140" s="169" t="str">
        <f>IF(G91 = "", "pt_T3", IF(G91 &gt; I91, _xlfn.CONCAT("pt_T3-", RIGHT(F91, LEN(F91) - FIND("-", F91))), _xlfn.CONCAT("pt_T3-", RIGHT(H91, LEN(H91) - FIND("-", H91)))))</f>
        <v>pt_T3-PALOS VERDES BLACK</v>
      </c>
      <c r="I140" s="171"/>
      <c r="J140" s="169"/>
      <c r="K140" s="169"/>
      <c r="L140" s="169" t="str">
        <f t="shared" si="39"/>
        <v>18G-085</v>
      </c>
      <c r="M140" s="106"/>
      <c r="N140" s="106" t="str">
        <f t="shared" si="40"/>
        <v>pt_Group</v>
      </c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 spans="1:26" ht="13.5" customHeight="1">
      <c r="A141" s="309">
        <f t="shared" si="37"/>
        <v>46222</v>
      </c>
      <c r="B141" s="156">
        <f>'CHICLETS MASTER S1'!AU33</f>
        <v>0.5</v>
      </c>
      <c r="C141" s="122" t="s">
        <v>163</v>
      </c>
      <c r="D141" s="122" t="str">
        <f t="shared" si="38"/>
        <v>WOOLLETT NEAR LEFT</v>
      </c>
      <c r="E141" s="122">
        <v>90</v>
      </c>
      <c r="F141" s="169" t="str">
        <f>IF(G78 = "", "pt_U1", IF(G78 &gt; I78, _xlfn.CONCAT("pt_U1-", RIGHT(F78, LEN(F78) - FIND("-", F78))), _xlfn.CONCAT("pt_U1-", RIGHT(H78, LEN(H78) - FIND("-", H78)))))</f>
        <v>pt_U1-BULLDOG</v>
      </c>
      <c r="G141" s="171"/>
      <c r="H141" s="169" t="str">
        <f>IF(G92 = "", "pt_U3", IF(G92 &gt; I92, _xlfn.CONCAT("pt_U3-", RIGHT(F92, LEN(F92) - FIND("-", F92))), _xlfn.CONCAT("pt_U3-", RIGHT(H92, LEN(H92) - FIND("-", H92)))))</f>
        <v>pt_U3-CHAWP WHITE</v>
      </c>
      <c r="I141" s="171"/>
      <c r="J141" s="169"/>
      <c r="K141" s="169"/>
      <c r="L141" s="169" t="str">
        <f t="shared" si="39"/>
        <v>18G-090</v>
      </c>
      <c r="M141" s="106"/>
      <c r="N141" s="106" t="str">
        <f t="shared" si="40"/>
        <v>pt_Group</v>
      </c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</row>
    <row r="142" spans="1:26" ht="13.5" customHeight="1">
      <c r="A142" s="309">
        <f t="shared" si="37"/>
        <v>46222</v>
      </c>
      <c r="B142" s="156">
        <f>'CHICLETS MASTER S1'!AU34</f>
        <v>0.54166666666666696</v>
      </c>
      <c r="C142" s="122" t="s">
        <v>163</v>
      </c>
      <c r="D142" s="122" t="str">
        <f t="shared" si="38"/>
        <v>WOOLLETT NEAR LEFT</v>
      </c>
      <c r="E142" s="122">
        <v>95</v>
      </c>
      <c r="F142" s="169" t="str">
        <f>IF(G26 = "", "pt_P1", IF(G26 &gt; I26, _xlfn.CONCAT("pt_P1-", RIGHT(F26, LEN(F26) - FIND("-", F26))), _xlfn.CONCAT("pt_P1-", RIGHT(H26, LEN(H26) - FIND("-", H26)))))</f>
        <v>pt_P1-SHAQ BLUE</v>
      </c>
      <c r="G142" s="171"/>
      <c r="H142" s="169" t="str">
        <f>IF(G40 = "", "pt_P2", IF(G40 &gt; I40, _xlfn.CONCAT("pt_P2-", RIGHT(F40, LEN(F40) - FIND("-", F40))), _xlfn.CONCAT("pt_P2-", RIGHT(H40, LEN(H40) - FIND("-", H40)))))</f>
        <v>pt_P2-BIG VALLEY</v>
      </c>
      <c r="I142" s="171"/>
      <c r="J142" s="169"/>
      <c r="K142" s="169"/>
      <c r="L142" s="169" t="str">
        <f t="shared" si="39"/>
        <v>18G-095</v>
      </c>
      <c r="M142" s="106"/>
      <c r="N142" s="106" t="str">
        <f t="shared" si="40"/>
        <v>pt_Group</v>
      </c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  <row r="143" spans="1:26" ht="13.5" customHeight="1">
      <c r="A143" s="309">
        <f t="shared" si="37"/>
        <v>46222</v>
      </c>
      <c r="B143" s="156">
        <f>'CHICLETS MASTER S1'!AU35</f>
        <v>0.58333333333333304</v>
      </c>
      <c r="C143" s="122" t="s">
        <v>163</v>
      </c>
      <c r="D143" s="122" t="str">
        <f t="shared" si="38"/>
        <v>WOOLLETT NEAR LEFT</v>
      </c>
      <c r="E143" s="122">
        <v>100</v>
      </c>
      <c r="F143" s="169" t="str">
        <f>IF(G62 = "", "pt_T2", IF(G62 &gt; I62, _xlfn.CONCAT("pt_T2-", RIGHT(F62, LEN(F62) - FIND("-", F62))), _xlfn.CONCAT("pt_T2-", RIGHT(H62, LEN(H62) - FIND("-", H62)))))</f>
        <v>pt_T2-NIPC</v>
      </c>
      <c r="G143" s="310"/>
      <c r="H143" s="169" t="str">
        <f>IF(G91 = "", "pt_T3", IF(G91 &gt; I91, _xlfn.CONCAT("pt_T3-", RIGHT(F91, LEN(F91) - FIND("-", F91))), _xlfn.CONCAT("pt_T3-", RIGHT(H91, LEN(H91) - FIND("-", H91)))))</f>
        <v>pt_T3-PALOS VERDES BLACK</v>
      </c>
      <c r="I143" s="310"/>
      <c r="J143" s="169"/>
      <c r="K143" s="169"/>
      <c r="L143" s="169" t="str">
        <f t="shared" si="39"/>
        <v>18G-100</v>
      </c>
      <c r="M143" s="106"/>
      <c r="N143" s="106" t="str">
        <f t="shared" si="40"/>
        <v>pt_Group</v>
      </c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</row>
    <row r="144" spans="1:26" ht="13.5" customHeight="1">
      <c r="A144" s="309">
        <f t="shared" si="37"/>
        <v>46222</v>
      </c>
      <c r="B144" s="156">
        <f>'CHICLETS MASTER S1'!AU36</f>
        <v>0.625</v>
      </c>
      <c r="C144" s="122" t="s">
        <v>163</v>
      </c>
      <c r="D144" s="122" t="str">
        <f t="shared" si="38"/>
        <v>WOOLLETT NEAR LEFT</v>
      </c>
      <c r="E144" s="122">
        <v>105</v>
      </c>
      <c r="F144" s="169" t="str">
        <f>IF(G61 = "", "pt_U2", IF(G61 &gt; I61, _xlfn.CONCAT("pt_U2-", RIGHT(F61, LEN(F61) - FIND("-", F61))), _xlfn.CONCAT("pt_U2-", RIGHT(H61, LEN(H61) - FIND("-", H61)))))</f>
        <v>pt_U2-CORONA DEL MAR</v>
      </c>
      <c r="G144" s="171"/>
      <c r="H144" s="169" t="str">
        <f>IF(G92 = "", "pt_U3", IF(G92 &gt; I92, _xlfn.CONCAT("pt_U3-", RIGHT(F92, LEN(F92) - FIND("-", F92))), _xlfn.CONCAT("pt_U3-", RIGHT(H92, LEN(H92) - FIND("-", H92)))))</f>
        <v>pt_U3-CHAWP WHITE</v>
      </c>
      <c r="I144" s="171"/>
      <c r="J144" s="169"/>
      <c r="K144" s="169"/>
      <c r="L144" s="169" t="str">
        <f t="shared" si="39"/>
        <v>18G-105</v>
      </c>
      <c r="M144" s="106"/>
      <c r="N144" s="106" t="str">
        <f t="shared" si="40"/>
        <v>pt_Group</v>
      </c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</row>
    <row r="145" spans="1:26" ht="13.5" customHeight="1">
      <c r="A145" s="158"/>
      <c r="B145" s="106" t="s">
        <v>204</v>
      </c>
      <c r="C145" s="106"/>
      <c r="D145" s="106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</row>
    <row r="146" spans="1:26" ht="13.5" customHeight="1">
      <c r="A146" s="106"/>
      <c r="B146" s="106" t="s">
        <v>204</v>
      </c>
      <c r="C146" s="106"/>
      <c r="D146" s="311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 spans="1:26" ht="13.5" customHeight="1">
      <c r="A147" s="309">
        <f t="shared" ref="A147:A148" si="41">$A$97</f>
        <v>46222</v>
      </c>
      <c r="B147" s="156">
        <f>'CHICLETS MASTER S1'!AU39</f>
        <v>0.75</v>
      </c>
      <c r="C147" s="122" t="s">
        <v>166</v>
      </c>
      <c r="D147" s="308" t="str">
        <f t="shared" ref="D147:D148" si="42">$D$134</f>
        <v>WOOLLETT NEAR LEFT</v>
      </c>
      <c r="E147" s="122">
        <v>109</v>
      </c>
      <c r="F147" s="169" t="s">
        <v>364</v>
      </c>
      <c r="G147" s="171"/>
      <c r="H147" s="169" t="s">
        <v>365</v>
      </c>
      <c r="I147" s="171"/>
      <c r="J147" s="169">
        <v>117</v>
      </c>
      <c r="K147" s="169">
        <v>130</v>
      </c>
      <c r="L147" s="169" t="str">
        <f t="shared" ref="L147:L148" si="43">$L$15&amp;"-"&amp;TEXT(E147,"000")</f>
        <v>18G-109</v>
      </c>
      <c r="M147" s="106"/>
      <c r="N147" s="106" t="str">
        <f>$K$261&amp;C147</f>
        <v>pt_Play-in</v>
      </c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</row>
    <row r="148" spans="1:26" ht="13.5" customHeight="1">
      <c r="A148" s="309">
        <f t="shared" si="41"/>
        <v>46222</v>
      </c>
      <c r="B148" s="156">
        <f>'CHICLETS MASTER S1'!AU40</f>
        <v>0.79166666666666696</v>
      </c>
      <c r="C148" s="122" t="s">
        <v>166</v>
      </c>
      <c r="D148" s="122" t="str">
        <f t="shared" si="42"/>
        <v>WOOLLETT NEAR LEFT</v>
      </c>
      <c r="E148" s="122">
        <v>113</v>
      </c>
      <c r="F148" s="152" t="s">
        <v>354</v>
      </c>
      <c r="G148" s="171"/>
      <c r="H148" s="169" t="s">
        <v>355</v>
      </c>
      <c r="I148" s="171"/>
      <c r="J148" s="169">
        <v>125</v>
      </c>
      <c r="K148" s="169">
        <v>138</v>
      </c>
      <c r="L148" s="169" t="str">
        <f t="shared" si="43"/>
        <v>18G-113</v>
      </c>
      <c r="M148" s="106"/>
      <c r="N148" s="106" t="str">
        <f>$K$261&amp;C148</f>
        <v>pt_Play-in</v>
      </c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</row>
    <row r="149" spans="1:26" ht="13.5" customHeight="1" thickBot="1">
      <c r="A149" s="158"/>
      <c r="B149" s="106"/>
      <c r="C149" s="106"/>
      <c r="D149" s="106"/>
      <c r="E149" s="106"/>
      <c r="F149" s="106"/>
      <c r="G149" s="110"/>
      <c r="H149" s="106"/>
      <c r="I149" s="110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 spans="1:26" ht="13.5" customHeight="1" thickBot="1">
      <c r="A150" s="106"/>
      <c r="B150" s="106"/>
      <c r="C150" s="106"/>
      <c r="D150" s="150" t="str">
        <f>'CHICLETS MASTER S1'!$AY$27</f>
        <v>CHAPMAN UNIVERSITY</v>
      </c>
      <c r="E150" s="106"/>
      <c r="F150" s="106"/>
      <c r="G150" s="110"/>
      <c r="H150" s="106"/>
      <c r="I150" s="110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</row>
    <row r="151" spans="1:26" ht="13.5" customHeight="1">
      <c r="A151" s="301" t="s">
        <v>110</v>
      </c>
      <c r="B151" s="301" t="s">
        <v>111</v>
      </c>
      <c r="C151" s="301" t="s">
        <v>112</v>
      </c>
      <c r="D151" s="301" t="s">
        <v>113</v>
      </c>
      <c r="E151" s="301" t="s">
        <v>114</v>
      </c>
      <c r="F151" s="301" t="s">
        <v>115</v>
      </c>
      <c r="G151" s="302" t="s">
        <v>116</v>
      </c>
      <c r="H151" s="301" t="s">
        <v>117</v>
      </c>
      <c r="I151" s="302" t="s">
        <v>116</v>
      </c>
      <c r="J151" s="301" t="s">
        <v>118</v>
      </c>
      <c r="K151" s="301" t="s">
        <v>119</v>
      </c>
      <c r="L151" s="301" t="s">
        <v>120</v>
      </c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 spans="1:26" ht="13.5" customHeight="1">
      <c r="A152" s="309">
        <f t="shared" ref="A152:A161" si="44">$A$97</f>
        <v>46222</v>
      </c>
      <c r="B152" s="156">
        <f>'CHICLETS MASTER S1'!AU28</f>
        <v>0.29166666666666669</v>
      </c>
      <c r="C152" s="122" t="s">
        <v>163</v>
      </c>
      <c r="D152" s="122" t="str">
        <f t="shared" ref="D152:D161" si="45">$D$150</f>
        <v>CHAPMAN UNIVERSITY</v>
      </c>
      <c r="E152" s="122">
        <v>61</v>
      </c>
      <c r="F152" s="134" t="str">
        <f>IF(G73 = "", "au_U1", IF(G73 &lt; I73, _xlfn.CONCAT("au_U1-", RIGHT(F73, LEN(F73) - FIND("-", F73))), _xlfn.CONCAT("au_U1-", RIGHT(H73, LEN(H73) - FIND("-", H73)))))</f>
        <v>au_U1-HAWAIIAN ISLANDS</v>
      </c>
      <c r="G152" s="170"/>
      <c r="H152" s="134" t="str">
        <f>IF(G59 = "", "au_U2", IF(G59 &lt; I59, _xlfn.CONCAT("au_U2-", RIGHT(F59, LEN(F59) - FIND("-", F59))), _xlfn.CONCAT("au_U2-", RIGHT(H59, LEN(H59) - FIND("-", H59)))))</f>
        <v>au_U2-LEGACY</v>
      </c>
      <c r="I152" s="170"/>
      <c r="J152" s="134"/>
      <c r="K152" s="134"/>
      <c r="L152" s="134" t="str">
        <f t="shared" ref="L152:L161" si="46">$L$15&amp;"-"&amp;TEXT(E152,"000")</f>
        <v>18G-061</v>
      </c>
      <c r="M152" s="106"/>
      <c r="N152" s="106" t="str">
        <f t="shared" ref="N152:N161" si="47">$L$261&amp;C152</f>
        <v>au_Group</v>
      </c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 spans="1:26" ht="13.5" customHeight="1">
      <c r="A153" s="309">
        <f t="shared" si="44"/>
        <v>46222</v>
      </c>
      <c r="B153" s="156">
        <f>'CHICLETS MASTER S1'!AU29</f>
        <v>0.33333333333333298</v>
      </c>
      <c r="C153" s="122" t="s">
        <v>163</v>
      </c>
      <c r="D153" s="122" t="str">
        <f t="shared" si="45"/>
        <v>CHAPMAN UNIVERSITY</v>
      </c>
      <c r="E153" s="122">
        <v>66</v>
      </c>
      <c r="F153" s="134" t="str">
        <f>IF(G75 = "", "au_T1", IF(G75 &lt; I75, _xlfn.CONCAT("au_T1-", RIGHT(F75, LEN(F75) - FIND("-", F75))), _xlfn.CONCAT("au_T1-", RIGHT(H75, LEN(H75) - FIND("-", H75)))))</f>
        <v>au_T1-RAIN CITY</v>
      </c>
      <c r="G153" s="170"/>
      <c r="H153" s="134" t="str">
        <f>IF(G57 = "", "au_T2", IF(G57 &lt; I57, _xlfn.CONCAT("au_T2-", RIGHT(F57, LEN(F57) - FIND("-", F57))), _xlfn.CONCAT("au_T2-", RIGHT(H57, LEN(H57) - FIND("-", H57)))))</f>
        <v>au_T2-COLORADO</v>
      </c>
      <c r="I153" s="170"/>
      <c r="J153" s="134"/>
      <c r="K153" s="134"/>
      <c r="L153" s="134" t="str">
        <f t="shared" si="46"/>
        <v>18G-066</v>
      </c>
      <c r="M153" s="106"/>
      <c r="N153" s="106" t="str">
        <f t="shared" si="47"/>
        <v>au_Group</v>
      </c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 spans="1:26" ht="13.5" customHeight="1">
      <c r="A154" s="309">
        <f t="shared" si="44"/>
        <v>46222</v>
      </c>
      <c r="B154" s="156">
        <f>'CHICLETS MASTER S1'!AU30</f>
        <v>0.375</v>
      </c>
      <c r="C154" s="122" t="s">
        <v>163</v>
      </c>
      <c r="D154" s="122" t="str">
        <f t="shared" si="45"/>
        <v>CHAPMAN UNIVERSITY</v>
      </c>
      <c r="E154" s="122">
        <v>71</v>
      </c>
      <c r="F154" s="134" t="str">
        <f>IF(G61 = "", "au_N2", IF(G61 &lt; I61, _xlfn.CONCAT("au_N2-", RIGHT(F61, LEN(F61) - FIND("-", F61))), _xlfn.CONCAT("au_N2-", RIGHT(H61, LEN(H61) - FIND("-", H61)))))</f>
        <v>au_N2-WOLVERINE</v>
      </c>
      <c r="G154" s="170"/>
      <c r="H154" s="134" t="str">
        <f>IF(G78 = "", "au_N3", IF(G78 &lt; I78, _xlfn.CONCAT("au_N3-", RIGHT(F78, LEN(F78) - FIND("-", F78))), _xlfn.CONCAT("au_N3-", RIGHT(H78, LEN(H78) - FIND("-", H78)))))</f>
        <v>au_N3-GREENWICH</v>
      </c>
      <c r="I154" s="170"/>
      <c r="J154" s="134"/>
      <c r="K154" s="134"/>
      <c r="L154" s="134" t="str">
        <f t="shared" si="46"/>
        <v>18G-071</v>
      </c>
      <c r="M154" s="106"/>
      <c r="N154" s="106" t="str">
        <f t="shared" si="47"/>
        <v>au_Group</v>
      </c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 spans="1:26" ht="13.5" customHeight="1">
      <c r="A155" s="309">
        <f t="shared" si="44"/>
        <v>46222</v>
      </c>
      <c r="B155" s="156">
        <f>'CHICLETS MASTER S1'!AU31</f>
        <v>0.41666666666666702</v>
      </c>
      <c r="C155" s="122" t="s">
        <v>163</v>
      </c>
      <c r="D155" s="122" t="str">
        <f t="shared" si="45"/>
        <v>CHAPMAN UNIVERSITY</v>
      </c>
      <c r="E155" s="122">
        <v>76</v>
      </c>
      <c r="F155" s="134" t="str">
        <f>IF(G45 = "", "au_P2", IF(G45 &lt; I45, _xlfn.CONCAT("au_P2-", RIGHT(F45, LEN(F45) - FIND("-", F45))), _xlfn.CONCAT("au_P2-", RIGHT(H45, LEN(H45) - FIND("-", H45)))))</f>
        <v>au_P2-ELMHURST</v>
      </c>
      <c r="G155" s="170"/>
      <c r="H155" s="134" t="str">
        <f>IF(G94 = "", "au_P3", IF(G94 &lt; I94, _xlfn.CONCAT("au_P3-", RIGHT(F94, LEN(F94) - FIND("-", F94))), _xlfn.CONCAT("au_P3-", RIGHT(H94, LEN(H94) - FIND("-", H94)))))</f>
        <v>au_P3-LYONS AQUATICS</v>
      </c>
      <c r="I155" s="170"/>
      <c r="J155" s="134"/>
      <c r="K155" s="134"/>
      <c r="L155" s="134" t="str">
        <f t="shared" si="46"/>
        <v>18G-076</v>
      </c>
      <c r="M155" s="106"/>
      <c r="N155" s="106" t="str">
        <f t="shared" si="47"/>
        <v>au_Group</v>
      </c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 spans="1:26" ht="13.5" customHeight="1">
      <c r="A156" s="309">
        <f t="shared" si="44"/>
        <v>46222</v>
      </c>
      <c r="B156" s="156">
        <f>'CHICLETS MASTER S1'!AU32</f>
        <v>0.45833333333333298</v>
      </c>
      <c r="C156" s="122" t="s">
        <v>163</v>
      </c>
      <c r="D156" s="122" t="str">
        <f t="shared" si="45"/>
        <v>CHAPMAN UNIVERSITY</v>
      </c>
      <c r="E156" s="122">
        <v>81</v>
      </c>
      <c r="F156" s="134" t="str">
        <f>IF(G75 = "", "au_T1", IF(G75 &lt; I75, _xlfn.CONCAT("au_T1-", RIGHT(F75, LEN(F75) - FIND("-", F75))), _xlfn.CONCAT("au_T1-", RIGHT(H75, LEN(H75) - FIND("-", H75)))))</f>
        <v>au_T1-RAIN CITY</v>
      </c>
      <c r="G156" s="170"/>
      <c r="H156" s="134" t="str">
        <f>IF(G55 = "", "au_T3", IF(G55 &lt; I55, _xlfn.CONCAT("au_T3-", RIGHT(F55, LEN(F55) - FIND("-", F55))), _xlfn.CONCAT("au_T3-", RIGHT(H55, LEN(H55) - FIND("-", H55)))))</f>
        <v>au_T3-NORCAL BLACK</v>
      </c>
      <c r="I156" s="170"/>
      <c r="J156" s="134"/>
      <c r="K156" s="134"/>
      <c r="L156" s="134" t="str">
        <f t="shared" si="46"/>
        <v>18G-081</v>
      </c>
      <c r="M156" s="106"/>
      <c r="N156" s="106" t="str">
        <f t="shared" si="47"/>
        <v>au_Group</v>
      </c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 spans="1:26" ht="13.5" customHeight="1">
      <c r="A157" s="309">
        <f t="shared" si="44"/>
        <v>46222</v>
      </c>
      <c r="B157" s="156">
        <f>'CHICLETS MASTER S1'!AU33</f>
        <v>0.5</v>
      </c>
      <c r="C157" s="122" t="s">
        <v>163</v>
      </c>
      <c r="D157" s="122" t="str">
        <f t="shared" si="45"/>
        <v>CHAPMAN UNIVERSITY</v>
      </c>
      <c r="E157" s="122">
        <v>86</v>
      </c>
      <c r="F157" s="134" t="str">
        <f>IF(G92 = "", "au_N1", IF(G92 &lt; I92, _xlfn.CONCAT("au_N1-", RIGHT(F92, LEN(F92) - FIND("-", F92))), _xlfn.CONCAT("au_N1-", RIGHT(H92, LEN(H92) - FIND("-", H92)))))</f>
        <v>au_N1-SOUTH COAST RED</v>
      </c>
      <c r="G157" s="312"/>
      <c r="H157" s="134" t="str">
        <f>IF(G78 = "", "au_N3", IF(G78 &lt; I78, _xlfn.CONCAT("au_N3-", RIGHT(F78, LEN(F78) - FIND("-", F78))), _xlfn.CONCAT("au_N3-", RIGHT(H78, LEN(H78) - FIND("-", H78)))))</f>
        <v>au_N3-GREENWICH</v>
      </c>
      <c r="I157" s="312"/>
      <c r="J157" s="134"/>
      <c r="K157" s="134"/>
      <c r="L157" s="134" t="str">
        <f t="shared" si="46"/>
        <v>18G-086</v>
      </c>
      <c r="M157" s="106"/>
      <c r="N157" s="106" t="str">
        <f t="shared" si="47"/>
        <v>au_Group</v>
      </c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 spans="1:26" ht="13.5" customHeight="1">
      <c r="A158" s="309">
        <f t="shared" si="44"/>
        <v>46222</v>
      </c>
      <c r="B158" s="156">
        <f>'CHICLETS MASTER S1'!AU34</f>
        <v>0.54166666666666696</v>
      </c>
      <c r="C158" s="122" t="s">
        <v>163</v>
      </c>
      <c r="D158" s="122" t="str">
        <f t="shared" si="45"/>
        <v>CHAPMAN UNIVERSITY</v>
      </c>
      <c r="E158" s="122">
        <v>91</v>
      </c>
      <c r="F158" s="134" t="str">
        <f>IF(G30 = "", "au_P1", IF(G30 &lt; I30, _xlfn.CONCAT("au_P1-", RIGHT(F30, LEN(F30) - FIND("-", F30))), _xlfn.CONCAT("au_P1-", RIGHT(H30, LEN(H30) - FIND("-", H30)))))</f>
        <v>au_P1-SANTA CRUZ</v>
      </c>
      <c r="G158" s="170"/>
      <c r="H158" s="134" t="str">
        <f>IF(G94 = "", "au_P3", IF(G94 &lt; I94, _xlfn.CONCAT("au_P3-", RIGHT(F94, LEN(F94) - FIND("-", F94))), _xlfn.CONCAT("au_P3-", RIGHT(H94, LEN(H94) - FIND("-", H94)))))</f>
        <v>au_P3-LYONS AQUATICS</v>
      </c>
      <c r="I158" s="170"/>
      <c r="J158" s="134"/>
      <c r="K158" s="134"/>
      <c r="L158" s="134" t="str">
        <f t="shared" si="46"/>
        <v>18G-091</v>
      </c>
      <c r="M158" s="106"/>
      <c r="N158" s="106" t="str">
        <f t="shared" si="47"/>
        <v>au_Group</v>
      </c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 spans="1:26" ht="13.5" customHeight="1">
      <c r="A159" s="309">
        <f t="shared" si="44"/>
        <v>46222</v>
      </c>
      <c r="B159" s="156">
        <f>'CHICLETS MASTER S1'!AU35</f>
        <v>0.58333333333333304</v>
      </c>
      <c r="C159" s="122" t="s">
        <v>163</v>
      </c>
      <c r="D159" s="122" t="str">
        <f t="shared" si="45"/>
        <v>CHAPMAN UNIVERSITY</v>
      </c>
      <c r="E159" s="122">
        <v>96</v>
      </c>
      <c r="F159" s="134" t="str">
        <f>IF(G57 = "", "au_T2", IF(G57 &lt; I57, _xlfn.CONCAT("au_T2-", RIGHT(F57, LEN(F57) - FIND("-", F57))), _xlfn.CONCAT("au_T2-", RIGHT(H57, LEN(H57) - FIND("-", H57)))))</f>
        <v>au_T2-COLORADO</v>
      </c>
      <c r="G159" s="170"/>
      <c r="H159" s="134" t="str">
        <f>IF(G55 = "", "au_T3", IF(G55 &lt; I55, _xlfn.CONCAT("au_T3-", RIGHT(F55, LEN(F55) - FIND("-", F55))), _xlfn.CONCAT("au_T3-", RIGHT(H55, LEN(H55) - FIND("-", H55)))))</f>
        <v>au_T3-NORCAL BLACK</v>
      </c>
      <c r="I159" s="170"/>
      <c r="J159" s="134"/>
      <c r="K159" s="134"/>
      <c r="L159" s="134" t="str">
        <f t="shared" si="46"/>
        <v>18G-096</v>
      </c>
      <c r="M159" s="106"/>
      <c r="N159" s="106" t="str">
        <f t="shared" si="47"/>
        <v>au_Group</v>
      </c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 spans="1:26" ht="13.5" customHeight="1">
      <c r="A160" s="309">
        <f t="shared" si="44"/>
        <v>46222</v>
      </c>
      <c r="B160" s="156">
        <f>'CHICLETS MASTER S1'!AU36</f>
        <v>0.625</v>
      </c>
      <c r="C160" s="122" t="s">
        <v>163</v>
      </c>
      <c r="D160" s="122" t="str">
        <f t="shared" si="45"/>
        <v>CHAPMAN UNIVERSITY</v>
      </c>
      <c r="E160" s="122">
        <v>101</v>
      </c>
      <c r="F160" s="134" t="str">
        <f>IF(G92 = "", "au_N1", IF(G92 &lt; I92, _xlfn.CONCAT("au_N1-", RIGHT(F92, LEN(F92) - FIND("-", F92))), _xlfn.CONCAT("au_N1-", RIGHT(H92, LEN(H92) - FIND("-", H92)))))</f>
        <v>au_N1-SOUTH COAST RED</v>
      </c>
      <c r="G160" s="170"/>
      <c r="H160" s="134" t="str">
        <f>IF(G61 = "", "au_N2", IF(G61 &lt; I61, _xlfn.CONCAT("au_N2-", RIGHT(F61, LEN(F61) - FIND("-", F61))), _xlfn.CONCAT("au_N2-", RIGHT(H61, LEN(H61) - FIND("-", H61)))))</f>
        <v>au_N2-WOLVERINE</v>
      </c>
      <c r="I160" s="170"/>
      <c r="J160" s="134"/>
      <c r="K160" s="134"/>
      <c r="L160" s="134" t="str">
        <f t="shared" si="46"/>
        <v>18G-101</v>
      </c>
      <c r="M160" s="106"/>
      <c r="N160" s="106" t="str">
        <f t="shared" si="47"/>
        <v>au_Group</v>
      </c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 spans="1:26" ht="13.5" customHeight="1">
      <c r="A161" s="309">
        <f t="shared" si="44"/>
        <v>46222</v>
      </c>
      <c r="B161" s="156">
        <f>'CHICLETS MASTER S1'!AU37</f>
        <v>0.66666666666666696</v>
      </c>
      <c r="C161" s="122" t="s">
        <v>163</v>
      </c>
      <c r="D161" s="122" t="str">
        <f t="shared" si="45"/>
        <v>CHAPMAN UNIVERSITY</v>
      </c>
      <c r="E161" s="122">
        <v>106</v>
      </c>
      <c r="F161" s="134" t="str">
        <f>IF(G30 = "", "au_P1", IF(G30 &lt; I30, _xlfn.CONCAT("au_P1-", RIGHT(F30, LEN(F30) - FIND("-", F30))), _xlfn.CONCAT("au_P1-", RIGHT(H30, LEN(H30) - FIND("-", H30)))))</f>
        <v>au_P1-SANTA CRUZ</v>
      </c>
      <c r="G161" s="170"/>
      <c r="H161" s="134" t="str">
        <f>IF(G45 = "", "au_P2", IF(G45 &lt; I45, _xlfn.CONCAT("au_P2-", RIGHT(F45, LEN(F45) - FIND("-", F45))), _xlfn.CONCAT("au_P2-", RIGHT(H45, LEN(H45) - FIND("-", H45)))))</f>
        <v>au_P2-ELMHURST</v>
      </c>
      <c r="I161" s="170"/>
      <c r="J161" s="134"/>
      <c r="K161" s="134"/>
      <c r="L161" s="134" t="str">
        <f t="shared" si="46"/>
        <v>18G-106</v>
      </c>
      <c r="M161" s="106"/>
      <c r="N161" s="106" t="str">
        <f t="shared" si="47"/>
        <v>au_Group</v>
      </c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 spans="1:26" ht="13.5" customHeight="1">
      <c r="A162" s="313"/>
      <c r="B162" s="106" t="s">
        <v>204</v>
      </c>
      <c r="C162" s="106"/>
      <c r="D162" s="314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 spans="1:26" ht="13.5" customHeight="1">
      <c r="A163" s="309">
        <f t="shared" ref="A163:A164" si="48">$A$97</f>
        <v>46222</v>
      </c>
      <c r="B163" s="156">
        <f>'CHICLETS MASTER S1'!AU39</f>
        <v>0.75</v>
      </c>
      <c r="C163" s="122" t="s">
        <v>166</v>
      </c>
      <c r="D163" s="122" t="str">
        <f t="shared" ref="D163:D164" si="49">$D$150</f>
        <v>CHAPMAN UNIVERSITY</v>
      </c>
      <c r="E163" s="122">
        <v>110</v>
      </c>
      <c r="F163" s="134" t="s">
        <v>400</v>
      </c>
      <c r="G163" s="170"/>
      <c r="H163" s="152" t="s">
        <v>1223</v>
      </c>
      <c r="I163" s="170"/>
      <c r="J163" s="134">
        <v>119</v>
      </c>
      <c r="K163" s="134">
        <v>128</v>
      </c>
      <c r="L163" s="134" t="str">
        <f t="shared" ref="L163:L164" si="50">$L$15&amp;"-"&amp;TEXT(E163,"000")</f>
        <v>18G-110</v>
      </c>
      <c r="M163" s="106"/>
      <c r="N163" s="106" t="str">
        <f>$L$261&amp;C163</f>
        <v>au_Play-in</v>
      </c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 spans="1:26" ht="13.5" customHeight="1">
      <c r="A164" s="309">
        <f t="shared" si="48"/>
        <v>46222</v>
      </c>
      <c r="B164" s="156">
        <f>'CHICLETS MASTER S1'!AU40</f>
        <v>0.79166666666666696</v>
      </c>
      <c r="C164" s="122" t="s">
        <v>166</v>
      </c>
      <c r="D164" s="122" t="str">
        <f t="shared" si="49"/>
        <v>CHAPMAN UNIVERSITY</v>
      </c>
      <c r="E164" s="122">
        <v>114</v>
      </c>
      <c r="F164" s="134" t="s">
        <v>398</v>
      </c>
      <c r="G164" s="170"/>
      <c r="H164" s="134" t="s">
        <v>1294</v>
      </c>
      <c r="I164" s="170"/>
      <c r="J164" s="134">
        <v>127</v>
      </c>
      <c r="K164" s="134">
        <v>132</v>
      </c>
      <c r="L164" s="134" t="str">
        <f t="shared" si="50"/>
        <v>18G-114</v>
      </c>
      <c r="M164" s="106"/>
      <c r="N164" s="106" t="str">
        <f>$L$261&amp;C164</f>
        <v>au_Play-in</v>
      </c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 spans="1:26" ht="13.5" customHeight="1" thickBot="1">
      <c r="A165" s="158"/>
      <c r="B165" s="160"/>
      <c r="C165" s="106"/>
      <c r="D165" s="106"/>
      <c r="E165" s="106"/>
      <c r="F165" s="106"/>
      <c r="G165" s="110"/>
      <c r="H165" s="106"/>
      <c r="I165" s="110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 spans="1:26" ht="13.5" customHeight="1" thickBot="1">
      <c r="A166" s="106"/>
      <c r="B166" s="106"/>
      <c r="C166" s="106"/>
      <c r="D166" s="150" t="str">
        <f>'CHICLETS MASTER S1'!$BB$27</f>
        <v>FULLERTON COLLEGE</v>
      </c>
      <c r="E166" s="106"/>
      <c r="F166" s="106"/>
      <c r="G166" s="110"/>
      <c r="H166" s="106"/>
      <c r="I166" s="110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 spans="1:26" ht="13.5" customHeight="1">
      <c r="A167" s="301" t="s">
        <v>110</v>
      </c>
      <c r="B167" s="301" t="s">
        <v>111</v>
      </c>
      <c r="C167" s="301" t="s">
        <v>112</v>
      </c>
      <c r="D167" s="301" t="s">
        <v>113</v>
      </c>
      <c r="E167" s="301" t="s">
        <v>114</v>
      </c>
      <c r="F167" s="301" t="s">
        <v>115</v>
      </c>
      <c r="G167" s="302" t="s">
        <v>116</v>
      </c>
      <c r="H167" s="301" t="s">
        <v>117</v>
      </c>
      <c r="I167" s="302" t="s">
        <v>116</v>
      </c>
      <c r="J167" s="301" t="s">
        <v>118</v>
      </c>
      <c r="K167" s="301" t="s">
        <v>119</v>
      </c>
      <c r="L167" s="301" t="s">
        <v>120</v>
      </c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 spans="1:26" ht="13.5" customHeight="1">
      <c r="A168" s="309">
        <f t="shared" ref="A168:A177" si="51">$A$97</f>
        <v>46222</v>
      </c>
      <c r="B168" s="156">
        <f>'CHICLETS MASTER S1'!AU28</f>
        <v>0.29166666666666669</v>
      </c>
      <c r="C168" s="122" t="s">
        <v>163</v>
      </c>
      <c r="D168" s="122" t="str">
        <f t="shared" ref="D168:D177" si="52">$D$166</f>
        <v>FULLERTON COLLEGE</v>
      </c>
      <c r="E168" s="122">
        <v>62</v>
      </c>
      <c r="F168" s="134" t="str">
        <f>IF(G87 = "", "au_S1", IF(G87 &lt; I87, _xlfn.CONCAT("au_S1-", RIGHT(F87, LEN(F87) - FIND("-", F87))), _xlfn.CONCAT("au_S1-", RIGHT(H87, LEN(H87) - FIND("-", H87)))))</f>
        <v>au_S1-SANTA BARBARA WPC B</v>
      </c>
      <c r="G168" s="170"/>
      <c r="H168" s="134" t="str">
        <f>IF(G43 = "", "au_S2", IF(G43 &lt; I43, _xlfn.CONCAT("au_S2-", RIGHT(F43, LEN(F43) - FIND("-", F43))), _xlfn.CONCAT("au_S2-", RIGHT(H43, LEN(H43) - FIND("-", H43)))))</f>
        <v>au_S2-SD SHORES BLACK</v>
      </c>
      <c r="I168" s="170"/>
      <c r="J168" s="134"/>
      <c r="K168" s="134"/>
      <c r="L168" s="134" t="str">
        <f t="shared" ref="L168:L177" si="53">$L$15&amp;"-"&amp;TEXT(E168,"000")</f>
        <v>18G-062</v>
      </c>
      <c r="M168" s="106"/>
      <c r="N168" s="106" t="str">
        <f t="shared" ref="N168:N177" si="54">$L$261&amp;C168</f>
        <v>au_Group</v>
      </c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 spans="1:26" ht="13.5" customHeight="1">
      <c r="A169" s="309">
        <f t="shared" si="51"/>
        <v>46222</v>
      </c>
      <c r="B169" s="156">
        <f>'CHICLETS MASTER S1'!AU29</f>
        <v>0.33333333333333298</v>
      </c>
      <c r="C169" s="122" t="s">
        <v>163</v>
      </c>
      <c r="D169" s="122" t="str">
        <f t="shared" si="52"/>
        <v>FULLERTON COLLEGE</v>
      </c>
      <c r="E169" s="122">
        <v>67</v>
      </c>
      <c r="F169" s="134" t="str">
        <f>IF(G91 = "", "au_M1", IF(G91 &lt; I91, _xlfn.CONCAT("au_M1-", RIGHT(F91, LEN(F91) - FIND("-", F91))), _xlfn.CONCAT("au_M1-", RIGHT(H91, LEN(H91) - FIND("-", H91)))))</f>
        <v>au_M1-STANFORD A</v>
      </c>
      <c r="G169" s="170"/>
      <c r="H169" s="134" t="str">
        <f>IF(G77 = "", "au_M3", IF(G77 &lt; I77, _xlfn.CONCAT("au_M3-", RIGHT(F77, LEN(F77) - FIND("-", F77))), _xlfn.CONCAT("au_M3-", RIGHT(H77, LEN(H77) - FIND("-", H77)))))</f>
        <v>au_M3-CLOVIS</v>
      </c>
      <c r="I169" s="170"/>
      <c r="J169" s="134"/>
      <c r="K169" s="134"/>
      <c r="L169" s="134" t="str">
        <f t="shared" si="53"/>
        <v>18G-067</v>
      </c>
      <c r="M169" s="106"/>
      <c r="N169" s="106" t="str">
        <f t="shared" si="54"/>
        <v>au_Group</v>
      </c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 spans="1:26" ht="13.5" customHeight="1">
      <c r="A170" s="309">
        <f t="shared" si="51"/>
        <v>46222</v>
      </c>
      <c r="B170" s="156">
        <f>'CHICLETS MASTER S1'!AU30</f>
        <v>0.375</v>
      </c>
      <c r="C170" s="122" t="s">
        <v>163</v>
      </c>
      <c r="D170" s="122" t="str">
        <f t="shared" si="52"/>
        <v>FULLERTON COLLEGE</v>
      </c>
      <c r="E170" s="122">
        <v>72</v>
      </c>
      <c r="F170" s="134" t="str">
        <f>IF(G46 = "", "au_O2", IF(G46 &lt; I46, _xlfn.CONCAT("au_O2-", RIGHT(F46, LEN(F46) - FIND("-", F46))), _xlfn.CONCAT("au_O2-", RIGHT(H46, LEN(H46) - FIND("-", H46)))))</f>
        <v>au_O2-ASPHALT GREEN</v>
      </c>
      <c r="G170" s="170"/>
      <c r="H170" s="134" t="str">
        <f>IF(G93 = "", "au_O3", IF(G93 &lt; I93, _xlfn.CONCAT("au_O3-", RIGHT(F93, LEN(F93) - FIND("-", F93))), _xlfn.CONCAT("au_O3-", RIGHT(H93, LEN(H93) - FIND("-", H93)))))</f>
        <v>au_O3-680 RED</v>
      </c>
      <c r="I170" s="170"/>
      <c r="J170" s="134"/>
      <c r="K170" s="134"/>
      <c r="L170" s="134" t="str">
        <f t="shared" si="53"/>
        <v>18G-072</v>
      </c>
      <c r="M170" s="106"/>
      <c r="N170" s="106" t="str">
        <f t="shared" si="54"/>
        <v>au_Group</v>
      </c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 spans="1:26" ht="13.5" customHeight="1">
      <c r="A171" s="309">
        <f t="shared" si="51"/>
        <v>46222</v>
      </c>
      <c r="B171" s="156">
        <f>'CHICLETS MASTER S1'!AU31</f>
        <v>0.41666666666666702</v>
      </c>
      <c r="C171" s="122" t="s">
        <v>163</v>
      </c>
      <c r="D171" s="122" t="str">
        <f t="shared" si="52"/>
        <v>FULLERTON COLLEGE</v>
      </c>
      <c r="E171" s="122">
        <v>102</v>
      </c>
      <c r="F171" s="152" t="str">
        <f>IF(G59 = "", "au_U2", IF(G59 &lt; I59, _xlfn.CONCAT("au_U2-", RIGHT(F59, LEN(F59) - FIND("-", F59))), _xlfn.CONCAT("au_U2-", RIGHT(H59, LEN(H59) - FIND("-", H59)))))</f>
        <v>au_U2-LEGACY</v>
      </c>
      <c r="G171" s="170"/>
      <c r="H171" s="152" t="str">
        <f>IF(G39 = "", "au_U3", IF(G39 &lt; I39, _xlfn.CONCAT("au_U3-", RIGHT(F39, LEN(F39) - FIND("-", F39))), _xlfn.CONCAT("au_U3-", RIGHT(H39, LEN(H39) - FIND("-", H39)))))</f>
        <v>au_U3-NEWPORT BEACH</v>
      </c>
      <c r="I171" s="170"/>
      <c r="J171" s="134"/>
      <c r="K171" s="134"/>
      <c r="L171" s="134" t="str">
        <f t="shared" si="53"/>
        <v>18G-102</v>
      </c>
      <c r="M171" s="106"/>
      <c r="N171" s="106" t="str">
        <f t="shared" si="54"/>
        <v>au_Group</v>
      </c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 spans="1:26" ht="13.5" customHeight="1">
      <c r="A172" s="309">
        <f t="shared" si="51"/>
        <v>46222</v>
      </c>
      <c r="B172" s="156">
        <f>'CHICLETS MASTER S1'!AU32</f>
        <v>0.45833333333333298</v>
      </c>
      <c r="C172" s="122" t="s">
        <v>163</v>
      </c>
      <c r="D172" s="122" t="str">
        <f t="shared" si="52"/>
        <v>FULLERTON COLLEGE</v>
      </c>
      <c r="E172" s="122">
        <v>77</v>
      </c>
      <c r="F172" s="134" t="str">
        <f>IF(G87 = "", "au_S1", IF(G87 &lt; I87, _xlfn.CONCAT("au_S1-", RIGHT(F87, LEN(F87) - FIND("-", F87))), _xlfn.CONCAT("au_S1-", RIGHT(H87, LEN(H87) - FIND("-", H87)))))</f>
        <v>au_S1-SANTA BARBARA WPC B</v>
      </c>
      <c r="G172" s="170"/>
      <c r="H172" s="134" t="str">
        <f>IF(G25 = "", "au_S3", IF(G25 &lt; I25, _xlfn.CONCAT("au_S3-", RIGHT(F25, LEN(F25) - FIND("-", F25))), _xlfn.CONCAT("au_S3-", RIGHT(H25, LEN(H25) - FIND("-", H25)))))</f>
        <v>au_S3-SOCAL BLACK</v>
      </c>
      <c r="I172" s="170"/>
      <c r="J172" s="134"/>
      <c r="K172" s="134"/>
      <c r="L172" s="134" t="str">
        <f t="shared" si="53"/>
        <v>18G-077</v>
      </c>
      <c r="M172" s="106"/>
      <c r="N172" s="106" t="str">
        <f t="shared" si="54"/>
        <v>au_Group</v>
      </c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 spans="1:26" ht="13.5" customHeight="1">
      <c r="A173" s="309">
        <f t="shared" si="51"/>
        <v>46222</v>
      </c>
      <c r="B173" s="156">
        <f>'CHICLETS MASTER S1'!AU33</f>
        <v>0.5</v>
      </c>
      <c r="C173" s="122" t="s">
        <v>163</v>
      </c>
      <c r="D173" s="122" t="str">
        <f t="shared" si="52"/>
        <v>FULLERTON COLLEGE</v>
      </c>
      <c r="E173" s="122">
        <v>82</v>
      </c>
      <c r="F173" s="134" t="str">
        <f>IF(G62 = "", "au_M2", IF(G62 &lt; I62, _xlfn.CONCAT("au_M2-", RIGHT(F62, LEN(F62) - FIND("-", F62))), _xlfn.CONCAT("au_M2-", RIGHT(H62, LEN(H62) - FIND("-", H62)))))</f>
        <v>au_M2-SD SHORES GOLD</v>
      </c>
      <c r="G173" s="170"/>
      <c r="H173" s="134" t="str">
        <f>IF(G77 = "", "au_M3", IF(G77 &lt; I77, _xlfn.CONCAT("au_M3-", RIGHT(F77, LEN(F77) - FIND("-", F77))), _xlfn.CONCAT("au_M3-", RIGHT(H77, LEN(H77) - FIND("-", H77)))))</f>
        <v>au_M3-CLOVIS</v>
      </c>
      <c r="I173" s="170"/>
      <c r="J173" s="134"/>
      <c r="K173" s="134"/>
      <c r="L173" s="134" t="str">
        <f t="shared" si="53"/>
        <v>18G-082</v>
      </c>
      <c r="M173" s="106"/>
      <c r="N173" s="106" t="str">
        <f t="shared" si="54"/>
        <v>au_Group</v>
      </c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 spans="1:26" ht="13.5" customHeight="1">
      <c r="A174" s="309">
        <f t="shared" si="51"/>
        <v>46222</v>
      </c>
      <c r="B174" s="156">
        <f>'CHICLETS MASTER S1'!AU34</f>
        <v>0.54166666666666696</v>
      </c>
      <c r="C174" s="122" t="s">
        <v>163</v>
      </c>
      <c r="D174" s="122" t="str">
        <f t="shared" si="52"/>
        <v>FULLERTON COLLEGE</v>
      </c>
      <c r="E174" s="122">
        <v>87</v>
      </c>
      <c r="F174" s="134" t="str">
        <f>IF(G29 = "", "au_O1", IF(G29 &lt; I29, _xlfn.CONCAT("au_O1-", RIGHT(F29, LEN(F29) - FIND("-", F29))), _xlfn.CONCAT("au_O1-", RIGHT(H29, LEN(H29) - FIND("-", H29)))))</f>
        <v>au_O1-OAHU</v>
      </c>
      <c r="G174" s="170"/>
      <c r="H174" s="134" t="str">
        <f>IF(G93 = "", "au_O3", IF(G93 &lt; I93, _xlfn.CONCAT("au_O3-", RIGHT(F93, LEN(F93) - FIND("-", F93))), _xlfn.CONCAT("au_O3-", RIGHT(H93, LEN(H93) - FIND("-", H93)))))</f>
        <v>au_O3-680 RED</v>
      </c>
      <c r="I174" s="170"/>
      <c r="J174" s="134"/>
      <c r="K174" s="134"/>
      <c r="L174" s="134" t="str">
        <f t="shared" si="53"/>
        <v>18G-087</v>
      </c>
      <c r="M174" s="106"/>
      <c r="N174" s="106" t="str">
        <f t="shared" si="54"/>
        <v>au_Group</v>
      </c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 spans="1:26" ht="13.5" customHeight="1">
      <c r="A175" s="309">
        <f t="shared" si="51"/>
        <v>46222</v>
      </c>
      <c r="B175" s="156">
        <f>'CHICLETS MASTER S1'!AU35</f>
        <v>0.58333333333333304</v>
      </c>
      <c r="C175" s="122" t="s">
        <v>163</v>
      </c>
      <c r="D175" s="122" t="str">
        <f t="shared" si="52"/>
        <v>FULLERTON COLLEGE</v>
      </c>
      <c r="E175" s="122">
        <v>92</v>
      </c>
      <c r="F175" s="134" t="str">
        <f>IF(G43 = "", "au_S2", IF(G43 &lt; I43, _xlfn.CONCAT("au_S2-", RIGHT(F43, LEN(F43) - FIND("-", F43))), _xlfn.CONCAT("au_S2-", RIGHT(H43, LEN(H43) - FIND("-", H43)))))</f>
        <v>au_S2-SD SHORES BLACK</v>
      </c>
      <c r="G175" s="170"/>
      <c r="H175" s="134" t="str">
        <f>IF(G25 = "", "au_S3", IF(G25 &lt; I25, _xlfn.CONCAT("au_S3-", RIGHT(F25, LEN(F25) - FIND("-", F25))), _xlfn.CONCAT("au_S3-", RIGHT(H25, LEN(H25) - FIND("-", H25)))))</f>
        <v>au_S3-SOCAL BLACK</v>
      </c>
      <c r="I175" s="170"/>
      <c r="J175" s="134"/>
      <c r="K175" s="134"/>
      <c r="L175" s="134" t="str">
        <f t="shared" si="53"/>
        <v>18G-092</v>
      </c>
      <c r="M175" s="106"/>
      <c r="N175" s="106" t="str">
        <f t="shared" si="54"/>
        <v>au_Group</v>
      </c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 spans="1:26" ht="13.5" customHeight="1">
      <c r="A176" s="309">
        <f t="shared" si="51"/>
        <v>46222</v>
      </c>
      <c r="B176" s="156">
        <f>'CHICLETS MASTER S1'!AU36</f>
        <v>0.625</v>
      </c>
      <c r="C176" s="122" t="s">
        <v>163</v>
      </c>
      <c r="D176" s="122" t="str">
        <f t="shared" si="52"/>
        <v>FULLERTON COLLEGE</v>
      </c>
      <c r="E176" s="122">
        <v>97</v>
      </c>
      <c r="F176" s="134" t="str">
        <f>IF(G91 = "", "au_M1", IF(G91 &lt; I91, _xlfn.CONCAT("au_M1-", RIGHT(F91, LEN(F91) - FIND("-", F91))), _xlfn.CONCAT("au_M1-", RIGHT(H91, LEN(H91) - FIND("-", H91)))))</f>
        <v>au_M1-STANFORD A</v>
      </c>
      <c r="G176" s="170"/>
      <c r="H176" s="134" t="str">
        <f>IF(G62 = "", "au_M2", IF(G62 &lt; I62, _xlfn.CONCAT("au_M2-", RIGHT(F62, LEN(F62) - FIND("-", F62))), _xlfn.CONCAT("au_M2-", RIGHT(H62, LEN(H62) - FIND("-", H62)))))</f>
        <v>au_M2-SD SHORES GOLD</v>
      </c>
      <c r="I176" s="170"/>
      <c r="J176" s="134"/>
      <c r="K176" s="134"/>
      <c r="L176" s="134" t="str">
        <f t="shared" si="53"/>
        <v>18G-097</v>
      </c>
      <c r="M176" s="106"/>
      <c r="N176" s="106" t="str">
        <f t="shared" si="54"/>
        <v>au_Group</v>
      </c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 spans="1:26" ht="13.5" customHeight="1">
      <c r="A177" s="309">
        <f t="shared" si="51"/>
        <v>46222</v>
      </c>
      <c r="B177" s="156">
        <f>'CHICLETS MASTER S1'!AU37</f>
        <v>0.66666666666666696</v>
      </c>
      <c r="C177" s="122" t="s">
        <v>163</v>
      </c>
      <c r="D177" s="122" t="str">
        <f t="shared" si="52"/>
        <v>FULLERTON COLLEGE</v>
      </c>
      <c r="E177" s="122">
        <v>107</v>
      </c>
      <c r="F177" s="134" t="str">
        <f>IF(G29 = "", "au_O1", IF(G29 &lt; I29, _xlfn.CONCAT("au_O1-", RIGHT(F29, LEN(F29) - FIND("-", F29))), _xlfn.CONCAT("au_O1-", RIGHT(H29, LEN(H29) - FIND("-", H29)))))</f>
        <v>au_O1-OAHU</v>
      </c>
      <c r="G177" s="170"/>
      <c r="H177" s="134" t="str">
        <f>IF(G46 = "", "au_O2", IF(G46 &lt; I46, _xlfn.CONCAT("au_O2-", RIGHT(F46, LEN(F46) - FIND("-", F46))), _xlfn.CONCAT("au_O2-", RIGHT(H46, LEN(H46) - FIND("-", H46)))))</f>
        <v>au_O2-ASPHALT GREEN</v>
      </c>
      <c r="I177" s="170"/>
      <c r="J177" s="134"/>
      <c r="K177" s="134"/>
      <c r="L177" s="134" t="str">
        <f t="shared" si="53"/>
        <v>18G-107</v>
      </c>
      <c r="M177" s="106"/>
      <c r="N177" s="106" t="str">
        <f t="shared" si="54"/>
        <v>au_Group</v>
      </c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 spans="1:26" ht="13.5" customHeight="1">
      <c r="A178" s="313"/>
      <c r="B178" s="106" t="s">
        <v>204</v>
      </c>
      <c r="C178" s="106"/>
      <c r="D178" s="314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 spans="1:26" ht="13.5" customHeight="1">
      <c r="A179" s="309">
        <f t="shared" ref="A179:A180" si="55">$A$97</f>
        <v>46222</v>
      </c>
      <c r="B179" s="156">
        <f>'CHICLETS MASTER S1'!AU39</f>
        <v>0.75</v>
      </c>
      <c r="C179" s="122" t="s">
        <v>166</v>
      </c>
      <c r="D179" s="122" t="str">
        <f t="shared" ref="D179:D180" si="56">$D$166</f>
        <v>FULLERTON COLLEGE</v>
      </c>
      <c r="E179" s="122">
        <v>111</v>
      </c>
      <c r="F179" s="134" t="s">
        <v>402</v>
      </c>
      <c r="G179" s="170"/>
      <c r="H179" s="134" t="s">
        <v>1293</v>
      </c>
      <c r="I179" s="170"/>
      <c r="J179" s="134">
        <v>131</v>
      </c>
      <c r="K179" s="134">
        <v>136</v>
      </c>
      <c r="L179" s="134" t="str">
        <f t="shared" ref="L179:L180" si="57">$L$15&amp;"-"&amp;TEXT(E179,"000")</f>
        <v>18G-111</v>
      </c>
      <c r="M179" s="106"/>
      <c r="N179" s="106" t="str">
        <f>$L$261&amp;C179</f>
        <v>au_Play-in</v>
      </c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 spans="1:26" ht="13.5" customHeight="1">
      <c r="A180" s="309">
        <f t="shared" si="55"/>
        <v>46222</v>
      </c>
      <c r="B180" s="156">
        <f>'CHICLETS MASTER S1'!AU40</f>
        <v>0.79166666666666696</v>
      </c>
      <c r="C180" s="122" t="s">
        <v>166</v>
      </c>
      <c r="D180" s="122" t="str">
        <f t="shared" si="56"/>
        <v>FULLERTON COLLEGE</v>
      </c>
      <c r="E180" s="122">
        <v>115</v>
      </c>
      <c r="F180" s="134" t="s">
        <v>396</v>
      </c>
      <c r="G180" s="170"/>
      <c r="H180" s="152" t="s">
        <v>1222</v>
      </c>
      <c r="I180" s="170"/>
      <c r="J180" s="134">
        <v>123</v>
      </c>
      <c r="K180" s="134">
        <v>140</v>
      </c>
      <c r="L180" s="134" t="str">
        <f t="shared" si="57"/>
        <v>18G-115</v>
      </c>
      <c r="M180" s="106"/>
      <c r="N180" s="106" t="str">
        <f>$L$261&amp;C180</f>
        <v>au_Play-in</v>
      </c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 spans="1:26" ht="13.5" customHeight="1" thickBot="1">
      <c r="A181" s="158"/>
      <c r="B181" s="160"/>
      <c r="C181" s="106"/>
      <c r="D181" s="106"/>
      <c r="E181" s="106"/>
      <c r="F181" s="106"/>
      <c r="G181" s="110"/>
      <c r="H181" s="106"/>
      <c r="I181" s="110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 spans="1:26" ht="13.5" customHeight="1" thickBot="1">
      <c r="A182" s="106"/>
      <c r="B182" s="106"/>
      <c r="C182" s="106"/>
      <c r="D182" s="150" t="str">
        <f>'CHICLETS MASTER S1'!$AZ$27</f>
        <v>WESTMINSTER HS</v>
      </c>
      <c r="E182" s="106"/>
      <c r="F182" s="106"/>
      <c r="G182" s="110"/>
      <c r="H182" s="106"/>
      <c r="I182" s="110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</row>
    <row r="183" spans="1:26" ht="13.5" customHeight="1">
      <c r="A183" s="301" t="s">
        <v>110</v>
      </c>
      <c r="B183" s="301" t="s">
        <v>111</v>
      </c>
      <c r="C183" s="301" t="s">
        <v>112</v>
      </c>
      <c r="D183" s="301" t="s">
        <v>113</v>
      </c>
      <c r="E183" s="301" t="s">
        <v>114</v>
      </c>
      <c r="F183" s="301" t="s">
        <v>115</v>
      </c>
      <c r="G183" s="302" t="s">
        <v>116</v>
      </c>
      <c r="H183" s="301" t="s">
        <v>117</v>
      </c>
      <c r="I183" s="302" t="s">
        <v>116</v>
      </c>
      <c r="J183" s="301" t="s">
        <v>118</v>
      </c>
      <c r="K183" s="301" t="s">
        <v>119</v>
      </c>
      <c r="L183" s="301" t="s">
        <v>120</v>
      </c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</row>
    <row r="184" spans="1:26" ht="13.5" customHeight="1">
      <c r="A184" s="309">
        <f t="shared" ref="A184:A193" si="58">$A$97</f>
        <v>46222</v>
      </c>
      <c r="B184" s="156">
        <f>'CHICLETS MASTER S1'!AU28</f>
        <v>0.29166666666666669</v>
      </c>
      <c r="C184" s="122" t="s">
        <v>163</v>
      </c>
      <c r="D184" s="122" t="str">
        <f t="shared" ref="D184:D193" si="59">$D$182</f>
        <v>WESTMINSTER HS</v>
      </c>
      <c r="E184" s="122">
        <v>63</v>
      </c>
      <c r="F184" s="134" t="str">
        <f>IF(G89 = "", "au_R1", IF(G89 &lt; I89, _xlfn.CONCAT("au_R1-", RIGHT(F89, LEN(F89) - FIND("-", F89))), _xlfn.CONCAT("au_R1-", RIGHT(H89, LEN(H89) - FIND("-", H89)))))</f>
        <v>au_R1-MISSION</v>
      </c>
      <c r="G184" s="170"/>
      <c r="H184" s="134" t="str">
        <f>IF(G41 = "", "au_R2", IF(G41 &lt; I41, _xlfn.CONCAT("au_R2-", RIGHT(F41, LEN(F41) - FIND("-", F41))), _xlfn.CONCAT("au_R2-", RIGHT(H41, LEN(H41) - FIND("-", H41)))))</f>
        <v>au_R2-LB VIKING WHITE</v>
      </c>
      <c r="I184" s="170"/>
      <c r="J184" s="134"/>
      <c r="K184" s="134"/>
      <c r="L184" s="134" t="str">
        <f t="shared" ref="L184:L193" si="60">$L$15&amp;"-"&amp;TEXT(E184,"000")</f>
        <v>18G-063</v>
      </c>
      <c r="M184" s="106"/>
      <c r="N184" s="106" t="str">
        <f>$L$261&amp;C184</f>
        <v>au_Group</v>
      </c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</row>
    <row r="185" spans="1:26" ht="13.5" customHeight="1">
      <c r="A185" s="309">
        <f t="shared" si="58"/>
        <v>46222</v>
      </c>
      <c r="B185" s="156">
        <f>'CHICLETS MASTER S1'!AU29</f>
        <v>0.33333333333333298</v>
      </c>
      <c r="C185" s="122" t="s">
        <v>163</v>
      </c>
      <c r="D185" s="122" t="str">
        <f t="shared" si="59"/>
        <v>WESTMINSTER HS</v>
      </c>
      <c r="E185" s="122">
        <v>69</v>
      </c>
      <c r="F185" s="169" t="str">
        <f>IF(G56 = "", "pt_N2", IF(G56 &gt; I56, _xlfn.CONCAT("pt_N2-", RIGHT(F56, LEN(F56) - FIND("-", F56))), _xlfn.CONCAT("pt_N2-", RIGHT(H56, LEN(H56) - FIND("-", H56)))))</f>
        <v>pt_N2-COLORADO</v>
      </c>
      <c r="G185" s="171"/>
      <c r="H185" s="169" t="str">
        <f>IF(G74 = "", "pt_N3", IF(G74 &gt; I74, _xlfn.CONCAT("pt_N3-", RIGHT(F74, LEN(F74) - FIND("-", F74))), _xlfn.CONCAT("pt_N3-", RIGHT(H74, LEN(H74) - FIND("-", H74)))))</f>
        <v>pt_N3-LA JOLLA UNITED</v>
      </c>
      <c r="I185" s="171"/>
      <c r="J185" s="169"/>
      <c r="K185" s="169"/>
      <c r="L185" s="169" t="str">
        <f t="shared" si="60"/>
        <v>18G-069</v>
      </c>
      <c r="M185" s="106"/>
      <c r="N185" s="106" t="str">
        <f>$K$261&amp;C185</f>
        <v>pt_Group</v>
      </c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</row>
    <row r="186" spans="1:26" ht="13.5" customHeight="1">
      <c r="A186" s="309">
        <f t="shared" si="58"/>
        <v>46222</v>
      </c>
      <c r="B186" s="156">
        <f>'CHICLETS MASTER S1'!AU30</f>
        <v>0.375</v>
      </c>
      <c r="C186" s="122" t="s">
        <v>163</v>
      </c>
      <c r="D186" s="122" t="str">
        <f t="shared" si="59"/>
        <v>WESTMINSTER HS</v>
      </c>
      <c r="E186" s="122">
        <v>73</v>
      </c>
      <c r="F186" s="169" t="str">
        <f>IF(G94 = "", "pt_S1", IF(G94 &gt; I94, _xlfn.CONCAT("pt_S1-", RIGHT(F94, LEN(F94) - FIND("-", F94))), _xlfn.CONCAT("pt_S1-", RIGHT(H94, LEN(H94) - FIND("-", H94)))))</f>
        <v>pt_S1-SKIP</v>
      </c>
      <c r="G186" s="171"/>
      <c r="H186" s="169" t="str">
        <f>IF(G45 = "", "pt_S2", IF(G45 &gt; I45, _xlfn.CONCAT("pt_S2-", RIGHT(F45, LEN(F45) - FIND("-", F45))), _xlfn.CONCAT("pt_S2-", RIGHT(H45, LEN(H45) - FIND("-", H45)))))</f>
        <v>pt_S2-MID VALLEY BLUE</v>
      </c>
      <c r="I186" s="171"/>
      <c r="J186" s="169"/>
      <c r="K186" s="169"/>
      <c r="L186" s="169" t="str">
        <f t="shared" si="60"/>
        <v>18G-073</v>
      </c>
      <c r="M186" s="106"/>
      <c r="N186" s="106" t="str">
        <f>$K$261&amp;C186</f>
        <v>pt_Group</v>
      </c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</row>
    <row r="187" spans="1:26" ht="13.5" customHeight="1">
      <c r="A187" s="309">
        <f t="shared" si="58"/>
        <v>46222</v>
      </c>
      <c r="B187" s="156">
        <f>'CHICLETS MASTER S1'!AU31</f>
        <v>0.41666666666666702</v>
      </c>
      <c r="C187" s="122" t="s">
        <v>163</v>
      </c>
      <c r="D187" s="122" t="str">
        <f t="shared" si="59"/>
        <v>WESTMINSTER HS</v>
      </c>
      <c r="E187" s="122">
        <v>78</v>
      </c>
      <c r="F187" s="134" t="str">
        <f>IF(G41 = "", "au_R2", IF(G41 &lt; I41, _xlfn.CONCAT("au_R2-", RIGHT(F41, LEN(F41) - FIND("-", F41))), _xlfn.CONCAT("au_R2-", RIGHT(H41, LEN(H41) - FIND("-", H41)))))</f>
        <v>au_R2-LB VIKING WHITE</v>
      </c>
      <c r="G187" s="170"/>
      <c r="H187" s="134" t="str">
        <f>IF(G27 = "", "au_R3", IF(G27 &lt; I27, _xlfn.CONCAT("au_R3-", RIGHT(F27, LEN(F27) - FIND("-", F27))), _xlfn.CONCAT("au_R3-", RIGHT(H27, LEN(H27) - FIND("-", H27)))))</f>
        <v>au_R3-LAMORINDA A</v>
      </c>
      <c r="I187" s="170"/>
      <c r="J187" s="134"/>
      <c r="K187" s="134"/>
      <c r="L187" s="134" t="str">
        <f t="shared" si="60"/>
        <v>18G-078</v>
      </c>
      <c r="M187" s="106"/>
      <c r="N187" s="106" t="str">
        <f>$L$261&amp;C187</f>
        <v>au_Group</v>
      </c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</row>
    <row r="188" spans="1:26" ht="13.5" customHeight="1">
      <c r="A188" s="309">
        <f t="shared" si="58"/>
        <v>46222</v>
      </c>
      <c r="B188" s="156">
        <f>'CHICLETS MASTER S1'!AU32</f>
        <v>0.45833333333333298</v>
      </c>
      <c r="C188" s="122" t="s">
        <v>163</v>
      </c>
      <c r="D188" s="122" t="str">
        <f t="shared" si="59"/>
        <v>WESTMINSTER HS</v>
      </c>
      <c r="E188" s="122">
        <v>84</v>
      </c>
      <c r="F188" s="169" t="str">
        <f>IF(G71 = "", "pt_N1", IF(G71 &gt; I71, _xlfn.CONCAT("pt_N1-", RIGHT(F71, LEN(F71) - FIND("-", F71))), _xlfn.CONCAT("pt_N1-", RIGHT(H71, LEN(H71) - FIND("-", H71)))))</f>
        <v>pt_N1-REGENCY</v>
      </c>
      <c r="G188" s="171"/>
      <c r="H188" s="169" t="str">
        <f>IF(G74 = "", "pt_N3", IF(G74 &gt; I74, _xlfn.CONCAT("pt_N3-", RIGHT(F74, LEN(F74) - FIND("-", F74))), _xlfn.CONCAT("pt_N3-", RIGHT(H74, LEN(H74) - FIND("-", H74)))))</f>
        <v>pt_N3-LA JOLLA UNITED</v>
      </c>
      <c r="I188" s="171"/>
      <c r="J188" s="169"/>
      <c r="K188" s="169"/>
      <c r="L188" s="169" t="str">
        <f t="shared" si="60"/>
        <v>18G-084</v>
      </c>
      <c r="M188" s="106"/>
      <c r="N188" s="106" t="str">
        <f>$K$261&amp;C188</f>
        <v>pt_Group</v>
      </c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</row>
    <row r="189" spans="1:26" ht="13.5" customHeight="1">
      <c r="A189" s="309">
        <f t="shared" si="58"/>
        <v>46222</v>
      </c>
      <c r="B189" s="156">
        <f>'CHICLETS MASTER S1'!AU33</f>
        <v>0.5</v>
      </c>
      <c r="C189" s="122" t="s">
        <v>163</v>
      </c>
      <c r="D189" s="122" t="str">
        <f t="shared" si="59"/>
        <v>WESTMINSTER HS</v>
      </c>
      <c r="E189" s="122">
        <v>93</v>
      </c>
      <c r="F189" s="169" t="str">
        <f>IF(G94 = "", "pt_S1", IF(G94 &gt; I94, _xlfn.CONCAT("pt_S1-", RIGHT(F94, LEN(F94) - FIND("-", F94))), _xlfn.CONCAT("pt_S1-", RIGHT(H94, LEN(H94) - FIND("-", H94)))))</f>
        <v>pt_S1-SKIP</v>
      </c>
      <c r="G189" s="171"/>
      <c r="H189" s="169" t="str">
        <f>IF(G30 = "", "pt_S3", IF(G30 &gt; I30, _xlfn.CONCAT("pt_S3-", RIGHT(F30, LEN(F30) - FIND("-", F30))), _xlfn.CONCAT("pt_S3-", RIGHT(H30, LEN(H30) - FIND("-", H30)))))</f>
        <v>pt_S3-NORCO</v>
      </c>
      <c r="I189" s="171"/>
      <c r="J189" s="169"/>
      <c r="K189" s="169"/>
      <c r="L189" s="169" t="str">
        <f t="shared" si="60"/>
        <v>18G-093</v>
      </c>
      <c r="M189" s="106"/>
      <c r="N189" s="106" t="str">
        <f>$K$261&amp;C189</f>
        <v>pt_Group</v>
      </c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</row>
    <row r="190" spans="1:26" ht="13.5" customHeight="1">
      <c r="A190" s="309">
        <f t="shared" si="58"/>
        <v>46222</v>
      </c>
      <c r="B190" s="156">
        <f>'CHICLETS MASTER S1'!AU34</f>
        <v>0.54166666666666696</v>
      </c>
      <c r="C190" s="122" t="s">
        <v>163</v>
      </c>
      <c r="D190" s="122" t="str">
        <f t="shared" si="59"/>
        <v>WESTMINSTER HS</v>
      </c>
      <c r="E190" s="122">
        <v>83</v>
      </c>
      <c r="F190" s="152" t="str">
        <f>IF(G73 = "", "au_U1", IF(G73 &lt; I73, _xlfn.CONCAT("au_U1-", RIGHT(F73, LEN(F73) - FIND("-", F73))), _xlfn.CONCAT("au_U1-", RIGHT(H73, LEN(H73) - FIND("-", H73)))))</f>
        <v>au_U1-HAWAIIAN ISLANDS</v>
      </c>
      <c r="G190" s="170"/>
      <c r="H190" s="152" t="str">
        <f>IF(G39 = "", "au_U3", IF(G39 &lt; I39, _xlfn.CONCAT("au_U3-", RIGHT(F39, LEN(F39) - FIND("-", F39))), _xlfn.CONCAT("au_U3-", RIGHT(H39, LEN(H39) - FIND("-", H39)))))</f>
        <v>au_U3-NEWPORT BEACH</v>
      </c>
      <c r="I190" s="170"/>
      <c r="J190" s="134"/>
      <c r="K190" s="134"/>
      <c r="L190" s="134" t="str">
        <f t="shared" si="60"/>
        <v>18G-083</v>
      </c>
      <c r="M190" s="106"/>
      <c r="N190" s="106" t="str">
        <f>$L$261&amp;C190</f>
        <v>au_Group</v>
      </c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</row>
    <row r="191" spans="1:26" ht="13.5" customHeight="1">
      <c r="A191" s="309">
        <f t="shared" si="58"/>
        <v>46222</v>
      </c>
      <c r="B191" s="156">
        <f>'CHICLETS MASTER S1'!AU35</f>
        <v>0.58333333333333304</v>
      </c>
      <c r="C191" s="122" t="s">
        <v>163</v>
      </c>
      <c r="D191" s="122" t="str">
        <f t="shared" si="59"/>
        <v>WESTMINSTER HS</v>
      </c>
      <c r="E191" s="122">
        <v>99</v>
      </c>
      <c r="F191" s="169" t="str">
        <f>IF(G71 = "", "pt_N1", IF(G71 &gt; I71, _xlfn.CONCAT("pt_N1-", RIGHT(F71, LEN(F71) - FIND("-", F71))), _xlfn.CONCAT("pt_N1-", RIGHT(H71, LEN(H71) - FIND("-", H71)))))</f>
        <v>pt_N1-REGENCY</v>
      </c>
      <c r="G191" s="171"/>
      <c r="H191" s="169" t="str">
        <f>IF(G56 = "", "pt_N2", IF(G56 &gt; I56, _xlfn.CONCAT("pt_N2-", RIGHT(F56, LEN(F56) - FIND("-", F56))), _xlfn.CONCAT("pt_N2-", RIGHT(H56, LEN(H56) - FIND("-", H56)))))</f>
        <v>pt_N2-COLORADO</v>
      </c>
      <c r="I191" s="171"/>
      <c r="J191" s="169"/>
      <c r="K191" s="169"/>
      <c r="L191" s="169" t="str">
        <f t="shared" si="60"/>
        <v>18G-099</v>
      </c>
      <c r="M191" s="106"/>
      <c r="N191" s="106" t="str">
        <f>$K$261&amp;C191</f>
        <v>pt_Group</v>
      </c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</row>
    <row r="192" spans="1:26" ht="13.5" customHeight="1">
      <c r="A192" s="309">
        <f t="shared" si="58"/>
        <v>46222</v>
      </c>
      <c r="B192" s="156">
        <f>'CHICLETS MASTER S1'!AU36</f>
        <v>0.625</v>
      </c>
      <c r="C192" s="122" t="s">
        <v>163</v>
      </c>
      <c r="D192" s="122" t="str">
        <f t="shared" si="59"/>
        <v>WESTMINSTER HS</v>
      </c>
      <c r="E192" s="122">
        <v>98</v>
      </c>
      <c r="F192" s="134" t="str">
        <f>IF(G89 = "", "au_R1", IF(G89 &lt; I89, _xlfn.CONCAT("au_R1-", RIGHT(F89, LEN(F89) - FIND("-", F89))), _xlfn.CONCAT("au_R1-", RIGHT(H89, LEN(H89) - FIND("-", H89)))))</f>
        <v>au_R1-MISSION</v>
      </c>
      <c r="G192" s="170"/>
      <c r="H192" s="134" t="str">
        <f>IF(G27 = "", "au_R3", IF(G27 &lt; I27, _xlfn.CONCAT("au_R3-", RIGHT(F27, LEN(F27) - FIND("-", F27))), _xlfn.CONCAT("au_R3-", RIGHT(H27, LEN(H27) - FIND("-", H27)))))</f>
        <v>au_R3-LAMORINDA A</v>
      </c>
      <c r="I192" s="170"/>
      <c r="J192" s="134"/>
      <c r="K192" s="134"/>
      <c r="L192" s="134" t="str">
        <f t="shared" si="60"/>
        <v>18G-098</v>
      </c>
      <c r="M192" s="106"/>
      <c r="N192" s="106" t="str">
        <f>$L$261&amp;C192</f>
        <v>au_Group</v>
      </c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</row>
    <row r="193" spans="1:26" ht="13.5" customHeight="1">
      <c r="A193" s="309">
        <f t="shared" si="58"/>
        <v>46222</v>
      </c>
      <c r="B193" s="156">
        <f>'CHICLETS MASTER S1'!AU37</f>
        <v>0.66666666666666696</v>
      </c>
      <c r="C193" s="122" t="s">
        <v>163</v>
      </c>
      <c r="D193" s="122" t="str">
        <f t="shared" si="59"/>
        <v>WESTMINSTER HS</v>
      </c>
      <c r="E193" s="122">
        <v>108</v>
      </c>
      <c r="F193" s="169" t="str">
        <f>IF(G45 = "", "pt_S2", IF(G45 &gt; I45, _xlfn.CONCAT("pt_S2-", RIGHT(F45, LEN(F45) - FIND("-", F45))), _xlfn.CONCAT("pt_S2-", RIGHT(H45, LEN(H45) - FIND("-", H45)))))</f>
        <v>pt_S2-MID VALLEY BLUE</v>
      </c>
      <c r="G193" s="171"/>
      <c r="H193" s="169" t="str">
        <f>IF(G30 = "", "pt_S3", IF(G30 &gt; I30, _xlfn.CONCAT("pt_S3-", RIGHT(F30, LEN(F30) - FIND("-", F30))), _xlfn.CONCAT("pt_S3-", RIGHT(H30, LEN(H30) - FIND("-", H30)))))</f>
        <v>pt_S3-NORCO</v>
      </c>
      <c r="I193" s="171"/>
      <c r="J193" s="169"/>
      <c r="K193" s="169"/>
      <c r="L193" s="169" t="str">
        <f t="shared" si="60"/>
        <v>18G-108</v>
      </c>
      <c r="M193" s="106"/>
      <c r="N193" s="106" t="str">
        <f>$K$261&amp;C193</f>
        <v>pt_Group</v>
      </c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</row>
    <row r="194" spans="1:26" ht="13.5" customHeight="1">
      <c r="A194" s="106"/>
      <c r="B194" s="106" t="s">
        <v>204</v>
      </c>
      <c r="C194" s="106"/>
      <c r="D194" s="106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</row>
    <row r="195" spans="1:26" ht="13.5" customHeight="1">
      <c r="A195" s="309">
        <f t="shared" ref="A195:A196" si="61">$A$97</f>
        <v>46222</v>
      </c>
      <c r="B195" s="156">
        <f>'CHICLETS MASTER S1'!AU39</f>
        <v>0.75</v>
      </c>
      <c r="C195" s="122" t="s">
        <v>166</v>
      </c>
      <c r="D195" s="122" t="str">
        <f t="shared" ref="D195:D196" si="62">$D$182</f>
        <v>WESTMINSTER HS</v>
      </c>
      <c r="E195" s="122">
        <v>116</v>
      </c>
      <c r="F195" s="152" t="s">
        <v>356</v>
      </c>
      <c r="G195" s="171"/>
      <c r="H195" s="171" t="s">
        <v>357</v>
      </c>
      <c r="I195" s="171"/>
      <c r="J195" s="169">
        <v>121</v>
      </c>
      <c r="K195" s="169">
        <v>134</v>
      </c>
      <c r="L195" s="169" t="str">
        <f>$L$15&amp;"-"&amp;TEXT(E195,"000")</f>
        <v>18G-116</v>
      </c>
      <c r="M195" s="106"/>
      <c r="N195" s="106" t="str">
        <f>$K$261&amp;C195</f>
        <v>pt_Play-in</v>
      </c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 spans="1:26" ht="13.5" customHeight="1">
      <c r="A196" s="309">
        <f t="shared" si="61"/>
        <v>46222</v>
      </c>
      <c r="B196" s="156">
        <f>'CHICLETS MASTER S1'!AU40</f>
        <v>0.79166666666666696</v>
      </c>
      <c r="C196" s="122" t="s">
        <v>166</v>
      </c>
      <c r="D196" s="122" t="str">
        <f t="shared" si="62"/>
        <v>WESTMINSTER HS</v>
      </c>
      <c r="E196" s="122">
        <v>112</v>
      </c>
      <c r="F196" s="169" t="s">
        <v>366</v>
      </c>
      <c r="G196" s="171"/>
      <c r="H196" s="169" t="s">
        <v>367</v>
      </c>
      <c r="I196" s="171"/>
      <c r="J196" s="169">
        <v>129</v>
      </c>
      <c r="K196" s="169">
        <v>126</v>
      </c>
      <c r="L196" s="169" t="str">
        <f t="shared" ref="L196" si="63">$L$15&amp;"-"&amp;TEXT(E196,"000")</f>
        <v>18G-112</v>
      </c>
      <c r="M196" s="106"/>
      <c r="N196" s="106" t="str">
        <f>$K$261&amp;C196</f>
        <v>pt_Play-in</v>
      </c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</row>
    <row r="197" spans="1:26" ht="13.5" customHeight="1" thickBot="1">
      <c r="A197" s="106"/>
      <c r="B197" s="106"/>
      <c r="C197" s="106"/>
      <c r="D197" s="106"/>
      <c r="E197" s="106"/>
      <c r="F197" s="106"/>
      <c r="G197" s="110"/>
      <c r="H197" s="106"/>
      <c r="I197" s="110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</row>
    <row r="198" spans="1:26" ht="13.5" customHeight="1" thickTop="1" thickBot="1">
      <c r="A198" s="105" t="s">
        <v>188</v>
      </c>
      <c r="B198" s="148"/>
      <c r="C198" s="148"/>
      <c r="D198" s="148"/>
      <c r="E198" s="148"/>
      <c r="F198" s="148"/>
      <c r="G198" s="300"/>
      <c r="H198" s="148"/>
      <c r="I198" s="300"/>
      <c r="J198" s="148"/>
      <c r="K198" s="148"/>
      <c r="L198" s="148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</row>
    <row r="199" spans="1:26" ht="13.5" customHeight="1" thickBot="1">
      <c r="A199" s="108">
        <v>46223</v>
      </c>
      <c r="B199" s="106"/>
      <c r="C199" s="106"/>
      <c r="D199" s="106"/>
      <c r="E199" s="106"/>
      <c r="F199" s="106"/>
      <c r="G199" s="110"/>
      <c r="H199" s="106"/>
      <c r="I199" s="110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 spans="1:26" ht="13.5" customHeight="1" thickBot="1">
      <c r="A200" s="106"/>
      <c r="B200" s="106"/>
      <c r="C200" s="106"/>
      <c r="D200" s="150" t="str">
        <f>'CHICLETS MASTER S1'!$AY$51</f>
        <v>CHAPMAN UNIVERSITY</v>
      </c>
      <c r="E200" s="106"/>
      <c r="F200" s="106"/>
      <c r="G200" s="110"/>
      <c r="H200" s="106"/>
      <c r="I200" s="110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</row>
    <row r="201" spans="1:26" ht="13.5" customHeight="1">
      <c r="A201" s="301" t="s">
        <v>110</v>
      </c>
      <c r="B201" s="301" t="s">
        <v>111</v>
      </c>
      <c r="C201" s="301" t="s">
        <v>112</v>
      </c>
      <c r="D201" s="301" t="s">
        <v>113</v>
      </c>
      <c r="E201" s="301" t="s">
        <v>114</v>
      </c>
      <c r="F201" s="301" t="s">
        <v>115</v>
      </c>
      <c r="G201" s="302"/>
      <c r="H201" s="301" t="s">
        <v>117</v>
      </c>
      <c r="I201" s="302" t="s">
        <v>116</v>
      </c>
      <c r="J201" s="301" t="s">
        <v>118</v>
      </c>
      <c r="K201" s="301" t="s">
        <v>119</v>
      </c>
      <c r="L201" s="301" t="s">
        <v>120</v>
      </c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</row>
    <row r="202" spans="1:26" ht="13.5" customHeight="1">
      <c r="A202" s="155">
        <f t="shared" ref="A202:A213" si="64">$A$199</f>
        <v>46223</v>
      </c>
      <c r="B202" s="156">
        <f>'CHICLETS MASTER S1'!AU53</f>
        <v>0.33333333333333331</v>
      </c>
      <c r="C202" s="122" t="s">
        <v>189</v>
      </c>
      <c r="D202" s="122" t="str">
        <f t="shared" ref="D202:D213" si="65">$D$200</f>
        <v>CHAPMAN UNIVERSITY</v>
      </c>
      <c r="E202" s="122">
        <v>117</v>
      </c>
      <c r="F202" s="169" t="s">
        <v>377</v>
      </c>
      <c r="G202" s="171"/>
      <c r="H202" s="169" t="str">
        <f>IF(G147 = "", "W109", IF(G147 &gt; I147, _xlfn.CONCAT("W109-", RIGHT(F147, LEN(F147) - FIND("-", F147))), _xlfn.CONCAT("W109-", RIGHT(H147, LEN(H147) - FIND("-", H147)))))</f>
        <v>W109</v>
      </c>
      <c r="I202" s="171"/>
      <c r="J202" s="169">
        <v>141</v>
      </c>
      <c r="K202" s="169">
        <v>149</v>
      </c>
      <c r="L202" s="169" t="str">
        <f t="shared" ref="L202:L213" si="66">$L$15&amp;"-"&amp;TEXT(E202,"000")</f>
        <v>18G-117</v>
      </c>
      <c r="M202" s="106"/>
      <c r="N202" s="106" t="str">
        <f t="shared" ref="N202:N213" si="67">$K$261&amp;C202</f>
        <v>pt_5-8 v 9-12</v>
      </c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</row>
    <row r="203" spans="1:26" ht="13.5" customHeight="1">
      <c r="A203" s="155">
        <f t="shared" si="64"/>
        <v>46223</v>
      </c>
      <c r="B203" s="156">
        <f>'CHICLETS MASTER S1'!AU54</f>
        <v>0.375</v>
      </c>
      <c r="C203" s="122" t="s">
        <v>189</v>
      </c>
      <c r="D203" s="122" t="str">
        <f t="shared" si="65"/>
        <v>CHAPMAN UNIVERSITY</v>
      </c>
      <c r="E203" s="122">
        <v>121</v>
      </c>
      <c r="F203" s="169" t="s">
        <v>378</v>
      </c>
      <c r="G203" s="171"/>
      <c r="H203" s="169" t="str">
        <f>IF(G195 = "", "W116", IF(G195 &gt; I195, _xlfn.CONCAT("W116-", RIGHT(F195, LEN(F195) - FIND("-", F195))), _xlfn.CONCAT("W116-", RIGHT(H195, LEN(H195) - FIND("-", H195)))))</f>
        <v>W116</v>
      </c>
      <c r="I203" s="171"/>
      <c r="J203" s="169">
        <v>141</v>
      </c>
      <c r="K203" s="169">
        <v>149</v>
      </c>
      <c r="L203" s="169" t="str">
        <f t="shared" si="66"/>
        <v>18G-121</v>
      </c>
      <c r="M203" s="106"/>
      <c r="N203" s="106" t="str">
        <f t="shared" si="67"/>
        <v>pt_5-8 v 9-12</v>
      </c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</row>
    <row r="204" spans="1:26" ht="13.5" customHeight="1">
      <c r="A204" s="155">
        <f t="shared" si="64"/>
        <v>46223</v>
      </c>
      <c r="B204" s="156">
        <f>'CHICLETS MASTER S1'!AU55</f>
        <v>0.41666666666666702</v>
      </c>
      <c r="C204" s="122" t="s">
        <v>189</v>
      </c>
      <c r="D204" s="122" t="str">
        <f t="shared" si="65"/>
        <v>CHAPMAN UNIVERSITY</v>
      </c>
      <c r="E204" s="122">
        <v>125</v>
      </c>
      <c r="F204" s="169" t="s">
        <v>375</v>
      </c>
      <c r="G204" s="171"/>
      <c r="H204" s="169" t="str">
        <f>IF(G148 = "", "W113", IF(G148 &gt; I148, _xlfn.CONCAT("W113-", RIGHT(F148, LEN(F148) - FIND("-", F148))), _xlfn.CONCAT("W113-", RIGHT(H148, LEN(H148) - FIND("-", H148)))))</f>
        <v>W113</v>
      </c>
      <c r="I204" s="171"/>
      <c r="J204" s="169">
        <v>145</v>
      </c>
      <c r="K204" s="169">
        <v>153</v>
      </c>
      <c r="L204" s="169" t="str">
        <f t="shared" si="66"/>
        <v>18G-125</v>
      </c>
      <c r="M204" s="106"/>
      <c r="N204" s="106" t="str">
        <f t="shared" si="67"/>
        <v>pt_5-8 v 9-12</v>
      </c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</row>
    <row r="205" spans="1:26" ht="13.5" customHeight="1">
      <c r="A205" s="155">
        <f t="shared" si="64"/>
        <v>46223</v>
      </c>
      <c r="B205" s="156">
        <f>'CHICLETS MASTER S1'!AU56</f>
        <v>0.45833333333333298</v>
      </c>
      <c r="C205" s="122" t="s">
        <v>189</v>
      </c>
      <c r="D205" s="122" t="str">
        <f t="shared" si="65"/>
        <v>CHAPMAN UNIVERSITY</v>
      </c>
      <c r="E205" s="122">
        <v>129</v>
      </c>
      <c r="F205" s="169" t="s">
        <v>376</v>
      </c>
      <c r="G205" s="171"/>
      <c r="H205" s="169" t="str">
        <f>IF(G196 = "", "W112", IF(G196 &gt; I196, _xlfn.CONCAT("W112-", RIGHT(F196, LEN(F196) - FIND("-", F196))), _xlfn.CONCAT("W112-", RIGHT(H196, LEN(H196) - FIND("-", H196)))))</f>
        <v>W112</v>
      </c>
      <c r="I205" s="171"/>
      <c r="J205" s="169">
        <v>145</v>
      </c>
      <c r="K205" s="169">
        <v>153</v>
      </c>
      <c r="L205" s="169" t="str">
        <f t="shared" si="66"/>
        <v>18G-129</v>
      </c>
      <c r="M205" s="106"/>
      <c r="N205" s="106" t="str">
        <f t="shared" si="67"/>
        <v>pt_5-8 v 9-12</v>
      </c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 spans="1:26" ht="13.5" customHeight="1">
      <c r="A206" s="155">
        <f t="shared" si="64"/>
        <v>46223</v>
      </c>
      <c r="B206" s="156">
        <f>'CHICLETS MASTER S1'!AU57</f>
        <v>0.5</v>
      </c>
      <c r="C206" s="122" t="s">
        <v>194</v>
      </c>
      <c r="D206" s="122" t="str">
        <f t="shared" si="65"/>
        <v>CHAPMAN UNIVERSITY</v>
      </c>
      <c r="E206" s="122">
        <v>133</v>
      </c>
      <c r="F206" s="169" t="s">
        <v>381</v>
      </c>
      <c r="G206" s="171"/>
      <c r="H206" s="169" t="s">
        <v>382</v>
      </c>
      <c r="I206" s="171"/>
      <c r="J206" s="169">
        <v>173</v>
      </c>
      <c r="K206" s="169">
        <v>157</v>
      </c>
      <c r="L206" s="169" t="str">
        <f t="shared" si="66"/>
        <v>18G-133</v>
      </c>
      <c r="M206" s="106"/>
      <c r="N206" s="106" t="str">
        <f t="shared" si="67"/>
        <v>pt_1-2 v 3-4</v>
      </c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 spans="1:26" ht="13.5" customHeight="1">
      <c r="A207" s="155">
        <f t="shared" si="64"/>
        <v>46223</v>
      </c>
      <c r="B207" s="156">
        <f>'CHICLETS MASTER S1'!AU58</f>
        <v>0.54166666666666696</v>
      </c>
      <c r="C207" s="122" t="s">
        <v>194</v>
      </c>
      <c r="D207" s="122" t="str">
        <f t="shared" si="65"/>
        <v>CHAPMAN UNIVERSITY</v>
      </c>
      <c r="E207" s="122">
        <v>137</v>
      </c>
      <c r="F207" s="169" t="s">
        <v>379</v>
      </c>
      <c r="G207" s="171"/>
      <c r="H207" s="169" t="s">
        <v>380</v>
      </c>
      <c r="I207" s="171"/>
      <c r="J207" s="169">
        <v>174</v>
      </c>
      <c r="K207" s="169">
        <v>161</v>
      </c>
      <c r="L207" s="169" t="str">
        <f t="shared" si="66"/>
        <v>18G-137</v>
      </c>
      <c r="M207" s="106"/>
      <c r="N207" s="106" t="str">
        <f t="shared" si="67"/>
        <v>pt_1-2 v 3-4</v>
      </c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 spans="1:26" ht="13.5" customHeight="1">
      <c r="A208" s="155">
        <f t="shared" si="64"/>
        <v>46223</v>
      </c>
      <c r="B208" s="156">
        <f>'CHICLETS MASTER S1'!AU59</f>
        <v>0.58333333333333304</v>
      </c>
      <c r="C208" s="122" t="s">
        <v>199</v>
      </c>
      <c r="D208" s="122" t="str">
        <f t="shared" si="65"/>
        <v>CHAPMAN UNIVERSITY</v>
      </c>
      <c r="E208" s="122">
        <v>141</v>
      </c>
      <c r="F208" s="169" t="str">
        <f>IF(G202 = "", "W117", IF(G202 &gt; I202, _xlfn.CONCAT("W117-", RIGHT(F202, LEN(F202) - FIND("-", F202))), _xlfn.CONCAT("W117-", RIGHT(H202, LEN(H202) - FIND("-", H202)))))</f>
        <v>W117</v>
      </c>
      <c r="G208" s="171"/>
      <c r="H208" s="169" t="str">
        <f>IF(G203 = "", "W121", IF(G203 &gt; I203, _xlfn.CONCAT("W121-", RIGHT(F203, LEN(F203) - FIND("-", F203))), _xlfn.CONCAT("W121-", RIGHT(H203, LEN(H203) - FIND("-", H203)))))</f>
        <v>W121</v>
      </c>
      <c r="I208" s="171"/>
      <c r="J208" s="169">
        <v>157</v>
      </c>
      <c r="K208" s="169">
        <v>185</v>
      </c>
      <c r="L208" s="169" t="str">
        <f t="shared" si="66"/>
        <v>18G-141</v>
      </c>
      <c r="M208" s="106"/>
      <c r="N208" s="106" t="str">
        <f t="shared" si="67"/>
        <v>pt_5-6 v 7-8</v>
      </c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 spans="1:26" ht="13.5" customHeight="1">
      <c r="A209" s="155">
        <f t="shared" si="64"/>
        <v>46223</v>
      </c>
      <c r="B209" s="156">
        <f>'CHICLETS MASTER S1'!AU60</f>
        <v>0.625</v>
      </c>
      <c r="C209" s="122" t="s">
        <v>199</v>
      </c>
      <c r="D209" s="122" t="str">
        <f t="shared" si="65"/>
        <v>CHAPMAN UNIVERSITY</v>
      </c>
      <c r="E209" s="122">
        <v>145</v>
      </c>
      <c r="F209" s="169" t="str">
        <f>IF(G204 = "", "W125", IF(G204 &gt; I204, _xlfn.CONCAT("W125-", RIGHT(F204, LEN(F204) - FIND("-", F204))), _xlfn.CONCAT("W125-", RIGHT(H204, LEN(H204) - FIND("-", H204)))))</f>
        <v>W125</v>
      </c>
      <c r="G209" s="171"/>
      <c r="H209" s="169" t="str">
        <f>IF(G205 = "", "W129", IF(G205 &gt; I205, _xlfn.CONCAT("W129-", RIGHT(F205, LEN(F205) - FIND("-", F205))), _xlfn.CONCAT("W129-", RIGHT(H205, LEN(H205) - FIND("-", H205)))))</f>
        <v>W129</v>
      </c>
      <c r="I209" s="171"/>
      <c r="J209" s="169">
        <v>161</v>
      </c>
      <c r="K209" s="169">
        <v>185</v>
      </c>
      <c r="L209" s="169" t="str">
        <f t="shared" si="66"/>
        <v>18G-145</v>
      </c>
      <c r="M209" s="106"/>
      <c r="N209" s="106" t="str">
        <f t="shared" si="67"/>
        <v>pt_5-6 v 7-8</v>
      </c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</row>
    <row r="210" spans="1:26" ht="13.5" customHeight="1">
      <c r="A210" s="155">
        <f t="shared" si="64"/>
        <v>46223</v>
      </c>
      <c r="B210" s="156">
        <f>'CHICLETS MASTER S1'!AU61</f>
        <v>0.66666666666666696</v>
      </c>
      <c r="C210" s="122" t="s">
        <v>200</v>
      </c>
      <c r="D210" s="122" t="str">
        <f t="shared" si="65"/>
        <v>CHAPMAN UNIVERSITY</v>
      </c>
      <c r="E210" s="122">
        <v>149</v>
      </c>
      <c r="F210" s="169" t="str">
        <f>IF(G203 = "", "L121", IF(G203 &lt; I203, _xlfn.CONCAT("L201-", RIGHT(F203, LEN(F203) - FIND("-", F203))), _xlfn.CONCAT("L121-", RIGHT(H203, LEN(H203) - FIND("-", H203)))))</f>
        <v>L121</v>
      </c>
      <c r="G210" s="171"/>
      <c r="H210" s="169" t="str">
        <f>IF(G202 = "", "L117", IF(G202 &lt; I202, _xlfn.CONCAT("L117-", RIGHT(F202, LEN(F202) - FIND("-", F202))), _xlfn.CONCAT("L117-", RIGHT(H202, LEN(H202) - FIND("-", H202)))))</f>
        <v>L117</v>
      </c>
      <c r="I210" s="171"/>
      <c r="J210" s="169">
        <v>182</v>
      </c>
      <c r="K210" s="169">
        <v>181</v>
      </c>
      <c r="L210" s="169" t="str">
        <f t="shared" si="66"/>
        <v>18G-149</v>
      </c>
      <c r="M210" s="106"/>
      <c r="N210" s="106" t="str">
        <f t="shared" si="67"/>
        <v>pt_9-12 semi</v>
      </c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 spans="1:26" ht="13.5" customHeight="1">
      <c r="A211" s="155">
        <f t="shared" si="64"/>
        <v>46223</v>
      </c>
      <c r="B211" s="156">
        <f>'CHICLETS MASTER S1'!AU62</f>
        <v>0.70833333333333304</v>
      </c>
      <c r="C211" s="122" t="s">
        <v>200</v>
      </c>
      <c r="D211" s="122" t="str">
        <f t="shared" si="65"/>
        <v>CHAPMAN UNIVERSITY</v>
      </c>
      <c r="E211" s="122">
        <v>153</v>
      </c>
      <c r="F211" s="169" t="str">
        <f>IF(G205 = "", "L129", IF(G205 &lt; I205, _xlfn.CONCAT("L129-", RIGHT(F205, LEN(F205) - FIND("-", F205))), _xlfn.CONCAT("L129-", RIGHT(H205, LEN(H205) - FIND("-", H205)))))</f>
        <v>L129</v>
      </c>
      <c r="G211" s="171"/>
      <c r="H211" s="169" t="str">
        <f>IF(G204 = "", "L125", IF(G204 &lt; I204, _xlfn.CONCAT("L125-", RIGHT(F204, LEN(F204) - FIND("-", F204))), _xlfn.CONCAT("L125-", RIGHT(H204, LEN(H204) - FIND("-", H204)))))</f>
        <v>L125</v>
      </c>
      <c r="I211" s="171"/>
      <c r="J211" s="169">
        <v>182</v>
      </c>
      <c r="K211" s="169">
        <v>181</v>
      </c>
      <c r="L211" s="169" t="str">
        <f t="shared" si="66"/>
        <v>18G-153</v>
      </c>
      <c r="M211" s="106"/>
      <c r="N211" s="106" t="str">
        <f t="shared" si="67"/>
        <v>pt_9-12 semi</v>
      </c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 spans="1:26" ht="13.5" customHeight="1">
      <c r="A212" s="155">
        <f t="shared" si="64"/>
        <v>46223</v>
      </c>
      <c r="B212" s="156">
        <f>'CHICLETS MASTER S1'!AU63</f>
        <v>0.75</v>
      </c>
      <c r="C212" s="122" t="s">
        <v>561</v>
      </c>
      <c r="D212" s="122" t="str">
        <f t="shared" si="65"/>
        <v>CHAPMAN UNIVERSITY</v>
      </c>
      <c r="E212" s="122">
        <v>157</v>
      </c>
      <c r="F212" s="169" t="str">
        <f>IF(G206 = "", "L133", IF(G206 &lt; I206, _xlfn.CONCAT("L133-", RIGHT(F206, LEN(F206) - FIND("-", F206))), _xlfn.CONCAT("L133-", RIGHT(H206, LEN(H206) - FIND("-", H206)))))</f>
        <v>L133</v>
      </c>
      <c r="G212" s="171"/>
      <c r="H212" s="169" t="str">
        <f>IF(G208 = "", "W141", IF(G208 &gt; I208, _xlfn.CONCAT("W141-", RIGHT(F208, LEN(F208) - FIND("-", F208))), _xlfn.CONCAT("W141-", RIGHT(H208, LEN(H208) - FIND("-", H208)))))</f>
        <v>W141</v>
      </c>
      <c r="I212" s="171"/>
      <c r="J212" s="169">
        <v>174</v>
      </c>
      <c r="K212" s="169">
        <v>186</v>
      </c>
      <c r="L212" s="169" t="str">
        <f t="shared" si="66"/>
        <v>18G-157</v>
      </c>
      <c r="M212" s="106"/>
      <c r="N212" s="106" t="str">
        <f t="shared" si="67"/>
        <v>pt_qtr final</v>
      </c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 spans="1:26" ht="13.5" customHeight="1">
      <c r="A213" s="155">
        <f t="shared" si="64"/>
        <v>46223</v>
      </c>
      <c r="B213" s="156">
        <f>'CHICLETS MASTER S1'!AU64</f>
        <v>0.79166666666666696</v>
      </c>
      <c r="C213" s="122" t="s">
        <v>561</v>
      </c>
      <c r="D213" s="122" t="str">
        <f t="shared" si="65"/>
        <v>CHAPMAN UNIVERSITY</v>
      </c>
      <c r="E213" s="122">
        <v>161</v>
      </c>
      <c r="F213" s="169" t="str">
        <f>IF(G207 = "", "L137", IF(G207 &lt; I207, _xlfn.CONCAT("L137-", RIGHT(F207, LEN(F207) - FIND("-", F207))), _xlfn.CONCAT("L137-", RIGHT(H207, LEN(H207) - FIND("-", H207)))))</f>
        <v>L137</v>
      </c>
      <c r="G213" s="171"/>
      <c r="H213" s="169" t="str">
        <f>IF(G209 = "", "W145", IF(G209 &gt; I209, _xlfn.CONCAT("W145-", RIGHT(F209, LEN(F209) - FIND("-", F209))), _xlfn.CONCAT("W145-", RIGHT(H209, LEN(H209) - FIND("-", H209)))))</f>
        <v>W145</v>
      </c>
      <c r="I213" s="171"/>
      <c r="J213" s="169">
        <v>173</v>
      </c>
      <c r="K213" s="169">
        <v>186</v>
      </c>
      <c r="L213" s="169" t="str">
        <f t="shared" si="66"/>
        <v>18G-161</v>
      </c>
      <c r="M213" s="106"/>
      <c r="N213" s="106" t="str">
        <f t="shared" si="67"/>
        <v>pt_qtr final</v>
      </c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 spans="1:26" ht="13.5" customHeight="1" thickBot="1">
      <c r="A214" s="158"/>
      <c r="B214" s="160"/>
      <c r="C214" s="106"/>
      <c r="D214" s="106"/>
      <c r="E214" s="106"/>
      <c r="F214" s="106"/>
      <c r="G214" s="110"/>
      <c r="H214" s="106"/>
      <c r="I214" s="110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 spans="1:26" ht="13.5" customHeight="1" thickBot="1">
      <c r="A215" s="106"/>
      <c r="B215" s="106"/>
      <c r="C215" s="106"/>
      <c r="D215" s="150" t="str">
        <f>'CHICLETS MASTER S1'!$AZ$51</f>
        <v>WESTMINSTER HS</v>
      </c>
      <c r="E215" s="106"/>
      <c r="F215" s="106"/>
      <c r="G215" s="110"/>
      <c r="H215" s="106"/>
      <c r="I215" s="110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</row>
    <row r="216" spans="1:26" ht="13.5" customHeight="1">
      <c r="A216" s="301" t="s">
        <v>110</v>
      </c>
      <c r="B216" s="301" t="s">
        <v>111</v>
      </c>
      <c r="C216" s="301" t="s">
        <v>112</v>
      </c>
      <c r="D216" s="301" t="s">
        <v>113</v>
      </c>
      <c r="E216" s="301" t="s">
        <v>114</v>
      </c>
      <c r="F216" s="301" t="s">
        <v>115</v>
      </c>
      <c r="G216" s="302" t="s">
        <v>116</v>
      </c>
      <c r="H216" s="301" t="s">
        <v>117</v>
      </c>
      <c r="I216" s="302" t="s">
        <v>116</v>
      </c>
      <c r="J216" s="301" t="s">
        <v>118</v>
      </c>
      <c r="K216" s="301" t="s">
        <v>119</v>
      </c>
      <c r="L216" s="301" t="s">
        <v>120</v>
      </c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 spans="1:26" ht="13.5" customHeight="1">
      <c r="A217" s="155">
        <f t="shared" ref="A217:A228" si="68">$A$199</f>
        <v>46223</v>
      </c>
      <c r="B217" s="156">
        <f>'CHICLETS MASTER S1'!AU53</f>
        <v>0.33333333333333331</v>
      </c>
      <c r="C217" s="122" t="s">
        <v>383</v>
      </c>
      <c r="D217" s="122" t="str">
        <f t="shared" ref="D217:D228" si="69">$D$215</f>
        <v>WESTMINSTER HS</v>
      </c>
      <c r="E217" s="122">
        <v>118</v>
      </c>
      <c r="F217" s="169" t="s">
        <v>386</v>
      </c>
      <c r="G217" s="171"/>
      <c r="H217" s="169" t="s">
        <v>387</v>
      </c>
      <c r="I217" s="171"/>
      <c r="J217" s="169"/>
      <c r="K217" s="169"/>
      <c r="L217" s="169" t="str">
        <f t="shared" ref="L217:L228" si="70">$L$15&amp;"-"&amp;TEXT(E217,"000")</f>
        <v>18G-118</v>
      </c>
      <c r="M217" s="106"/>
      <c r="N217" s="106" t="str">
        <f t="shared" ref="N217:N228" si="71">$K$261&amp;C217</f>
        <v>pt_21-24 RR</v>
      </c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</row>
    <row r="218" spans="1:26" ht="13.5" customHeight="1">
      <c r="A218" s="155">
        <f t="shared" si="68"/>
        <v>46223</v>
      </c>
      <c r="B218" s="156">
        <f>'CHICLETS MASTER S1'!AU54</f>
        <v>0.375</v>
      </c>
      <c r="C218" s="122" t="s">
        <v>383</v>
      </c>
      <c r="D218" s="122" t="str">
        <f t="shared" si="69"/>
        <v>WESTMINSTER HS</v>
      </c>
      <c r="E218" s="122">
        <v>122</v>
      </c>
      <c r="F218" s="169" t="s">
        <v>384</v>
      </c>
      <c r="G218" s="171"/>
      <c r="H218" s="169" t="s">
        <v>385</v>
      </c>
      <c r="I218" s="171"/>
      <c r="J218" s="169"/>
      <c r="K218" s="169"/>
      <c r="L218" s="169" t="str">
        <f t="shared" si="70"/>
        <v>18G-122</v>
      </c>
      <c r="M218" s="106"/>
      <c r="N218" s="106" t="str">
        <f t="shared" si="71"/>
        <v>pt_21-24 RR</v>
      </c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</row>
    <row r="219" spans="1:26" ht="13.5" customHeight="1">
      <c r="A219" s="155">
        <f t="shared" si="68"/>
        <v>46223</v>
      </c>
      <c r="B219" s="156">
        <f>'CHICLETS MASTER S1'!AU55</f>
        <v>0.41666666666666702</v>
      </c>
      <c r="C219" s="122" t="s">
        <v>388</v>
      </c>
      <c r="D219" s="122" t="str">
        <f t="shared" si="69"/>
        <v>WESTMINSTER HS</v>
      </c>
      <c r="E219" s="122">
        <v>126</v>
      </c>
      <c r="F219" s="169" t="str">
        <f>IF(G196 = "", "L112", IF(G196 &lt; I196, _xlfn.CONCAT("L112-", RIGHT(F196, LEN(F196) - FIND("-", F196))), _xlfn.CONCAT("L112-", RIGHT(H196, LEN(H196) - FIND("-", H196)))))</f>
        <v>L112</v>
      </c>
      <c r="G219" s="171"/>
      <c r="H219" s="169" t="s">
        <v>389</v>
      </c>
      <c r="I219" s="171"/>
      <c r="J219" s="169">
        <v>150</v>
      </c>
      <c r="K219" s="169">
        <v>154</v>
      </c>
      <c r="L219" s="169" t="str">
        <f t="shared" si="70"/>
        <v>18G-126</v>
      </c>
      <c r="M219" s="106"/>
      <c r="N219" s="106" t="str">
        <f t="shared" si="71"/>
        <v>pt_13-20 qtr</v>
      </c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</row>
    <row r="220" spans="1:26" ht="13.5" customHeight="1">
      <c r="A220" s="155">
        <f t="shared" si="68"/>
        <v>46223</v>
      </c>
      <c r="B220" s="156">
        <f>'CHICLETS MASTER S1'!AU56</f>
        <v>0.45833333333333298</v>
      </c>
      <c r="C220" s="122" t="s">
        <v>388</v>
      </c>
      <c r="D220" s="122" t="str">
        <f t="shared" si="69"/>
        <v>WESTMINSTER HS</v>
      </c>
      <c r="E220" s="122">
        <v>130</v>
      </c>
      <c r="F220" s="169" t="str">
        <f>IF(G147 = "", "L109", IF(G147 &lt; I147, _xlfn.CONCAT("L109-", RIGHT(F147, LEN(F147) - FIND("-", F147))), _xlfn.CONCAT("L109-", RIGHT(H147, LEN(H147) - FIND("-", H147)))))</f>
        <v>L109</v>
      </c>
      <c r="G220" s="171"/>
      <c r="H220" s="169" t="s">
        <v>390</v>
      </c>
      <c r="I220" s="171"/>
      <c r="J220" s="169">
        <v>150</v>
      </c>
      <c r="K220" s="169">
        <v>154</v>
      </c>
      <c r="L220" s="169" t="str">
        <f t="shared" si="70"/>
        <v>18G-130</v>
      </c>
      <c r="M220" s="106"/>
      <c r="N220" s="106" t="str">
        <f t="shared" si="71"/>
        <v>pt_13-20 qtr</v>
      </c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</row>
    <row r="221" spans="1:26" ht="13.5" customHeight="1">
      <c r="A221" s="155">
        <f t="shared" si="68"/>
        <v>46223</v>
      </c>
      <c r="B221" s="156">
        <f>'CHICLETS MASTER S1'!AU57</f>
        <v>0.5</v>
      </c>
      <c r="C221" s="122" t="s">
        <v>388</v>
      </c>
      <c r="D221" s="122" t="str">
        <f t="shared" si="69"/>
        <v>WESTMINSTER HS</v>
      </c>
      <c r="E221" s="122">
        <v>134</v>
      </c>
      <c r="F221" s="169" t="str">
        <f>IF(G195 = "", "L116", IF(G195 &lt; I195, _xlfn.CONCAT("L116-", RIGHT(F195, LEN(F195) - FIND("-", F195))), _xlfn.CONCAT("L116-", RIGHT(H195, LEN(H195) - FIND("-", H195)))))</f>
        <v>L116</v>
      </c>
      <c r="G221" s="171"/>
      <c r="H221" s="169" t="s">
        <v>391</v>
      </c>
      <c r="I221" s="171"/>
      <c r="J221" s="169">
        <v>158</v>
      </c>
      <c r="K221" s="169">
        <v>162</v>
      </c>
      <c r="L221" s="169" t="str">
        <f t="shared" si="70"/>
        <v>18G-134</v>
      </c>
      <c r="M221" s="106"/>
      <c r="N221" s="106" t="str">
        <f t="shared" si="71"/>
        <v>pt_13-20 qtr</v>
      </c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</row>
    <row r="222" spans="1:26" ht="13.5" customHeight="1">
      <c r="A222" s="155">
        <f t="shared" si="68"/>
        <v>46223</v>
      </c>
      <c r="B222" s="156">
        <f>'CHICLETS MASTER S1'!AU58</f>
        <v>0.54166666666666696</v>
      </c>
      <c r="C222" s="122" t="s">
        <v>388</v>
      </c>
      <c r="D222" s="122" t="str">
        <f t="shared" si="69"/>
        <v>WESTMINSTER HS</v>
      </c>
      <c r="E222" s="122">
        <v>138</v>
      </c>
      <c r="F222" s="169" t="str">
        <f>IF(G148 = "", "L113", IF(G148 &lt; I148, _xlfn.CONCAT("L113-", RIGHT(F148, LEN(F148) - FIND("-", F148))), _xlfn.CONCAT("L113-", RIGHT(H148, LEN(H148) - FIND("-", H148)))))</f>
        <v>L113</v>
      </c>
      <c r="G222" s="171"/>
      <c r="H222" s="169" t="s">
        <v>392</v>
      </c>
      <c r="I222" s="171"/>
      <c r="J222" s="169">
        <v>158</v>
      </c>
      <c r="K222" s="169">
        <v>162</v>
      </c>
      <c r="L222" s="169" t="str">
        <f t="shared" si="70"/>
        <v>18G-138</v>
      </c>
      <c r="M222" s="106"/>
      <c r="N222" s="106" t="str">
        <f t="shared" si="71"/>
        <v>pt_13-20 qtr</v>
      </c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</row>
    <row r="223" spans="1:26" ht="13.5" customHeight="1">
      <c r="A223" s="155">
        <f t="shared" si="68"/>
        <v>46223</v>
      </c>
      <c r="B223" s="156">
        <f>'CHICLETS MASTER S1'!AU59</f>
        <v>0.58333333333333304</v>
      </c>
      <c r="C223" s="122" t="s">
        <v>383</v>
      </c>
      <c r="D223" s="122" t="str">
        <f t="shared" si="69"/>
        <v>WESTMINSTER HS</v>
      </c>
      <c r="E223" s="122">
        <v>142</v>
      </c>
      <c r="F223" s="169" t="s">
        <v>386</v>
      </c>
      <c r="G223" s="171"/>
      <c r="H223" s="169" t="s">
        <v>385</v>
      </c>
      <c r="I223" s="171"/>
      <c r="J223" s="169"/>
      <c r="K223" s="169"/>
      <c r="L223" s="169" t="str">
        <f t="shared" si="70"/>
        <v>18G-142</v>
      </c>
      <c r="M223" s="106"/>
      <c r="N223" s="106" t="str">
        <f t="shared" si="71"/>
        <v>pt_21-24 RR</v>
      </c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</row>
    <row r="224" spans="1:26" ht="13.5" customHeight="1">
      <c r="A224" s="155">
        <f t="shared" si="68"/>
        <v>46223</v>
      </c>
      <c r="B224" s="156">
        <f>'CHICLETS MASTER S1'!AU60</f>
        <v>0.625</v>
      </c>
      <c r="C224" s="122" t="s">
        <v>383</v>
      </c>
      <c r="D224" s="122" t="str">
        <f t="shared" si="69"/>
        <v>WESTMINSTER HS</v>
      </c>
      <c r="E224" s="122">
        <v>146</v>
      </c>
      <c r="F224" s="169" t="s">
        <v>384</v>
      </c>
      <c r="G224" s="171"/>
      <c r="H224" s="169" t="s">
        <v>387</v>
      </c>
      <c r="I224" s="171"/>
      <c r="J224" s="169"/>
      <c r="K224" s="169"/>
      <c r="L224" s="169" t="str">
        <f t="shared" si="70"/>
        <v>18G-146</v>
      </c>
      <c r="M224" s="106"/>
      <c r="N224" s="106" t="str">
        <f t="shared" si="71"/>
        <v>pt_21-24 RR</v>
      </c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</row>
    <row r="225" spans="1:26" ht="13.5" customHeight="1">
      <c r="A225" s="155">
        <f t="shared" si="68"/>
        <v>46223</v>
      </c>
      <c r="B225" s="156">
        <f>'CHICLETS MASTER S1'!AU61</f>
        <v>0.66666666666666696</v>
      </c>
      <c r="C225" s="122" t="s">
        <v>393</v>
      </c>
      <c r="D225" s="122" t="str">
        <f t="shared" si="69"/>
        <v>WESTMINSTER HS</v>
      </c>
      <c r="E225" s="122">
        <v>150</v>
      </c>
      <c r="F225" s="169" t="str">
        <f>IF(G219 = "", "W126", IF(G219 &gt; I219, _xlfn.CONCAT("W126-", RIGHT(F219, LEN(F219) - FIND("-", F219))), _xlfn.CONCAT("W126-", RIGHT(H219, LEN(H219) - FIND("-", H219)))))</f>
        <v>W126</v>
      </c>
      <c r="G225" s="169"/>
      <c r="H225" s="169" t="str">
        <f>IF(G220 = "", "W130", IF(G220 &gt; I220, _xlfn.CONCAT("W130-", RIGHT(F220, LEN(F220) - FIND("-", F220))), _xlfn.CONCAT("W130-", RIGHT(H220, LEN(H220) - FIND("-", H220)))))</f>
        <v>W130</v>
      </c>
      <c r="I225" s="171"/>
      <c r="J225" s="169">
        <v>178</v>
      </c>
      <c r="K225" s="169">
        <v>177</v>
      </c>
      <c r="L225" s="169" t="str">
        <f t="shared" si="70"/>
        <v>18G-150</v>
      </c>
      <c r="M225" s="106"/>
      <c r="N225" s="106" t="str">
        <f t="shared" si="71"/>
        <v>pt_13-16 semi</v>
      </c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</row>
    <row r="226" spans="1:26" ht="13.5" customHeight="1">
      <c r="A226" s="155">
        <f t="shared" si="68"/>
        <v>46223</v>
      </c>
      <c r="B226" s="156">
        <f>'CHICLETS MASTER S1'!AU62</f>
        <v>0.70833333333333304</v>
      </c>
      <c r="C226" s="122" t="s">
        <v>394</v>
      </c>
      <c r="D226" s="122" t="str">
        <f t="shared" si="69"/>
        <v>WESTMINSTER HS</v>
      </c>
      <c r="E226" s="122">
        <v>154</v>
      </c>
      <c r="F226" s="169" t="str">
        <f>IF(G220 = "", "L130", IF(G220 &lt; I220, _xlfn.CONCAT("L130-", RIGHT(F220, LEN(F220) - FIND("-", F220))), _xlfn.CONCAT("L130-", RIGHT(H220, LEN(H220) - FIND("-", H220)))))</f>
        <v>L130</v>
      </c>
      <c r="G226" s="169"/>
      <c r="H226" s="169" t="str">
        <f>IF(G219 = "", "L126", IF(G219 &lt; I219, _xlfn.CONCAT("L126-", RIGHT(F219, LEN(F219) - FIND("-", F219))), _xlfn.CONCAT("L126-", RIGHT(H219, LEN(H219) - FIND("-", H219)))))</f>
        <v>L126</v>
      </c>
      <c r="I226" s="171"/>
      <c r="J226" s="169">
        <v>170</v>
      </c>
      <c r="K226" s="169">
        <v>169</v>
      </c>
      <c r="L226" s="169" t="str">
        <f t="shared" si="70"/>
        <v>18G-154</v>
      </c>
      <c r="M226" s="106"/>
      <c r="N226" s="106" t="str">
        <f t="shared" si="71"/>
        <v>pt_17-20 semi</v>
      </c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</row>
    <row r="227" spans="1:26" ht="13.5" customHeight="1">
      <c r="A227" s="155">
        <f t="shared" si="68"/>
        <v>46223</v>
      </c>
      <c r="B227" s="156">
        <f>'CHICLETS MASTER S1'!AU63</f>
        <v>0.75</v>
      </c>
      <c r="C227" s="122" t="s">
        <v>393</v>
      </c>
      <c r="D227" s="122" t="str">
        <f t="shared" si="69"/>
        <v>WESTMINSTER HS</v>
      </c>
      <c r="E227" s="122">
        <v>158</v>
      </c>
      <c r="F227" s="169" t="str">
        <f>IF(G221 = "", "W134", IF(G221 &gt; I221, _xlfn.CONCAT("W134-", RIGHT(F221, LEN(F221) - FIND("-", F221))), _xlfn.CONCAT("W134-", RIGHT(H221, LEN(H221) - FIND("-", H221)))))</f>
        <v>W134</v>
      </c>
      <c r="G227" s="169"/>
      <c r="H227" s="169" t="str">
        <f>IF(G222 = "", "W138", IF(G222 &gt; I222, _xlfn.CONCAT("W138-", RIGHT(F222, LEN(F222) - FIND("-", F222))), _xlfn.CONCAT("W138-", RIGHT(H222, LEN(H222) - FIND("-", H222)))))</f>
        <v>W138</v>
      </c>
      <c r="I227" s="171"/>
      <c r="J227" s="169">
        <v>178</v>
      </c>
      <c r="K227" s="169">
        <v>177</v>
      </c>
      <c r="L227" s="169" t="str">
        <f t="shared" si="70"/>
        <v>18G-158</v>
      </c>
      <c r="M227" s="106"/>
      <c r="N227" s="106" t="str">
        <f t="shared" si="71"/>
        <v>pt_13-16 semi</v>
      </c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</row>
    <row r="228" spans="1:26" ht="13.5" customHeight="1">
      <c r="A228" s="155">
        <f t="shared" si="68"/>
        <v>46223</v>
      </c>
      <c r="B228" s="156">
        <f>'CHICLETS MASTER S1'!AU64</f>
        <v>0.79166666666666696</v>
      </c>
      <c r="C228" s="122" t="s">
        <v>394</v>
      </c>
      <c r="D228" s="122" t="str">
        <f t="shared" si="69"/>
        <v>WESTMINSTER HS</v>
      </c>
      <c r="E228" s="122">
        <v>162</v>
      </c>
      <c r="F228" s="169" t="str">
        <f>IF(G222 = "", "L138", IF(G222 &lt; I222, _xlfn.CONCAT("L138-", RIGHT(F222, LEN(F222) - FIND("-", F222))), _xlfn.CONCAT("L138-", RIGHT(H222, LEN(H222) - FIND("-", H222)))))</f>
        <v>L138</v>
      </c>
      <c r="G228" s="169"/>
      <c r="H228" s="169" t="str">
        <f>IF(G221 = "", "L134", IF(G221 &lt; I221, _xlfn.CONCAT("L134-", RIGHT(F221, LEN(F221) - FIND("-", F221))), _xlfn.CONCAT("L134-", RIGHT(H221, LEN(H221) - FIND("-", H221)))))</f>
        <v>L134</v>
      </c>
      <c r="I228" s="171"/>
      <c r="J228" s="169">
        <v>170</v>
      </c>
      <c r="K228" s="169">
        <v>169</v>
      </c>
      <c r="L228" s="169" t="str">
        <f t="shared" si="70"/>
        <v>18G-162</v>
      </c>
      <c r="M228" s="106"/>
      <c r="N228" s="106" t="str">
        <f t="shared" si="71"/>
        <v>pt_17-20 semi</v>
      </c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</row>
    <row r="229" spans="1:26" ht="13.5" customHeight="1" thickBot="1">
      <c r="A229" s="158"/>
      <c r="B229" s="160"/>
      <c r="C229" s="106"/>
      <c r="D229" s="106"/>
      <c r="E229" s="106"/>
      <c r="F229" s="106"/>
      <c r="G229" s="110"/>
      <c r="H229" s="106"/>
      <c r="I229" s="110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</row>
    <row r="230" spans="1:26" ht="13.5" customHeight="1" thickBot="1">
      <c r="A230" s="106"/>
      <c r="B230" s="106"/>
      <c r="C230" s="106"/>
      <c r="D230" s="150" t="str">
        <f>'CHICLETS MASTER S1'!$BB$72</f>
        <v>FULLERTON COLLEGE</v>
      </c>
      <c r="E230" s="106"/>
      <c r="F230" s="106"/>
      <c r="G230" s="110"/>
      <c r="H230" s="106"/>
      <c r="I230" s="110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</row>
    <row r="231" spans="1:26" ht="13.5" customHeight="1">
      <c r="A231" s="301" t="s">
        <v>110</v>
      </c>
      <c r="B231" s="301" t="s">
        <v>111</v>
      </c>
      <c r="C231" s="301" t="s">
        <v>112</v>
      </c>
      <c r="D231" s="301" t="s">
        <v>113</v>
      </c>
      <c r="E231" s="301" t="s">
        <v>114</v>
      </c>
      <c r="F231" s="301" t="s">
        <v>115</v>
      </c>
      <c r="G231" s="302" t="s">
        <v>116</v>
      </c>
      <c r="H231" s="301" t="s">
        <v>117</v>
      </c>
      <c r="I231" s="302" t="s">
        <v>116</v>
      </c>
      <c r="J231" s="301" t="s">
        <v>118</v>
      </c>
      <c r="K231" s="301" t="s">
        <v>119</v>
      </c>
      <c r="L231" s="301" t="s">
        <v>120</v>
      </c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</row>
    <row r="232" spans="1:26" ht="13.5" customHeight="1">
      <c r="A232" s="155">
        <f t="shared" ref="A232:A243" si="72">$A$199</f>
        <v>46223</v>
      </c>
      <c r="B232" s="156">
        <f>'CHICLETS MASTER S1'!AU53</f>
        <v>0.33333333333333331</v>
      </c>
      <c r="C232" s="122" t="s">
        <v>189</v>
      </c>
      <c r="D232" s="122" t="str">
        <f t="shared" ref="D232:D243" si="73">$D$230</f>
        <v>FULLERTON COLLEGE</v>
      </c>
      <c r="E232" s="122">
        <v>119</v>
      </c>
      <c r="F232" s="134" t="s">
        <v>399</v>
      </c>
      <c r="G232" s="170"/>
      <c r="H232" s="134" t="str">
        <f>IF(G163 = "", "W110", IF(G163 &gt; I163, _xlfn.CONCAT("W110-", RIGHT(F163, LEN(F163) - FIND("-", F163))), _xlfn.CONCAT("W110-", RIGHT(H163, LEN(H163) - FIND("-", H163)))))</f>
        <v>W110</v>
      </c>
      <c r="I232" s="170"/>
      <c r="J232" s="134">
        <v>143</v>
      </c>
      <c r="K232" s="134">
        <v>151</v>
      </c>
      <c r="L232" s="134" t="str">
        <f t="shared" ref="L232:L243" si="74">$L$15&amp;"-"&amp;TEXT(E232,"000")</f>
        <v>18G-119</v>
      </c>
      <c r="M232" s="106"/>
      <c r="N232" s="106" t="str">
        <f t="shared" ref="N232:N243" si="75">$L$261&amp;C232</f>
        <v>au_5-8 v 9-12</v>
      </c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</row>
    <row r="233" spans="1:26" ht="13.5" customHeight="1">
      <c r="A233" s="155">
        <f t="shared" si="72"/>
        <v>46223</v>
      </c>
      <c r="B233" s="156">
        <f>'CHICLETS MASTER S1'!AU54</f>
        <v>0.375</v>
      </c>
      <c r="C233" s="122" t="s">
        <v>189</v>
      </c>
      <c r="D233" s="122" t="str">
        <f t="shared" si="73"/>
        <v>FULLERTON COLLEGE</v>
      </c>
      <c r="E233" s="122">
        <v>123</v>
      </c>
      <c r="F233" s="134" t="s">
        <v>395</v>
      </c>
      <c r="G233" s="170"/>
      <c r="H233" s="134" t="str">
        <f>IF(G180 = "", "W115", IF(G180 &gt; I180, _xlfn.CONCAT("W115-", RIGHT(F180, LEN(F180) - FIND("-", F180))), _xlfn.CONCAT("W115-", RIGHT(H180, LEN(H180) - FIND("-", H180)))))</f>
        <v>W115</v>
      </c>
      <c r="I233" s="170"/>
      <c r="J233" s="134">
        <v>143</v>
      </c>
      <c r="K233" s="134">
        <v>151</v>
      </c>
      <c r="L233" s="134" t="str">
        <f t="shared" si="74"/>
        <v>18G-123</v>
      </c>
      <c r="M233" s="106"/>
      <c r="N233" s="106" t="str">
        <f t="shared" si="75"/>
        <v>au_5-8 v 9-12</v>
      </c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</row>
    <row r="234" spans="1:26" ht="13.5" customHeight="1">
      <c r="A234" s="155">
        <f t="shared" si="72"/>
        <v>46223</v>
      </c>
      <c r="B234" s="156">
        <f>'CHICLETS MASTER S1'!AU55</f>
        <v>0.41666666666666702</v>
      </c>
      <c r="C234" s="122" t="s">
        <v>189</v>
      </c>
      <c r="D234" s="122" t="str">
        <f t="shared" si="73"/>
        <v>FULLERTON COLLEGE</v>
      </c>
      <c r="E234" s="122">
        <v>127</v>
      </c>
      <c r="F234" s="134" t="s">
        <v>397</v>
      </c>
      <c r="G234" s="312"/>
      <c r="H234" s="134" t="str">
        <f>IF(G164 = "", "W114", IF(G164 &gt; I164, _xlfn.CONCAT("W114-", RIGHT(F164, LEN(F164) - FIND("-", F164))), _xlfn.CONCAT("W114-", RIGHT(H164, LEN(H164) - FIND("-", H164)))))</f>
        <v>W114</v>
      </c>
      <c r="I234" s="312"/>
      <c r="J234" s="134">
        <v>147</v>
      </c>
      <c r="K234" s="134">
        <v>155</v>
      </c>
      <c r="L234" s="134" t="str">
        <f t="shared" si="74"/>
        <v>18G-127</v>
      </c>
      <c r="M234" s="106"/>
      <c r="N234" s="106" t="str">
        <f t="shared" si="75"/>
        <v>au_5-8 v 9-12</v>
      </c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</row>
    <row r="235" spans="1:26" ht="13.5" customHeight="1">
      <c r="A235" s="155">
        <f t="shared" si="72"/>
        <v>46223</v>
      </c>
      <c r="B235" s="156">
        <f>'CHICLETS MASTER S1'!AU56</f>
        <v>0.45833333333333298</v>
      </c>
      <c r="C235" s="122" t="s">
        <v>189</v>
      </c>
      <c r="D235" s="122" t="str">
        <f t="shared" si="73"/>
        <v>FULLERTON COLLEGE</v>
      </c>
      <c r="E235" s="122">
        <v>131</v>
      </c>
      <c r="F235" s="134" t="s">
        <v>401</v>
      </c>
      <c r="G235" s="170"/>
      <c r="H235" s="134" t="str">
        <f>IF(G179 = "", "W111", IF(G179 &gt; I179, _xlfn.CONCAT("W111-", RIGHT(F179, LEN(F179) - FIND("-", F179))), _xlfn.CONCAT("W111-", RIGHT(H179, LEN(H179) - FIND("-", H179)))))</f>
        <v>W111</v>
      </c>
      <c r="I235" s="170"/>
      <c r="J235" s="134">
        <v>147</v>
      </c>
      <c r="K235" s="134">
        <v>155</v>
      </c>
      <c r="L235" s="134" t="str">
        <f t="shared" si="74"/>
        <v>18G-131</v>
      </c>
      <c r="M235" s="106"/>
      <c r="N235" s="106" t="str">
        <f t="shared" si="75"/>
        <v>au_5-8 v 9-12</v>
      </c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</row>
    <row r="236" spans="1:26" ht="13.5" customHeight="1">
      <c r="A236" s="155">
        <f t="shared" si="72"/>
        <v>46223</v>
      </c>
      <c r="B236" s="156">
        <f>'CHICLETS MASTER S1'!AU57</f>
        <v>0.5</v>
      </c>
      <c r="C236" s="122" t="s">
        <v>194</v>
      </c>
      <c r="D236" s="122" t="str">
        <f t="shared" si="73"/>
        <v>FULLERTON COLLEGE</v>
      </c>
      <c r="E236" s="122">
        <v>135</v>
      </c>
      <c r="F236" s="134" t="s">
        <v>403</v>
      </c>
      <c r="G236" s="312"/>
      <c r="H236" s="134" t="s">
        <v>404</v>
      </c>
      <c r="I236" s="312"/>
      <c r="J236" s="134">
        <v>172</v>
      </c>
      <c r="K236" s="134">
        <v>159</v>
      </c>
      <c r="L236" s="134" t="str">
        <f t="shared" si="74"/>
        <v>18G-135</v>
      </c>
      <c r="M236" s="106"/>
      <c r="N236" s="106" t="str">
        <f t="shared" si="75"/>
        <v>au_1-2 v 3-4</v>
      </c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</row>
    <row r="237" spans="1:26" ht="13.5" customHeight="1">
      <c r="A237" s="155">
        <f t="shared" si="72"/>
        <v>46223</v>
      </c>
      <c r="B237" s="156">
        <f>'CHICLETS MASTER S1'!AU58</f>
        <v>0.54166666666666696</v>
      </c>
      <c r="C237" s="122" t="s">
        <v>194</v>
      </c>
      <c r="D237" s="122" t="str">
        <f t="shared" si="73"/>
        <v>FULLERTON COLLEGE</v>
      </c>
      <c r="E237" s="122">
        <v>139</v>
      </c>
      <c r="F237" s="134" t="s">
        <v>405</v>
      </c>
      <c r="G237" s="170"/>
      <c r="H237" s="134" t="s">
        <v>406</v>
      </c>
      <c r="I237" s="170"/>
      <c r="J237" s="134">
        <v>171</v>
      </c>
      <c r="K237" s="134">
        <v>163</v>
      </c>
      <c r="L237" s="134" t="str">
        <f t="shared" si="74"/>
        <v>18G-139</v>
      </c>
      <c r="M237" s="106"/>
      <c r="N237" s="106" t="str">
        <f t="shared" si="75"/>
        <v>au_1-2 v 3-4</v>
      </c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</row>
    <row r="238" spans="1:26" ht="13.5" customHeight="1">
      <c r="A238" s="155">
        <f t="shared" si="72"/>
        <v>46223</v>
      </c>
      <c r="B238" s="156">
        <f>'CHICLETS MASTER S1'!AU59</f>
        <v>0.58333333333333304</v>
      </c>
      <c r="C238" s="122" t="s">
        <v>199</v>
      </c>
      <c r="D238" s="122" t="str">
        <f t="shared" si="73"/>
        <v>FULLERTON COLLEGE</v>
      </c>
      <c r="E238" s="122">
        <v>143</v>
      </c>
      <c r="F238" s="134" t="str">
        <f>IF(G233 = "", "W123", IF(G233 &gt; I233, _xlfn.CONCAT("W123-", RIGHT(F233, LEN(F233) - FIND("-", F233))), _xlfn.CONCAT("W123-", RIGHT(H233, LEN(H233) - FIND("-", H233)))))</f>
        <v>W123</v>
      </c>
      <c r="G238" s="170"/>
      <c r="H238" s="134" t="str">
        <f>IF(G232 = "", "W119", IF(G232 &gt; I232, _xlfn.CONCAT("W119-", RIGHT(F232, LEN(F232) - FIND("-", F232))), _xlfn.CONCAT("W119-", RIGHT(H232, LEN(H232) - FIND("-", H232)))))</f>
        <v>W119</v>
      </c>
      <c r="I238" s="170"/>
      <c r="J238" s="134">
        <v>159</v>
      </c>
      <c r="K238" s="134">
        <v>188</v>
      </c>
      <c r="L238" s="134" t="str">
        <f t="shared" si="74"/>
        <v>18G-143</v>
      </c>
      <c r="M238" s="106"/>
      <c r="N238" s="106" t="str">
        <f t="shared" si="75"/>
        <v>au_5-6 v 7-8</v>
      </c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</row>
    <row r="239" spans="1:26" ht="13.5" customHeight="1">
      <c r="A239" s="155">
        <f t="shared" si="72"/>
        <v>46223</v>
      </c>
      <c r="B239" s="156">
        <f>'CHICLETS MASTER S1'!AU60</f>
        <v>0.625</v>
      </c>
      <c r="C239" s="122" t="s">
        <v>199</v>
      </c>
      <c r="D239" s="122" t="str">
        <f t="shared" si="73"/>
        <v>FULLERTON COLLEGE</v>
      </c>
      <c r="E239" s="122">
        <v>147</v>
      </c>
      <c r="F239" s="172" t="str">
        <f>IF(G234 = "", "W127", IF(G234 &gt; I234, _xlfn.CONCAT("W127-", RIGHT(F234, LEN(F234) - FIND("-", F234))), _xlfn.CONCAT("W127-", RIGHT(H234, LEN(H234) - FIND("-", H234)))))</f>
        <v>W127</v>
      </c>
      <c r="G239" s="134"/>
      <c r="H239" s="134" t="str">
        <f>IF(G235 = "", "W131", IF(G235 &gt; I235, _xlfn.CONCAT("W131-", RIGHT(F235, LEN(F235) - FIND("-", F235))), _xlfn.CONCAT("W131-", RIGHT(H235, LEN(H235) - FIND("-", H235)))))</f>
        <v>W131</v>
      </c>
      <c r="I239" s="170"/>
      <c r="J239" s="134">
        <v>163</v>
      </c>
      <c r="K239" s="134">
        <v>188</v>
      </c>
      <c r="L239" s="134" t="str">
        <f t="shared" si="74"/>
        <v>18G-147</v>
      </c>
      <c r="M239" s="106"/>
      <c r="N239" s="106" t="str">
        <f t="shared" si="75"/>
        <v>au_5-6 v 7-8</v>
      </c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</row>
    <row r="240" spans="1:26" ht="13.5" customHeight="1">
      <c r="A240" s="155">
        <f t="shared" si="72"/>
        <v>46223</v>
      </c>
      <c r="B240" s="156">
        <f>'CHICLETS MASTER S1'!AU61</f>
        <v>0.66666666666666696</v>
      </c>
      <c r="C240" s="122" t="s">
        <v>200</v>
      </c>
      <c r="D240" s="122" t="str">
        <f t="shared" si="73"/>
        <v>FULLERTON COLLEGE</v>
      </c>
      <c r="E240" s="173">
        <v>151</v>
      </c>
      <c r="F240" s="134" t="str">
        <f>IF(G232 = "", "L119", IF(G232 &lt; I232, _xlfn.CONCAT("L119-", RIGHT(F232, LEN(F232) - FIND("-", F232))), _xlfn.CONCAT("L119-", RIGHT(H232, LEN(H232) - FIND("-", H232)))))</f>
        <v>L119</v>
      </c>
      <c r="G240" s="194"/>
      <c r="H240" s="134" t="str">
        <f>IF(G233 = "", "L123", IF(G233 &lt; I233, _xlfn.CONCAT("L123-", RIGHT(F233, LEN(F233) - FIND("-", F233))), _xlfn.CONCAT("L123-", RIGHT(H233, LEN(H233) - FIND("-", H233)))))</f>
        <v>L123</v>
      </c>
      <c r="I240" s="170"/>
      <c r="J240" s="134">
        <v>183</v>
      </c>
      <c r="K240" s="134">
        <v>184</v>
      </c>
      <c r="L240" s="134" t="str">
        <f t="shared" si="74"/>
        <v>18G-151</v>
      </c>
      <c r="M240" s="106"/>
      <c r="N240" s="106" t="str">
        <f t="shared" si="75"/>
        <v>au_9-12 semi</v>
      </c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</row>
    <row r="241" spans="1:26" ht="13.5" customHeight="1">
      <c r="A241" s="155">
        <f t="shared" si="72"/>
        <v>46223</v>
      </c>
      <c r="B241" s="156">
        <f>'CHICLETS MASTER S1'!AU62</f>
        <v>0.70833333333333304</v>
      </c>
      <c r="C241" s="122" t="s">
        <v>200</v>
      </c>
      <c r="D241" s="122" t="str">
        <f t="shared" si="73"/>
        <v>FULLERTON COLLEGE</v>
      </c>
      <c r="E241" s="122">
        <v>155</v>
      </c>
      <c r="F241" s="134" t="str">
        <f>IF(G235 = "", "L131", IF(G235 &lt; I235, _xlfn.CONCAT("L131-", RIGHT(F235, LEN(F235) - FIND("-", F235))), _xlfn.CONCAT("L131-", RIGHT(H235, LEN(H235) - FIND("-", H235)))))</f>
        <v>L131</v>
      </c>
      <c r="G241" s="134"/>
      <c r="H241" s="134" t="str">
        <f>IF(G234 = "", "L127", IF(G234 &lt; I234, _xlfn.CONCAT("L127-", RIGHT(F234, LEN(F234) - FIND("-", F234))), _xlfn.CONCAT("L127-", RIGHT(H234, LEN(H234) - FIND("-", H234)))))</f>
        <v>L127</v>
      </c>
      <c r="I241" s="170"/>
      <c r="J241" s="134">
        <v>183</v>
      </c>
      <c r="K241" s="134">
        <v>184</v>
      </c>
      <c r="L241" s="134" t="str">
        <f t="shared" si="74"/>
        <v>18G-155</v>
      </c>
      <c r="M241" s="106"/>
      <c r="N241" s="106" t="str">
        <f t="shared" si="75"/>
        <v>au_9-12 semi</v>
      </c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</row>
    <row r="242" spans="1:26" ht="13.5" customHeight="1">
      <c r="A242" s="155">
        <f t="shared" si="72"/>
        <v>46223</v>
      </c>
      <c r="B242" s="156">
        <f>'CHICLETS MASTER S1'!AU63</f>
        <v>0.75</v>
      </c>
      <c r="C242" s="122" t="s">
        <v>561</v>
      </c>
      <c r="D242" s="122" t="str">
        <f t="shared" si="73"/>
        <v>FULLERTON COLLEGE</v>
      </c>
      <c r="E242" s="122">
        <v>159</v>
      </c>
      <c r="F242" s="134" t="str">
        <f>IF(G236 = "", "L135", IF(G236 &lt; I236, _xlfn.CONCAT("L135-", RIGHT(F236, LEN(F236) - FIND("-", F236))), _xlfn.CONCAT("L135-", RIGHT(H236, LEN(H236) - FIND("-", H236)))))</f>
        <v>L135</v>
      </c>
      <c r="G242" s="134"/>
      <c r="H242" s="134" t="str">
        <f>IF(G238 = "", "W143", IF(G238 &gt; I238, _xlfn.CONCAT("W143-", RIGHT(F238, LEN(F238) - FIND("-", F238))), _xlfn.CONCAT("W143-", RIGHT(H238, LEN(H238) - FIND("-", H238)))))</f>
        <v>W143</v>
      </c>
      <c r="I242" s="170"/>
      <c r="J242" s="134">
        <v>171</v>
      </c>
      <c r="K242" s="134">
        <v>187</v>
      </c>
      <c r="L242" s="134" t="str">
        <f t="shared" si="74"/>
        <v>18G-159</v>
      </c>
      <c r="M242" s="106"/>
      <c r="N242" s="106" t="str">
        <f t="shared" si="75"/>
        <v>au_qtr final</v>
      </c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  <c r="Y242" s="106"/>
      <c r="Z242" s="106"/>
    </row>
    <row r="243" spans="1:26" ht="13.5" customHeight="1">
      <c r="A243" s="155">
        <f t="shared" si="72"/>
        <v>46223</v>
      </c>
      <c r="B243" s="156">
        <f>'CHICLETS MASTER S1'!AU64</f>
        <v>0.79166666666666696</v>
      </c>
      <c r="C243" s="122" t="s">
        <v>561</v>
      </c>
      <c r="D243" s="122" t="str">
        <f t="shared" si="73"/>
        <v>FULLERTON COLLEGE</v>
      </c>
      <c r="E243" s="122">
        <v>163</v>
      </c>
      <c r="F243" s="134" t="str">
        <f>IF(G237 = "", "L139", IF(G237 &lt; I237, _xlfn.CONCAT("L139-", RIGHT(F237, LEN(F237) - FIND("-", F237))), _xlfn.CONCAT("L139-", RIGHT(H237, LEN(H237) - FIND("-", H237)))))</f>
        <v>L139</v>
      </c>
      <c r="G243" s="134"/>
      <c r="H243" s="134" t="str">
        <f>IF(G239 = "", "W147", IF(G239 &gt; I239, _xlfn.CONCAT("W147-", RIGHT(F239, LEN(F239) - FIND("-", F239))), _xlfn.CONCAT("W147-", RIGHT(H239, LEN(H239) - FIND("-", H239)))))</f>
        <v>W147</v>
      </c>
      <c r="I243" s="170"/>
      <c r="J243" s="134">
        <v>172</v>
      </c>
      <c r="K243" s="134">
        <v>187</v>
      </c>
      <c r="L243" s="134" t="str">
        <f t="shared" si="74"/>
        <v>18G-163</v>
      </c>
      <c r="M243" s="106"/>
      <c r="N243" s="106" t="str">
        <f t="shared" si="75"/>
        <v>au_qtr final</v>
      </c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  <c r="Y243" s="106"/>
      <c r="Z243" s="106"/>
    </row>
    <row r="244" spans="1:26" ht="13.5" customHeight="1" thickBot="1">
      <c r="A244" s="158"/>
      <c r="B244" s="160"/>
      <c r="C244" s="106"/>
      <c r="D244" s="106"/>
      <c r="E244" s="106"/>
      <c r="F244" s="106"/>
      <c r="G244" s="110"/>
      <c r="H244" s="106"/>
      <c r="I244" s="110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  <c r="Y244" s="106"/>
      <c r="Z244" s="106"/>
    </row>
    <row r="245" spans="1:26" ht="13.5" customHeight="1" thickBot="1">
      <c r="A245" s="106"/>
      <c r="B245" s="106"/>
      <c r="C245" s="106"/>
      <c r="D245" s="150" t="str">
        <f>'CHICLETS MASTER S1'!$BA$51</f>
        <v>TUSTIN HS 1</v>
      </c>
      <c r="E245" s="106"/>
      <c r="F245" s="106"/>
      <c r="G245" s="110"/>
      <c r="H245" s="106"/>
      <c r="I245" s="110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  <c r="Y245" s="106"/>
      <c r="Z245" s="106"/>
    </row>
    <row r="246" spans="1:26" ht="13.5" customHeight="1">
      <c r="A246" s="301" t="s">
        <v>110</v>
      </c>
      <c r="B246" s="301" t="s">
        <v>111</v>
      </c>
      <c r="C246" s="301" t="s">
        <v>112</v>
      </c>
      <c r="D246" s="301" t="s">
        <v>113</v>
      </c>
      <c r="E246" s="301" t="s">
        <v>114</v>
      </c>
      <c r="F246" s="301" t="s">
        <v>115</v>
      </c>
      <c r="G246" s="302" t="s">
        <v>116</v>
      </c>
      <c r="H246" s="301" t="s">
        <v>117</v>
      </c>
      <c r="I246" s="302" t="s">
        <v>116</v>
      </c>
      <c r="J246" s="301" t="s">
        <v>118</v>
      </c>
      <c r="K246" s="301" t="s">
        <v>119</v>
      </c>
      <c r="L246" s="301" t="s">
        <v>120</v>
      </c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  <c r="Y246" s="106"/>
      <c r="Z246" s="106"/>
    </row>
    <row r="247" spans="1:26" ht="13.5" customHeight="1">
      <c r="A247" s="155">
        <f t="shared" ref="A247:A258" si="76">$A$199</f>
        <v>46223</v>
      </c>
      <c r="B247" s="315">
        <f>'CHICLETS MASTER S1'!AU54</f>
        <v>0.375</v>
      </c>
      <c r="C247" s="122" t="s">
        <v>383</v>
      </c>
      <c r="D247" s="122" t="str">
        <f t="shared" ref="D247:D258" si="77">$D$245</f>
        <v>TUSTIN HS 1</v>
      </c>
      <c r="E247" s="122">
        <v>120</v>
      </c>
      <c r="F247" s="134" t="s">
        <v>1206</v>
      </c>
      <c r="G247" s="170"/>
      <c r="H247" s="134" t="s">
        <v>1205</v>
      </c>
      <c r="I247" s="170"/>
      <c r="J247" s="134"/>
      <c r="K247" s="134"/>
      <c r="L247" s="134" t="str">
        <f t="shared" ref="L247:L258" si="78">$L$15&amp;"-"&amp;TEXT(E247,"000")</f>
        <v>18G-120</v>
      </c>
      <c r="M247" s="106"/>
      <c r="N247" s="106" t="str">
        <f t="shared" ref="N247:N258" si="79">$L$261&amp;C247</f>
        <v>au_21-24 RR</v>
      </c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Z247" s="106"/>
    </row>
    <row r="248" spans="1:26" ht="13.5" customHeight="1">
      <c r="A248" s="155">
        <f t="shared" si="76"/>
        <v>46223</v>
      </c>
      <c r="B248" s="156">
        <f>'CHICLETS MASTER S1'!AU55</f>
        <v>0.41666666666666702</v>
      </c>
      <c r="C248" s="122" t="s">
        <v>383</v>
      </c>
      <c r="D248" s="122" t="str">
        <f t="shared" si="77"/>
        <v>TUSTIN HS 1</v>
      </c>
      <c r="E248" s="122">
        <v>124</v>
      </c>
      <c r="F248" s="134" t="s">
        <v>1295</v>
      </c>
      <c r="G248" s="170"/>
      <c r="H248" s="134" t="s">
        <v>1296</v>
      </c>
      <c r="I248" s="170"/>
      <c r="J248" s="134"/>
      <c r="K248" s="134"/>
      <c r="L248" s="134" t="str">
        <f t="shared" si="78"/>
        <v>18G-124</v>
      </c>
      <c r="M248" s="106"/>
      <c r="N248" s="106" t="str">
        <f t="shared" si="79"/>
        <v>au_21-24 RR</v>
      </c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  <c r="Y248" s="106"/>
      <c r="Z248" s="106"/>
    </row>
    <row r="249" spans="1:26" ht="13.5" customHeight="1">
      <c r="A249" s="155">
        <f t="shared" si="76"/>
        <v>46223</v>
      </c>
      <c r="B249" s="156">
        <f>'CHICLETS MASTER S1'!AU56</f>
        <v>0.45833333333333298</v>
      </c>
      <c r="C249" s="122" t="s">
        <v>388</v>
      </c>
      <c r="D249" s="122" t="str">
        <f t="shared" si="77"/>
        <v>TUSTIN HS 1</v>
      </c>
      <c r="E249" s="122">
        <v>128</v>
      </c>
      <c r="F249" s="134" t="str">
        <f>IF(G163 = "", "L110", IF(G163 &lt; I163, _xlfn.CONCAT("L110-", RIGHT(F163, LEN(F163) - FIND("-", F163))), _xlfn.CONCAT("L110-", RIGHT(H163, LEN(H163) - FIND("-", H163)))))</f>
        <v>L110</v>
      </c>
      <c r="G249" s="312"/>
      <c r="H249" s="134" t="s">
        <v>1212</v>
      </c>
      <c r="I249" s="312"/>
      <c r="J249" s="134">
        <v>152</v>
      </c>
      <c r="K249" s="134">
        <v>156</v>
      </c>
      <c r="L249" s="134" t="str">
        <f t="shared" si="78"/>
        <v>18G-128</v>
      </c>
      <c r="M249" s="106"/>
      <c r="N249" s="106" t="str">
        <f t="shared" si="79"/>
        <v>au_13-20 qtr</v>
      </c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  <c r="Y249" s="106"/>
      <c r="Z249" s="106"/>
    </row>
    <row r="250" spans="1:26" ht="13.5" customHeight="1">
      <c r="A250" s="155">
        <f t="shared" si="76"/>
        <v>46223</v>
      </c>
      <c r="B250" s="156">
        <f>'CHICLETS MASTER S1'!AU57</f>
        <v>0.5</v>
      </c>
      <c r="C250" s="122" t="s">
        <v>388</v>
      </c>
      <c r="D250" s="122" t="str">
        <f t="shared" si="77"/>
        <v>TUSTIN HS 1</v>
      </c>
      <c r="E250" s="122">
        <v>132</v>
      </c>
      <c r="F250" s="134" t="str">
        <f>IF(G164 = "", "L114", IF(G164 &lt; I164, _xlfn.CONCAT("L114-", RIGHT(F164, LEN(F164) - FIND("-", F164))), _xlfn.CONCAT("L114-", RIGHT(H164, LEN(H164) - FIND("-", H164)))))</f>
        <v>L114</v>
      </c>
      <c r="G250" s="170"/>
      <c r="H250" s="134" t="s">
        <v>1297</v>
      </c>
      <c r="I250" s="170"/>
      <c r="J250" s="134">
        <v>152</v>
      </c>
      <c r="K250" s="134">
        <v>156</v>
      </c>
      <c r="L250" s="134" t="str">
        <f t="shared" si="78"/>
        <v>18G-132</v>
      </c>
      <c r="M250" s="106"/>
      <c r="N250" s="106" t="str">
        <f t="shared" si="79"/>
        <v>au_13-20 qtr</v>
      </c>
      <c r="O250" s="106"/>
      <c r="P250" s="106"/>
      <c r="Q250" s="106"/>
      <c r="R250" s="106"/>
      <c r="S250" s="106"/>
      <c r="T250" s="106"/>
      <c r="U250" s="106"/>
      <c r="V250" s="106"/>
      <c r="W250" s="106"/>
      <c r="X250" s="106"/>
      <c r="Y250" s="106"/>
      <c r="Z250" s="106"/>
    </row>
    <row r="251" spans="1:26" ht="13.5" customHeight="1">
      <c r="A251" s="155">
        <f t="shared" si="76"/>
        <v>46223</v>
      </c>
      <c r="B251" s="156">
        <f>'CHICLETS MASTER S1'!AU58</f>
        <v>0.54166666666666696</v>
      </c>
      <c r="C251" s="122" t="s">
        <v>388</v>
      </c>
      <c r="D251" s="122" t="str">
        <f t="shared" si="77"/>
        <v>TUSTIN HS 1</v>
      </c>
      <c r="E251" s="122">
        <v>136</v>
      </c>
      <c r="F251" s="134" t="str">
        <f>IF(G179 = "", "L111", IF(G179 &lt; I179, _xlfn.CONCAT("L111-", RIGHT(F179, LEN(F179) - FIND("-", F179))), _xlfn.CONCAT("L111-", RIGHT(H179, LEN(H179) - FIND("-", H179)))))</f>
        <v>L111</v>
      </c>
      <c r="G251" s="170"/>
      <c r="H251" s="134" t="s">
        <v>1298</v>
      </c>
      <c r="I251" s="170"/>
      <c r="J251" s="134">
        <v>160</v>
      </c>
      <c r="K251" s="134">
        <v>164</v>
      </c>
      <c r="L251" s="134" t="str">
        <f t="shared" si="78"/>
        <v>18G-136</v>
      </c>
      <c r="M251" s="106"/>
      <c r="N251" s="106" t="str">
        <f t="shared" si="79"/>
        <v>au_13-20 qtr</v>
      </c>
      <c r="O251" s="106"/>
      <c r="P251" s="106"/>
      <c r="Q251" s="106"/>
      <c r="R251" s="106"/>
      <c r="S251" s="106"/>
      <c r="T251" s="106"/>
      <c r="U251" s="106"/>
      <c r="V251" s="106"/>
      <c r="W251" s="106"/>
      <c r="X251" s="106"/>
      <c r="Y251" s="106"/>
      <c r="Z251" s="106"/>
    </row>
    <row r="252" spans="1:26" ht="13.5" customHeight="1">
      <c r="A252" s="155">
        <f t="shared" si="76"/>
        <v>46223</v>
      </c>
      <c r="B252" s="156">
        <f>'CHICLETS MASTER S1'!AU59</f>
        <v>0.58333333333333304</v>
      </c>
      <c r="C252" s="122" t="s">
        <v>388</v>
      </c>
      <c r="D252" s="122" t="str">
        <f t="shared" si="77"/>
        <v>TUSTIN HS 1</v>
      </c>
      <c r="E252" s="122">
        <v>140</v>
      </c>
      <c r="F252" s="134" t="str">
        <f>IF(G180 = "", "L115", IF(G180 &lt; I180, _xlfn.CONCAT("L115-", RIGHT(F180, LEN(F180) - FIND("-", F180))), _xlfn.CONCAT("L115-", RIGHT(H180, LEN(H180) - FIND("-", H180)))))</f>
        <v>L115</v>
      </c>
      <c r="G252" s="170"/>
      <c r="H252" s="134" t="s">
        <v>1211</v>
      </c>
      <c r="I252" s="170"/>
      <c r="J252" s="134">
        <v>160</v>
      </c>
      <c r="K252" s="134">
        <v>164</v>
      </c>
      <c r="L252" s="134" t="str">
        <f t="shared" si="78"/>
        <v>18G-140</v>
      </c>
      <c r="M252" s="106"/>
      <c r="N252" s="106" t="str">
        <f t="shared" si="79"/>
        <v>au_13-20 qtr</v>
      </c>
      <c r="O252" s="106"/>
      <c r="P252" s="106"/>
      <c r="Q252" s="106"/>
      <c r="R252" s="106"/>
      <c r="S252" s="106"/>
      <c r="T252" s="106"/>
      <c r="U252" s="106"/>
      <c r="V252" s="106"/>
      <c r="W252" s="106"/>
      <c r="X252" s="106"/>
      <c r="Y252" s="106"/>
      <c r="Z252" s="106"/>
    </row>
    <row r="253" spans="1:26" ht="13.5" customHeight="1">
      <c r="A253" s="155">
        <f t="shared" si="76"/>
        <v>46223</v>
      </c>
      <c r="B253" s="156">
        <f>'CHICLETS MASTER S1'!AU60</f>
        <v>0.625</v>
      </c>
      <c r="C253" s="122" t="s">
        <v>383</v>
      </c>
      <c r="D253" s="122" t="str">
        <f t="shared" si="77"/>
        <v>TUSTIN HS 1</v>
      </c>
      <c r="E253" s="122">
        <v>144</v>
      </c>
      <c r="F253" s="134" t="s">
        <v>1206</v>
      </c>
      <c r="G253" s="170"/>
      <c r="H253" s="134" t="s">
        <v>1296</v>
      </c>
      <c r="I253" s="170"/>
      <c r="J253" s="134"/>
      <c r="K253" s="134"/>
      <c r="L253" s="134" t="str">
        <f t="shared" si="78"/>
        <v>18G-144</v>
      </c>
      <c r="M253" s="106"/>
      <c r="N253" s="106" t="str">
        <f t="shared" si="79"/>
        <v>au_21-24 RR</v>
      </c>
      <c r="O253" s="106"/>
      <c r="P253" s="106"/>
      <c r="Q253" s="106"/>
      <c r="R253" s="106"/>
      <c r="S253" s="106"/>
      <c r="T253" s="106"/>
      <c r="U253" s="106"/>
      <c r="V253" s="106"/>
      <c r="W253" s="106"/>
      <c r="X253" s="106"/>
      <c r="Y253" s="106"/>
      <c r="Z253" s="106"/>
    </row>
    <row r="254" spans="1:26" ht="13.5" customHeight="1">
      <c r="A254" s="155">
        <f t="shared" si="76"/>
        <v>46223</v>
      </c>
      <c r="B254" s="156">
        <f>'CHICLETS MASTER S1'!AU61</f>
        <v>0.66666666666666696</v>
      </c>
      <c r="C254" s="122" t="s">
        <v>383</v>
      </c>
      <c r="D254" s="122" t="str">
        <f t="shared" si="77"/>
        <v>TUSTIN HS 1</v>
      </c>
      <c r="E254" s="122">
        <v>148</v>
      </c>
      <c r="F254" s="134" t="s">
        <v>1295</v>
      </c>
      <c r="G254" s="170"/>
      <c r="H254" s="134" t="s">
        <v>1205</v>
      </c>
      <c r="I254" s="170"/>
      <c r="J254" s="134"/>
      <c r="K254" s="134"/>
      <c r="L254" s="134" t="str">
        <f t="shared" si="78"/>
        <v>18G-148</v>
      </c>
      <c r="M254" s="106"/>
      <c r="N254" s="106" t="str">
        <f t="shared" si="79"/>
        <v>au_21-24 RR</v>
      </c>
      <c r="O254" s="106"/>
      <c r="P254" s="106"/>
      <c r="Q254" s="106"/>
      <c r="R254" s="106"/>
      <c r="S254" s="106"/>
      <c r="T254" s="106"/>
      <c r="U254" s="106"/>
      <c r="V254" s="106"/>
      <c r="W254" s="106"/>
      <c r="X254" s="106"/>
      <c r="Y254" s="106"/>
      <c r="Z254" s="106"/>
    </row>
    <row r="255" spans="1:26" ht="13.5" customHeight="1">
      <c r="A255" s="155">
        <f t="shared" si="76"/>
        <v>46223</v>
      </c>
      <c r="B255" s="156">
        <f>'CHICLETS MASTER S1'!AU62</f>
        <v>0.70833333333333304</v>
      </c>
      <c r="C255" s="122" t="s">
        <v>393</v>
      </c>
      <c r="D255" s="122" t="str">
        <f t="shared" si="77"/>
        <v>TUSTIN HS 1</v>
      </c>
      <c r="E255" s="122">
        <v>152</v>
      </c>
      <c r="F255" s="134" t="str">
        <f>IF(G249 = "", "W128", IF(G249 &gt; I249, _xlfn.CONCAT("W128-", RIGHT(F249, LEN(F249) - FIND("-", F249))), _xlfn.CONCAT("W128-", RIGHT(H249, LEN(H249) - FIND("-", H249)))))</f>
        <v>W128</v>
      </c>
      <c r="G255" s="174"/>
      <c r="H255" s="134" t="str">
        <f>IF(G250 = "", "W132", IF(G250 &gt; I250, _xlfn.CONCAT("W132-", RIGHT(F250, LEN(F250) - FIND("-", F250))), _xlfn.CONCAT("W132-", RIGHT(H250, LEN(H250) - FIND("-", H250)))))</f>
        <v>W132</v>
      </c>
      <c r="I255" s="170"/>
      <c r="J255" s="134">
        <v>179</v>
      </c>
      <c r="K255" s="134">
        <v>180</v>
      </c>
      <c r="L255" s="134" t="str">
        <f t="shared" si="78"/>
        <v>18G-152</v>
      </c>
      <c r="M255" s="106"/>
      <c r="N255" s="106" t="str">
        <f t="shared" si="79"/>
        <v>au_13-16 semi</v>
      </c>
      <c r="O255" s="106"/>
      <c r="P255" s="106"/>
      <c r="Q255" s="106"/>
      <c r="R255" s="106"/>
      <c r="S255" s="106"/>
      <c r="T255" s="106"/>
      <c r="U255" s="106"/>
      <c r="V255" s="106"/>
      <c r="W255" s="106"/>
      <c r="X255" s="106"/>
      <c r="Y255" s="106"/>
      <c r="Z255" s="106"/>
    </row>
    <row r="256" spans="1:26" ht="13.5" customHeight="1">
      <c r="A256" s="155">
        <f t="shared" si="76"/>
        <v>46223</v>
      </c>
      <c r="B256" s="156">
        <f>'CHICLETS MASTER S1'!AU63</f>
        <v>0.75</v>
      </c>
      <c r="C256" s="122" t="s">
        <v>394</v>
      </c>
      <c r="D256" s="122" t="str">
        <f t="shared" si="77"/>
        <v>TUSTIN HS 1</v>
      </c>
      <c r="E256" s="122">
        <v>156</v>
      </c>
      <c r="F256" s="175" t="str">
        <f>IF(G250 = "", "L132", IF(G250 &lt; I250, _xlfn.CONCAT("L132-", RIGHT(F250, LEN(F250) - FIND("-", F250))), _xlfn.CONCAT("L132-", RIGHT(H250, LEN(H250) - FIND("-", H250)))))</f>
        <v>L132</v>
      </c>
      <c r="G256" s="134"/>
      <c r="H256" s="134" t="str">
        <f>IF(G249 = "", "L128", IF(G249 &lt; I249, _xlfn.CONCAT("L128-", RIGHT(F249, LEN(F249) - FIND("-", F249))), _xlfn.CONCAT("L128-", RIGHT(H249, LEN(H249) - FIND("-", H249)))))</f>
        <v>L128</v>
      </c>
      <c r="I256" s="170"/>
      <c r="J256" s="134">
        <v>175</v>
      </c>
      <c r="K256" s="134">
        <v>176</v>
      </c>
      <c r="L256" s="134" t="str">
        <f t="shared" si="78"/>
        <v>18G-156</v>
      </c>
      <c r="M256" s="106"/>
      <c r="N256" s="106" t="str">
        <f t="shared" si="79"/>
        <v>au_17-20 semi</v>
      </c>
      <c r="O256" s="106"/>
      <c r="P256" s="106"/>
      <c r="Q256" s="106"/>
      <c r="R256" s="106"/>
      <c r="S256" s="106"/>
      <c r="T256" s="106"/>
      <c r="U256" s="106"/>
      <c r="V256" s="106"/>
      <c r="W256" s="106"/>
      <c r="X256" s="106"/>
      <c r="Y256" s="106"/>
      <c r="Z256" s="106"/>
    </row>
    <row r="257" spans="1:26" ht="13.5" customHeight="1">
      <c r="A257" s="155">
        <f t="shared" si="76"/>
        <v>46223</v>
      </c>
      <c r="B257" s="156">
        <f>'CHICLETS MASTER S1'!AU64</f>
        <v>0.79166666666666696</v>
      </c>
      <c r="C257" s="122" t="s">
        <v>393</v>
      </c>
      <c r="D257" s="122" t="str">
        <f t="shared" si="77"/>
        <v>TUSTIN HS 1</v>
      </c>
      <c r="E257" s="122">
        <v>160</v>
      </c>
      <c r="F257" s="134" t="str">
        <f>IF(G251 = "", "W136", IF(G251 &gt; I251, _xlfn.CONCAT("W136-", RIGHT(F251, LEN(F251) - FIND("-", F251))), _xlfn.CONCAT("W136-", RIGHT(H251, LEN(H251) - FIND("-", H251)))))</f>
        <v>W136</v>
      </c>
      <c r="G257" s="134"/>
      <c r="H257" s="134" t="str">
        <f>IF(G252 = "", "W140", IF(G252 &gt; I252, _xlfn.CONCAT("W140-", RIGHT(F252, LEN(F252) - FIND("-", F252))), _xlfn.CONCAT("W140-", RIGHT(H252, LEN(H252) - FIND("-", H252)))))</f>
        <v>W140</v>
      </c>
      <c r="I257" s="170"/>
      <c r="J257" s="134">
        <v>179</v>
      </c>
      <c r="K257" s="134">
        <v>180</v>
      </c>
      <c r="L257" s="134" t="str">
        <f t="shared" si="78"/>
        <v>18G-160</v>
      </c>
      <c r="M257" s="106"/>
      <c r="N257" s="106" t="str">
        <f t="shared" si="79"/>
        <v>au_13-16 semi</v>
      </c>
      <c r="O257" s="106"/>
      <c r="P257" s="106"/>
      <c r="Q257" s="106"/>
      <c r="R257" s="106"/>
      <c r="S257" s="106"/>
      <c r="T257" s="106"/>
      <c r="U257" s="106"/>
      <c r="V257" s="106"/>
      <c r="W257" s="106"/>
      <c r="X257" s="106"/>
      <c r="Y257" s="106"/>
      <c r="Z257" s="106"/>
    </row>
    <row r="258" spans="1:26" ht="13.5" customHeight="1">
      <c r="A258" s="155">
        <f t="shared" si="76"/>
        <v>46223</v>
      </c>
      <c r="B258" s="156">
        <f>'CHICLETS MASTER S1'!AU65</f>
        <v>0.83333333333333304</v>
      </c>
      <c r="C258" s="122" t="s">
        <v>394</v>
      </c>
      <c r="D258" s="122" t="str">
        <f t="shared" si="77"/>
        <v>TUSTIN HS 1</v>
      </c>
      <c r="E258" s="122">
        <v>164</v>
      </c>
      <c r="F258" s="134" t="str">
        <f>IF(G252 = "", "L140", IF(G252 &lt; I252, _xlfn.CONCAT("L140-", RIGHT(F252, LEN(F252) - FIND("-", F252))), _xlfn.CONCAT("L140-", RIGHT(H252, LEN(H252) - FIND("-", H252)))))</f>
        <v>L140</v>
      </c>
      <c r="G258" s="134"/>
      <c r="H258" s="134" t="str">
        <f>IF(G251 = "", "L136", IF(G251 &lt; I251, _xlfn.CONCAT("L136-", RIGHT(F251, LEN(F251) - FIND("-", F251))), _xlfn.CONCAT("L136-", RIGHT(H251, LEN(H251) - FIND("-", H251)))))</f>
        <v>L136</v>
      </c>
      <c r="I258" s="170"/>
      <c r="J258" s="134">
        <v>175</v>
      </c>
      <c r="K258" s="134">
        <v>176</v>
      </c>
      <c r="L258" s="134" t="str">
        <f t="shared" si="78"/>
        <v>18G-164</v>
      </c>
      <c r="M258" s="106"/>
      <c r="N258" s="106" t="str">
        <f t="shared" si="79"/>
        <v>au_17-20 semi</v>
      </c>
      <c r="O258" s="106"/>
      <c r="P258" s="106"/>
      <c r="Q258" s="106"/>
      <c r="R258" s="106"/>
      <c r="S258" s="106"/>
      <c r="T258" s="106"/>
      <c r="U258" s="106"/>
      <c r="V258" s="106"/>
      <c r="W258" s="106"/>
      <c r="X258" s="106"/>
      <c r="Y258" s="106"/>
      <c r="Z258" s="106"/>
    </row>
    <row r="259" spans="1:26" ht="13.5" customHeight="1" thickBot="1">
      <c r="A259" s="158"/>
      <c r="B259" s="160"/>
      <c r="C259" s="106"/>
      <c r="D259" s="106"/>
      <c r="E259" s="106"/>
      <c r="F259" s="106"/>
      <c r="G259" s="110"/>
      <c r="H259" s="106"/>
      <c r="I259" s="110"/>
      <c r="J259" s="106"/>
      <c r="K259" s="106"/>
      <c r="L259" s="106"/>
      <c r="M259" s="106"/>
      <c r="N259" s="106"/>
      <c r="O259" s="106"/>
      <c r="P259" s="106"/>
      <c r="Q259" s="106"/>
      <c r="R259" s="106"/>
      <c r="S259" s="106"/>
      <c r="T259" s="106"/>
      <c r="U259" s="106"/>
      <c r="V259" s="106"/>
      <c r="W259" s="106"/>
      <c r="X259" s="106"/>
      <c r="Y259" s="106"/>
      <c r="Z259" s="106"/>
    </row>
    <row r="260" spans="1:26" ht="13.5" customHeight="1" thickTop="1" thickBot="1">
      <c r="A260" s="105" t="s">
        <v>205</v>
      </c>
      <c r="B260" s="148"/>
      <c r="C260" s="148"/>
      <c r="D260" s="148"/>
      <c r="E260" s="148"/>
      <c r="F260" s="148"/>
      <c r="G260" s="300"/>
      <c r="H260" s="148"/>
      <c r="I260" s="300"/>
      <c r="J260" s="148"/>
      <c r="K260" s="148"/>
      <c r="L260" s="148"/>
      <c r="M260" s="106"/>
      <c r="N260" s="106"/>
      <c r="O260" s="106"/>
      <c r="P260" s="106"/>
      <c r="Q260" s="106"/>
      <c r="R260" s="106"/>
      <c r="S260" s="106"/>
      <c r="T260" s="106"/>
      <c r="U260" s="106"/>
      <c r="V260" s="106"/>
      <c r="W260" s="106"/>
      <c r="X260" s="106"/>
      <c r="Y260" s="106"/>
      <c r="Z260" s="106"/>
    </row>
    <row r="261" spans="1:26" ht="13.5" customHeight="1" thickBot="1">
      <c r="A261" s="108">
        <v>46224</v>
      </c>
      <c r="B261" s="106"/>
      <c r="C261" s="106"/>
      <c r="D261" s="106"/>
      <c r="E261" s="106"/>
      <c r="F261" s="106"/>
      <c r="G261" s="110"/>
      <c r="H261" s="106"/>
      <c r="I261" s="110"/>
      <c r="J261" s="106"/>
      <c r="K261" s="109" t="s">
        <v>373</v>
      </c>
      <c r="L261" s="109" t="s">
        <v>374</v>
      </c>
      <c r="M261" s="106"/>
      <c r="N261" s="106"/>
      <c r="O261" s="106"/>
      <c r="P261" s="106"/>
      <c r="Q261" s="106"/>
      <c r="R261" s="106"/>
      <c r="S261" s="106"/>
      <c r="T261" s="106"/>
      <c r="U261" s="106"/>
      <c r="V261" s="106"/>
      <c r="W261" s="106"/>
      <c r="X261" s="106"/>
      <c r="Y261" s="106"/>
      <c r="Z261" s="106"/>
    </row>
    <row r="262" spans="1:26" ht="13.5" customHeight="1" thickBot="1">
      <c r="A262" s="106"/>
      <c r="B262" s="106"/>
      <c r="C262" s="106"/>
      <c r="D262" s="150" t="str">
        <f>'CHICLETS MASTER S1'!$BB$72</f>
        <v>FULLERTON COLLEGE</v>
      </c>
      <c r="E262" s="106"/>
      <c r="F262" s="106"/>
      <c r="G262" s="110"/>
      <c r="H262" s="106"/>
      <c r="I262" s="110"/>
      <c r="J262" s="106"/>
      <c r="K262" s="106"/>
      <c r="L262" s="106"/>
      <c r="M262" s="106"/>
      <c r="N262" s="106"/>
      <c r="O262" s="106"/>
      <c r="P262" s="106"/>
      <c r="Q262" s="106"/>
      <c r="R262" s="106"/>
      <c r="S262" s="106"/>
      <c r="T262" s="106"/>
      <c r="U262" s="106"/>
      <c r="V262" s="106"/>
      <c r="W262" s="106"/>
      <c r="X262" s="106"/>
      <c r="Y262" s="106"/>
      <c r="Z262" s="106"/>
    </row>
    <row r="263" spans="1:26" ht="13.5" customHeight="1">
      <c r="A263" s="301" t="s">
        <v>110</v>
      </c>
      <c r="B263" s="301" t="s">
        <v>111</v>
      </c>
      <c r="C263" s="301" t="s">
        <v>112</v>
      </c>
      <c r="D263" s="301" t="s">
        <v>113</v>
      </c>
      <c r="E263" s="301" t="s">
        <v>114</v>
      </c>
      <c r="F263" s="301" t="s">
        <v>115</v>
      </c>
      <c r="G263" s="302" t="s">
        <v>116</v>
      </c>
      <c r="H263" s="301" t="s">
        <v>117</v>
      </c>
      <c r="I263" s="302" t="s">
        <v>116</v>
      </c>
      <c r="J263" s="301" t="s">
        <v>118</v>
      </c>
      <c r="K263" s="301" t="s">
        <v>119</v>
      </c>
      <c r="L263" s="301" t="s">
        <v>120</v>
      </c>
      <c r="M263" s="106"/>
      <c r="N263" s="106"/>
      <c r="O263" s="106"/>
      <c r="P263" s="106"/>
      <c r="Q263" s="106"/>
      <c r="R263" s="106"/>
      <c r="S263" s="106"/>
      <c r="T263" s="106"/>
      <c r="U263" s="106"/>
      <c r="V263" s="106"/>
      <c r="W263" s="106"/>
      <c r="X263" s="106"/>
      <c r="Y263" s="106"/>
      <c r="Z263" s="106"/>
    </row>
    <row r="264" spans="1:26" ht="13.5" customHeight="1">
      <c r="A264" s="155">
        <f t="shared" ref="A264:A278" si="80">$A$261</f>
        <v>46224</v>
      </c>
      <c r="B264" s="156">
        <f>'CHICLETS MASTER S1'!AU73</f>
        <v>0.29166666666666669</v>
      </c>
      <c r="C264" s="122" t="s">
        <v>383</v>
      </c>
      <c r="D264" s="122" t="str">
        <f t="shared" ref="D264:D266" si="81">$D$262</f>
        <v>FULLERTON COLLEGE</v>
      </c>
      <c r="E264" s="122">
        <v>165</v>
      </c>
      <c r="F264" s="169" t="s">
        <v>384</v>
      </c>
      <c r="G264" s="171"/>
      <c r="H264" s="169" t="s">
        <v>386</v>
      </c>
      <c r="I264" s="171"/>
      <c r="J264" s="169"/>
      <c r="K264" s="169"/>
      <c r="L264" s="169" t="str">
        <f>$L$15&amp;"-"&amp;TEXT(E264,"000")</f>
        <v>18G-165</v>
      </c>
      <c r="M264" s="106"/>
      <c r="N264" s="106" t="str">
        <f>$K$261&amp;C264</f>
        <v>pt_21-24 RR</v>
      </c>
      <c r="O264" s="106"/>
      <c r="P264" s="106"/>
      <c r="Q264" s="106"/>
      <c r="R264" s="106"/>
      <c r="S264" s="106"/>
      <c r="T264" s="106"/>
      <c r="U264" s="106"/>
      <c r="V264" s="106"/>
      <c r="W264" s="106"/>
      <c r="X264" s="106"/>
      <c r="Y264" s="106"/>
      <c r="Z264" s="106"/>
    </row>
    <row r="265" spans="1:26" ht="13.5" customHeight="1">
      <c r="A265" s="155">
        <f t="shared" si="80"/>
        <v>46224</v>
      </c>
      <c r="B265" s="156">
        <f>'CHICLETS MASTER S1'!AU74</f>
        <v>0.33333333333333298</v>
      </c>
      <c r="C265" s="122" t="s">
        <v>383</v>
      </c>
      <c r="D265" s="122" t="str">
        <f t="shared" si="81"/>
        <v>FULLERTON COLLEGE</v>
      </c>
      <c r="E265" s="122">
        <v>166</v>
      </c>
      <c r="F265" s="169" t="s">
        <v>387</v>
      </c>
      <c r="G265" s="171"/>
      <c r="H265" s="169" t="s">
        <v>385</v>
      </c>
      <c r="I265" s="171"/>
      <c r="J265" s="169"/>
      <c r="K265" s="169"/>
      <c r="L265" s="169" t="str">
        <f>$L$15&amp;"-"&amp;TEXT(E265,"000")</f>
        <v>18G-166</v>
      </c>
      <c r="M265" s="106"/>
      <c r="N265" s="106" t="str">
        <f>$K$261&amp;C265</f>
        <v>pt_21-24 RR</v>
      </c>
      <c r="O265" s="106"/>
      <c r="P265" s="106"/>
      <c r="Q265" s="106"/>
      <c r="R265" s="106"/>
      <c r="S265" s="106"/>
      <c r="T265" s="106"/>
      <c r="U265" s="106"/>
      <c r="V265" s="106"/>
      <c r="W265" s="106"/>
      <c r="X265" s="106"/>
      <c r="Y265" s="106"/>
      <c r="Z265" s="106"/>
    </row>
    <row r="266" spans="1:26" ht="13.5" customHeight="1">
      <c r="A266" s="155">
        <f t="shared" si="80"/>
        <v>46224</v>
      </c>
      <c r="B266" s="156">
        <f>'CHICLETS MASTER S1'!AU75</f>
        <v>0.375</v>
      </c>
      <c r="C266" s="122" t="s">
        <v>413</v>
      </c>
      <c r="D266" s="122" t="str">
        <f t="shared" si="81"/>
        <v>FULLERTON COLLEGE</v>
      </c>
      <c r="E266" s="122">
        <v>178</v>
      </c>
      <c r="F266" s="169" t="str">
        <f>IF(G225 = "", "W150", IF(G225 &gt; I225, _xlfn.CONCAT("W150-", RIGHT(F225, LEN(F225) - FIND("-", F225))), _xlfn.CONCAT("W150-", RIGHT(H225, LEN(H225) - FIND("-", H225)))))</f>
        <v>W150</v>
      </c>
      <c r="G266" s="171"/>
      <c r="H266" s="169" t="str">
        <f>IF(G227 = "", "W158", IF(G227 &gt; I227, _xlfn.CONCAT("W158-", RIGHT(F227, LEN(F227) - FIND("-", F227))), _xlfn.CONCAT("W158-", RIGHT(H227, LEN(H227) - FIND("-", H227)))))</f>
        <v>W158</v>
      </c>
      <c r="I266" s="171"/>
      <c r="J266" s="169" t="s">
        <v>413</v>
      </c>
      <c r="K266" s="169" t="s">
        <v>414</v>
      </c>
      <c r="L266" s="169" t="str">
        <f>$L$15&amp;"-"&amp;TEXT(E266,"000")</f>
        <v>18G-178</v>
      </c>
      <c r="M266" s="106"/>
      <c r="N266" s="106" t="str">
        <f>$K$261&amp;C266</f>
        <v>pt_13th</v>
      </c>
      <c r="O266" s="106"/>
      <c r="P266" s="106"/>
      <c r="Q266" s="106"/>
      <c r="R266" s="106"/>
      <c r="S266" s="106"/>
      <c r="T266" s="106"/>
      <c r="U266" s="106"/>
      <c r="V266" s="106"/>
      <c r="W266" s="106"/>
      <c r="X266" s="106"/>
      <c r="Y266" s="106"/>
      <c r="Z266" s="106"/>
    </row>
    <row r="267" spans="1:26" ht="13.5" customHeight="1">
      <c r="A267" s="155">
        <f t="shared" ref="A267:A288" si="82">$A$261</f>
        <v>46224</v>
      </c>
      <c r="B267" s="156">
        <f>'CHICLETS MASTER S1'!AU76</f>
        <v>0.41666666666666702</v>
      </c>
      <c r="C267" s="122" t="s">
        <v>407</v>
      </c>
      <c r="D267" s="122" t="str">
        <f t="shared" ref="D267:D269" si="83">$D$262</f>
        <v>FULLERTON COLLEGE</v>
      </c>
      <c r="E267" s="122">
        <v>177</v>
      </c>
      <c r="F267" s="169" t="str">
        <f>IF(G225 = "", "L150", IF(G225 &lt; I225, _xlfn.CONCAT("L150-", RIGHT(F225, LEN(F225) - FIND("-", F225))), _xlfn.CONCAT("L150-", RIGHT(H225, LEN(H225) - FIND("-", H225)))))</f>
        <v>L150</v>
      </c>
      <c r="G267" s="171"/>
      <c r="H267" s="169" t="str">
        <f>IF(G227 = "", "L158", IF(G227 &lt; I227, _xlfn.CONCAT("L158-", RIGHT(F227, LEN(F227) - FIND("-", F227))), _xlfn.CONCAT("L158-", RIGHT(H227, LEN(H227) - FIND("-", H227)))))</f>
        <v>L158</v>
      </c>
      <c r="I267" s="171"/>
      <c r="J267" s="169" t="s">
        <v>407</v>
      </c>
      <c r="K267" s="169" t="s">
        <v>408</v>
      </c>
      <c r="L267" s="169" t="str">
        <f t="shared" ref="L267:L269" si="84">$L$15&amp;"-"&amp;TEXT(E267,"000")</f>
        <v>18G-177</v>
      </c>
      <c r="M267" s="106"/>
      <c r="N267" s="106" t="str">
        <f t="shared" ref="N267:N269" si="85">$K$261&amp;C267</f>
        <v>pt_15th</v>
      </c>
      <c r="O267" s="106"/>
      <c r="P267" s="106"/>
      <c r="Q267" s="106"/>
      <c r="R267" s="106"/>
      <c r="S267" s="106"/>
      <c r="T267" s="106"/>
      <c r="U267" s="106"/>
      <c r="V267" s="106"/>
      <c r="W267" s="106"/>
      <c r="X267" s="106"/>
      <c r="Y267" s="106"/>
      <c r="Z267" s="106"/>
    </row>
    <row r="268" spans="1:26" ht="13.5" customHeight="1">
      <c r="A268" s="155">
        <f t="shared" si="82"/>
        <v>46224</v>
      </c>
      <c r="B268" s="156">
        <f>'CHICLETS MASTER S1'!AU77</f>
        <v>0.45833333333333298</v>
      </c>
      <c r="C268" s="122" t="s">
        <v>411</v>
      </c>
      <c r="D268" s="122" t="str">
        <f t="shared" si="83"/>
        <v>FULLERTON COLLEGE</v>
      </c>
      <c r="E268" s="122">
        <v>170</v>
      </c>
      <c r="F268" s="169" t="str">
        <f>IF(G226 = "", "W154", IF(G226 &gt; I226, _xlfn.CONCAT("W154-", RIGHT(F226, LEN(F226) - FIND("-", F226))), _xlfn.CONCAT("W154-", RIGHT(H226, LEN(H226) - FIND("-", H226)))))</f>
        <v>W154</v>
      </c>
      <c r="G268" s="171"/>
      <c r="H268" s="169" t="str">
        <f>IF(G228 = "", "W162", IF(G228 &gt; I228, _xlfn.CONCAT("W162-", RIGHT(F228, LEN(F228) - FIND("-", F228))), _xlfn.CONCAT("W162-", RIGHT(H228, LEN(H228) - FIND("-", H228)))))</f>
        <v>W162</v>
      </c>
      <c r="I268" s="171"/>
      <c r="J268" s="169" t="s">
        <v>411</v>
      </c>
      <c r="K268" s="169" t="s">
        <v>412</v>
      </c>
      <c r="L268" s="169" t="str">
        <f t="shared" si="84"/>
        <v>18G-170</v>
      </c>
      <c r="M268" s="106"/>
      <c r="N268" s="106" t="str">
        <f t="shared" si="85"/>
        <v>pt_17th</v>
      </c>
      <c r="O268" s="106"/>
      <c r="P268" s="106"/>
      <c r="Q268" s="106"/>
      <c r="R268" s="106"/>
      <c r="S268" s="106"/>
      <c r="T268" s="106"/>
      <c r="U268" s="106"/>
      <c r="V268" s="106"/>
      <c r="W268" s="106"/>
      <c r="X268" s="106"/>
      <c r="Y268" s="106"/>
      <c r="Z268" s="106"/>
    </row>
    <row r="269" spans="1:26" ht="13.5" customHeight="1">
      <c r="A269" s="155">
        <f t="shared" si="82"/>
        <v>46224</v>
      </c>
      <c r="B269" s="156">
        <f>'CHICLETS MASTER S1'!AU78</f>
        <v>0.5</v>
      </c>
      <c r="C269" s="122" t="s">
        <v>409</v>
      </c>
      <c r="D269" s="122" t="str">
        <f t="shared" si="83"/>
        <v>FULLERTON COLLEGE</v>
      </c>
      <c r="E269" s="122">
        <v>169</v>
      </c>
      <c r="F269" s="169" t="str">
        <f>IF(G226 = "", "L154", IF(G226 &lt; I226, _xlfn.CONCAT("L154-", RIGHT(F226, LEN(F226) - FIND("-", F226))), _xlfn.CONCAT("L154-", RIGHT(H226, LEN(H226) - FIND("-", H226)))))</f>
        <v>L154</v>
      </c>
      <c r="G269" s="171"/>
      <c r="H269" s="169" t="str">
        <f>IF(G228 = "", "L162", IF(G228 &lt; I228, _xlfn.CONCAT("L162-", RIGHT(F228, LEN(F228) - FIND("-", F228))), _xlfn.CONCAT("L162-", RIGHT(H228, LEN(H228) - FIND("-", H228)))))</f>
        <v>L162</v>
      </c>
      <c r="I269" s="171"/>
      <c r="J269" s="169" t="s">
        <v>409</v>
      </c>
      <c r="K269" s="169" t="s">
        <v>410</v>
      </c>
      <c r="L269" s="169" t="str">
        <f t="shared" si="84"/>
        <v>18G-169</v>
      </c>
      <c r="M269" s="106"/>
      <c r="N269" s="106" t="str">
        <f t="shared" si="85"/>
        <v>pt_19th</v>
      </c>
      <c r="O269" s="106"/>
      <c r="P269" s="106"/>
      <c r="Q269" s="106"/>
      <c r="R269" s="106"/>
      <c r="S269" s="106"/>
      <c r="T269" s="106"/>
      <c r="U269" s="106"/>
      <c r="V269" s="106"/>
      <c r="W269" s="106"/>
      <c r="X269" s="106"/>
      <c r="Y269" s="106"/>
      <c r="Z269" s="106"/>
    </row>
    <row r="270" spans="1:26" ht="13.5" customHeight="1" thickBot="1">
      <c r="A270" s="106"/>
      <c r="B270" s="106"/>
      <c r="C270" s="106"/>
      <c r="D270" s="106"/>
      <c r="E270" s="106"/>
      <c r="F270" s="106"/>
      <c r="G270" s="110"/>
      <c r="H270" s="106"/>
      <c r="I270" s="110"/>
      <c r="J270" s="106"/>
      <c r="K270" s="106"/>
      <c r="L270" s="106"/>
      <c r="M270" s="106"/>
      <c r="N270" s="106"/>
      <c r="O270" s="106"/>
      <c r="P270" s="106"/>
      <c r="Q270" s="106"/>
      <c r="R270" s="106"/>
      <c r="S270" s="106"/>
      <c r="T270" s="106"/>
      <c r="U270" s="106"/>
      <c r="V270" s="106"/>
      <c r="W270" s="106"/>
      <c r="X270" s="106"/>
      <c r="Y270" s="106"/>
      <c r="Z270" s="106"/>
    </row>
    <row r="271" spans="1:26" ht="13.5" customHeight="1" thickBot="1">
      <c r="A271" s="106"/>
      <c r="B271" s="106"/>
      <c r="C271" s="106"/>
      <c r="D271" s="150" t="str">
        <f>'CHICLETS MASTER S1'!$AZ$72</f>
        <v>WESTMINSTER HS</v>
      </c>
      <c r="E271" s="106"/>
      <c r="F271" s="106"/>
      <c r="G271" s="110"/>
      <c r="H271" s="106"/>
      <c r="I271" s="110"/>
      <c r="J271" s="106"/>
      <c r="K271" s="106"/>
      <c r="L271" s="106"/>
      <c r="M271" s="106"/>
      <c r="N271" s="106"/>
      <c r="O271" s="106"/>
      <c r="P271" s="106"/>
      <c r="Q271" s="106"/>
      <c r="R271" s="106"/>
      <c r="S271" s="106"/>
      <c r="T271" s="106"/>
      <c r="U271" s="106"/>
      <c r="V271" s="106"/>
      <c r="W271" s="106"/>
      <c r="X271" s="106"/>
      <c r="Y271" s="106"/>
      <c r="Z271" s="106"/>
    </row>
    <row r="272" spans="1:26" ht="13.5" customHeight="1">
      <c r="A272" s="301" t="s">
        <v>110</v>
      </c>
      <c r="B272" s="301" t="s">
        <v>111</v>
      </c>
      <c r="C272" s="301" t="s">
        <v>112</v>
      </c>
      <c r="D272" s="301" t="s">
        <v>113</v>
      </c>
      <c r="E272" s="301" t="s">
        <v>114</v>
      </c>
      <c r="F272" s="301" t="s">
        <v>115</v>
      </c>
      <c r="G272" s="302" t="s">
        <v>116</v>
      </c>
      <c r="H272" s="301" t="s">
        <v>117</v>
      </c>
      <c r="I272" s="302" t="s">
        <v>116</v>
      </c>
      <c r="J272" s="301" t="s">
        <v>118</v>
      </c>
      <c r="K272" s="301" t="s">
        <v>119</v>
      </c>
      <c r="L272" s="301" t="s">
        <v>120</v>
      </c>
      <c r="M272" s="106"/>
      <c r="N272" s="106"/>
      <c r="O272" s="106"/>
      <c r="P272" s="106"/>
      <c r="Q272" s="106"/>
      <c r="R272" s="106"/>
      <c r="S272" s="106"/>
      <c r="T272" s="106"/>
      <c r="U272" s="106"/>
      <c r="V272" s="106"/>
      <c r="W272" s="106"/>
      <c r="X272" s="106"/>
      <c r="Y272" s="106"/>
      <c r="Z272" s="106"/>
    </row>
    <row r="273" spans="1:26" ht="13.5" customHeight="1">
      <c r="A273" s="155">
        <f t="shared" si="82"/>
        <v>46224</v>
      </c>
      <c r="B273" s="156">
        <f>'CHICLETS MASTER S1'!AU73</f>
        <v>0.29166666666666669</v>
      </c>
      <c r="C273" s="122" t="s">
        <v>220</v>
      </c>
      <c r="D273" s="122" t="str">
        <f t="shared" ref="D273:D278" si="86">$D$271</f>
        <v>WESTMINSTER HS</v>
      </c>
      <c r="E273" s="122">
        <v>185</v>
      </c>
      <c r="F273" s="169" t="str">
        <f>IF(G209 = "", "L145", IF(G209 &lt; I209, _xlfn.CONCAT("L145-", RIGHT(F209, LEN(F209) - FIND("-", F209))), _xlfn.CONCAT("L145-", RIGHT(H209, LEN(H209) - FIND("-", H209)))))</f>
        <v>L145</v>
      </c>
      <c r="G273" s="171"/>
      <c r="H273" s="169" t="str">
        <f>IF(G208 = "", "L141", IF(G208 &lt; I208, _xlfn.CONCAT("L141-", RIGHT(F208, LEN(F208) - FIND("-", F208))), _xlfn.CONCAT("L141-", RIGHT(H208, LEN(H208) - FIND("-", H208)))))</f>
        <v>L141</v>
      </c>
      <c r="I273" s="171"/>
      <c r="J273" s="169" t="s">
        <v>220</v>
      </c>
      <c r="K273" s="169" t="s">
        <v>221</v>
      </c>
      <c r="L273" s="169" t="str">
        <f>$L$15&amp;"-"&amp;TEXT(E273,"000")</f>
        <v>18G-185</v>
      </c>
      <c r="M273" s="106"/>
      <c r="N273" s="106" t="str">
        <f>$K$261&amp;C273</f>
        <v>pt_7th</v>
      </c>
      <c r="O273" s="106"/>
      <c r="P273" s="106"/>
      <c r="Q273" s="106"/>
      <c r="R273" s="106"/>
      <c r="S273" s="106"/>
      <c r="T273" s="106"/>
      <c r="U273" s="106"/>
      <c r="V273" s="106"/>
      <c r="W273" s="106"/>
      <c r="X273" s="106"/>
      <c r="Y273" s="106"/>
      <c r="Z273" s="106"/>
    </row>
    <row r="274" spans="1:26" ht="13.5" customHeight="1">
      <c r="A274" s="155">
        <f t="shared" si="82"/>
        <v>46224</v>
      </c>
      <c r="B274" s="156">
        <f>'CHICLETS MASTER S1'!AU74</f>
        <v>0.33333333333333298</v>
      </c>
      <c r="C274" s="122" t="s">
        <v>206</v>
      </c>
      <c r="D274" s="122" t="str">
        <f t="shared" si="86"/>
        <v>WESTMINSTER HS</v>
      </c>
      <c r="E274" s="122">
        <v>186</v>
      </c>
      <c r="F274" s="169" t="str">
        <f>IF(G213 = "", "L161", IF(G213 &lt; I213, _xlfn.CONCAT("L161-", RIGHT(F213, LEN(F213) - FIND("-", F213))), _xlfn.CONCAT("L161-", RIGHT(H213, LEN(H213) - FIND("-", H213)))))</f>
        <v>L161</v>
      </c>
      <c r="G274" s="171"/>
      <c r="H274" s="169" t="str">
        <f>IF(G212 = "", "L157", IF(G212 &lt; I212, _xlfn.CONCAT("L157-", RIGHT(F212, LEN(F212) - FIND("-", F212))), _xlfn.CONCAT("L157-", RIGHT(H212, LEN(H212) - FIND("-", H212)))))</f>
        <v>L157</v>
      </c>
      <c r="I274" s="171"/>
      <c r="J274" s="169" t="s">
        <v>206</v>
      </c>
      <c r="K274" s="169" t="s">
        <v>209</v>
      </c>
      <c r="L274" s="169" t="str">
        <f>$L$15&amp;"-"&amp;TEXT(E274,"000")</f>
        <v>18G-186</v>
      </c>
      <c r="M274" s="106"/>
      <c r="N274" s="106" t="str">
        <f t="shared" ref="N274" si="87">$K$261&amp;C274</f>
        <v>pt_5th</v>
      </c>
      <c r="O274" s="106"/>
      <c r="P274" s="106"/>
      <c r="Q274" s="106"/>
      <c r="R274" s="106"/>
      <c r="S274" s="106"/>
      <c r="T274" s="106"/>
      <c r="U274" s="106"/>
      <c r="V274" s="106"/>
      <c r="W274" s="106"/>
      <c r="X274" s="106"/>
      <c r="Y274" s="106"/>
      <c r="Z274" s="106"/>
    </row>
    <row r="275" spans="1:26" ht="13.5" customHeight="1">
      <c r="A275" s="155">
        <f t="shared" si="80"/>
        <v>46224</v>
      </c>
      <c r="B275" s="156">
        <f>'CHICLETS MASTER S1'!AU75</f>
        <v>0.375</v>
      </c>
      <c r="C275" s="122" t="s">
        <v>224</v>
      </c>
      <c r="D275" s="122" t="str">
        <f t="shared" si="86"/>
        <v>WESTMINSTER HS</v>
      </c>
      <c r="E275" s="122">
        <v>173</v>
      </c>
      <c r="F275" s="169" t="str">
        <f>IF(G206 = "", "W133", IF(G206 &gt; I206, _xlfn.CONCAT("W133-", RIGHT(F206, LEN(F206) - FIND("-", F206))), _xlfn.CONCAT("W133-", RIGHT(H206, LEN(H206) - FIND("-", H206)))))</f>
        <v>W133</v>
      </c>
      <c r="G275" s="171"/>
      <c r="H275" s="169" t="str">
        <f>IF(G213 = "", "W161", IF(G213 &gt; I213, _xlfn.CONCAT("W161-", RIGHT(F213, LEN(F213) - FIND("-", F213))), _xlfn.CONCAT("W161-", RIGHT(H213, LEN(H213) - FIND("-", H213)))))</f>
        <v>W161</v>
      </c>
      <c r="I275" s="171"/>
      <c r="J275" s="169">
        <v>192</v>
      </c>
      <c r="K275" s="169">
        <v>191</v>
      </c>
      <c r="L275" s="169" t="str">
        <f>$L$15&amp;"-"&amp;TEXT(E275,"000")</f>
        <v>18G-173</v>
      </c>
      <c r="M275" s="106"/>
      <c r="N275" s="106" t="str">
        <f>$K$261&amp;C275</f>
        <v>pt_semi</v>
      </c>
      <c r="O275" s="106"/>
      <c r="P275" s="106"/>
      <c r="Q275" s="106"/>
      <c r="R275" s="106"/>
      <c r="S275" s="106"/>
      <c r="T275" s="106"/>
      <c r="U275" s="106"/>
      <c r="V275" s="106"/>
      <c r="W275" s="106"/>
      <c r="X275" s="106"/>
      <c r="Y275" s="106"/>
      <c r="Z275" s="106"/>
    </row>
    <row r="276" spans="1:26" ht="13.5" customHeight="1">
      <c r="A276" s="155">
        <f t="shared" ref="A276:A298" si="88">$A$261</f>
        <v>46224</v>
      </c>
      <c r="B276" s="156">
        <f>'CHICLETS MASTER S1'!AU76</f>
        <v>0.41666666666666702</v>
      </c>
      <c r="C276" s="122" t="s">
        <v>224</v>
      </c>
      <c r="D276" s="122" t="str">
        <f t="shared" si="86"/>
        <v>WESTMINSTER HS</v>
      </c>
      <c r="E276" s="122">
        <v>174</v>
      </c>
      <c r="F276" s="169" t="str">
        <f>IF(G207 = "", "W137", IF(G207 &gt; I207, _xlfn.CONCAT("W137-", RIGHT(F207, LEN(F207) - FIND("-", F207))), _xlfn.CONCAT("W137-", RIGHT(H207, LEN(H207) - FIND("-", H207)))))</f>
        <v>W137</v>
      </c>
      <c r="G276" s="171"/>
      <c r="H276" s="169" t="str">
        <f>IF(G212 = "", "W157", IF(G212 &gt; I212, _xlfn.CONCAT("W157-", RIGHT(F212, LEN(F212) - FIND("-", F212))), _xlfn.CONCAT("W157-", RIGHT(H212, LEN(H212) - FIND("-", H212)))))</f>
        <v>W157</v>
      </c>
      <c r="I276" s="171"/>
      <c r="J276" s="169">
        <v>192</v>
      </c>
      <c r="K276" s="169">
        <v>191</v>
      </c>
      <c r="L276" s="169" t="str">
        <f>$L$15&amp;"-"&amp;TEXT(E276,"000")</f>
        <v>18G-174</v>
      </c>
      <c r="M276" s="106"/>
      <c r="N276" s="106" t="str">
        <f>$K$261&amp;C276</f>
        <v>pt_semi</v>
      </c>
      <c r="O276" s="106"/>
      <c r="P276" s="106"/>
      <c r="Q276" s="106"/>
      <c r="R276" s="106"/>
      <c r="S276" s="106"/>
      <c r="T276" s="106"/>
      <c r="U276" s="106"/>
      <c r="V276" s="106"/>
      <c r="W276" s="106"/>
      <c r="X276" s="106"/>
      <c r="Y276" s="106"/>
      <c r="Z276" s="106"/>
    </row>
    <row r="277" spans="1:26" ht="13.5" customHeight="1">
      <c r="A277" s="155">
        <f t="shared" si="80"/>
        <v>46224</v>
      </c>
      <c r="B277" s="156">
        <f>'CHICLETS MASTER S1'!AU77</f>
        <v>0.45833333333333298</v>
      </c>
      <c r="C277" s="122" t="s">
        <v>222</v>
      </c>
      <c r="D277" s="122" t="str">
        <f t="shared" si="86"/>
        <v>WESTMINSTER HS</v>
      </c>
      <c r="E277" s="122">
        <v>182</v>
      </c>
      <c r="F277" s="169" t="str">
        <f>IF(G211 = "", "W153", IF(G211 &gt; I211, _xlfn.CONCAT("W153-", RIGHT(F211, LEN(F211) - FIND("-", F211))), _xlfn.CONCAT("W153-", RIGHT(H211, LEN(H211) - FIND("-", H211)))))</f>
        <v>W153</v>
      </c>
      <c r="G277" s="171"/>
      <c r="H277" s="169" t="str">
        <f>IF(G210 = "", "W149", IF(G210 &gt; I210, _xlfn.CONCAT("W149-", RIGHT(F210, LEN(F210) - FIND("-", F210))), _xlfn.CONCAT("W149-", RIGHT(H210, LEN(H210) - FIND("-", H210)))))</f>
        <v>W149</v>
      </c>
      <c r="I277" s="171"/>
      <c r="J277" s="169" t="s">
        <v>222</v>
      </c>
      <c r="K277" s="169" t="s">
        <v>223</v>
      </c>
      <c r="L277" s="169" t="str">
        <f t="shared" ref="L277:L278" si="89">$L$15&amp;"-"&amp;TEXT(E277,"000")</f>
        <v>18G-182</v>
      </c>
      <c r="M277" s="106"/>
      <c r="N277" s="106" t="str">
        <f t="shared" ref="N277:N278" si="90">$K$261&amp;C277</f>
        <v>pt_9th</v>
      </c>
      <c r="O277" s="106"/>
      <c r="P277" s="106"/>
      <c r="Q277" s="106"/>
      <c r="R277" s="106"/>
      <c r="S277" s="106"/>
      <c r="T277" s="106"/>
      <c r="U277" s="106"/>
      <c r="V277" s="106"/>
      <c r="W277" s="106"/>
      <c r="X277" s="106"/>
      <c r="Y277" s="106"/>
      <c r="Z277" s="106"/>
    </row>
    <row r="278" spans="1:26" ht="13.5" customHeight="1">
      <c r="A278" s="155">
        <f t="shared" si="80"/>
        <v>46224</v>
      </c>
      <c r="B278" s="156">
        <f>'CHICLETS MASTER S1'!AU78</f>
        <v>0.5</v>
      </c>
      <c r="C278" s="122" t="s">
        <v>218</v>
      </c>
      <c r="D278" s="122" t="str">
        <f t="shared" si="86"/>
        <v>WESTMINSTER HS</v>
      </c>
      <c r="E278" s="122">
        <v>181</v>
      </c>
      <c r="F278" s="169" t="str">
        <f>IF(G211 = "", "L153", IF(G211 &lt; I211, _xlfn.CONCAT("L153-", RIGHT(F211, LEN(F211) - FIND("-", F211))), _xlfn.CONCAT("L153-", RIGHT(H211, LEN(H211) - FIND("-", H211)))))</f>
        <v>L153</v>
      </c>
      <c r="G278" s="171"/>
      <c r="H278" s="169" t="str">
        <f>IF(G210 = "", "L149", IF(G210 &lt; I210, _xlfn.CONCAT("L149-", RIGHT(F210, LEN(F210) - FIND("-", F210))), _xlfn.CONCAT("L149-", RIGHT(H210, LEN(H210) - FIND("-", H210)))))</f>
        <v>L149</v>
      </c>
      <c r="I278" s="171"/>
      <c r="J278" s="169" t="s">
        <v>218</v>
      </c>
      <c r="K278" s="169" t="s">
        <v>219</v>
      </c>
      <c r="L278" s="169" t="str">
        <f t="shared" si="89"/>
        <v>18G-181</v>
      </c>
      <c r="M278" s="106"/>
      <c r="N278" s="106" t="str">
        <f t="shared" si="90"/>
        <v>pt_11th</v>
      </c>
      <c r="O278" s="106"/>
      <c r="P278" s="106"/>
      <c r="Q278" s="106"/>
      <c r="R278" s="106"/>
      <c r="S278" s="106"/>
      <c r="T278" s="106"/>
      <c r="U278" s="106"/>
      <c r="V278" s="106"/>
      <c r="W278" s="106"/>
      <c r="X278" s="106"/>
      <c r="Y278" s="106"/>
      <c r="Z278" s="106"/>
    </row>
    <row r="279" spans="1:26" ht="13.5" customHeight="1" thickBot="1">
      <c r="A279" s="158"/>
      <c r="B279" s="160"/>
      <c r="C279" s="106"/>
      <c r="D279" s="106"/>
      <c r="E279" s="106"/>
      <c r="F279" s="106"/>
      <c r="G279" s="110"/>
      <c r="H279" s="106"/>
      <c r="I279" s="110"/>
      <c r="J279" s="106"/>
      <c r="K279" s="106"/>
      <c r="L279" s="106"/>
      <c r="M279" s="106"/>
      <c r="N279" s="106"/>
      <c r="O279" s="106"/>
      <c r="P279" s="106"/>
      <c r="Q279" s="106"/>
      <c r="R279" s="106"/>
      <c r="S279" s="106"/>
      <c r="T279" s="106"/>
      <c r="U279" s="106"/>
      <c r="V279" s="106"/>
      <c r="W279" s="106"/>
      <c r="X279" s="106"/>
      <c r="Y279" s="106"/>
      <c r="Z279" s="106"/>
    </row>
    <row r="280" spans="1:26" ht="13.5" customHeight="1" thickBot="1">
      <c r="A280" s="106"/>
      <c r="B280" s="106"/>
      <c r="C280" s="106"/>
      <c r="D280" s="150" t="str">
        <f>'CHICLETS MASTER S1'!$BA$72</f>
        <v>TUSTIN HS 1</v>
      </c>
      <c r="E280" s="106"/>
      <c r="F280" s="106"/>
      <c r="G280" s="110"/>
      <c r="H280" s="106"/>
      <c r="I280" s="110"/>
      <c r="J280" s="106"/>
      <c r="K280" s="106"/>
      <c r="L280" s="106"/>
      <c r="M280" s="106"/>
      <c r="N280" s="106"/>
      <c r="O280" s="106"/>
      <c r="P280" s="106"/>
      <c r="Q280" s="106"/>
      <c r="R280" s="106"/>
      <c r="S280" s="106"/>
      <c r="T280" s="106"/>
      <c r="U280" s="106"/>
      <c r="V280" s="106"/>
      <c r="W280" s="106"/>
      <c r="X280" s="106"/>
      <c r="Y280" s="106"/>
      <c r="Z280" s="106"/>
    </row>
    <row r="281" spans="1:26" ht="13.5" customHeight="1">
      <c r="A281" s="301" t="s">
        <v>110</v>
      </c>
      <c r="B281" s="301" t="s">
        <v>111</v>
      </c>
      <c r="C281" s="301" t="s">
        <v>112</v>
      </c>
      <c r="D281" s="301" t="s">
        <v>113</v>
      </c>
      <c r="E281" s="301" t="s">
        <v>114</v>
      </c>
      <c r="F281" s="316" t="s">
        <v>115</v>
      </c>
      <c r="G281" s="317" t="s">
        <v>116</v>
      </c>
      <c r="H281" s="316" t="s">
        <v>117</v>
      </c>
      <c r="I281" s="302"/>
      <c r="J281" s="301" t="s">
        <v>118</v>
      </c>
      <c r="K281" s="301" t="s">
        <v>119</v>
      </c>
      <c r="L281" s="301" t="s">
        <v>120</v>
      </c>
      <c r="M281" s="106"/>
      <c r="N281" s="106"/>
      <c r="O281" s="106"/>
      <c r="P281" s="106"/>
      <c r="Q281" s="106"/>
      <c r="R281" s="106"/>
      <c r="S281" s="106"/>
      <c r="T281" s="106"/>
      <c r="U281" s="106"/>
      <c r="V281" s="106"/>
      <c r="W281" s="106"/>
      <c r="X281" s="106"/>
      <c r="Y281" s="106"/>
      <c r="Z281" s="106"/>
    </row>
    <row r="282" spans="1:26" ht="13.5" customHeight="1">
      <c r="A282" s="155">
        <f t="shared" ref="A282:A295" si="91">$A$261</f>
        <v>46224</v>
      </c>
      <c r="B282" s="156">
        <f>'CHICLETS MASTER S1'!AU73</f>
        <v>0.29166666666666669</v>
      </c>
      <c r="C282" s="122" t="s">
        <v>383</v>
      </c>
      <c r="D282" s="122" t="str">
        <f t="shared" ref="D282:D288" si="92">$D$280</f>
        <v>TUSTIN HS 1</v>
      </c>
      <c r="E282" s="173">
        <v>167</v>
      </c>
      <c r="F282" s="134" t="s">
        <v>1295</v>
      </c>
      <c r="G282" s="170"/>
      <c r="H282" s="134" t="s">
        <v>1206</v>
      </c>
      <c r="I282" s="194"/>
      <c r="J282" s="134"/>
      <c r="K282" s="134"/>
      <c r="L282" s="134" t="str">
        <f t="shared" ref="L282" si="93">$L$15&amp;"-"&amp;TEXT(E282,"000")</f>
        <v>18G-167</v>
      </c>
      <c r="M282" s="106"/>
      <c r="N282" s="106" t="str">
        <f t="shared" ref="N282" si="94">$L$261&amp;C282</f>
        <v>au_21-24 RR</v>
      </c>
      <c r="O282" s="106"/>
      <c r="P282" s="106"/>
      <c r="Q282" s="106"/>
      <c r="R282" s="106"/>
      <c r="S282" s="106"/>
      <c r="T282" s="106"/>
      <c r="U282" s="106"/>
      <c r="V282" s="106"/>
      <c r="W282" s="106"/>
      <c r="X282" s="106"/>
      <c r="Y282" s="106"/>
      <c r="Z282" s="106"/>
    </row>
    <row r="283" spans="1:26" ht="13.5" customHeight="1">
      <c r="A283" s="155">
        <f t="shared" si="88"/>
        <v>46224</v>
      </c>
      <c r="B283" s="156">
        <f>'CHICLETS MASTER S1'!AU74</f>
        <v>0.33333333333333298</v>
      </c>
      <c r="C283" s="122" t="s">
        <v>383</v>
      </c>
      <c r="D283" s="122" t="str">
        <f t="shared" si="92"/>
        <v>TUSTIN HS 1</v>
      </c>
      <c r="E283" s="173">
        <v>168</v>
      </c>
      <c r="F283" s="134" t="s">
        <v>1205</v>
      </c>
      <c r="G283" s="170"/>
      <c r="H283" s="134" t="s">
        <v>1296</v>
      </c>
      <c r="I283" s="194"/>
      <c r="J283" s="134"/>
      <c r="K283" s="134"/>
      <c r="L283" s="134" t="str">
        <f t="shared" ref="L283:L288" si="95">$L$15&amp;"-"&amp;TEXT(E283,"000")</f>
        <v>18G-168</v>
      </c>
      <c r="M283" s="106"/>
      <c r="N283" s="106" t="str">
        <f>$L$261&amp;C283</f>
        <v>au_21-24 RR</v>
      </c>
      <c r="O283" s="106"/>
      <c r="P283" s="106"/>
      <c r="Q283" s="106"/>
      <c r="R283" s="106"/>
      <c r="S283" s="106"/>
      <c r="T283" s="106"/>
      <c r="U283" s="106"/>
      <c r="V283" s="106"/>
      <c r="W283" s="106"/>
      <c r="X283" s="106"/>
      <c r="Y283" s="106"/>
      <c r="Z283" s="106"/>
    </row>
    <row r="284" spans="1:26" ht="13.5" customHeight="1">
      <c r="A284" s="155">
        <f t="shared" si="91"/>
        <v>46224</v>
      </c>
      <c r="B284" s="156">
        <f>'CHICLETS MASTER S1'!AU75</f>
        <v>0.375</v>
      </c>
      <c r="C284" s="122" t="s">
        <v>218</v>
      </c>
      <c r="D284" s="122" t="str">
        <f t="shared" si="92"/>
        <v>TUSTIN HS 1</v>
      </c>
      <c r="E284" s="173">
        <v>184</v>
      </c>
      <c r="F284" s="134" t="str">
        <f>IF(G240 = "", "L151", IF(G240 &lt; I240, _xlfn.CONCAT("L151-", RIGHT(F240, LEN(F240) - FIND("-", F240))), _xlfn.CONCAT("L151-", RIGHT(H240, LEN(H240) - FIND("-", H240)))))</f>
        <v>L151</v>
      </c>
      <c r="G284" s="194"/>
      <c r="H284" s="134" t="str">
        <f>IF(G241 = "", "L155", IF(G241 &lt; I241, _xlfn.CONCAT("L155-", RIGHT(F241, LEN(F241) - FIND("-", F241))), _xlfn.CONCAT("L155-", RIGHT(H241, LEN(H241) - FIND("-", H241)))))</f>
        <v>L155</v>
      </c>
      <c r="I284" s="170"/>
      <c r="J284" s="134" t="s">
        <v>218</v>
      </c>
      <c r="K284" s="134" t="s">
        <v>219</v>
      </c>
      <c r="L284" s="134" t="str">
        <f t="shared" si="95"/>
        <v>18G-184</v>
      </c>
      <c r="M284" s="106"/>
      <c r="N284" s="106" t="str">
        <f>$L$261&amp;C284</f>
        <v>au_11th</v>
      </c>
      <c r="O284" s="106"/>
      <c r="P284" s="106"/>
      <c r="Q284" s="106"/>
      <c r="R284" s="106"/>
      <c r="S284" s="106"/>
      <c r="T284" s="106"/>
      <c r="U284" s="106"/>
      <c r="V284" s="106"/>
      <c r="W284" s="106"/>
      <c r="X284" s="106"/>
      <c r="Y284" s="106"/>
      <c r="Z284" s="106"/>
    </row>
    <row r="285" spans="1:26" ht="13.5" customHeight="1">
      <c r="A285" s="155">
        <f t="shared" si="91"/>
        <v>46224</v>
      </c>
      <c r="B285" s="156">
        <f>'CHICLETS MASTER S1'!AU76</f>
        <v>0.41666666666666702</v>
      </c>
      <c r="C285" s="122" t="s">
        <v>413</v>
      </c>
      <c r="D285" s="122" t="str">
        <f t="shared" si="92"/>
        <v>TUSTIN HS 1</v>
      </c>
      <c r="E285" s="122">
        <v>179</v>
      </c>
      <c r="F285" s="134" t="str">
        <f>IF(G255 = "", "W152", IF(G255 &gt; I255, _xlfn.CONCAT("W152-", RIGHT(F255, LEN(F255) - FIND("-", F255))), _xlfn.CONCAT("W152-", RIGHT(H255, LEN(H255) - FIND("-", H255)))))</f>
        <v>W152</v>
      </c>
      <c r="G285" s="170"/>
      <c r="H285" s="134" t="str">
        <f>IF(G257 = "", "W160", IF(G257 &gt; I257, _xlfn.CONCAT("W160-", RIGHT(F257, LEN(F257) - FIND("-", F257))), _xlfn.CONCAT("W160-", RIGHT(H257, LEN(H257) - FIND("-", H257)))))</f>
        <v>W160</v>
      </c>
      <c r="I285" s="170"/>
      <c r="J285" s="134" t="s">
        <v>413</v>
      </c>
      <c r="K285" s="134" t="s">
        <v>414</v>
      </c>
      <c r="L285" s="134" t="str">
        <f t="shared" si="95"/>
        <v>18G-179</v>
      </c>
      <c r="M285" s="106"/>
      <c r="N285" s="106" t="str">
        <f>$L$261&amp;C285</f>
        <v>au_13th</v>
      </c>
      <c r="O285" s="106"/>
      <c r="P285" s="106"/>
      <c r="Q285" s="106"/>
      <c r="R285" s="106"/>
      <c r="S285" s="106"/>
      <c r="T285" s="106"/>
      <c r="U285" s="106"/>
      <c r="V285" s="106"/>
      <c r="W285" s="106"/>
      <c r="X285" s="106"/>
      <c r="Y285" s="106"/>
      <c r="Z285" s="106"/>
    </row>
    <row r="286" spans="1:26" ht="13.5" customHeight="1">
      <c r="A286" s="155">
        <f t="shared" si="91"/>
        <v>46224</v>
      </c>
      <c r="B286" s="156">
        <f>'CHICLETS MASTER S1'!AU77</f>
        <v>0.45833333333333298</v>
      </c>
      <c r="C286" s="122" t="s">
        <v>407</v>
      </c>
      <c r="D286" s="122" t="str">
        <f t="shared" si="92"/>
        <v>TUSTIN HS 1</v>
      </c>
      <c r="E286" s="122">
        <v>180</v>
      </c>
      <c r="F286" s="134" t="str">
        <f>IF(G255 = "", "L152", IF(G255 &lt; I255, _xlfn.CONCAT("L152-", RIGHT(F255, LEN(F255) - FIND("-", F255))), _xlfn.CONCAT("L152-", RIGHT(H255, LEN(H255) - FIND("-", H255)))))</f>
        <v>L152</v>
      </c>
      <c r="G286" s="170"/>
      <c r="H286" s="134" t="str">
        <f>IF(G257 = "", "L160", IF(G257 &lt; I257, _xlfn.CONCAT("L160-", RIGHT(F257, LEN(F257) - FIND("-", F257))), _xlfn.CONCAT("L160-", RIGHT(H257, LEN(H257) - FIND("-", H257)))))</f>
        <v>L160</v>
      </c>
      <c r="I286" s="170"/>
      <c r="J286" s="134" t="s">
        <v>407</v>
      </c>
      <c r="K286" s="134" t="s">
        <v>408</v>
      </c>
      <c r="L286" s="134" t="str">
        <f t="shared" si="95"/>
        <v>18G-180</v>
      </c>
      <c r="M286" s="106"/>
      <c r="N286" s="106" t="str">
        <f>$L$261&amp;C286</f>
        <v>au_15th</v>
      </c>
      <c r="O286" s="106"/>
      <c r="P286" s="106"/>
      <c r="Q286" s="106"/>
      <c r="R286" s="106"/>
      <c r="S286" s="106"/>
      <c r="T286" s="106"/>
      <c r="U286" s="106"/>
      <c r="V286" s="106"/>
      <c r="W286" s="106"/>
      <c r="X286" s="106"/>
      <c r="Y286" s="106"/>
      <c r="Z286" s="106"/>
    </row>
    <row r="287" spans="1:26" ht="13.5" customHeight="1">
      <c r="A287" s="155">
        <f t="shared" si="82"/>
        <v>46224</v>
      </c>
      <c r="B287" s="156">
        <f>'CHICLETS MASTER S1'!AU78</f>
        <v>0.5</v>
      </c>
      <c r="C287" s="122" t="s">
        <v>411</v>
      </c>
      <c r="D287" s="122" t="str">
        <f t="shared" si="92"/>
        <v>TUSTIN HS 1</v>
      </c>
      <c r="E287" s="122">
        <v>175</v>
      </c>
      <c r="F287" s="134" t="str">
        <f>IF(G256 = "", "W156", IF(G256 &gt; I256, _xlfn.CONCAT("W156-", RIGHT(F256, LEN(F256) - FIND("-", F256))), _xlfn.CONCAT("W156-", RIGHT(H256, LEN(H256) - FIND("-", H256)))))</f>
        <v>W156</v>
      </c>
      <c r="G287" s="170"/>
      <c r="H287" s="134" t="str">
        <f>IF(G258 = "", "W164", IF(G258 &gt; I258, _xlfn.CONCAT("W164-", RIGHT(F258, LEN(F258) - FIND("-", F258))), _xlfn.CONCAT("W164-", RIGHT(H258, LEN(H258) - FIND("-", H258)))))</f>
        <v>W164</v>
      </c>
      <c r="I287" s="170"/>
      <c r="J287" s="134" t="s">
        <v>411</v>
      </c>
      <c r="K287" s="134" t="s">
        <v>412</v>
      </c>
      <c r="L287" s="134" t="str">
        <f t="shared" si="95"/>
        <v>18G-175</v>
      </c>
      <c r="M287" s="106"/>
      <c r="N287" s="106" t="str">
        <f t="shared" ref="N287:N288" si="96">$L$261&amp;C287</f>
        <v>au_17th</v>
      </c>
      <c r="O287" s="106"/>
      <c r="P287" s="106"/>
      <c r="Q287" s="106"/>
      <c r="R287" s="106"/>
      <c r="S287" s="106"/>
      <c r="T287" s="106"/>
      <c r="U287" s="106"/>
      <c r="V287" s="106"/>
      <c r="W287" s="106"/>
      <c r="X287" s="106"/>
      <c r="Y287" s="106"/>
      <c r="Z287" s="106"/>
    </row>
    <row r="288" spans="1:26" ht="13.5" customHeight="1">
      <c r="A288" s="155">
        <f t="shared" si="82"/>
        <v>46224</v>
      </c>
      <c r="B288" s="156">
        <f>'CHICLETS MASTER S1'!AU79</f>
        <v>0.54166666666666696</v>
      </c>
      <c r="C288" s="122" t="s">
        <v>409</v>
      </c>
      <c r="D288" s="122" t="str">
        <f t="shared" si="92"/>
        <v>TUSTIN HS 1</v>
      </c>
      <c r="E288" s="122">
        <v>176</v>
      </c>
      <c r="F288" s="134" t="str">
        <f>IF(G256 = "", "L156", IF(G256 &lt; I256, _xlfn.CONCAT("L156-", RIGHT(F256, LEN(F256) - FIND("-", F256))), _xlfn.CONCAT("L156-", RIGHT(H256, LEN(H256) - FIND("-", H256)))))</f>
        <v>L156</v>
      </c>
      <c r="G288" s="170"/>
      <c r="H288" s="134" t="str">
        <f>IF(G258 = "", "L164", IF(G258 &lt; I258, _xlfn.CONCAT("L164-", RIGHT(F258, LEN(F258) - FIND("-", F258))), _xlfn.CONCAT("L164-", RIGHT(H258, LEN(H258) - FIND("-", H258)))))</f>
        <v>L164</v>
      </c>
      <c r="I288" s="170"/>
      <c r="J288" s="134" t="s">
        <v>409</v>
      </c>
      <c r="K288" s="134" t="s">
        <v>410</v>
      </c>
      <c r="L288" s="134" t="str">
        <f t="shared" si="95"/>
        <v>18G-176</v>
      </c>
      <c r="M288" s="106"/>
      <c r="N288" s="106" t="str">
        <f t="shared" si="96"/>
        <v>au_19th</v>
      </c>
      <c r="O288" s="106"/>
      <c r="P288" s="106"/>
      <c r="Q288" s="106"/>
      <c r="R288" s="106"/>
      <c r="S288" s="106"/>
      <c r="T288" s="106"/>
      <c r="U288" s="106"/>
      <c r="V288" s="106"/>
      <c r="W288" s="106"/>
      <c r="X288" s="106"/>
      <c r="Y288" s="106"/>
      <c r="Z288" s="106"/>
    </row>
    <row r="289" spans="1:26" ht="13.5" customHeight="1" thickBot="1">
      <c r="A289" s="158"/>
      <c r="B289" s="160"/>
      <c r="C289" s="106"/>
      <c r="D289" s="106"/>
      <c r="E289" s="106"/>
      <c r="F289" s="106"/>
      <c r="G289" s="110"/>
      <c r="H289" s="106"/>
      <c r="I289" s="110"/>
      <c r="J289" s="106"/>
      <c r="K289" s="106"/>
      <c r="L289" s="106"/>
      <c r="M289" s="106"/>
      <c r="N289" s="106"/>
      <c r="O289" s="106"/>
      <c r="P289" s="106"/>
      <c r="Q289" s="106"/>
      <c r="R289" s="106"/>
      <c r="S289" s="106"/>
      <c r="T289" s="106"/>
      <c r="U289" s="106"/>
      <c r="V289" s="106"/>
      <c r="W289" s="106"/>
      <c r="X289" s="106"/>
      <c r="Y289" s="106"/>
      <c r="Z289" s="106"/>
    </row>
    <row r="290" spans="1:26" ht="13.5" customHeight="1" thickBot="1">
      <c r="A290" s="106"/>
      <c r="B290" s="106"/>
      <c r="C290" s="106"/>
      <c r="D290" s="150" t="str">
        <f>'CHICLETS MASTER S1'!$AY$72</f>
        <v>CHAPMAN UNIVERSITY</v>
      </c>
      <c r="E290" s="106"/>
      <c r="F290" s="106"/>
      <c r="G290" s="110"/>
      <c r="H290" s="106"/>
      <c r="I290" s="110"/>
      <c r="J290" s="106"/>
      <c r="K290" s="106"/>
      <c r="L290" s="106"/>
      <c r="M290" s="106"/>
      <c r="N290" s="106"/>
      <c r="O290" s="106"/>
      <c r="P290" s="106"/>
      <c r="Q290" s="106"/>
      <c r="R290" s="106"/>
      <c r="S290" s="106"/>
      <c r="T290" s="106"/>
      <c r="U290" s="106"/>
      <c r="V290" s="106"/>
      <c r="W290" s="106"/>
      <c r="X290" s="106"/>
      <c r="Y290" s="106"/>
      <c r="Z290" s="106"/>
    </row>
    <row r="291" spans="1:26" ht="13.5" customHeight="1">
      <c r="A291" s="301" t="s">
        <v>110</v>
      </c>
      <c r="B291" s="301" t="s">
        <v>111</v>
      </c>
      <c r="C291" s="301" t="s">
        <v>112</v>
      </c>
      <c r="D291" s="301" t="s">
        <v>113</v>
      </c>
      <c r="E291" s="301" t="s">
        <v>114</v>
      </c>
      <c r="F291" s="301" t="s">
        <v>115</v>
      </c>
      <c r="G291" s="317" t="s">
        <v>116</v>
      </c>
      <c r="H291" s="301" t="s">
        <v>117</v>
      </c>
      <c r="I291" s="302" t="s">
        <v>116</v>
      </c>
      <c r="J291" s="301" t="s">
        <v>118</v>
      </c>
      <c r="K291" s="301" t="s">
        <v>119</v>
      </c>
      <c r="L291" s="301" t="s">
        <v>120</v>
      </c>
      <c r="M291" s="106"/>
      <c r="N291" s="106"/>
      <c r="O291" s="106"/>
      <c r="P291" s="106"/>
      <c r="Q291" s="106"/>
      <c r="R291" s="106"/>
      <c r="S291" s="106"/>
      <c r="T291" s="106"/>
      <c r="U291" s="106"/>
      <c r="V291" s="106"/>
      <c r="W291" s="106"/>
      <c r="X291" s="106"/>
      <c r="Y291" s="106"/>
      <c r="Z291" s="106"/>
    </row>
    <row r="292" spans="1:26" ht="13.5" customHeight="1">
      <c r="A292" s="155">
        <f t="shared" si="91"/>
        <v>46224</v>
      </c>
      <c r="B292" s="156">
        <f>'CHICLETS MASTER S1'!AU73</f>
        <v>0.29166666666666669</v>
      </c>
      <c r="C292" s="122" t="s">
        <v>222</v>
      </c>
      <c r="D292" s="122" t="str">
        <f t="shared" ref="D292:D298" si="97">$D$290</f>
        <v>CHAPMAN UNIVERSITY</v>
      </c>
      <c r="E292" s="122">
        <v>183</v>
      </c>
      <c r="F292" s="175" t="str">
        <f>IF(G240 = "", "W151", IF(G240 &gt; I240, _xlfn.CONCAT("W151-", RIGHT(F240, LEN(F240) - FIND("-", F240))), _xlfn.CONCAT("W151-", RIGHT(H240, LEN(H240) - FIND("-", H240)))))</f>
        <v>W151</v>
      </c>
      <c r="G292" s="318"/>
      <c r="H292" s="175" t="str">
        <f>IF(G241 = "", "W155", IF(G241 &gt; I241, _xlfn.CONCAT("W155-", RIGHT(F241, LEN(F241) - FIND("-", F241))), _xlfn.CONCAT("W155-", RIGHT(H241, LEN(H241) - FIND("-", H241)))))</f>
        <v>W155</v>
      </c>
      <c r="I292" s="312"/>
      <c r="J292" s="134" t="s">
        <v>222</v>
      </c>
      <c r="K292" s="134" t="s">
        <v>223</v>
      </c>
      <c r="L292" s="134" t="str">
        <f>$L$15&amp;"-"&amp;TEXT(E292,"000")</f>
        <v>18G-183</v>
      </c>
      <c r="M292" s="106"/>
      <c r="N292" s="106" t="str">
        <f>$L$261&amp;C292</f>
        <v>au_9th</v>
      </c>
      <c r="O292" s="106"/>
      <c r="P292" s="106"/>
      <c r="Q292" s="106"/>
      <c r="R292" s="106"/>
      <c r="S292" s="106"/>
      <c r="T292" s="106"/>
      <c r="U292" s="106"/>
      <c r="V292" s="106"/>
      <c r="W292" s="106"/>
      <c r="X292" s="106"/>
      <c r="Y292" s="106"/>
      <c r="Z292" s="106"/>
    </row>
    <row r="293" spans="1:26" ht="13.5" customHeight="1">
      <c r="A293" s="155">
        <f t="shared" si="88"/>
        <v>46224</v>
      </c>
      <c r="B293" s="156">
        <f>'CHICLETS MASTER S1'!AU74</f>
        <v>0.33333333333333298</v>
      </c>
      <c r="C293" s="122" t="s">
        <v>224</v>
      </c>
      <c r="D293" s="122" t="str">
        <f t="shared" si="97"/>
        <v>CHAPMAN UNIVERSITY</v>
      </c>
      <c r="E293" s="122">
        <v>171</v>
      </c>
      <c r="F293" s="134" t="str">
        <f>IF(G237 = "", "W139", IF(G237 &gt; I237, _xlfn.CONCAT("W139-", RIGHT(F237, LEN(F237) - FIND("-", F237))), _xlfn.CONCAT("W139-", RIGHT(H237, LEN(H237) - FIND("-", H237)))))</f>
        <v>W139</v>
      </c>
      <c r="G293" s="170"/>
      <c r="H293" s="134" t="str">
        <f>IF(G242 = "", "W159", IF(G242 &gt; I242, _xlfn.CONCAT("W159-", RIGHT(F242, LEN(F242) - FIND("-", F242))), _xlfn.CONCAT("W159-", RIGHT(H242, LEN(H242) - FIND("-", H242)))))</f>
        <v>W159</v>
      </c>
      <c r="I293" s="170"/>
      <c r="J293" s="134">
        <v>190</v>
      </c>
      <c r="K293" s="134">
        <v>189</v>
      </c>
      <c r="L293" s="134" t="str">
        <f t="shared" ref="L293:L298" si="98">$L$15&amp;"-"&amp;TEXT(E293,"000")</f>
        <v>18G-171</v>
      </c>
      <c r="M293" s="106"/>
      <c r="N293" s="106" t="str">
        <f t="shared" ref="N293:N294" si="99">$L$261&amp;C293</f>
        <v>au_semi</v>
      </c>
      <c r="O293" s="106"/>
      <c r="P293" s="106"/>
      <c r="Q293" s="106"/>
      <c r="R293" s="106"/>
      <c r="S293" s="106"/>
      <c r="T293" s="106"/>
      <c r="U293" s="106"/>
      <c r="V293" s="106"/>
      <c r="W293" s="106"/>
      <c r="X293" s="106"/>
      <c r="Y293" s="106"/>
      <c r="Z293" s="106"/>
    </row>
    <row r="294" spans="1:26" ht="13.5" customHeight="1">
      <c r="A294" s="155">
        <f t="shared" si="88"/>
        <v>46224</v>
      </c>
      <c r="B294" s="156">
        <f>'CHICLETS MASTER S1'!AU75</f>
        <v>0.375</v>
      </c>
      <c r="C294" s="122" t="s">
        <v>224</v>
      </c>
      <c r="D294" s="122" t="str">
        <f t="shared" si="97"/>
        <v>CHAPMAN UNIVERSITY</v>
      </c>
      <c r="E294" s="122">
        <v>172</v>
      </c>
      <c r="F294" s="134" t="str">
        <f>IF(G236 = "", "W135", IF(G236 &gt; I236, _xlfn.CONCAT("W135-", RIGHT(F236, LEN(F236) - FIND("-", F236))), _xlfn.CONCAT("W135-", RIGHT(H236, LEN(H236) - FIND("-", H236)))))</f>
        <v>W135</v>
      </c>
      <c r="G294" s="170"/>
      <c r="H294" s="134" t="str">
        <f>IF(G243 = "", "W163", IF(G243 &gt; I243, _xlfn.CONCAT("W163-", RIGHT(F243, LEN(F243) - FIND("-", F243))), _xlfn.CONCAT("W163-", RIGHT(H243, LEN(H243) - FIND("-", H243)))))</f>
        <v>W163</v>
      </c>
      <c r="I294" s="170"/>
      <c r="J294" s="134">
        <v>190</v>
      </c>
      <c r="K294" s="134">
        <v>189</v>
      </c>
      <c r="L294" s="134" t="str">
        <f t="shared" si="98"/>
        <v>18G-172</v>
      </c>
      <c r="M294" s="106"/>
      <c r="N294" s="106" t="str">
        <f t="shared" si="99"/>
        <v>au_semi</v>
      </c>
      <c r="O294" s="106"/>
      <c r="P294" s="106"/>
      <c r="Q294" s="106"/>
      <c r="R294" s="106"/>
      <c r="S294" s="106"/>
      <c r="T294" s="106"/>
      <c r="U294" s="106"/>
      <c r="V294" s="106"/>
      <c r="W294" s="106"/>
      <c r="X294" s="106"/>
      <c r="Y294" s="106"/>
      <c r="Z294" s="106"/>
    </row>
    <row r="295" spans="1:26" ht="13.5" customHeight="1">
      <c r="A295" s="155">
        <f t="shared" si="91"/>
        <v>46224</v>
      </c>
      <c r="B295" s="156">
        <f>'CHICLETS MASTER S1'!AU76</f>
        <v>0.41666666666666702</v>
      </c>
      <c r="C295" s="122" t="s">
        <v>220</v>
      </c>
      <c r="D295" s="122" t="str">
        <f t="shared" si="97"/>
        <v>CHAPMAN UNIVERSITY</v>
      </c>
      <c r="E295" s="122">
        <v>188</v>
      </c>
      <c r="F295" s="134" t="str">
        <f>IF(G238 = "", "L143", IF(G238 &lt; I238, _xlfn.CONCAT("L143-", RIGHT(F238, LEN(F238) - FIND("-", F238))), _xlfn.CONCAT("L143-", RIGHT(H238, LEN(H238) - FIND("-", H238)))))</f>
        <v>L143</v>
      </c>
      <c r="G295" s="170"/>
      <c r="H295" s="134" t="str">
        <f>IF(G239 = "", "L147", IF(G239 &lt; I239, _xlfn.CONCAT("L147-", RIGHT(F239, LEN(F239) - FIND("-", F239))), _xlfn.CONCAT("L147-", RIGHT(H239, LEN(H239) - FIND("-", H239)))))</f>
        <v>L147</v>
      </c>
      <c r="I295" s="170"/>
      <c r="J295" s="134" t="s">
        <v>220</v>
      </c>
      <c r="K295" s="134" t="s">
        <v>221</v>
      </c>
      <c r="L295" s="134" t="str">
        <f>$L$15&amp;"-"&amp;TEXT(E295,"000")</f>
        <v>18G-188</v>
      </c>
      <c r="M295" s="106"/>
      <c r="N295" s="106" t="str">
        <f>$L$261&amp;C295</f>
        <v>au_7th</v>
      </c>
      <c r="O295" s="106"/>
      <c r="P295" s="106"/>
      <c r="Q295" s="106"/>
      <c r="R295" s="106"/>
      <c r="S295" s="106"/>
      <c r="T295" s="106"/>
      <c r="U295" s="106"/>
      <c r="V295" s="106"/>
      <c r="W295" s="106"/>
      <c r="X295" s="106"/>
      <c r="Y295" s="106"/>
      <c r="Z295" s="106"/>
    </row>
    <row r="296" spans="1:26" ht="13.5" customHeight="1">
      <c r="A296" s="155">
        <f t="shared" si="88"/>
        <v>46224</v>
      </c>
      <c r="B296" s="156">
        <f>'CHICLETS MASTER S1'!AU77</f>
        <v>0.45833333333333298</v>
      </c>
      <c r="C296" s="122" t="s">
        <v>206</v>
      </c>
      <c r="D296" s="122" t="str">
        <f t="shared" si="97"/>
        <v>CHAPMAN UNIVERSITY</v>
      </c>
      <c r="E296" s="122">
        <v>187</v>
      </c>
      <c r="F296" s="172" t="str">
        <f>IF(G242 = "", "L159", IF(G242 &lt; I242, _xlfn.CONCAT("L159-", RIGHT(F242, LEN(F242) - FIND("-", F242))), _xlfn.CONCAT("L159-", RIGHT(H242, LEN(H242) - FIND("-", H242)))))</f>
        <v>L159</v>
      </c>
      <c r="G296" s="170"/>
      <c r="H296" s="134" t="str">
        <f>IF(G243 = "", "L163", IF(G243 &lt; I243, _xlfn.CONCAT("L163-", RIGHT(F243, LEN(F243) - FIND("-", F243))), _xlfn.CONCAT("L163-", RIGHT(H243, LEN(H243) - FIND("-", H243)))))</f>
        <v>L163</v>
      </c>
      <c r="I296" s="170"/>
      <c r="J296" s="134" t="s">
        <v>206</v>
      </c>
      <c r="K296" s="134" t="s">
        <v>209</v>
      </c>
      <c r="L296" s="134" t="str">
        <f>$L$15&amp;"-"&amp;TEXT(E296,"000")</f>
        <v>18G-187</v>
      </c>
      <c r="M296" s="106"/>
      <c r="N296" s="106" t="str">
        <f>$L$261&amp;C296</f>
        <v>au_5th</v>
      </c>
      <c r="O296" s="106"/>
      <c r="P296" s="106"/>
      <c r="Q296" s="106"/>
      <c r="R296" s="106"/>
      <c r="S296" s="106"/>
      <c r="T296" s="106"/>
      <c r="U296" s="106"/>
      <c r="V296" s="106"/>
      <c r="W296" s="106"/>
      <c r="X296" s="106"/>
      <c r="Y296" s="106"/>
      <c r="Z296" s="106"/>
    </row>
    <row r="297" spans="1:26" ht="13.5" customHeight="1">
      <c r="A297" s="155">
        <f t="shared" si="88"/>
        <v>46224</v>
      </c>
      <c r="B297" s="156">
        <f>'CHICLETS MASTER S1'!AU78</f>
        <v>0.5</v>
      </c>
      <c r="C297" s="122" t="s">
        <v>210</v>
      </c>
      <c r="D297" s="122" t="str">
        <f t="shared" si="97"/>
        <v>CHAPMAN UNIVERSITY</v>
      </c>
      <c r="E297" s="122">
        <v>189</v>
      </c>
      <c r="F297" s="134" t="str">
        <f>IF(G293 = "", "L171", IF(G293 &lt; I293, _xlfn.CONCAT("L171-", RIGHT(F293, LEN(F293) - FIND("-", F293))), _xlfn.CONCAT("L171-", RIGHT(H293, LEN(H293) - FIND("-", H293)))))</f>
        <v>L171</v>
      </c>
      <c r="G297" s="170"/>
      <c r="H297" s="134" t="str">
        <f>IF(G294 = "", "L172", IF(G294 &lt; I294, _xlfn.CONCAT("L172-", RIGHT(F294, LEN(F294) - FIND("-", F294))), _xlfn.CONCAT("L172-", RIGHT(H294, LEN(H294) - FIND("-", H294)))))</f>
        <v>L172</v>
      </c>
      <c r="I297" s="170"/>
      <c r="J297" s="134" t="s">
        <v>210</v>
      </c>
      <c r="K297" s="134" t="s">
        <v>213</v>
      </c>
      <c r="L297" s="134" t="str">
        <f t="shared" si="98"/>
        <v>18G-189</v>
      </c>
      <c r="M297" s="106"/>
      <c r="N297" s="106" t="str">
        <f t="shared" ref="N297:N298" si="100">$L$261&amp;C297</f>
        <v>au_3rd</v>
      </c>
      <c r="O297" s="106"/>
      <c r="P297" s="106"/>
      <c r="Q297" s="106"/>
      <c r="R297" s="106"/>
      <c r="S297" s="106"/>
      <c r="T297" s="106"/>
      <c r="U297" s="106"/>
      <c r="V297" s="106"/>
      <c r="W297" s="106"/>
      <c r="X297" s="106"/>
      <c r="Y297" s="106"/>
      <c r="Z297" s="106"/>
    </row>
    <row r="298" spans="1:26" ht="13.5" customHeight="1">
      <c r="A298" s="155">
        <f t="shared" si="88"/>
        <v>46224</v>
      </c>
      <c r="B298" s="156">
        <f>'CHICLETS MASTER S1'!AU79</f>
        <v>0.54166666666666696</v>
      </c>
      <c r="C298" s="122" t="s">
        <v>214</v>
      </c>
      <c r="D298" s="122" t="str">
        <f t="shared" si="97"/>
        <v>CHAPMAN UNIVERSITY</v>
      </c>
      <c r="E298" s="122">
        <v>190</v>
      </c>
      <c r="F298" s="134" t="str">
        <f>IF(G293 = "", "W171", IF(G293 &gt; I293, _xlfn.CONCAT("W171-", RIGHT(F293, LEN(F293) - FIND("-", F293))), _xlfn.CONCAT("W171-", RIGHT(H293, LEN(H293) - FIND("-", H293)))))</f>
        <v>W171</v>
      </c>
      <c r="G298" s="170"/>
      <c r="H298" s="134" t="str">
        <f>IF(G294 = "", "W172", IF(G294 &gt; I294, _xlfn.CONCAT("W172-", RIGHT(F294, LEN(F294) - FIND("-", F294))), _xlfn.CONCAT("W172-", RIGHT(H294, LEN(H294) - FIND("-", H294)))))</f>
        <v>W172</v>
      </c>
      <c r="I298" s="170"/>
      <c r="J298" s="134" t="s">
        <v>214</v>
      </c>
      <c r="K298" s="134" t="s">
        <v>217</v>
      </c>
      <c r="L298" s="134" t="str">
        <f t="shared" si="98"/>
        <v>18G-190</v>
      </c>
      <c r="M298" s="106"/>
      <c r="N298" s="106" t="str">
        <f t="shared" si="100"/>
        <v>au_1st</v>
      </c>
      <c r="O298" s="106"/>
      <c r="P298" s="106"/>
      <c r="Q298" s="106"/>
      <c r="R298" s="106"/>
      <c r="S298" s="106"/>
      <c r="T298" s="106"/>
      <c r="U298" s="106"/>
      <c r="V298" s="106"/>
      <c r="W298" s="106"/>
      <c r="X298" s="106"/>
      <c r="Y298" s="106"/>
      <c r="Z298" s="106"/>
    </row>
    <row r="299" spans="1:26" ht="13.5" customHeight="1" thickBot="1">
      <c r="A299" s="106"/>
      <c r="B299" s="106"/>
      <c r="C299" s="106"/>
      <c r="D299" s="106"/>
      <c r="E299" s="106"/>
      <c r="F299" s="106"/>
      <c r="G299" s="110"/>
      <c r="H299" s="106"/>
      <c r="I299" s="110"/>
      <c r="J299" s="106"/>
      <c r="K299" s="106"/>
      <c r="L299" s="106"/>
      <c r="M299" s="106"/>
      <c r="N299" s="106"/>
      <c r="O299" s="106"/>
      <c r="P299" s="106"/>
      <c r="Q299" s="106"/>
      <c r="R299" s="106"/>
      <c r="S299" s="106"/>
      <c r="T299" s="106"/>
      <c r="U299" s="106"/>
      <c r="V299" s="106"/>
      <c r="W299" s="106"/>
      <c r="X299" s="106"/>
      <c r="Y299" s="106"/>
      <c r="Z299" s="106"/>
    </row>
    <row r="300" spans="1:26" ht="13.5" customHeight="1" thickBot="1">
      <c r="A300" s="106"/>
      <c r="B300" s="106"/>
      <c r="C300" s="106"/>
      <c r="D300" s="150" t="str">
        <f>'CHICLETS MASTER S1'!$B$84</f>
        <v>WOOLLETT LEFT</v>
      </c>
      <c r="E300" s="106"/>
      <c r="F300" s="106"/>
      <c r="G300" s="110"/>
      <c r="H300" s="106"/>
      <c r="I300" s="110"/>
      <c r="J300" s="106"/>
      <c r="K300" s="106"/>
      <c r="L300" s="106"/>
      <c r="M300" s="106"/>
      <c r="N300" s="106"/>
      <c r="O300" s="106"/>
      <c r="P300" s="106"/>
      <c r="Q300" s="106"/>
      <c r="R300" s="106"/>
      <c r="S300" s="106"/>
      <c r="T300" s="106"/>
      <c r="U300" s="106"/>
      <c r="V300" s="106"/>
      <c r="W300" s="106"/>
      <c r="X300" s="106"/>
      <c r="Y300" s="106"/>
      <c r="Z300" s="106"/>
    </row>
    <row r="301" spans="1:26" ht="13.5" customHeight="1">
      <c r="A301" s="301" t="s">
        <v>110</v>
      </c>
      <c r="B301" s="301" t="s">
        <v>111</v>
      </c>
      <c r="C301" s="301" t="s">
        <v>112</v>
      </c>
      <c r="D301" s="301" t="s">
        <v>113</v>
      </c>
      <c r="E301" s="301" t="s">
        <v>114</v>
      </c>
      <c r="F301" s="301" t="s">
        <v>115</v>
      </c>
      <c r="G301" s="302" t="s">
        <v>116</v>
      </c>
      <c r="H301" s="301" t="s">
        <v>117</v>
      </c>
      <c r="I301" s="302" t="s">
        <v>116</v>
      </c>
      <c r="J301" s="301" t="s">
        <v>118</v>
      </c>
      <c r="K301" s="301" t="s">
        <v>119</v>
      </c>
      <c r="L301" s="301" t="s">
        <v>120</v>
      </c>
      <c r="M301" s="106"/>
      <c r="N301" s="106"/>
      <c r="O301" s="106"/>
      <c r="P301" s="106"/>
      <c r="Q301" s="106"/>
      <c r="R301" s="106"/>
      <c r="S301" s="106"/>
      <c r="T301" s="106"/>
      <c r="U301" s="106"/>
      <c r="V301" s="106"/>
      <c r="W301" s="106"/>
      <c r="X301" s="106"/>
      <c r="Y301" s="106"/>
      <c r="Z301" s="106"/>
    </row>
    <row r="302" spans="1:26" ht="13.5" customHeight="1">
      <c r="A302" s="155">
        <f>$A$261</f>
        <v>46224</v>
      </c>
      <c r="B302" s="177">
        <f>'CHICLETS MASTER S1'!A94</f>
        <v>0.69791666666666663</v>
      </c>
      <c r="C302" s="122" t="s">
        <v>210</v>
      </c>
      <c r="D302" s="122" t="str">
        <f>$D$300</f>
        <v>WOOLLETT LEFT</v>
      </c>
      <c r="E302" s="122">
        <v>191</v>
      </c>
      <c r="F302" s="169" t="str">
        <f>IF(G275 = "", "L173", IF(G275 &lt; I275, _xlfn.CONCAT("L173-", RIGHT(F275, LEN(F275) - FIND("-", F275))), _xlfn.CONCAT("L173-", RIGHT(H275, LEN(H275) - FIND("-", H275)))))</f>
        <v>L173</v>
      </c>
      <c r="G302" s="171"/>
      <c r="H302" s="169" t="str">
        <f>IF(G276 = "", "L174", IF(G276 &lt; I276, _xlfn.CONCAT("L174-", RIGHT(F276, LEN(F276) - FIND("-", F276))), _xlfn.CONCAT("L174-", RIGHT(H276, LEN(H276) - FIND("-", H276)))))</f>
        <v>L174</v>
      </c>
      <c r="I302" s="171"/>
      <c r="J302" s="169" t="s">
        <v>210</v>
      </c>
      <c r="K302" s="169" t="s">
        <v>213</v>
      </c>
      <c r="L302" s="169" t="str">
        <f>$L$15&amp;"-"&amp;TEXT(E302,"000")</f>
        <v>18G-191</v>
      </c>
      <c r="M302" s="106"/>
      <c r="N302" s="106" t="str">
        <f>$K$261&amp;C302</f>
        <v>pt_3rd</v>
      </c>
      <c r="O302" s="106"/>
      <c r="P302" s="106"/>
      <c r="Q302" s="106"/>
      <c r="R302" s="106"/>
      <c r="S302" s="106"/>
      <c r="T302" s="106"/>
      <c r="U302" s="106"/>
      <c r="V302" s="106"/>
      <c r="W302" s="106"/>
      <c r="X302" s="106"/>
      <c r="Y302" s="106"/>
      <c r="Z302" s="106"/>
    </row>
    <row r="303" spans="1:26" ht="13.5" customHeight="1" thickBot="1">
      <c r="A303" s="158"/>
      <c r="B303" s="160"/>
      <c r="C303" s="106"/>
      <c r="D303" s="106"/>
      <c r="E303" s="106"/>
      <c r="F303" s="106"/>
      <c r="G303" s="110"/>
      <c r="H303" s="106"/>
      <c r="I303" s="110"/>
      <c r="J303" s="106"/>
      <c r="K303" s="106"/>
      <c r="L303" s="106"/>
      <c r="M303" s="106"/>
      <c r="N303" s="106"/>
      <c r="O303" s="106"/>
      <c r="P303" s="106"/>
      <c r="Q303" s="106"/>
      <c r="R303" s="106"/>
      <c r="S303" s="106"/>
      <c r="T303" s="106"/>
      <c r="U303" s="106"/>
      <c r="V303" s="106"/>
      <c r="W303" s="106"/>
      <c r="X303" s="106"/>
      <c r="Y303" s="106"/>
      <c r="Z303" s="106"/>
    </row>
    <row r="304" spans="1:26" ht="13.5" customHeight="1" thickBot="1">
      <c r="A304" s="106"/>
      <c r="B304" s="106"/>
      <c r="C304" s="106"/>
      <c r="D304" s="150" t="str">
        <f>'CHICLETS MASTER S1'!$C$84</f>
        <v>WOOLLETT RIGHT</v>
      </c>
      <c r="E304" s="106"/>
      <c r="F304" s="106"/>
      <c r="G304" s="110"/>
      <c r="H304" s="106"/>
      <c r="I304" s="110"/>
      <c r="J304" s="106"/>
      <c r="K304" s="106"/>
      <c r="L304" s="106"/>
      <c r="M304" s="106"/>
      <c r="N304" s="106"/>
      <c r="O304" s="106"/>
      <c r="P304" s="106"/>
      <c r="Q304" s="106"/>
      <c r="R304" s="106"/>
      <c r="S304" s="106"/>
      <c r="T304" s="106"/>
      <c r="U304" s="106"/>
      <c r="V304" s="106"/>
      <c r="W304" s="106"/>
      <c r="X304" s="106"/>
      <c r="Y304" s="106"/>
      <c r="Z304" s="106"/>
    </row>
    <row r="305" spans="1:26" ht="13.5" customHeight="1">
      <c r="A305" s="301" t="s">
        <v>110</v>
      </c>
      <c r="B305" s="301" t="s">
        <v>111</v>
      </c>
      <c r="C305" s="301" t="s">
        <v>112</v>
      </c>
      <c r="D305" s="301" t="s">
        <v>113</v>
      </c>
      <c r="E305" s="301" t="s">
        <v>114</v>
      </c>
      <c r="F305" s="301" t="s">
        <v>115</v>
      </c>
      <c r="G305" s="302" t="s">
        <v>116</v>
      </c>
      <c r="H305" s="301" t="s">
        <v>117</v>
      </c>
      <c r="I305" s="302" t="s">
        <v>116</v>
      </c>
      <c r="J305" s="301" t="s">
        <v>118</v>
      </c>
      <c r="K305" s="301" t="s">
        <v>119</v>
      </c>
      <c r="L305" s="301" t="s">
        <v>120</v>
      </c>
      <c r="M305" s="106"/>
      <c r="N305" s="106"/>
      <c r="O305" s="106"/>
      <c r="P305" s="106"/>
      <c r="Q305" s="106"/>
      <c r="R305" s="106"/>
      <c r="S305" s="106"/>
      <c r="T305" s="106"/>
      <c r="U305" s="106"/>
      <c r="V305" s="106"/>
      <c r="W305" s="106"/>
      <c r="X305" s="106"/>
      <c r="Y305" s="106"/>
      <c r="Z305" s="106"/>
    </row>
    <row r="306" spans="1:26" ht="13.5" customHeight="1">
      <c r="A306" s="155">
        <f>$A$261</f>
        <v>46224</v>
      </c>
      <c r="B306" s="177">
        <f>'CHICLETS MASTER S1'!A94</f>
        <v>0.69791666666666663</v>
      </c>
      <c r="C306" s="122" t="s">
        <v>214</v>
      </c>
      <c r="D306" s="122" t="str">
        <f>$D$304</f>
        <v>WOOLLETT RIGHT</v>
      </c>
      <c r="E306" s="122">
        <v>192</v>
      </c>
      <c r="F306" s="169" t="str">
        <f>IF(G275 = "", "W173", IF(G275 &gt; I275, _xlfn.CONCAT("W173-", RIGHT(F275, LEN(F275) - FIND("-", F275))), _xlfn.CONCAT("W173-", RIGHT(H275, LEN(H275) - FIND("-", H275)))))</f>
        <v>W173</v>
      </c>
      <c r="G306" s="171"/>
      <c r="H306" s="169" t="str">
        <f>IF(G276 = "", "W174", IF(G276 &gt; I276, _xlfn.CONCAT("W174-", RIGHT(F276, LEN(F276) - FIND("-", F276))), _xlfn.CONCAT("W174-", RIGHT(H276, LEN(H276) - FIND("-", H276)))))</f>
        <v>W174</v>
      </c>
      <c r="I306" s="171"/>
      <c r="J306" s="169" t="s">
        <v>214</v>
      </c>
      <c r="K306" s="169" t="s">
        <v>217</v>
      </c>
      <c r="L306" s="169" t="str">
        <f>$L$15&amp;"-"&amp;TEXT(E306,"000")</f>
        <v>18G-192</v>
      </c>
      <c r="M306" s="106"/>
      <c r="N306" s="106" t="str">
        <f>$K$261&amp;C306</f>
        <v>pt_1st</v>
      </c>
      <c r="O306" s="106"/>
      <c r="P306" s="106"/>
      <c r="Q306" s="106"/>
      <c r="R306" s="106"/>
      <c r="S306" s="106"/>
      <c r="T306" s="106"/>
      <c r="U306" s="106"/>
      <c r="V306" s="106"/>
      <c r="W306" s="106"/>
      <c r="X306" s="106"/>
      <c r="Y306" s="106"/>
      <c r="Z306" s="106"/>
    </row>
    <row r="307" spans="1:26" ht="13.5" customHeight="1">
      <c r="A307" s="106"/>
      <c r="B307" s="106"/>
      <c r="C307" s="106"/>
      <c r="D307" s="106"/>
      <c r="E307" s="106"/>
      <c r="F307" s="106"/>
      <c r="G307" s="110"/>
      <c r="H307" s="106"/>
      <c r="I307" s="110"/>
      <c r="J307" s="106"/>
      <c r="K307" s="106"/>
      <c r="L307" s="106"/>
      <c r="M307" s="106"/>
      <c r="N307" s="106"/>
      <c r="O307" s="106"/>
      <c r="P307" s="106"/>
      <c r="Q307" s="106"/>
      <c r="R307" s="106"/>
      <c r="S307" s="106"/>
      <c r="T307" s="106"/>
      <c r="U307" s="106"/>
      <c r="V307" s="106"/>
      <c r="W307" s="106"/>
      <c r="X307" s="106"/>
      <c r="Y307" s="106"/>
      <c r="Z307" s="106"/>
    </row>
    <row r="308" spans="1:26" ht="13.5" customHeight="1">
      <c r="A308" s="169" t="s">
        <v>225</v>
      </c>
      <c r="B308" s="109"/>
      <c r="C308" s="134" t="s">
        <v>226</v>
      </c>
      <c r="D308" s="109"/>
      <c r="E308" s="106"/>
      <c r="F308" s="106"/>
      <c r="G308" s="110"/>
      <c r="H308" s="106"/>
      <c r="I308" s="110"/>
      <c r="J308" s="106"/>
      <c r="K308" s="106"/>
      <c r="L308" s="106"/>
      <c r="M308" s="106"/>
      <c r="N308" s="106"/>
      <c r="O308" s="106"/>
      <c r="P308" s="106"/>
      <c r="Q308" s="106"/>
      <c r="R308" s="106"/>
      <c r="S308" s="106"/>
      <c r="T308" s="106"/>
      <c r="U308" s="106"/>
      <c r="V308" s="106"/>
      <c r="W308" s="106"/>
      <c r="X308" s="106"/>
      <c r="Y308" s="106"/>
      <c r="Z308" s="106"/>
    </row>
    <row r="309" spans="1:26" ht="13.5" customHeight="1">
      <c r="A309" s="169" t="s">
        <v>214</v>
      </c>
      <c r="B309" s="178" t="str">
        <f>IF(G306 = "", "W192", IF(G306 &gt; I306, _xlfn.CONCAT("W192-", RIGHT(F306, LEN(F306) - FIND("-", F306))), _xlfn.CONCAT("W192-", RIGHT(H306, LEN(H306) - FIND("-", H306)))))</f>
        <v>W192</v>
      </c>
      <c r="C309" s="134" t="s">
        <v>214</v>
      </c>
      <c r="D309" s="179" t="str">
        <f>IF(G298 = "", "W190", IF(G298 &gt; I298, _xlfn.CONCAT("W190-", RIGHT(F298, LEN(F298) - FIND("-", F298))), _xlfn.CONCAT("W190-", RIGHT(H298, LEN(H298) - FIND("-", H298)))))</f>
        <v>W190</v>
      </c>
      <c r="E309" s="106"/>
      <c r="F309" s="106"/>
      <c r="G309" s="110"/>
      <c r="H309" s="106"/>
      <c r="I309" s="110"/>
      <c r="J309" s="106"/>
      <c r="K309" s="106"/>
      <c r="L309" s="106"/>
      <c r="M309" s="106"/>
      <c r="N309" s="106"/>
      <c r="O309" s="106"/>
      <c r="P309" s="106"/>
      <c r="Q309" s="106"/>
      <c r="R309" s="106"/>
      <c r="S309" s="106"/>
      <c r="T309" s="106"/>
      <c r="U309" s="106"/>
      <c r="V309" s="106"/>
      <c r="W309" s="106"/>
      <c r="X309" s="106"/>
      <c r="Y309" s="106"/>
      <c r="Z309" s="106"/>
    </row>
    <row r="310" spans="1:26" ht="13.5" customHeight="1">
      <c r="A310" s="169" t="s">
        <v>217</v>
      </c>
      <c r="B310" s="180" t="str">
        <f>IF(G306 = "", "L192", IF(G306 &lt; I306, _xlfn.CONCAT("L192-", RIGHT(F306, LEN(F306) - FIND("-", F306))), _xlfn.CONCAT("L192-", RIGHT(H306, LEN(H306) - FIND("-", H306)))))</f>
        <v>L192</v>
      </c>
      <c r="C310" s="134" t="s">
        <v>217</v>
      </c>
      <c r="D310" s="178" t="str">
        <f>IF(G298 = "", "L190", IF(G298 &lt; I298, _xlfn.CONCAT("L190-", RIGHT(F298, LEN(F298) - FIND("-", F298))), _xlfn.CONCAT("L190-", RIGHT(H298, LEN(H298) - FIND("-", H298)))))</f>
        <v>L190</v>
      </c>
      <c r="E310" s="106"/>
      <c r="F310" s="106"/>
      <c r="G310" s="110"/>
      <c r="H310" s="106"/>
      <c r="I310" s="110"/>
      <c r="J310" s="106"/>
      <c r="K310" s="106"/>
      <c r="L310" s="106"/>
      <c r="M310" s="106"/>
      <c r="N310" s="106"/>
      <c r="O310" s="106"/>
      <c r="P310" s="106"/>
      <c r="Q310" s="106"/>
      <c r="R310" s="106"/>
      <c r="S310" s="106"/>
      <c r="T310" s="106"/>
      <c r="U310" s="106"/>
      <c r="V310" s="106"/>
      <c r="W310" s="106"/>
      <c r="X310" s="106"/>
      <c r="Y310" s="106"/>
      <c r="Z310" s="106"/>
    </row>
    <row r="311" spans="1:26" ht="13.5" customHeight="1">
      <c r="A311" s="169" t="s">
        <v>210</v>
      </c>
      <c r="B311" s="178" t="str">
        <f>IF(G302 = "", "W191", IF(G302 &gt; I302, _xlfn.CONCAT("W191-", RIGHT(F302, LEN(F302) - FIND("-", F302))), _xlfn.CONCAT("W191-", RIGHT(H302, LEN(H302) - FIND("-", H302)))))</f>
        <v>W191</v>
      </c>
      <c r="C311" s="134" t="s">
        <v>210</v>
      </c>
      <c r="D311" s="179" t="str">
        <f>IF(G297 = "", "W189", IF(G297 &gt; I297, _xlfn.CONCAT("W189-", RIGHT(F297, LEN(F297) - FIND("-", F297))), _xlfn.CONCAT("W189-", RIGHT(H297, LEN(H297) - FIND("-", H297)))))</f>
        <v>W189</v>
      </c>
      <c r="E311" s="106"/>
      <c r="F311" s="106"/>
      <c r="G311" s="110"/>
      <c r="H311" s="106"/>
      <c r="I311" s="110"/>
      <c r="J311" s="106"/>
      <c r="K311" s="106"/>
      <c r="L311" s="106"/>
      <c r="M311" s="106"/>
      <c r="N311" s="106"/>
      <c r="O311" s="106"/>
      <c r="P311" s="106"/>
      <c r="Q311" s="106"/>
      <c r="R311" s="106"/>
      <c r="S311" s="106"/>
      <c r="T311" s="106"/>
      <c r="U311" s="106"/>
      <c r="V311" s="106"/>
      <c r="W311" s="106"/>
      <c r="X311" s="106"/>
      <c r="Y311" s="106"/>
      <c r="Z311" s="106"/>
    </row>
    <row r="312" spans="1:26" ht="13.5" customHeight="1">
      <c r="A312" s="169" t="s">
        <v>213</v>
      </c>
      <c r="B312" s="178" t="str">
        <f>IF(G302 = "", "L191", IF(G302 &lt; I302, _xlfn.CONCAT("L191-", RIGHT(F302, LEN(F302) - FIND("-", F302))), _xlfn.CONCAT("L191-", RIGHT(H302, LEN(H302) - FIND("-", H302)))))</f>
        <v>L191</v>
      </c>
      <c r="C312" s="134" t="s">
        <v>213</v>
      </c>
      <c r="D312" s="178" t="str">
        <f>IF(G297 = "", "L189", IF(G297 &lt; I297, _xlfn.CONCAT("L189-", RIGHT(F297, LEN(F297) - FIND("-", F297))), _xlfn.CONCAT("L189-", RIGHT(H297, LEN(H297) - FIND("-", H297)))))</f>
        <v>L189</v>
      </c>
      <c r="E312" s="106"/>
      <c r="F312" s="106"/>
      <c r="G312" s="110"/>
      <c r="H312" s="106"/>
      <c r="I312" s="110"/>
      <c r="J312" s="106"/>
      <c r="K312" s="106"/>
      <c r="L312" s="106"/>
      <c r="M312" s="106"/>
      <c r="N312" s="106"/>
      <c r="O312" s="106"/>
      <c r="P312" s="106"/>
      <c r="Q312" s="106"/>
      <c r="R312" s="106"/>
      <c r="S312" s="106"/>
      <c r="T312" s="106"/>
      <c r="U312" s="106"/>
      <c r="V312" s="106"/>
      <c r="W312" s="106"/>
      <c r="X312" s="106"/>
      <c r="Y312" s="106"/>
      <c r="Z312" s="106"/>
    </row>
    <row r="313" spans="1:26" ht="13.5" customHeight="1">
      <c r="A313" s="169" t="s">
        <v>206</v>
      </c>
      <c r="B313" s="178" t="str">
        <f>IF(G274 = "", "W186", IF(G274 &gt; I274, _xlfn.CONCAT("W186-", RIGHT(F274, LEN(F274) - FIND("-", F274))), _xlfn.CONCAT("W186-", RIGHT(H274, LEN(H274) - FIND("-", H274)))))</f>
        <v>W186</v>
      </c>
      <c r="C313" s="134" t="s">
        <v>206</v>
      </c>
      <c r="D313" s="182" t="str">
        <f>IF(G296 = "", "W187", IF(G296 &gt; I296, _xlfn.CONCAT("W187-", RIGHT(F296, LEN(F296) - FIND("-", F296))), _xlfn.CONCAT("W187-", RIGHT(H296, LEN(H296) - FIND("-", H296)))))</f>
        <v>W187</v>
      </c>
      <c r="E313" s="106"/>
      <c r="F313" s="106"/>
      <c r="G313" s="110"/>
      <c r="H313" s="106"/>
      <c r="I313" s="110"/>
      <c r="J313" s="106"/>
      <c r="K313" s="106"/>
      <c r="L313" s="106"/>
      <c r="M313" s="106"/>
      <c r="N313" s="106"/>
      <c r="O313" s="106"/>
      <c r="P313" s="106"/>
      <c r="Q313" s="106"/>
      <c r="R313" s="106"/>
      <c r="S313" s="106"/>
      <c r="T313" s="106"/>
      <c r="U313" s="106"/>
      <c r="V313" s="106"/>
      <c r="W313" s="106"/>
      <c r="X313" s="106"/>
      <c r="Y313" s="106"/>
      <c r="Z313" s="106"/>
    </row>
    <row r="314" spans="1:26" ht="13.5" customHeight="1">
      <c r="A314" s="169" t="s">
        <v>209</v>
      </c>
      <c r="B314" s="180" t="str">
        <f>IF(G274 = "", "L186", IF(G274 &lt; I274, _xlfn.CONCAT("L186-", RIGHT(F274, LEN(F274) - FIND("-", F274))), _xlfn.CONCAT("L186-", RIGHT(H274, LEN(H274) - FIND("-", H274)))))</f>
        <v>L186</v>
      </c>
      <c r="C314" s="134" t="s">
        <v>209</v>
      </c>
      <c r="D314" s="179" t="str">
        <f>IF(G296 = "", "L187", IF(G296 &lt; I296, _xlfn.CONCAT("L187-", RIGHT(F296, LEN(F296) - FIND("-", F296))), _xlfn.CONCAT("L187-", RIGHT(H296, LEN(H296) - FIND("-", H296)))))</f>
        <v>L187</v>
      </c>
      <c r="E314" s="106"/>
      <c r="F314" s="106"/>
      <c r="G314" s="110"/>
      <c r="H314" s="106"/>
      <c r="I314" s="110"/>
      <c r="J314" s="106"/>
      <c r="K314" s="106"/>
      <c r="L314" s="106"/>
      <c r="M314" s="106"/>
      <c r="N314" s="106"/>
      <c r="O314" s="106"/>
      <c r="P314" s="106"/>
      <c r="Q314" s="106"/>
      <c r="R314" s="106"/>
      <c r="S314" s="106"/>
      <c r="T314" s="106"/>
      <c r="U314" s="106"/>
      <c r="V314" s="106"/>
      <c r="W314" s="106"/>
      <c r="X314" s="106"/>
      <c r="Y314" s="106"/>
      <c r="Z314" s="106"/>
    </row>
    <row r="315" spans="1:26" ht="13.5" customHeight="1">
      <c r="A315" s="169" t="s">
        <v>220</v>
      </c>
      <c r="B315" s="178" t="str">
        <f>IF(G273 = "", "W185", IF(G273 &gt; I273, _xlfn.CONCAT("W185-", RIGHT(F273, LEN(F273) - FIND("-", F273))), _xlfn.CONCAT("W185-", RIGHT(H273, LEN(H273) - FIND("-", H273)))))</f>
        <v>W185</v>
      </c>
      <c r="C315" s="134" t="s">
        <v>220</v>
      </c>
      <c r="D315" s="178" t="str">
        <f>IF(G295 = "", "W188", IF(G295 &gt; I295, _xlfn.CONCAT("W188-", RIGHT(F295, LEN(F295) - FIND("-", F295))), _xlfn.CONCAT("W188-", RIGHT(H295, LEN(H295) - FIND("-", H295)))))</f>
        <v>W188</v>
      </c>
      <c r="E315" s="106"/>
      <c r="F315" s="106"/>
      <c r="G315" s="110"/>
      <c r="H315" s="106"/>
      <c r="I315" s="110"/>
      <c r="J315" s="106"/>
      <c r="K315" s="106"/>
      <c r="L315" s="106"/>
      <c r="M315" s="106"/>
      <c r="N315" s="106"/>
      <c r="O315" s="106"/>
      <c r="P315" s="106"/>
      <c r="Q315" s="106"/>
      <c r="R315" s="106"/>
      <c r="S315" s="106"/>
      <c r="T315" s="106"/>
      <c r="U315" s="106"/>
      <c r="V315" s="106"/>
      <c r="W315" s="106"/>
      <c r="X315" s="106"/>
      <c r="Y315" s="106"/>
      <c r="Z315" s="106"/>
    </row>
    <row r="316" spans="1:26" ht="13.5" customHeight="1">
      <c r="A316" s="169" t="s">
        <v>221</v>
      </c>
      <c r="B316" s="180" t="str">
        <f>IF(G273 = "", "L185", IF(G273 &lt; I273, _xlfn.CONCAT("L185-", RIGHT(F273, LEN(F273) - FIND("-", F273))), _xlfn.CONCAT("L185-", RIGHT(H273, LEN(H273) - FIND("-", H273)))))</f>
        <v>L185</v>
      </c>
      <c r="C316" s="134" t="s">
        <v>221</v>
      </c>
      <c r="D316" s="183" t="str">
        <f>IF(G295 = "", "L188", IF(G295 &lt; I295, _xlfn.CONCAT("L188-", RIGHT(F295, LEN(F295) - FIND("-", F295))), _xlfn.CONCAT("L188-", RIGHT(H295, LEN(H295) - FIND("-", H295)))))</f>
        <v>L188</v>
      </c>
      <c r="E316" s="106"/>
      <c r="F316" s="106"/>
      <c r="G316" s="110"/>
      <c r="H316" s="106"/>
      <c r="I316" s="110"/>
      <c r="J316" s="106"/>
      <c r="K316" s="106"/>
      <c r="L316" s="106"/>
      <c r="M316" s="106"/>
      <c r="N316" s="106"/>
      <c r="O316" s="106"/>
      <c r="P316" s="106"/>
      <c r="Q316" s="106"/>
      <c r="R316" s="106"/>
      <c r="S316" s="106"/>
      <c r="T316" s="106"/>
      <c r="U316" s="106"/>
      <c r="V316" s="106"/>
      <c r="W316" s="106"/>
      <c r="X316" s="106"/>
      <c r="Y316" s="106"/>
      <c r="Z316" s="106"/>
    </row>
    <row r="317" spans="1:26" ht="13.5" customHeight="1">
      <c r="A317" s="169" t="s">
        <v>222</v>
      </c>
      <c r="B317" s="178" t="str">
        <f>IF(G277 = "", "W182", IF(G277 &gt; I277, _xlfn.CONCAT("W182-", RIGHT(F277, LEN(F277) - FIND("-", F277))), _xlfn.CONCAT("W182-", RIGHT(H277, LEN(H277) - FIND("-", H277)))))</f>
        <v>W182</v>
      </c>
      <c r="C317" s="134" t="s">
        <v>222</v>
      </c>
      <c r="D317" s="178" t="str">
        <f>IF(G292 = "", "W183", IF(G292 &gt; I292, _xlfn.CONCAT("W183-", RIGHT(F292, LEN(F292) - FIND("-", F292))), _xlfn.CONCAT("W183-", RIGHT(H292, LEN(H292) - FIND("-", H292)))))</f>
        <v>W183</v>
      </c>
      <c r="E317" s="106"/>
      <c r="F317" s="106"/>
      <c r="G317" s="110"/>
      <c r="H317" s="106"/>
      <c r="I317" s="110"/>
      <c r="J317" s="106"/>
      <c r="K317" s="106"/>
      <c r="L317" s="106"/>
      <c r="M317" s="106"/>
      <c r="N317" s="106"/>
      <c r="O317" s="106"/>
      <c r="P317" s="106"/>
      <c r="Q317" s="106"/>
      <c r="R317" s="106"/>
      <c r="S317" s="106"/>
      <c r="T317" s="106"/>
      <c r="U317" s="106"/>
      <c r="V317" s="106"/>
      <c r="W317" s="106"/>
      <c r="X317" s="106"/>
      <c r="Y317" s="106"/>
      <c r="Z317" s="106"/>
    </row>
    <row r="318" spans="1:26" ht="13.5" customHeight="1">
      <c r="A318" s="169" t="s">
        <v>223</v>
      </c>
      <c r="B318" s="180" t="str">
        <f>IF(G277 = "", "L182", IF(G277 &lt; I277, _xlfn.CONCAT("L182-", RIGHT(F277, LEN(F277) - FIND("-", F277))), _xlfn.CONCAT("L182-", RIGHT(H277, LEN(H277) - FIND("-", H277)))))</f>
        <v>L182</v>
      </c>
      <c r="C318" s="134" t="s">
        <v>223</v>
      </c>
      <c r="D318" s="183" t="str">
        <f>IF(G292 = "", "L183", IF(G292 &lt; I292, _xlfn.CONCAT("L183-", RIGHT(F292, LEN(F292) - FIND("-", F292))), _xlfn.CONCAT("L183-", RIGHT(H292, LEN(H292) - FIND("-", H292)))))</f>
        <v>L183</v>
      </c>
      <c r="E318" s="106"/>
      <c r="F318" s="106"/>
      <c r="G318" s="110"/>
      <c r="H318" s="106"/>
      <c r="I318" s="110"/>
      <c r="J318" s="106"/>
      <c r="K318" s="106"/>
      <c r="L318" s="106"/>
      <c r="M318" s="106"/>
      <c r="N318" s="106"/>
      <c r="O318" s="106"/>
      <c r="P318" s="106"/>
      <c r="Q318" s="106"/>
      <c r="R318" s="106"/>
      <c r="S318" s="106"/>
      <c r="T318" s="106"/>
      <c r="U318" s="106"/>
      <c r="V318" s="106"/>
      <c r="W318" s="106"/>
      <c r="X318" s="106"/>
      <c r="Y318" s="106"/>
      <c r="Z318" s="106"/>
    </row>
    <row r="319" spans="1:26" ht="13.5" customHeight="1">
      <c r="A319" s="169" t="s">
        <v>218</v>
      </c>
      <c r="B319" s="178" t="str">
        <f>IF(G278 = "", "W181", IF(G278 &gt; I278, _xlfn.CONCAT("W181-", RIGHT(F278, LEN(F278) - FIND("-", F278))), _xlfn.CONCAT("W181-", RIGHT(H278, LEN(H278) - FIND("-", H278)))))</f>
        <v>W181</v>
      </c>
      <c r="C319" s="134" t="s">
        <v>218</v>
      </c>
      <c r="D319" s="178" t="str">
        <f>IF(G284 = "", "W184", IF(G284 &gt; I284, _xlfn.CONCAT("W184-", RIGHT(F284, LEN(F284) - FIND("-", F284))), _xlfn.CONCAT("W184-", RIGHT(H284, LEN(H284) - FIND("-", H284)))))</f>
        <v>W184</v>
      </c>
      <c r="E319" s="106"/>
      <c r="F319" s="106"/>
      <c r="G319" s="110"/>
      <c r="H319" s="106"/>
      <c r="I319" s="110"/>
      <c r="J319" s="106"/>
      <c r="K319" s="106"/>
      <c r="L319" s="106"/>
      <c r="M319" s="106"/>
      <c r="N319" s="106"/>
      <c r="O319" s="106"/>
      <c r="P319" s="106"/>
      <c r="Q319" s="106"/>
      <c r="R319" s="106"/>
      <c r="S319" s="106"/>
      <c r="T319" s="106"/>
      <c r="U319" s="106"/>
      <c r="V319" s="106"/>
      <c r="W319" s="106"/>
      <c r="X319" s="106"/>
      <c r="Y319" s="106"/>
      <c r="Z319" s="106"/>
    </row>
    <row r="320" spans="1:26" ht="13.5" customHeight="1">
      <c r="A320" s="169" t="s">
        <v>219</v>
      </c>
      <c r="B320" s="180" t="str">
        <f>IF(G278 = "", "L181", IF(G278 &lt; I278, _xlfn.CONCAT("L181-", RIGHT(F278, LEN(F278) - FIND("-", F278))), _xlfn.CONCAT("L181-", RIGHT(H278, LEN(H278) - FIND("-", H278)))))</f>
        <v>L181</v>
      </c>
      <c r="C320" s="134" t="s">
        <v>219</v>
      </c>
      <c r="D320" s="182" t="str">
        <f>IF(G284 = "", "L184", IF(G284 &lt; I284, _xlfn.CONCAT("L184-", RIGHT(F284, LEN(F284) - FIND("-", F284))), _xlfn.CONCAT("L184-", RIGHT(H284, LEN(H284) - FIND("-", H284)))))</f>
        <v>L184</v>
      </c>
      <c r="E320" s="106"/>
      <c r="F320" s="106"/>
      <c r="G320" s="110"/>
      <c r="H320" s="106"/>
      <c r="I320" s="110"/>
      <c r="J320" s="106"/>
      <c r="K320" s="106"/>
      <c r="L320" s="106"/>
      <c r="M320" s="106"/>
      <c r="N320" s="106"/>
      <c r="O320" s="106"/>
      <c r="P320" s="106"/>
      <c r="Q320" s="106"/>
      <c r="R320" s="106"/>
      <c r="S320" s="106"/>
      <c r="T320" s="106"/>
      <c r="U320" s="106"/>
      <c r="V320" s="106"/>
      <c r="W320" s="106"/>
      <c r="X320" s="106"/>
      <c r="Y320" s="106"/>
      <c r="Z320" s="106"/>
    </row>
    <row r="321" spans="1:26" ht="13.5" customHeight="1">
      <c r="A321" s="169" t="s">
        <v>413</v>
      </c>
      <c r="B321" s="178" t="str">
        <f>IF(G266 = "", "W178", IF(G266 &gt; I266, _xlfn.CONCAT("W178-", RIGHT(F266, LEN(F266) - FIND("-", F266))), _xlfn.CONCAT("W178-", RIGHT(H266, LEN(H266) - FIND("-", H266)))))</f>
        <v>W178</v>
      </c>
      <c r="C321" s="134" t="s">
        <v>413</v>
      </c>
      <c r="D321" s="178" t="str">
        <f>IF(G285 = "", "W179", IF(G285 &gt; I285, _xlfn.CONCAT("W179-", RIGHT(F285, LEN(F285) - FIND("-", F285))), _xlfn.CONCAT("W179-", RIGHT(H285, LEN(H285) - FIND("-", H285)))))</f>
        <v>W179</v>
      </c>
      <c r="E321" s="106"/>
      <c r="F321" s="106"/>
      <c r="G321" s="110"/>
      <c r="H321" s="106"/>
      <c r="I321" s="110"/>
      <c r="J321" s="106"/>
      <c r="K321" s="106"/>
      <c r="L321" s="106"/>
      <c r="M321" s="106"/>
      <c r="N321" s="106"/>
      <c r="O321" s="106"/>
      <c r="P321" s="106"/>
      <c r="Q321" s="106"/>
      <c r="R321" s="106"/>
      <c r="S321" s="106"/>
      <c r="T321" s="106"/>
      <c r="U321" s="106"/>
      <c r="V321" s="106"/>
      <c r="W321" s="106"/>
      <c r="X321" s="106"/>
      <c r="Y321" s="106"/>
      <c r="Z321" s="106"/>
    </row>
    <row r="322" spans="1:26" ht="13.5" customHeight="1">
      <c r="A322" s="169" t="s">
        <v>414</v>
      </c>
      <c r="B322" s="180" t="str">
        <f>IF(G266 = "", "L178", IF(G266 &lt; I266, _xlfn.CONCAT("L178-", RIGHT(F266, LEN(F266) - FIND("-", F266))), _xlfn.CONCAT("L178-", RIGHT(H266, LEN(H266) - FIND("-", H266)))))</f>
        <v>L178</v>
      </c>
      <c r="C322" s="134" t="s">
        <v>414</v>
      </c>
      <c r="D322" s="183" t="str">
        <f>IF(G285 = "", "L179", IF(G285 &lt; I285, _xlfn.CONCAT("L179-", RIGHT(F285, LEN(F285) - FIND("-", F285))), _xlfn.CONCAT("L179-", RIGHT(H285, LEN(H285) - FIND("-", H285)))))</f>
        <v>L179</v>
      </c>
      <c r="E322" s="106"/>
      <c r="F322" s="106"/>
      <c r="G322" s="110"/>
      <c r="H322" s="106"/>
      <c r="I322" s="110"/>
      <c r="J322" s="106"/>
      <c r="K322" s="106"/>
      <c r="L322" s="106"/>
      <c r="M322" s="106"/>
      <c r="N322" s="106"/>
      <c r="O322" s="106"/>
      <c r="P322" s="106"/>
      <c r="Q322" s="106"/>
      <c r="R322" s="106"/>
      <c r="S322" s="106"/>
      <c r="T322" s="106"/>
      <c r="U322" s="106"/>
      <c r="V322" s="106"/>
      <c r="W322" s="106"/>
      <c r="X322" s="106"/>
      <c r="Y322" s="106"/>
      <c r="Z322" s="106"/>
    </row>
    <row r="323" spans="1:26" ht="13.5" customHeight="1">
      <c r="A323" s="169" t="s">
        <v>407</v>
      </c>
      <c r="B323" s="178" t="str">
        <f>IF(G267 = "", "W177", IF(G267 &gt; I267, _xlfn.CONCAT("W177-", RIGHT(F267, LEN(F267) - FIND("-", F267))), _xlfn.CONCAT("W177-", RIGHT(H267, LEN(H267) - FIND("-", H267)))))</f>
        <v>W177</v>
      </c>
      <c r="C323" s="134" t="s">
        <v>407</v>
      </c>
      <c r="D323" s="178" t="str">
        <f>IF(G286 = "", "W180", IF(G286 &gt; I286, _xlfn.CONCAT("W180-", RIGHT(F286, LEN(F286) - FIND("-", F286))), _xlfn.CONCAT("W180-", RIGHT(H286, LEN(H286) - FIND("-", H286)))))</f>
        <v>W180</v>
      </c>
      <c r="E323" s="106"/>
      <c r="F323" s="106"/>
      <c r="G323" s="110"/>
      <c r="H323" s="106"/>
      <c r="I323" s="110"/>
      <c r="J323" s="106"/>
      <c r="K323" s="106"/>
      <c r="L323" s="106"/>
      <c r="M323" s="106"/>
      <c r="N323" s="106"/>
      <c r="O323" s="106"/>
      <c r="P323" s="106"/>
      <c r="Q323" s="106"/>
      <c r="R323" s="106"/>
      <c r="S323" s="106"/>
      <c r="T323" s="106"/>
      <c r="U323" s="106"/>
      <c r="V323" s="106"/>
      <c r="W323" s="106"/>
      <c r="X323" s="106"/>
      <c r="Y323" s="106"/>
      <c r="Z323" s="106"/>
    </row>
    <row r="324" spans="1:26" ht="13.5" customHeight="1">
      <c r="A324" s="169" t="s">
        <v>408</v>
      </c>
      <c r="B324" s="180" t="str">
        <f>IF(G267 = "", "L177", IF(G267 &lt; I267, _xlfn.CONCAT("L177-", RIGHT(F267, LEN(F267) - FIND("-", F267))), _xlfn.CONCAT("L177-", RIGHT(H267, LEN(H267) - FIND("-", H267)))))</f>
        <v>L177</v>
      </c>
      <c r="C324" s="134" t="s">
        <v>408</v>
      </c>
      <c r="D324" s="183" t="str">
        <f>IF(G286 = "", "L180", IF(G286 &lt; I286, _xlfn.CONCAT("L180-", RIGHT(F286, LEN(F286) - FIND("-", F286))), _xlfn.CONCAT("L180-", RIGHT(H286, LEN(H286) - FIND("-", H286)))))</f>
        <v>L180</v>
      </c>
      <c r="E324" s="106"/>
      <c r="F324" s="106"/>
      <c r="G324" s="110"/>
      <c r="H324" s="106"/>
      <c r="I324" s="110"/>
      <c r="J324" s="106"/>
      <c r="K324" s="106"/>
      <c r="L324" s="106"/>
      <c r="M324" s="106"/>
      <c r="N324" s="106"/>
      <c r="O324" s="106"/>
      <c r="P324" s="106"/>
      <c r="Q324" s="106"/>
      <c r="R324" s="106"/>
      <c r="S324" s="106"/>
      <c r="T324" s="106"/>
      <c r="U324" s="106"/>
      <c r="V324" s="106"/>
      <c r="W324" s="106"/>
      <c r="X324" s="106"/>
      <c r="Y324" s="106"/>
      <c r="Z324" s="106"/>
    </row>
    <row r="325" spans="1:26" ht="13.5" customHeight="1">
      <c r="A325" s="169" t="s">
        <v>411</v>
      </c>
      <c r="B325" s="178" t="str">
        <f>IF(G268 = "", "W170", IF(G268 &gt; I268, _xlfn.CONCAT("W170-", RIGHT(F268, LEN(F268) - FIND("-", F268))), _xlfn.CONCAT("W170-", RIGHT(H268, LEN(H268) - FIND("-", H268)))))</f>
        <v>W170</v>
      </c>
      <c r="C325" s="134" t="s">
        <v>411</v>
      </c>
      <c r="D325" s="178" t="str">
        <f>IF(G287 = "", "W175", IF(G287 &gt; I287, _xlfn.CONCAT("W175-", RIGHT(F287, LEN(F287) - FIND("-", F287))), _xlfn.CONCAT("W175-", RIGHT(H287, LEN(H287) - FIND("-", H287)))))</f>
        <v>W175</v>
      </c>
      <c r="E325" s="106"/>
      <c r="F325" s="106"/>
      <c r="G325" s="110"/>
      <c r="H325" s="106"/>
      <c r="I325" s="110"/>
      <c r="J325" s="106"/>
      <c r="K325" s="106"/>
      <c r="L325" s="106"/>
      <c r="M325" s="106"/>
      <c r="N325" s="106"/>
      <c r="O325" s="106"/>
      <c r="P325" s="106"/>
      <c r="Q325" s="106"/>
      <c r="R325" s="106"/>
      <c r="S325" s="106"/>
      <c r="T325" s="106"/>
      <c r="U325" s="106"/>
      <c r="V325" s="106"/>
      <c r="W325" s="106"/>
      <c r="X325" s="106"/>
      <c r="Y325" s="106"/>
      <c r="Z325" s="106"/>
    </row>
    <row r="326" spans="1:26" ht="13.5" customHeight="1">
      <c r="A326" s="169" t="s">
        <v>412</v>
      </c>
      <c r="B326" s="180" t="str">
        <f>IF(G268 = "", "L170", IF(G268 &lt; I268, _xlfn.CONCAT("L170-", RIGHT(F268, LEN(F268) - FIND("-", F268))), _xlfn.CONCAT("L170-", RIGHT(H268, LEN(H268) - FIND("-", H268)))))</f>
        <v>L170</v>
      </c>
      <c r="C326" s="134" t="s">
        <v>412</v>
      </c>
      <c r="D326" s="183" t="str">
        <f>IF(G287 = "", "L175", IF(G287 &lt; I287, _xlfn.CONCAT("L175-", RIGHT(F287, LEN(F287) - FIND("-", F287))), _xlfn.CONCAT("L175-", RIGHT(H287, LEN(H287) - FIND("-", H287)))))</f>
        <v>L175</v>
      </c>
      <c r="E326" s="106"/>
      <c r="F326" s="106"/>
      <c r="G326" s="110"/>
      <c r="H326" s="106"/>
      <c r="I326" s="110"/>
      <c r="J326" s="106"/>
      <c r="K326" s="106"/>
      <c r="L326" s="106"/>
      <c r="M326" s="106"/>
      <c r="N326" s="106"/>
      <c r="O326" s="106"/>
      <c r="P326" s="106"/>
      <c r="Q326" s="106"/>
      <c r="R326" s="106"/>
      <c r="S326" s="106"/>
      <c r="T326" s="106"/>
      <c r="U326" s="106"/>
      <c r="V326" s="106"/>
      <c r="W326" s="106"/>
      <c r="X326" s="106"/>
      <c r="Y326" s="106"/>
      <c r="Z326" s="106"/>
    </row>
    <row r="327" spans="1:26" ht="13.5" customHeight="1">
      <c r="A327" s="169" t="s">
        <v>409</v>
      </c>
      <c r="B327" s="179" t="str">
        <f>IF(G269 = "", "W169", IF(G269 &gt; I269, _xlfn.CONCAT("W169-", RIGHT(F269, LEN(F269) - FIND("-", F269))), _xlfn.CONCAT("W169-", RIGHT(H269, LEN(H269) - FIND("-", H269)))))</f>
        <v>W169</v>
      </c>
      <c r="C327" s="134" t="s">
        <v>409</v>
      </c>
      <c r="D327" s="178" t="str">
        <f>IF(G288 = "", "W176", IF(G288 &gt; I288, _xlfn.CONCAT("W176-", RIGHT(F288, LEN(F288) - FIND("-", F288))), _xlfn.CONCAT("W176-", RIGHT(H288, LEN(H288) - FIND("-", H288)))))</f>
        <v>W176</v>
      </c>
      <c r="E327" s="106"/>
      <c r="F327" s="106"/>
      <c r="G327" s="110"/>
      <c r="H327" s="106"/>
      <c r="I327" s="110"/>
      <c r="J327" s="106"/>
      <c r="K327" s="106"/>
      <c r="L327" s="106"/>
      <c r="M327" s="106"/>
      <c r="N327" s="106"/>
      <c r="O327" s="106"/>
      <c r="P327" s="106"/>
      <c r="Q327" s="106"/>
      <c r="R327" s="106"/>
      <c r="S327" s="106"/>
      <c r="T327" s="106"/>
      <c r="U327" s="106"/>
      <c r="V327" s="106"/>
      <c r="W327" s="106"/>
      <c r="X327" s="106"/>
      <c r="Y327" s="106"/>
      <c r="Z327" s="106"/>
    </row>
    <row r="328" spans="1:26" ht="13.5" customHeight="1">
      <c r="A328" s="185" t="s">
        <v>410</v>
      </c>
      <c r="B328" s="179" t="str">
        <f>IF(G269 = "", "L169", IF(G269 &lt; I269, _xlfn.CONCAT("L169-", RIGHT(F269, LEN(F269) - FIND("-", F269))), _xlfn.CONCAT("L169-", RIGHT(H269, LEN(H269) - FIND("-", H269)))))</f>
        <v>L169</v>
      </c>
      <c r="C328" s="174" t="s">
        <v>410</v>
      </c>
      <c r="D328" s="182" t="str">
        <f>IF(G288 = "", "L176", IF(G288 &lt; I288, _xlfn.CONCAT("L176-", RIGHT(F288, LEN(F288) - FIND("-", F288))), _xlfn.CONCAT("L176-", RIGHT(H288, LEN(H288) - FIND("-", H288)))))</f>
        <v>L176</v>
      </c>
      <c r="E328" s="106"/>
      <c r="F328" s="106"/>
      <c r="G328" s="110"/>
      <c r="H328" s="106"/>
      <c r="I328" s="110"/>
      <c r="J328" s="106"/>
      <c r="K328" s="106"/>
      <c r="L328" s="106"/>
      <c r="M328" s="106"/>
      <c r="N328" s="106"/>
      <c r="O328" s="106"/>
      <c r="P328" s="106"/>
      <c r="Q328" s="106"/>
      <c r="R328" s="106"/>
      <c r="S328" s="106"/>
      <c r="T328" s="106"/>
      <c r="U328" s="106"/>
      <c r="V328" s="106"/>
      <c r="W328" s="106"/>
      <c r="X328" s="106"/>
      <c r="Y328" s="106"/>
      <c r="Z328" s="106"/>
    </row>
    <row r="329" spans="1:26" ht="13.5" customHeight="1">
      <c r="A329" s="185" t="s">
        <v>415</v>
      </c>
      <c r="B329" s="113"/>
      <c r="C329" s="187" t="s">
        <v>415</v>
      </c>
      <c r="D329" s="113"/>
      <c r="E329" s="106"/>
      <c r="F329" s="106"/>
      <c r="G329" s="110"/>
      <c r="H329" s="106"/>
      <c r="I329" s="110"/>
      <c r="J329" s="106"/>
      <c r="K329" s="106"/>
      <c r="L329" s="106"/>
      <c r="M329" s="106"/>
      <c r="N329" s="106"/>
      <c r="O329" s="106"/>
      <c r="P329" s="106"/>
      <c r="Q329" s="106"/>
      <c r="R329" s="106"/>
      <c r="S329" s="106"/>
      <c r="T329" s="106"/>
      <c r="U329" s="106"/>
      <c r="V329" s="106"/>
      <c r="W329" s="106"/>
      <c r="X329" s="106"/>
      <c r="Y329" s="106"/>
      <c r="Z329" s="106"/>
    </row>
    <row r="330" spans="1:26" ht="13.5" customHeight="1">
      <c r="A330" s="185" t="s">
        <v>416</v>
      </c>
      <c r="B330" s="188"/>
      <c r="C330" s="187" t="s">
        <v>416</v>
      </c>
      <c r="D330" s="188"/>
      <c r="E330" s="106"/>
      <c r="F330" s="106"/>
      <c r="G330" s="110"/>
      <c r="H330" s="106"/>
      <c r="I330" s="110"/>
      <c r="J330" s="106"/>
      <c r="K330" s="106"/>
      <c r="L330" s="106"/>
      <c r="M330" s="106"/>
      <c r="N330" s="106"/>
      <c r="O330" s="106"/>
      <c r="P330" s="106"/>
      <c r="Q330" s="106"/>
      <c r="R330" s="106"/>
      <c r="S330" s="106"/>
      <c r="T330" s="106"/>
      <c r="U330" s="106"/>
      <c r="V330" s="106"/>
      <c r="W330" s="106"/>
      <c r="X330" s="106"/>
      <c r="Y330" s="106"/>
      <c r="Z330" s="106"/>
    </row>
    <row r="331" spans="1:26" ht="13.5" customHeight="1">
      <c r="A331" s="185" t="s">
        <v>417</v>
      </c>
      <c r="B331" s="188"/>
      <c r="C331" s="187" t="s">
        <v>417</v>
      </c>
      <c r="D331" s="188"/>
      <c r="E331" s="106"/>
      <c r="F331" s="106"/>
      <c r="G331" s="110"/>
      <c r="H331" s="106"/>
      <c r="I331" s="110"/>
      <c r="J331" s="106"/>
      <c r="K331" s="106"/>
      <c r="L331" s="106"/>
      <c r="M331" s="106"/>
      <c r="N331" s="106"/>
      <c r="O331" s="106"/>
      <c r="P331" s="106"/>
      <c r="Q331" s="106"/>
      <c r="R331" s="106"/>
      <c r="S331" s="106"/>
      <c r="T331" s="106"/>
      <c r="U331" s="106"/>
      <c r="V331" s="106"/>
      <c r="W331" s="106"/>
      <c r="X331" s="106"/>
      <c r="Y331" s="106"/>
      <c r="Z331" s="106"/>
    </row>
    <row r="332" spans="1:26" ht="13.5" customHeight="1">
      <c r="A332" s="185" t="s">
        <v>418</v>
      </c>
      <c r="B332" s="188"/>
      <c r="C332" s="187" t="s">
        <v>418</v>
      </c>
      <c r="D332" s="188"/>
      <c r="E332" s="106"/>
      <c r="F332" s="106"/>
      <c r="G332" s="110"/>
      <c r="H332" s="106"/>
      <c r="I332" s="110"/>
      <c r="J332" s="106"/>
      <c r="K332" s="106"/>
      <c r="L332" s="106"/>
      <c r="M332" s="106"/>
      <c r="N332" s="106"/>
      <c r="O332" s="106"/>
      <c r="P332" s="106"/>
      <c r="Q332" s="106"/>
      <c r="R332" s="106"/>
      <c r="S332" s="106"/>
      <c r="T332" s="106"/>
      <c r="U332" s="106"/>
      <c r="V332" s="106"/>
      <c r="W332" s="106"/>
      <c r="X332" s="106"/>
      <c r="Y332" s="106"/>
      <c r="Z332" s="106"/>
    </row>
    <row r="333" spans="1:26" ht="13.5" customHeight="1">
      <c r="A333" s="106"/>
      <c r="B333" s="106"/>
      <c r="C333" s="106"/>
      <c r="D333" s="109"/>
      <c r="E333" s="106"/>
      <c r="F333" s="106"/>
      <c r="G333" s="110"/>
      <c r="H333" s="106"/>
      <c r="I333" s="110"/>
      <c r="J333" s="106"/>
      <c r="K333" s="106"/>
      <c r="L333" s="106"/>
      <c r="M333" s="106"/>
      <c r="N333" s="106"/>
      <c r="O333" s="106"/>
      <c r="P333" s="106"/>
      <c r="Q333" s="106"/>
      <c r="R333" s="106"/>
      <c r="S333" s="106"/>
      <c r="T333" s="106"/>
      <c r="U333" s="106"/>
      <c r="V333" s="106"/>
      <c r="W333" s="106"/>
      <c r="X333" s="106"/>
      <c r="Y333" s="106"/>
      <c r="Z333" s="106"/>
    </row>
    <row r="334" spans="1:26" ht="13.5" customHeight="1">
      <c r="A334" s="106"/>
      <c r="B334" s="109"/>
      <c r="C334" s="106"/>
      <c r="D334" s="106"/>
      <c r="E334" s="106"/>
      <c r="F334" s="106"/>
      <c r="G334" s="110"/>
      <c r="H334" s="106"/>
      <c r="I334" s="110"/>
      <c r="J334" s="106"/>
      <c r="K334" s="106"/>
      <c r="L334" s="106"/>
      <c r="M334" s="106"/>
      <c r="N334" s="106"/>
      <c r="O334" s="106"/>
      <c r="P334" s="106"/>
      <c r="Q334" s="106"/>
      <c r="R334" s="106"/>
      <c r="S334" s="106"/>
      <c r="T334" s="106"/>
      <c r="U334" s="106"/>
      <c r="V334" s="106"/>
      <c r="W334" s="106"/>
      <c r="X334" s="106"/>
      <c r="Y334" s="106"/>
      <c r="Z334" s="106"/>
    </row>
    <row r="335" spans="1:26" ht="13.5" customHeight="1">
      <c r="A335" s="106"/>
      <c r="B335" s="109"/>
      <c r="C335" s="106"/>
      <c r="D335" s="106"/>
      <c r="E335" s="106"/>
      <c r="F335" s="106"/>
      <c r="G335" s="110"/>
      <c r="H335" s="106"/>
      <c r="I335" s="110"/>
      <c r="J335" s="106"/>
      <c r="K335" s="106"/>
      <c r="L335" s="106"/>
      <c r="M335" s="106"/>
      <c r="N335" s="106"/>
      <c r="O335" s="106"/>
      <c r="P335" s="106"/>
      <c r="Q335" s="106"/>
      <c r="R335" s="106"/>
      <c r="S335" s="106"/>
      <c r="T335" s="106"/>
      <c r="U335" s="106"/>
      <c r="V335" s="106"/>
      <c r="W335" s="106"/>
      <c r="X335" s="106"/>
      <c r="Y335" s="106"/>
      <c r="Z335" s="106"/>
    </row>
    <row r="336" spans="1:26" ht="13.5" customHeight="1">
      <c r="A336" s="106"/>
      <c r="B336" s="106"/>
      <c r="C336" s="106"/>
      <c r="D336" s="106"/>
      <c r="E336" s="106"/>
      <c r="F336" s="106"/>
      <c r="G336" s="110"/>
      <c r="H336" s="106"/>
      <c r="I336" s="110"/>
      <c r="J336" s="106"/>
      <c r="K336" s="106"/>
      <c r="L336" s="106"/>
      <c r="M336" s="106"/>
      <c r="N336" s="106"/>
      <c r="O336" s="106"/>
      <c r="P336" s="106"/>
      <c r="Q336" s="106"/>
      <c r="R336" s="106"/>
      <c r="S336" s="106"/>
      <c r="T336" s="106"/>
      <c r="U336" s="106"/>
      <c r="V336" s="106"/>
      <c r="W336" s="106"/>
      <c r="X336" s="106"/>
      <c r="Y336" s="106"/>
      <c r="Z336" s="106"/>
    </row>
    <row r="337" spans="1:26" ht="13.5" customHeight="1">
      <c r="A337" s="106"/>
      <c r="B337" s="106"/>
      <c r="C337" s="106"/>
      <c r="D337" s="106"/>
      <c r="E337" s="106"/>
      <c r="F337" s="106"/>
      <c r="G337" s="110"/>
      <c r="H337" s="106"/>
      <c r="I337" s="110"/>
      <c r="J337" s="106"/>
      <c r="K337" s="106"/>
      <c r="L337" s="106"/>
      <c r="M337" s="106"/>
      <c r="N337" s="106"/>
      <c r="O337" s="106"/>
      <c r="P337" s="106"/>
      <c r="Q337" s="106"/>
      <c r="R337" s="106"/>
      <c r="S337" s="106"/>
      <c r="T337" s="106"/>
      <c r="U337" s="106"/>
      <c r="V337" s="106"/>
      <c r="W337" s="106"/>
      <c r="X337" s="106"/>
      <c r="Y337" s="106"/>
      <c r="Z337" s="106"/>
    </row>
    <row r="338" spans="1:26" ht="13.5" customHeight="1">
      <c r="A338" s="106"/>
      <c r="B338" s="106"/>
      <c r="C338" s="106"/>
      <c r="D338" s="106"/>
      <c r="E338" s="106"/>
      <c r="F338" s="106"/>
      <c r="G338" s="110"/>
      <c r="H338" s="106"/>
      <c r="I338" s="110"/>
      <c r="J338" s="106"/>
      <c r="K338" s="106"/>
      <c r="L338" s="106"/>
      <c r="M338" s="106"/>
      <c r="N338" s="106"/>
      <c r="O338" s="106"/>
      <c r="P338" s="106"/>
      <c r="Q338" s="106"/>
      <c r="R338" s="106"/>
      <c r="S338" s="106"/>
      <c r="T338" s="106"/>
      <c r="U338" s="106"/>
      <c r="V338" s="106"/>
      <c r="W338" s="106"/>
      <c r="X338" s="106"/>
      <c r="Y338" s="106"/>
      <c r="Z338" s="106"/>
    </row>
    <row r="339" spans="1:26" ht="13.5" customHeight="1">
      <c r="A339" s="106"/>
      <c r="B339" s="106"/>
      <c r="C339" s="106"/>
      <c r="D339" s="106"/>
      <c r="E339" s="106"/>
      <c r="F339" s="106"/>
      <c r="G339" s="110"/>
      <c r="H339" s="106"/>
      <c r="I339" s="110"/>
      <c r="J339" s="106"/>
      <c r="K339" s="106"/>
      <c r="L339" s="106"/>
      <c r="M339" s="106"/>
      <c r="N339" s="106"/>
      <c r="O339" s="106"/>
      <c r="P339" s="106"/>
      <c r="Q339" s="106"/>
      <c r="R339" s="106"/>
      <c r="S339" s="106"/>
      <c r="T339" s="106"/>
      <c r="U339" s="106"/>
      <c r="V339" s="106"/>
      <c r="W339" s="106"/>
      <c r="X339" s="106"/>
      <c r="Y339" s="106"/>
      <c r="Z339" s="106"/>
    </row>
    <row r="340" spans="1:26" ht="13.5" customHeight="1">
      <c r="A340" s="106"/>
      <c r="B340" s="106"/>
      <c r="C340" s="106"/>
      <c r="D340" s="106"/>
      <c r="E340" s="106"/>
      <c r="F340" s="106"/>
      <c r="G340" s="110"/>
      <c r="H340" s="106"/>
      <c r="I340" s="110"/>
      <c r="J340" s="106"/>
      <c r="K340" s="106"/>
      <c r="L340" s="106"/>
      <c r="M340" s="106"/>
      <c r="N340" s="106"/>
      <c r="O340" s="106"/>
      <c r="P340" s="106"/>
      <c r="Q340" s="106"/>
      <c r="R340" s="106"/>
      <c r="S340" s="106"/>
      <c r="T340" s="106"/>
      <c r="U340" s="106"/>
      <c r="V340" s="106"/>
      <c r="W340" s="106"/>
      <c r="X340" s="106"/>
      <c r="Y340" s="106"/>
      <c r="Z340" s="106"/>
    </row>
    <row r="341" spans="1:26" ht="13.5" customHeight="1">
      <c r="A341" s="106"/>
      <c r="B341" s="106"/>
      <c r="C341" s="106"/>
      <c r="D341" s="106"/>
      <c r="E341" s="106"/>
      <c r="F341" s="106"/>
      <c r="G341" s="110"/>
      <c r="H341" s="106"/>
      <c r="I341" s="110"/>
      <c r="J341" s="106"/>
      <c r="K341" s="106"/>
      <c r="L341" s="106"/>
      <c r="M341" s="106"/>
      <c r="N341" s="106"/>
      <c r="O341" s="106"/>
      <c r="P341" s="106"/>
      <c r="Q341" s="106"/>
      <c r="R341" s="106"/>
      <c r="S341" s="106"/>
      <c r="T341" s="106"/>
      <c r="U341" s="106"/>
      <c r="V341" s="106"/>
      <c r="W341" s="106"/>
      <c r="X341" s="106"/>
      <c r="Y341" s="106"/>
      <c r="Z341" s="106"/>
    </row>
    <row r="342" spans="1:26" ht="13.5" customHeight="1">
      <c r="A342" s="106"/>
      <c r="B342" s="106"/>
      <c r="C342" s="106"/>
      <c r="D342" s="106"/>
      <c r="E342" s="106"/>
      <c r="F342" s="106"/>
      <c r="G342" s="110"/>
      <c r="H342" s="106"/>
      <c r="I342" s="110"/>
      <c r="J342" s="106"/>
      <c r="K342" s="106"/>
      <c r="L342" s="106"/>
      <c r="M342" s="106"/>
      <c r="N342" s="106"/>
      <c r="O342" s="106"/>
      <c r="P342" s="106"/>
      <c r="Q342" s="106"/>
      <c r="R342" s="106"/>
      <c r="S342" s="106"/>
      <c r="T342" s="106"/>
      <c r="U342" s="106"/>
      <c r="V342" s="106"/>
      <c r="W342" s="106"/>
      <c r="X342" s="106"/>
      <c r="Y342" s="106"/>
      <c r="Z342" s="106"/>
    </row>
    <row r="343" spans="1:26" ht="13.5" customHeight="1">
      <c r="A343" s="106"/>
      <c r="B343" s="106"/>
      <c r="C343" s="106"/>
      <c r="D343" s="106"/>
      <c r="E343" s="106"/>
      <c r="F343" s="106"/>
      <c r="G343" s="110"/>
      <c r="H343" s="106"/>
      <c r="I343" s="110"/>
      <c r="J343" s="106"/>
      <c r="K343" s="106"/>
      <c r="L343" s="106"/>
      <c r="M343" s="106"/>
      <c r="N343" s="106"/>
      <c r="O343" s="106"/>
      <c r="P343" s="106"/>
      <c r="Q343" s="106"/>
      <c r="R343" s="106"/>
      <c r="S343" s="106"/>
      <c r="T343" s="106"/>
      <c r="U343" s="106"/>
      <c r="V343" s="106"/>
      <c r="W343" s="106"/>
      <c r="X343" s="106"/>
      <c r="Y343" s="106"/>
      <c r="Z343" s="106"/>
    </row>
    <row r="344" spans="1:26" ht="13.5" customHeight="1">
      <c r="A344" s="106"/>
      <c r="B344" s="106"/>
      <c r="C344" s="106"/>
      <c r="D344" s="106"/>
      <c r="E344" s="106"/>
      <c r="F344" s="106"/>
      <c r="G344" s="110"/>
      <c r="H344" s="106"/>
      <c r="I344" s="110"/>
      <c r="J344" s="106"/>
      <c r="K344" s="106"/>
      <c r="L344" s="106"/>
      <c r="M344" s="106"/>
      <c r="N344" s="106"/>
      <c r="O344" s="106"/>
      <c r="P344" s="106"/>
      <c r="Q344" s="106"/>
      <c r="R344" s="106"/>
      <c r="S344" s="106"/>
      <c r="T344" s="106"/>
      <c r="U344" s="106"/>
      <c r="V344" s="106"/>
      <c r="W344" s="106"/>
      <c r="X344" s="106"/>
      <c r="Y344" s="106"/>
      <c r="Z344" s="106"/>
    </row>
    <row r="345" spans="1:26" ht="13.5" customHeight="1">
      <c r="A345" s="106"/>
      <c r="B345" s="106"/>
      <c r="C345" s="106"/>
      <c r="D345" s="106"/>
      <c r="E345" s="106"/>
      <c r="F345" s="106"/>
      <c r="G345" s="110"/>
      <c r="H345" s="106"/>
      <c r="I345" s="110"/>
      <c r="J345" s="106"/>
      <c r="K345" s="106"/>
      <c r="L345" s="106"/>
      <c r="M345" s="106"/>
      <c r="N345" s="106"/>
      <c r="O345" s="106"/>
      <c r="P345" s="106"/>
      <c r="Q345" s="106"/>
      <c r="R345" s="106"/>
      <c r="S345" s="106"/>
      <c r="T345" s="106"/>
      <c r="U345" s="106"/>
      <c r="V345" s="106"/>
      <c r="W345" s="106"/>
      <c r="X345" s="106"/>
      <c r="Y345" s="106"/>
      <c r="Z345" s="106"/>
    </row>
    <row r="346" spans="1:26" ht="13.5" customHeight="1">
      <c r="A346" s="106"/>
      <c r="B346" s="106"/>
      <c r="C346" s="106"/>
      <c r="D346" s="106"/>
      <c r="E346" s="106"/>
      <c r="F346" s="106"/>
      <c r="G346" s="110"/>
      <c r="H346" s="106"/>
      <c r="I346" s="110"/>
      <c r="J346" s="106"/>
      <c r="K346" s="106"/>
      <c r="L346" s="106"/>
      <c r="M346" s="106"/>
      <c r="N346" s="106"/>
      <c r="O346" s="106"/>
      <c r="P346" s="106"/>
      <c r="Q346" s="106"/>
      <c r="R346" s="106"/>
      <c r="S346" s="106"/>
      <c r="T346" s="106"/>
      <c r="U346" s="106"/>
      <c r="V346" s="106"/>
      <c r="W346" s="106"/>
      <c r="X346" s="106"/>
      <c r="Y346" s="106"/>
      <c r="Z346" s="106"/>
    </row>
    <row r="347" spans="1:26" ht="13.5" customHeight="1">
      <c r="A347" s="106"/>
      <c r="B347" s="106"/>
      <c r="C347" s="106"/>
      <c r="D347" s="106"/>
      <c r="E347" s="106"/>
      <c r="F347" s="106"/>
      <c r="G347" s="110"/>
      <c r="H347" s="106"/>
      <c r="I347" s="110"/>
      <c r="J347" s="106"/>
      <c r="K347" s="106"/>
      <c r="L347" s="106"/>
      <c r="M347" s="106"/>
      <c r="N347" s="106"/>
      <c r="O347" s="106"/>
      <c r="P347" s="106"/>
      <c r="Q347" s="106"/>
      <c r="R347" s="106"/>
      <c r="S347" s="106"/>
      <c r="T347" s="106"/>
      <c r="U347" s="106"/>
      <c r="V347" s="106"/>
      <c r="W347" s="106"/>
      <c r="X347" s="106"/>
      <c r="Y347" s="106"/>
      <c r="Z347" s="106"/>
    </row>
    <row r="348" spans="1:26" ht="13.5" customHeight="1">
      <c r="A348" s="106"/>
      <c r="B348" s="106"/>
      <c r="C348" s="106"/>
      <c r="D348" s="106"/>
      <c r="E348" s="106"/>
      <c r="F348" s="106"/>
      <c r="G348" s="110"/>
      <c r="H348" s="106"/>
      <c r="I348" s="110"/>
      <c r="J348" s="106"/>
      <c r="K348" s="106"/>
      <c r="L348" s="106"/>
      <c r="M348" s="106"/>
      <c r="N348" s="106"/>
      <c r="O348" s="106"/>
      <c r="P348" s="106"/>
      <c r="Q348" s="106"/>
      <c r="R348" s="106"/>
      <c r="S348" s="106"/>
      <c r="T348" s="106"/>
      <c r="U348" s="106"/>
      <c r="V348" s="106"/>
      <c r="W348" s="106"/>
      <c r="X348" s="106"/>
      <c r="Y348" s="106"/>
      <c r="Z348" s="106"/>
    </row>
    <row r="349" spans="1:26" ht="13.5" customHeight="1">
      <c r="A349" s="106"/>
      <c r="B349" s="106"/>
      <c r="C349" s="106"/>
      <c r="D349" s="106"/>
      <c r="E349" s="106"/>
      <c r="F349" s="106"/>
      <c r="G349" s="110"/>
      <c r="H349" s="106"/>
      <c r="I349" s="110"/>
      <c r="J349" s="106"/>
      <c r="K349" s="106"/>
      <c r="L349" s="106"/>
      <c r="M349" s="106"/>
      <c r="N349" s="106"/>
      <c r="O349" s="106"/>
      <c r="P349" s="106"/>
      <c r="Q349" s="106"/>
      <c r="R349" s="106"/>
      <c r="S349" s="106"/>
      <c r="T349" s="106"/>
      <c r="U349" s="106"/>
      <c r="V349" s="106"/>
      <c r="W349" s="106"/>
      <c r="X349" s="106"/>
      <c r="Y349" s="106"/>
      <c r="Z349" s="106"/>
    </row>
    <row r="350" spans="1:26" ht="13.5" customHeight="1">
      <c r="A350" s="106"/>
      <c r="B350" s="106"/>
      <c r="C350" s="106"/>
      <c r="D350" s="106"/>
      <c r="E350" s="106"/>
      <c r="F350" s="106"/>
      <c r="G350" s="110"/>
      <c r="H350" s="106"/>
      <c r="I350" s="110"/>
      <c r="J350" s="106"/>
      <c r="K350" s="106"/>
      <c r="L350" s="106"/>
      <c r="M350" s="106"/>
      <c r="N350" s="106"/>
      <c r="O350" s="106"/>
      <c r="P350" s="106"/>
      <c r="Q350" s="106"/>
      <c r="R350" s="106"/>
      <c r="S350" s="106"/>
      <c r="T350" s="106"/>
      <c r="U350" s="106"/>
      <c r="V350" s="106"/>
      <c r="W350" s="106"/>
      <c r="X350" s="106"/>
      <c r="Y350" s="106"/>
      <c r="Z350" s="106"/>
    </row>
    <row r="351" spans="1:26" ht="13.5" customHeight="1">
      <c r="A351" s="106"/>
      <c r="B351" s="106"/>
      <c r="C351" s="106"/>
      <c r="D351" s="106"/>
      <c r="E351" s="106"/>
      <c r="F351" s="106"/>
      <c r="G351" s="110"/>
      <c r="H351" s="106"/>
      <c r="I351" s="110"/>
      <c r="J351" s="106"/>
      <c r="K351" s="106"/>
      <c r="L351" s="106"/>
      <c r="M351" s="106"/>
      <c r="N351" s="106"/>
      <c r="O351" s="106"/>
      <c r="P351" s="106"/>
      <c r="Q351" s="106"/>
      <c r="R351" s="106"/>
      <c r="S351" s="106"/>
      <c r="T351" s="106"/>
      <c r="U351" s="106"/>
      <c r="V351" s="106"/>
      <c r="W351" s="106"/>
      <c r="X351" s="106"/>
      <c r="Y351" s="106"/>
      <c r="Z351" s="106"/>
    </row>
    <row r="352" spans="1:26" ht="13.5" customHeight="1">
      <c r="A352" s="106"/>
      <c r="B352" s="106"/>
      <c r="C352" s="106"/>
      <c r="D352" s="106"/>
      <c r="E352" s="106"/>
      <c r="F352" s="106"/>
      <c r="G352" s="110"/>
      <c r="H352" s="106"/>
      <c r="I352" s="110"/>
      <c r="J352" s="106"/>
      <c r="K352" s="106"/>
      <c r="L352" s="106"/>
      <c r="M352" s="106"/>
      <c r="N352" s="106"/>
      <c r="O352" s="106"/>
      <c r="P352" s="106"/>
      <c r="Q352" s="106"/>
      <c r="R352" s="106"/>
      <c r="S352" s="106"/>
      <c r="T352" s="106"/>
      <c r="U352" s="106"/>
      <c r="V352" s="106"/>
      <c r="W352" s="106"/>
      <c r="X352" s="106"/>
      <c r="Y352" s="106"/>
      <c r="Z352" s="106"/>
    </row>
    <row r="353" spans="1:26" ht="13.5" customHeight="1">
      <c r="A353" s="106"/>
      <c r="B353" s="106"/>
      <c r="C353" s="106"/>
      <c r="D353" s="106"/>
      <c r="E353" s="106"/>
      <c r="F353" s="106"/>
      <c r="G353" s="110"/>
      <c r="H353" s="106"/>
      <c r="I353" s="110"/>
      <c r="J353" s="106"/>
      <c r="K353" s="106"/>
      <c r="L353" s="106"/>
      <c r="M353" s="106"/>
      <c r="N353" s="106"/>
      <c r="O353" s="106"/>
      <c r="P353" s="106"/>
      <c r="Q353" s="106"/>
      <c r="R353" s="106"/>
      <c r="S353" s="106"/>
      <c r="T353" s="106"/>
      <c r="U353" s="106"/>
      <c r="V353" s="106"/>
      <c r="W353" s="106"/>
      <c r="X353" s="106"/>
      <c r="Y353" s="106"/>
      <c r="Z353" s="106"/>
    </row>
    <row r="354" spans="1:26" ht="13.5" customHeight="1">
      <c r="A354" s="106"/>
      <c r="B354" s="106"/>
      <c r="C354" s="106"/>
      <c r="D354" s="106"/>
      <c r="E354" s="106"/>
      <c r="F354" s="106"/>
      <c r="G354" s="110"/>
      <c r="H354" s="106"/>
      <c r="I354" s="110"/>
      <c r="J354" s="106"/>
      <c r="K354" s="106"/>
      <c r="L354" s="106"/>
      <c r="M354" s="106"/>
      <c r="N354" s="106"/>
      <c r="O354" s="106"/>
      <c r="P354" s="106"/>
      <c r="Q354" s="106"/>
      <c r="R354" s="106"/>
      <c r="S354" s="106"/>
      <c r="T354" s="106"/>
      <c r="U354" s="106"/>
      <c r="V354" s="106"/>
      <c r="W354" s="106"/>
      <c r="X354" s="106"/>
      <c r="Y354" s="106"/>
      <c r="Z354" s="106"/>
    </row>
    <row r="355" spans="1:26" ht="13.5" customHeight="1">
      <c r="A355" s="106"/>
      <c r="B355" s="106"/>
      <c r="C355" s="106"/>
      <c r="D355" s="106"/>
      <c r="E355" s="106"/>
      <c r="F355" s="106"/>
      <c r="G355" s="110"/>
      <c r="H355" s="106"/>
      <c r="I355" s="110"/>
      <c r="J355" s="106"/>
      <c r="K355" s="106"/>
      <c r="L355" s="106"/>
      <c r="M355" s="106"/>
      <c r="N355" s="106"/>
      <c r="O355" s="106"/>
      <c r="P355" s="106"/>
      <c r="Q355" s="106"/>
      <c r="R355" s="106"/>
      <c r="S355" s="106"/>
      <c r="T355" s="106"/>
      <c r="U355" s="106"/>
      <c r="V355" s="106"/>
      <c r="W355" s="106"/>
      <c r="X355" s="106"/>
      <c r="Y355" s="106"/>
      <c r="Z355" s="106"/>
    </row>
    <row r="356" spans="1:26" ht="13.5" customHeight="1">
      <c r="A356" s="106"/>
      <c r="B356" s="106"/>
      <c r="C356" s="106"/>
      <c r="D356" s="106"/>
      <c r="E356" s="106"/>
      <c r="F356" s="106"/>
      <c r="G356" s="110"/>
      <c r="H356" s="106"/>
      <c r="I356" s="110"/>
      <c r="J356" s="106"/>
      <c r="K356" s="106"/>
      <c r="L356" s="106"/>
      <c r="M356" s="106"/>
      <c r="N356" s="106"/>
      <c r="O356" s="106"/>
      <c r="P356" s="106"/>
      <c r="Q356" s="106"/>
      <c r="R356" s="106"/>
      <c r="S356" s="106"/>
      <c r="T356" s="106"/>
      <c r="U356" s="106"/>
      <c r="V356" s="106"/>
      <c r="W356" s="106"/>
      <c r="X356" s="106"/>
      <c r="Y356" s="106"/>
      <c r="Z356" s="106"/>
    </row>
    <row r="357" spans="1:26" ht="13.5" customHeight="1">
      <c r="A357" s="106"/>
      <c r="B357" s="106"/>
      <c r="C357" s="106"/>
      <c r="D357" s="106"/>
      <c r="E357" s="106"/>
      <c r="F357" s="106"/>
      <c r="G357" s="110"/>
      <c r="H357" s="106"/>
      <c r="I357" s="110"/>
      <c r="J357" s="106"/>
      <c r="K357" s="106"/>
      <c r="L357" s="106"/>
      <c r="M357" s="106"/>
      <c r="N357" s="106"/>
      <c r="O357" s="106"/>
      <c r="P357" s="106"/>
      <c r="Q357" s="106"/>
      <c r="R357" s="106"/>
      <c r="S357" s="106"/>
      <c r="T357" s="106"/>
      <c r="U357" s="106"/>
      <c r="V357" s="106"/>
      <c r="W357" s="106"/>
      <c r="X357" s="106"/>
      <c r="Y357" s="106"/>
      <c r="Z357" s="106"/>
    </row>
    <row r="358" spans="1:26" ht="13.5" customHeight="1">
      <c r="A358" s="106"/>
      <c r="B358" s="106"/>
      <c r="C358" s="106"/>
      <c r="D358" s="106"/>
      <c r="E358" s="106"/>
      <c r="F358" s="106"/>
      <c r="G358" s="110"/>
      <c r="H358" s="106"/>
      <c r="I358" s="110"/>
      <c r="J358" s="106"/>
      <c r="K358" s="106"/>
      <c r="L358" s="106"/>
      <c r="M358" s="106"/>
      <c r="N358" s="106"/>
      <c r="O358" s="106"/>
      <c r="P358" s="106"/>
      <c r="Q358" s="106"/>
      <c r="R358" s="106"/>
      <c r="S358" s="106"/>
      <c r="T358" s="106"/>
      <c r="U358" s="106"/>
      <c r="V358" s="106"/>
      <c r="W358" s="106"/>
      <c r="X358" s="106"/>
      <c r="Y358" s="106"/>
      <c r="Z358" s="106"/>
    </row>
    <row r="359" spans="1:26" ht="13.5" customHeight="1">
      <c r="A359" s="106"/>
      <c r="B359" s="106"/>
      <c r="C359" s="106"/>
      <c r="D359" s="106"/>
      <c r="E359" s="106"/>
      <c r="F359" s="106"/>
      <c r="G359" s="110"/>
      <c r="H359" s="106"/>
      <c r="I359" s="110"/>
      <c r="J359" s="106"/>
      <c r="K359" s="106"/>
      <c r="L359" s="106"/>
      <c r="M359" s="106"/>
      <c r="N359" s="106"/>
      <c r="O359" s="106"/>
      <c r="P359" s="106"/>
      <c r="Q359" s="106"/>
      <c r="R359" s="106"/>
      <c r="S359" s="106"/>
      <c r="T359" s="106"/>
      <c r="U359" s="106"/>
      <c r="V359" s="106"/>
      <c r="W359" s="106"/>
      <c r="X359" s="106"/>
      <c r="Y359" s="106"/>
      <c r="Z359" s="106"/>
    </row>
    <row r="360" spans="1:26" ht="13.5" customHeight="1">
      <c r="A360" s="106"/>
      <c r="B360" s="106"/>
      <c r="C360" s="106"/>
      <c r="D360" s="106"/>
      <c r="E360" s="106"/>
      <c r="F360" s="106"/>
      <c r="G360" s="110"/>
      <c r="H360" s="106"/>
      <c r="I360" s="110"/>
      <c r="J360" s="106"/>
      <c r="K360" s="106"/>
      <c r="L360" s="106"/>
      <c r="M360" s="106"/>
      <c r="N360" s="106"/>
      <c r="O360" s="106"/>
      <c r="P360" s="106"/>
      <c r="Q360" s="106"/>
      <c r="R360" s="106"/>
      <c r="S360" s="106"/>
      <c r="T360" s="106"/>
      <c r="U360" s="106"/>
      <c r="V360" s="106"/>
      <c r="W360" s="106"/>
      <c r="X360" s="106"/>
      <c r="Y360" s="106"/>
      <c r="Z360" s="106"/>
    </row>
    <row r="361" spans="1:26" ht="13.5" customHeight="1">
      <c r="A361" s="106"/>
      <c r="B361" s="106"/>
      <c r="C361" s="106"/>
      <c r="D361" s="106"/>
      <c r="E361" s="106"/>
      <c r="F361" s="106"/>
      <c r="G361" s="110"/>
      <c r="H361" s="106"/>
      <c r="I361" s="110"/>
      <c r="J361" s="106"/>
      <c r="K361" s="106"/>
      <c r="L361" s="106"/>
      <c r="M361" s="106"/>
      <c r="N361" s="106"/>
      <c r="O361" s="106"/>
      <c r="P361" s="106"/>
      <c r="Q361" s="106"/>
      <c r="R361" s="106"/>
      <c r="S361" s="106"/>
      <c r="T361" s="106"/>
      <c r="U361" s="106"/>
      <c r="V361" s="106"/>
      <c r="W361" s="106"/>
      <c r="X361" s="106"/>
      <c r="Y361" s="106"/>
      <c r="Z361" s="106"/>
    </row>
    <row r="362" spans="1:26" ht="13.5" customHeight="1">
      <c r="A362" s="106"/>
      <c r="B362" s="106"/>
      <c r="C362" s="106"/>
      <c r="D362" s="106"/>
      <c r="E362" s="106"/>
      <c r="F362" s="106"/>
      <c r="G362" s="110"/>
      <c r="H362" s="106"/>
      <c r="I362" s="110"/>
      <c r="J362" s="106"/>
      <c r="K362" s="106"/>
      <c r="L362" s="106"/>
      <c r="M362" s="106"/>
      <c r="N362" s="106"/>
      <c r="O362" s="106"/>
      <c r="P362" s="106"/>
      <c r="Q362" s="106"/>
      <c r="R362" s="106"/>
      <c r="S362" s="106"/>
      <c r="T362" s="106"/>
      <c r="U362" s="106"/>
      <c r="V362" s="106"/>
      <c r="W362" s="106"/>
      <c r="X362" s="106"/>
      <c r="Y362" s="106"/>
      <c r="Z362" s="106"/>
    </row>
    <row r="363" spans="1:26" ht="13.5" customHeight="1">
      <c r="A363" s="106"/>
      <c r="B363" s="106"/>
      <c r="C363" s="106"/>
      <c r="D363" s="106"/>
      <c r="E363" s="106"/>
      <c r="F363" s="106"/>
      <c r="G363" s="110"/>
      <c r="H363" s="106"/>
      <c r="I363" s="110"/>
      <c r="J363" s="106"/>
      <c r="K363" s="106"/>
      <c r="L363" s="106"/>
      <c r="M363" s="106"/>
      <c r="N363" s="106"/>
      <c r="O363" s="106"/>
      <c r="P363" s="106"/>
      <c r="Q363" s="106"/>
      <c r="R363" s="106"/>
      <c r="S363" s="106"/>
      <c r="T363" s="106"/>
      <c r="U363" s="106"/>
      <c r="V363" s="106"/>
      <c r="W363" s="106"/>
      <c r="X363" s="106"/>
      <c r="Y363" s="106"/>
      <c r="Z363" s="106"/>
    </row>
    <row r="364" spans="1:26" ht="13.5" customHeight="1">
      <c r="A364" s="106"/>
      <c r="B364" s="106"/>
      <c r="C364" s="106"/>
      <c r="D364" s="106"/>
      <c r="E364" s="106"/>
      <c r="F364" s="106"/>
      <c r="G364" s="110"/>
      <c r="H364" s="106"/>
      <c r="I364" s="110"/>
      <c r="J364" s="106"/>
      <c r="K364" s="106"/>
      <c r="L364" s="106"/>
      <c r="M364" s="106"/>
      <c r="N364" s="106"/>
      <c r="O364" s="106"/>
      <c r="P364" s="106"/>
      <c r="Q364" s="106"/>
      <c r="R364" s="106"/>
      <c r="S364" s="106"/>
      <c r="T364" s="106"/>
      <c r="U364" s="106"/>
      <c r="V364" s="106"/>
      <c r="W364" s="106"/>
      <c r="X364" s="106"/>
      <c r="Y364" s="106"/>
      <c r="Z364" s="106"/>
    </row>
    <row r="365" spans="1:26" ht="13.5" customHeight="1">
      <c r="A365" s="106"/>
      <c r="B365" s="106"/>
      <c r="C365" s="106"/>
      <c r="D365" s="106"/>
      <c r="E365" s="106"/>
      <c r="F365" s="106"/>
      <c r="G365" s="110"/>
      <c r="H365" s="106"/>
      <c r="I365" s="110"/>
      <c r="J365" s="106"/>
      <c r="K365" s="106"/>
      <c r="L365" s="106"/>
      <c r="M365" s="106"/>
      <c r="N365" s="106"/>
      <c r="O365" s="106"/>
      <c r="P365" s="106"/>
      <c r="Q365" s="106"/>
      <c r="R365" s="106"/>
      <c r="S365" s="106"/>
      <c r="T365" s="106"/>
      <c r="U365" s="106"/>
      <c r="V365" s="106"/>
      <c r="W365" s="106"/>
      <c r="X365" s="106"/>
      <c r="Y365" s="106"/>
      <c r="Z365" s="106"/>
    </row>
    <row r="366" spans="1:26" ht="13.5" customHeight="1">
      <c r="A366" s="106"/>
      <c r="B366" s="106"/>
      <c r="C366" s="106"/>
      <c r="D366" s="106"/>
      <c r="E366" s="106"/>
      <c r="F366" s="106"/>
      <c r="G366" s="110"/>
      <c r="H366" s="106"/>
      <c r="I366" s="110"/>
      <c r="J366" s="106"/>
      <c r="K366" s="106"/>
      <c r="L366" s="106"/>
      <c r="M366" s="106"/>
      <c r="N366" s="106"/>
      <c r="O366" s="106"/>
      <c r="P366" s="106"/>
      <c r="Q366" s="106"/>
      <c r="R366" s="106"/>
      <c r="S366" s="106"/>
      <c r="T366" s="106"/>
      <c r="U366" s="106"/>
      <c r="V366" s="106"/>
      <c r="W366" s="106"/>
      <c r="X366" s="106"/>
      <c r="Y366" s="106"/>
      <c r="Z366" s="106"/>
    </row>
    <row r="367" spans="1:26" ht="13.5" customHeight="1">
      <c r="A367" s="106"/>
      <c r="B367" s="106"/>
      <c r="C367" s="106"/>
      <c r="D367" s="106"/>
      <c r="E367" s="106"/>
      <c r="F367" s="106"/>
      <c r="G367" s="110"/>
      <c r="H367" s="106"/>
      <c r="I367" s="110"/>
      <c r="J367" s="106"/>
      <c r="K367" s="106"/>
      <c r="L367" s="106"/>
      <c r="M367" s="106"/>
      <c r="N367" s="106"/>
      <c r="O367" s="106"/>
      <c r="P367" s="106"/>
      <c r="Q367" s="106"/>
      <c r="R367" s="106"/>
      <c r="S367" s="106"/>
      <c r="T367" s="106"/>
      <c r="U367" s="106"/>
      <c r="V367" s="106"/>
      <c r="W367" s="106"/>
      <c r="X367" s="106"/>
      <c r="Y367" s="106"/>
      <c r="Z367" s="106"/>
    </row>
    <row r="368" spans="1:26" ht="13.5" customHeight="1">
      <c r="A368" s="106"/>
      <c r="B368" s="106"/>
      <c r="C368" s="106"/>
      <c r="D368" s="106"/>
      <c r="E368" s="106"/>
      <c r="F368" s="106"/>
      <c r="G368" s="110"/>
      <c r="H368" s="106"/>
      <c r="I368" s="110"/>
      <c r="J368" s="106"/>
      <c r="K368" s="106"/>
      <c r="L368" s="106"/>
      <c r="M368" s="106"/>
      <c r="N368" s="106"/>
      <c r="O368" s="106"/>
      <c r="P368" s="106"/>
      <c r="Q368" s="106"/>
      <c r="R368" s="106"/>
      <c r="S368" s="106"/>
      <c r="T368" s="106"/>
      <c r="U368" s="106"/>
      <c r="V368" s="106"/>
      <c r="W368" s="106"/>
      <c r="X368" s="106"/>
      <c r="Y368" s="106"/>
      <c r="Z368" s="106"/>
    </row>
    <row r="369" spans="1:26" ht="13.5" customHeight="1">
      <c r="A369" s="106"/>
      <c r="B369" s="106"/>
      <c r="C369" s="106"/>
      <c r="D369" s="106"/>
      <c r="E369" s="106"/>
      <c r="F369" s="106"/>
      <c r="G369" s="110"/>
      <c r="H369" s="106"/>
      <c r="I369" s="110"/>
      <c r="J369" s="106"/>
      <c r="K369" s="106"/>
      <c r="L369" s="106"/>
      <c r="M369" s="106"/>
      <c r="N369" s="106"/>
      <c r="O369" s="106"/>
      <c r="P369" s="106"/>
      <c r="Q369" s="106"/>
      <c r="R369" s="106"/>
      <c r="S369" s="106"/>
      <c r="T369" s="106"/>
      <c r="U369" s="106"/>
      <c r="V369" s="106"/>
      <c r="W369" s="106"/>
      <c r="X369" s="106"/>
      <c r="Y369" s="106"/>
      <c r="Z369" s="106"/>
    </row>
    <row r="370" spans="1:26" ht="13.5" customHeight="1">
      <c r="A370" s="106"/>
      <c r="B370" s="106"/>
      <c r="C370" s="106"/>
      <c r="D370" s="106"/>
      <c r="E370" s="106"/>
      <c r="F370" s="106"/>
      <c r="G370" s="110"/>
      <c r="H370" s="106"/>
      <c r="I370" s="110"/>
      <c r="J370" s="106"/>
      <c r="K370" s="106"/>
      <c r="L370" s="106"/>
      <c r="M370" s="106"/>
      <c r="N370" s="106"/>
      <c r="O370" s="106"/>
      <c r="P370" s="106"/>
      <c r="Q370" s="106"/>
      <c r="R370" s="106"/>
      <c r="S370" s="106"/>
      <c r="T370" s="106"/>
      <c r="U370" s="106"/>
      <c r="V370" s="106"/>
      <c r="W370" s="106"/>
      <c r="X370" s="106"/>
      <c r="Y370" s="106"/>
      <c r="Z370" s="106"/>
    </row>
    <row r="371" spans="1:26" ht="13.5" customHeight="1">
      <c r="A371" s="106"/>
      <c r="B371" s="106"/>
      <c r="C371" s="106"/>
      <c r="D371" s="106"/>
      <c r="E371" s="106"/>
      <c r="F371" s="106"/>
      <c r="G371" s="110"/>
      <c r="H371" s="106"/>
      <c r="I371" s="110"/>
      <c r="J371" s="106"/>
      <c r="K371" s="106"/>
      <c r="L371" s="106"/>
      <c r="M371" s="106"/>
      <c r="N371" s="106"/>
      <c r="O371" s="106"/>
      <c r="P371" s="106"/>
      <c r="Q371" s="106"/>
      <c r="R371" s="106"/>
      <c r="S371" s="106"/>
      <c r="T371" s="106"/>
      <c r="U371" s="106"/>
      <c r="V371" s="106"/>
      <c r="W371" s="106"/>
      <c r="X371" s="106"/>
      <c r="Y371" s="106"/>
      <c r="Z371" s="106"/>
    </row>
    <row r="372" spans="1:26" ht="13.5" customHeight="1">
      <c r="A372" s="106"/>
      <c r="B372" s="106"/>
      <c r="C372" s="106"/>
      <c r="D372" s="106"/>
      <c r="E372" s="106"/>
      <c r="F372" s="106"/>
      <c r="G372" s="110"/>
      <c r="H372" s="106"/>
      <c r="I372" s="110"/>
      <c r="J372" s="106"/>
      <c r="K372" s="106"/>
      <c r="L372" s="106"/>
      <c r="M372" s="106"/>
      <c r="N372" s="106"/>
      <c r="O372" s="106"/>
      <c r="P372" s="106"/>
      <c r="Q372" s="106"/>
      <c r="R372" s="106"/>
      <c r="S372" s="106"/>
      <c r="T372" s="106"/>
      <c r="U372" s="106"/>
      <c r="V372" s="106"/>
      <c r="W372" s="106"/>
      <c r="X372" s="106"/>
      <c r="Y372" s="106"/>
      <c r="Z372" s="106"/>
    </row>
    <row r="373" spans="1:26" ht="13.5" customHeight="1">
      <c r="A373" s="106"/>
      <c r="B373" s="106"/>
      <c r="C373" s="106"/>
      <c r="D373" s="106"/>
      <c r="E373" s="106"/>
      <c r="F373" s="106"/>
      <c r="G373" s="110"/>
      <c r="H373" s="106"/>
      <c r="I373" s="110"/>
      <c r="J373" s="106"/>
      <c r="K373" s="106"/>
      <c r="L373" s="106"/>
      <c r="M373" s="106"/>
      <c r="N373" s="106"/>
      <c r="O373" s="106"/>
      <c r="P373" s="106"/>
      <c r="Q373" s="106"/>
      <c r="R373" s="106"/>
      <c r="S373" s="106"/>
      <c r="T373" s="106"/>
      <c r="U373" s="106"/>
      <c r="V373" s="106"/>
      <c r="W373" s="106"/>
      <c r="X373" s="106"/>
      <c r="Y373" s="106"/>
      <c r="Z373" s="106"/>
    </row>
    <row r="374" spans="1:26" ht="13.5" customHeight="1">
      <c r="A374" s="106"/>
      <c r="B374" s="106"/>
      <c r="C374" s="106"/>
      <c r="D374" s="106"/>
      <c r="E374" s="106"/>
      <c r="F374" s="106"/>
      <c r="G374" s="110"/>
      <c r="H374" s="106"/>
      <c r="I374" s="110"/>
      <c r="J374" s="106"/>
      <c r="K374" s="106"/>
      <c r="L374" s="106"/>
      <c r="M374" s="106"/>
      <c r="N374" s="106"/>
      <c r="O374" s="106"/>
      <c r="P374" s="106"/>
      <c r="Q374" s="106"/>
      <c r="R374" s="106"/>
      <c r="S374" s="106"/>
      <c r="T374" s="106"/>
      <c r="U374" s="106"/>
      <c r="V374" s="106"/>
      <c r="W374" s="106"/>
      <c r="X374" s="106"/>
      <c r="Y374" s="106"/>
      <c r="Z374" s="106"/>
    </row>
    <row r="375" spans="1:26" ht="13.5" customHeight="1">
      <c r="A375" s="106"/>
      <c r="B375" s="106"/>
      <c r="C375" s="106"/>
      <c r="D375" s="106"/>
      <c r="E375" s="106"/>
      <c r="F375" s="106"/>
      <c r="G375" s="110"/>
      <c r="H375" s="106"/>
      <c r="I375" s="110"/>
      <c r="J375" s="106"/>
      <c r="K375" s="106"/>
      <c r="L375" s="106"/>
      <c r="M375" s="106"/>
      <c r="N375" s="106"/>
      <c r="O375" s="106"/>
      <c r="P375" s="106"/>
      <c r="Q375" s="106"/>
      <c r="R375" s="106"/>
      <c r="S375" s="106"/>
      <c r="T375" s="106"/>
      <c r="U375" s="106"/>
      <c r="V375" s="106"/>
      <c r="W375" s="106"/>
      <c r="X375" s="106"/>
      <c r="Y375" s="106"/>
      <c r="Z375" s="106"/>
    </row>
    <row r="376" spans="1:26" ht="13.5" customHeight="1">
      <c r="A376" s="106"/>
      <c r="B376" s="106"/>
      <c r="C376" s="106"/>
      <c r="D376" s="106"/>
      <c r="E376" s="106"/>
      <c r="F376" s="106"/>
      <c r="G376" s="110"/>
      <c r="H376" s="106"/>
      <c r="I376" s="110"/>
      <c r="J376" s="106"/>
      <c r="K376" s="106"/>
      <c r="L376" s="106"/>
      <c r="M376" s="106"/>
      <c r="N376" s="106"/>
      <c r="O376" s="106"/>
      <c r="P376" s="106"/>
      <c r="Q376" s="106"/>
      <c r="R376" s="106"/>
      <c r="S376" s="106"/>
      <c r="T376" s="106"/>
      <c r="U376" s="106"/>
      <c r="V376" s="106"/>
      <c r="W376" s="106"/>
      <c r="X376" s="106"/>
      <c r="Y376" s="106"/>
      <c r="Z376" s="106"/>
    </row>
    <row r="377" spans="1:26" ht="13.5" customHeight="1">
      <c r="A377" s="106"/>
      <c r="B377" s="106"/>
      <c r="C377" s="106"/>
      <c r="D377" s="106"/>
      <c r="E377" s="106"/>
      <c r="F377" s="106"/>
      <c r="G377" s="110"/>
      <c r="H377" s="106"/>
      <c r="I377" s="110"/>
      <c r="J377" s="106"/>
      <c r="K377" s="106"/>
      <c r="L377" s="106"/>
      <c r="M377" s="106"/>
      <c r="N377" s="106"/>
      <c r="O377" s="106"/>
      <c r="P377" s="106"/>
      <c r="Q377" s="106"/>
      <c r="R377" s="106"/>
      <c r="S377" s="106"/>
      <c r="T377" s="106"/>
      <c r="U377" s="106"/>
      <c r="V377" s="106"/>
      <c r="W377" s="106"/>
      <c r="X377" s="106"/>
      <c r="Y377" s="106"/>
      <c r="Z377" s="106"/>
    </row>
    <row r="378" spans="1:26" ht="13.5" customHeight="1">
      <c r="A378" s="106"/>
      <c r="B378" s="106"/>
      <c r="C378" s="106"/>
      <c r="D378" s="106"/>
      <c r="E378" s="106"/>
      <c r="F378" s="106"/>
      <c r="G378" s="110"/>
      <c r="H378" s="106"/>
      <c r="I378" s="110"/>
      <c r="J378" s="106"/>
      <c r="K378" s="106"/>
      <c r="L378" s="106"/>
      <c r="M378" s="106"/>
      <c r="N378" s="106"/>
      <c r="O378" s="106"/>
      <c r="P378" s="106"/>
      <c r="Q378" s="106"/>
      <c r="R378" s="106"/>
      <c r="S378" s="106"/>
      <c r="T378" s="106"/>
      <c r="U378" s="106"/>
      <c r="V378" s="106"/>
      <c r="W378" s="106"/>
      <c r="X378" s="106"/>
      <c r="Y378" s="106"/>
      <c r="Z378" s="106"/>
    </row>
    <row r="379" spans="1:26" ht="13.5" customHeight="1">
      <c r="A379" s="106"/>
      <c r="B379" s="106"/>
      <c r="C379" s="106"/>
      <c r="D379" s="106"/>
      <c r="E379" s="106"/>
      <c r="F379" s="106"/>
      <c r="G379" s="110"/>
      <c r="H379" s="106"/>
      <c r="I379" s="110"/>
      <c r="J379" s="106"/>
      <c r="K379" s="106"/>
      <c r="L379" s="106"/>
      <c r="M379" s="106"/>
      <c r="N379" s="106"/>
      <c r="O379" s="106"/>
      <c r="P379" s="106"/>
      <c r="Q379" s="106"/>
      <c r="R379" s="106"/>
      <c r="S379" s="106"/>
      <c r="T379" s="106"/>
      <c r="U379" s="106"/>
      <c r="V379" s="106"/>
      <c r="W379" s="106"/>
      <c r="X379" s="106"/>
      <c r="Y379" s="106"/>
      <c r="Z379" s="106"/>
    </row>
    <row r="380" spans="1:26" ht="13.5" customHeight="1">
      <c r="A380" s="106"/>
      <c r="B380" s="106"/>
      <c r="C380" s="106"/>
      <c r="D380" s="106"/>
      <c r="E380" s="106"/>
      <c r="F380" s="106"/>
      <c r="G380" s="110"/>
      <c r="H380" s="106"/>
      <c r="I380" s="110"/>
      <c r="J380" s="106"/>
      <c r="K380" s="106"/>
      <c r="L380" s="106"/>
      <c r="M380" s="106"/>
      <c r="N380" s="106"/>
      <c r="O380" s="106"/>
      <c r="P380" s="106"/>
      <c r="Q380" s="106"/>
      <c r="R380" s="106"/>
      <c r="S380" s="106"/>
      <c r="T380" s="106"/>
      <c r="U380" s="106"/>
      <c r="V380" s="106"/>
      <c r="W380" s="106"/>
      <c r="X380" s="106"/>
      <c r="Y380" s="106"/>
      <c r="Z380" s="106"/>
    </row>
    <row r="381" spans="1:26" ht="13.5" customHeight="1">
      <c r="A381" s="106"/>
      <c r="B381" s="106"/>
      <c r="C381" s="106"/>
      <c r="D381" s="106"/>
      <c r="E381" s="106"/>
      <c r="F381" s="106"/>
      <c r="G381" s="110"/>
      <c r="H381" s="106"/>
      <c r="I381" s="110"/>
      <c r="J381" s="106"/>
      <c r="K381" s="106"/>
      <c r="L381" s="106"/>
      <c r="M381" s="106"/>
      <c r="N381" s="106"/>
      <c r="O381" s="106"/>
      <c r="P381" s="106"/>
      <c r="Q381" s="106"/>
      <c r="R381" s="106"/>
      <c r="S381" s="106"/>
      <c r="T381" s="106"/>
      <c r="U381" s="106"/>
      <c r="V381" s="106"/>
      <c r="W381" s="106"/>
      <c r="X381" s="106"/>
      <c r="Y381" s="106"/>
      <c r="Z381" s="106"/>
    </row>
    <row r="382" spans="1:26" ht="13.5" customHeight="1">
      <c r="A382" s="106"/>
      <c r="B382" s="106"/>
      <c r="C382" s="106"/>
      <c r="D382" s="106"/>
      <c r="E382" s="106"/>
      <c r="F382" s="106"/>
      <c r="G382" s="110"/>
      <c r="H382" s="106"/>
      <c r="I382" s="110"/>
      <c r="J382" s="106"/>
      <c r="K382" s="106"/>
      <c r="L382" s="106"/>
      <c r="M382" s="106"/>
      <c r="N382" s="106"/>
      <c r="O382" s="106"/>
      <c r="P382" s="106"/>
      <c r="Q382" s="106"/>
      <c r="R382" s="106"/>
      <c r="S382" s="106"/>
      <c r="T382" s="106"/>
      <c r="U382" s="106"/>
      <c r="V382" s="106"/>
      <c r="W382" s="106"/>
      <c r="X382" s="106"/>
      <c r="Y382" s="106"/>
      <c r="Z382" s="106"/>
    </row>
    <row r="383" spans="1:26" ht="13.5" customHeight="1">
      <c r="A383" s="106"/>
      <c r="B383" s="106"/>
      <c r="C383" s="106"/>
      <c r="D383" s="106"/>
      <c r="E383" s="106"/>
      <c r="F383" s="106"/>
      <c r="G383" s="110"/>
      <c r="H383" s="106"/>
      <c r="I383" s="110"/>
      <c r="J383" s="106"/>
      <c r="K383" s="106"/>
      <c r="L383" s="106"/>
      <c r="M383" s="106"/>
      <c r="N383" s="106"/>
      <c r="O383" s="106"/>
      <c r="P383" s="106"/>
      <c r="Q383" s="106"/>
      <c r="R383" s="106"/>
      <c r="S383" s="106"/>
      <c r="T383" s="106"/>
      <c r="U383" s="106"/>
      <c r="V383" s="106"/>
      <c r="W383" s="106"/>
      <c r="X383" s="106"/>
      <c r="Y383" s="106"/>
      <c r="Z383" s="106"/>
    </row>
    <row r="384" spans="1:26" ht="13.5" customHeight="1">
      <c r="A384" s="106"/>
      <c r="B384" s="106"/>
      <c r="C384" s="106"/>
      <c r="D384" s="106"/>
      <c r="E384" s="106"/>
      <c r="F384" s="106"/>
      <c r="G384" s="110"/>
      <c r="H384" s="106"/>
      <c r="I384" s="110"/>
      <c r="J384" s="106"/>
      <c r="K384" s="106"/>
      <c r="L384" s="106"/>
      <c r="M384" s="106"/>
      <c r="N384" s="106"/>
      <c r="O384" s="106"/>
      <c r="P384" s="106"/>
      <c r="Q384" s="106"/>
      <c r="R384" s="106"/>
      <c r="S384" s="106"/>
      <c r="T384" s="106"/>
      <c r="U384" s="106"/>
      <c r="V384" s="106"/>
      <c r="W384" s="106"/>
      <c r="X384" s="106"/>
      <c r="Y384" s="106"/>
      <c r="Z384" s="106"/>
    </row>
    <row r="385" spans="1:26" ht="13.5" customHeight="1">
      <c r="A385" s="106"/>
      <c r="B385" s="106"/>
      <c r="C385" s="106"/>
      <c r="D385" s="106"/>
      <c r="E385" s="106"/>
      <c r="F385" s="106"/>
      <c r="G385" s="110"/>
      <c r="H385" s="106"/>
      <c r="I385" s="110"/>
      <c r="J385" s="106"/>
      <c r="K385" s="106"/>
      <c r="L385" s="106"/>
      <c r="M385" s="106"/>
      <c r="N385" s="106"/>
      <c r="O385" s="106"/>
      <c r="P385" s="106"/>
      <c r="Q385" s="106"/>
      <c r="R385" s="106"/>
      <c r="S385" s="106"/>
      <c r="T385" s="106"/>
      <c r="U385" s="106"/>
      <c r="V385" s="106"/>
      <c r="W385" s="106"/>
      <c r="X385" s="106"/>
      <c r="Y385" s="106"/>
      <c r="Z385" s="106"/>
    </row>
    <row r="386" spans="1:26" ht="13.5" customHeight="1">
      <c r="A386" s="106"/>
      <c r="B386" s="106"/>
      <c r="C386" s="106"/>
      <c r="D386" s="106"/>
      <c r="E386" s="106"/>
      <c r="F386" s="106"/>
      <c r="G386" s="110"/>
      <c r="H386" s="106"/>
      <c r="I386" s="110"/>
      <c r="J386" s="106"/>
      <c r="K386" s="106"/>
      <c r="L386" s="106"/>
      <c r="M386" s="106"/>
      <c r="N386" s="106"/>
      <c r="O386" s="106"/>
      <c r="P386" s="106"/>
      <c r="Q386" s="106"/>
      <c r="R386" s="106"/>
      <c r="S386" s="106"/>
      <c r="T386" s="106"/>
      <c r="U386" s="106"/>
      <c r="V386" s="106"/>
      <c r="W386" s="106"/>
      <c r="X386" s="106"/>
      <c r="Y386" s="106"/>
      <c r="Z386" s="106"/>
    </row>
    <row r="387" spans="1:26" ht="13.5" customHeight="1">
      <c r="A387" s="106"/>
      <c r="B387" s="106"/>
      <c r="C387" s="106"/>
      <c r="D387" s="106"/>
      <c r="E387" s="106"/>
      <c r="F387" s="106"/>
      <c r="G387" s="110"/>
      <c r="H387" s="106"/>
      <c r="I387" s="110"/>
      <c r="J387" s="106"/>
      <c r="K387" s="106"/>
      <c r="L387" s="106"/>
      <c r="M387" s="106"/>
      <c r="N387" s="106"/>
      <c r="O387" s="106"/>
      <c r="P387" s="106"/>
      <c r="Q387" s="106"/>
      <c r="R387" s="106"/>
      <c r="S387" s="106"/>
      <c r="T387" s="106"/>
      <c r="U387" s="106"/>
      <c r="V387" s="106"/>
      <c r="W387" s="106"/>
      <c r="X387" s="106"/>
      <c r="Y387" s="106"/>
      <c r="Z387" s="106"/>
    </row>
    <row r="388" spans="1:26" ht="13.5" customHeight="1">
      <c r="A388" s="106"/>
      <c r="B388" s="106"/>
      <c r="C388" s="106"/>
      <c r="D388" s="106"/>
      <c r="E388" s="106"/>
      <c r="F388" s="106"/>
      <c r="G388" s="110"/>
      <c r="H388" s="106"/>
      <c r="I388" s="110"/>
      <c r="J388" s="106"/>
      <c r="K388" s="106"/>
      <c r="L388" s="106"/>
      <c r="M388" s="106"/>
      <c r="N388" s="106"/>
      <c r="O388" s="106"/>
      <c r="P388" s="106"/>
      <c r="Q388" s="106"/>
      <c r="R388" s="106"/>
      <c r="S388" s="106"/>
      <c r="T388" s="106"/>
      <c r="U388" s="106"/>
      <c r="V388" s="106"/>
      <c r="W388" s="106"/>
      <c r="X388" s="106"/>
      <c r="Y388" s="106"/>
      <c r="Z388" s="106"/>
    </row>
    <row r="389" spans="1:26" ht="13.5" customHeight="1">
      <c r="A389" s="106"/>
      <c r="B389" s="106"/>
      <c r="C389" s="106"/>
      <c r="D389" s="106"/>
      <c r="E389" s="106"/>
      <c r="F389" s="106"/>
      <c r="G389" s="110"/>
      <c r="H389" s="106"/>
      <c r="I389" s="110"/>
      <c r="J389" s="106"/>
      <c r="K389" s="106"/>
      <c r="L389" s="106"/>
      <c r="M389" s="106"/>
      <c r="N389" s="106"/>
      <c r="O389" s="106"/>
      <c r="P389" s="106"/>
      <c r="Q389" s="106"/>
      <c r="R389" s="106"/>
      <c r="S389" s="106"/>
      <c r="T389" s="106"/>
      <c r="U389" s="106"/>
      <c r="V389" s="106"/>
      <c r="W389" s="106"/>
      <c r="X389" s="106"/>
      <c r="Y389" s="106"/>
      <c r="Z389" s="106"/>
    </row>
    <row r="390" spans="1:26" ht="13.5" customHeight="1">
      <c r="A390" s="106"/>
      <c r="B390" s="106"/>
      <c r="C390" s="106"/>
      <c r="D390" s="106"/>
      <c r="E390" s="106"/>
      <c r="F390" s="106"/>
      <c r="G390" s="110"/>
      <c r="H390" s="106"/>
      <c r="I390" s="110"/>
      <c r="J390" s="106"/>
      <c r="K390" s="106"/>
      <c r="L390" s="106"/>
      <c r="M390" s="106"/>
      <c r="N390" s="106"/>
      <c r="O390" s="106"/>
      <c r="P390" s="106"/>
      <c r="Q390" s="106"/>
      <c r="R390" s="106"/>
      <c r="S390" s="106"/>
      <c r="T390" s="106"/>
      <c r="U390" s="106"/>
      <c r="V390" s="106"/>
      <c r="W390" s="106"/>
      <c r="X390" s="106"/>
      <c r="Y390" s="106"/>
      <c r="Z390" s="106"/>
    </row>
    <row r="391" spans="1:26" ht="13.5" customHeight="1">
      <c r="A391" s="106"/>
      <c r="B391" s="106"/>
      <c r="C391" s="106"/>
      <c r="D391" s="106"/>
      <c r="E391" s="106"/>
      <c r="F391" s="106"/>
      <c r="G391" s="110"/>
      <c r="H391" s="106"/>
      <c r="I391" s="110"/>
      <c r="J391" s="106"/>
      <c r="K391" s="106"/>
      <c r="L391" s="106"/>
      <c r="M391" s="106"/>
      <c r="N391" s="106"/>
      <c r="O391" s="106"/>
      <c r="P391" s="106"/>
      <c r="Q391" s="106"/>
      <c r="R391" s="106"/>
      <c r="S391" s="106"/>
      <c r="T391" s="106"/>
      <c r="U391" s="106"/>
      <c r="V391" s="106"/>
      <c r="W391" s="106"/>
      <c r="X391" s="106"/>
      <c r="Y391" s="106"/>
      <c r="Z391" s="106"/>
    </row>
    <row r="392" spans="1:26" ht="13.5" customHeight="1">
      <c r="A392" s="106"/>
      <c r="B392" s="106"/>
      <c r="C392" s="106"/>
      <c r="D392" s="106"/>
      <c r="E392" s="106"/>
      <c r="F392" s="106"/>
      <c r="G392" s="110"/>
      <c r="H392" s="106"/>
      <c r="I392" s="110"/>
      <c r="J392" s="106"/>
      <c r="K392" s="106"/>
      <c r="L392" s="106"/>
      <c r="M392" s="106"/>
      <c r="N392" s="106"/>
      <c r="O392" s="106"/>
      <c r="P392" s="106"/>
      <c r="Q392" s="106"/>
      <c r="R392" s="106"/>
      <c r="S392" s="106"/>
      <c r="T392" s="106"/>
      <c r="U392" s="106"/>
      <c r="V392" s="106"/>
      <c r="W392" s="106"/>
      <c r="X392" s="106"/>
      <c r="Y392" s="106"/>
      <c r="Z392" s="106"/>
    </row>
    <row r="393" spans="1:26" ht="13.5" customHeight="1">
      <c r="A393" s="106"/>
      <c r="B393" s="106"/>
      <c r="C393" s="106"/>
      <c r="D393" s="106"/>
      <c r="E393" s="106"/>
      <c r="F393" s="106"/>
      <c r="G393" s="110"/>
      <c r="H393" s="106"/>
      <c r="I393" s="110"/>
      <c r="J393" s="106"/>
      <c r="K393" s="106"/>
      <c r="L393" s="106"/>
      <c r="M393" s="106"/>
      <c r="N393" s="106"/>
      <c r="O393" s="106"/>
      <c r="P393" s="106"/>
      <c r="Q393" s="106"/>
      <c r="R393" s="106"/>
      <c r="S393" s="106"/>
      <c r="T393" s="106"/>
      <c r="U393" s="106"/>
      <c r="V393" s="106"/>
      <c r="W393" s="106"/>
      <c r="X393" s="106"/>
      <c r="Y393" s="106"/>
      <c r="Z393" s="106"/>
    </row>
    <row r="394" spans="1:26" ht="13.5" customHeight="1">
      <c r="A394" s="106"/>
      <c r="B394" s="106"/>
      <c r="C394" s="106"/>
      <c r="D394" s="106"/>
      <c r="E394" s="106"/>
      <c r="F394" s="106"/>
      <c r="G394" s="110"/>
      <c r="H394" s="106"/>
      <c r="I394" s="110"/>
      <c r="J394" s="106"/>
      <c r="K394" s="106"/>
      <c r="L394" s="106"/>
      <c r="M394" s="106"/>
      <c r="N394" s="106"/>
      <c r="O394" s="106"/>
      <c r="P394" s="106"/>
      <c r="Q394" s="106"/>
      <c r="R394" s="106"/>
      <c r="S394" s="106"/>
      <c r="T394" s="106"/>
      <c r="U394" s="106"/>
      <c r="V394" s="106"/>
      <c r="W394" s="106"/>
      <c r="X394" s="106"/>
      <c r="Y394" s="106"/>
      <c r="Z394" s="106"/>
    </row>
    <row r="395" spans="1:26" ht="13.5" customHeight="1">
      <c r="A395" s="106"/>
      <c r="B395" s="106"/>
      <c r="C395" s="106"/>
      <c r="D395" s="106"/>
      <c r="E395" s="106"/>
      <c r="F395" s="106"/>
      <c r="G395" s="110"/>
      <c r="H395" s="106"/>
      <c r="I395" s="110"/>
      <c r="J395" s="106"/>
      <c r="K395" s="106"/>
      <c r="L395" s="106"/>
      <c r="M395" s="106"/>
      <c r="N395" s="106"/>
      <c r="O395" s="106"/>
      <c r="P395" s="106"/>
      <c r="Q395" s="106"/>
      <c r="R395" s="106"/>
      <c r="S395" s="106"/>
      <c r="T395" s="106"/>
      <c r="U395" s="106"/>
      <c r="V395" s="106"/>
      <c r="W395" s="106"/>
      <c r="X395" s="106"/>
      <c r="Y395" s="106"/>
      <c r="Z395" s="106"/>
    </row>
    <row r="396" spans="1:26" ht="13.5" customHeight="1">
      <c r="A396" s="106"/>
      <c r="B396" s="106"/>
      <c r="C396" s="106"/>
      <c r="D396" s="106"/>
      <c r="E396" s="106"/>
      <c r="F396" s="106"/>
      <c r="G396" s="110"/>
      <c r="H396" s="106"/>
      <c r="I396" s="110"/>
      <c r="J396" s="106"/>
      <c r="K396" s="106"/>
      <c r="L396" s="106"/>
      <c r="M396" s="106"/>
      <c r="N396" s="106"/>
      <c r="O396" s="106"/>
      <c r="P396" s="106"/>
      <c r="Q396" s="106"/>
      <c r="R396" s="106"/>
      <c r="S396" s="106"/>
      <c r="T396" s="106"/>
      <c r="U396" s="106"/>
      <c r="V396" s="106"/>
      <c r="W396" s="106"/>
      <c r="X396" s="106"/>
      <c r="Y396" s="106"/>
      <c r="Z396" s="106"/>
    </row>
    <row r="397" spans="1:26" ht="13.5" customHeight="1">
      <c r="A397" s="106"/>
      <c r="B397" s="106"/>
      <c r="C397" s="106"/>
      <c r="D397" s="106"/>
      <c r="E397" s="106"/>
      <c r="F397" s="106"/>
      <c r="G397" s="110"/>
      <c r="H397" s="106"/>
      <c r="I397" s="110"/>
      <c r="J397" s="106"/>
      <c r="K397" s="106"/>
      <c r="L397" s="106"/>
      <c r="M397" s="106"/>
      <c r="N397" s="106"/>
      <c r="O397" s="106"/>
      <c r="P397" s="106"/>
      <c r="Q397" s="106"/>
      <c r="R397" s="106"/>
      <c r="S397" s="106"/>
      <c r="T397" s="106"/>
      <c r="U397" s="106"/>
      <c r="V397" s="106"/>
      <c r="W397" s="106"/>
      <c r="X397" s="106"/>
      <c r="Y397" s="106"/>
      <c r="Z397" s="106"/>
    </row>
    <row r="398" spans="1:26" ht="13.5" customHeight="1">
      <c r="A398" s="106"/>
      <c r="B398" s="106"/>
      <c r="C398" s="106"/>
      <c r="D398" s="106"/>
      <c r="E398" s="106"/>
      <c r="F398" s="106"/>
      <c r="G398" s="110"/>
      <c r="H398" s="106"/>
      <c r="I398" s="110"/>
      <c r="J398" s="106"/>
      <c r="K398" s="106"/>
      <c r="L398" s="106"/>
      <c r="M398" s="106"/>
      <c r="N398" s="106"/>
      <c r="O398" s="106"/>
      <c r="P398" s="106"/>
      <c r="Q398" s="106"/>
      <c r="R398" s="106"/>
      <c r="S398" s="106"/>
      <c r="T398" s="106"/>
      <c r="U398" s="106"/>
      <c r="V398" s="106"/>
      <c r="W398" s="106"/>
      <c r="X398" s="106"/>
      <c r="Y398" s="106"/>
      <c r="Z398" s="106"/>
    </row>
    <row r="399" spans="1:26" ht="13.5" customHeight="1">
      <c r="A399" s="106"/>
      <c r="B399" s="106"/>
      <c r="C399" s="106"/>
      <c r="D399" s="106"/>
      <c r="E399" s="106"/>
      <c r="F399" s="106"/>
      <c r="G399" s="110"/>
      <c r="H399" s="106"/>
      <c r="I399" s="110"/>
      <c r="J399" s="106"/>
      <c r="K399" s="106"/>
      <c r="L399" s="106"/>
      <c r="M399" s="106"/>
      <c r="N399" s="106"/>
      <c r="O399" s="106"/>
      <c r="P399" s="106"/>
      <c r="Q399" s="106"/>
      <c r="R399" s="106"/>
      <c r="S399" s="106"/>
      <c r="T399" s="106"/>
      <c r="U399" s="106"/>
      <c r="V399" s="106"/>
      <c r="W399" s="106"/>
      <c r="X399" s="106"/>
      <c r="Y399" s="106"/>
      <c r="Z399" s="106"/>
    </row>
    <row r="400" spans="1:26" ht="13.5" customHeight="1">
      <c r="A400" s="106"/>
      <c r="B400" s="106"/>
      <c r="C400" s="106"/>
      <c r="D400" s="106"/>
      <c r="E400" s="106"/>
      <c r="F400" s="106"/>
      <c r="G400" s="110"/>
      <c r="H400" s="106"/>
      <c r="I400" s="110"/>
      <c r="J400" s="106"/>
      <c r="K400" s="106"/>
      <c r="L400" s="106"/>
      <c r="M400" s="106"/>
      <c r="N400" s="106"/>
      <c r="O400" s="106"/>
      <c r="P400" s="106"/>
      <c r="Q400" s="106"/>
      <c r="R400" s="106"/>
      <c r="S400" s="106"/>
      <c r="T400" s="106"/>
      <c r="U400" s="106"/>
      <c r="V400" s="106"/>
      <c r="W400" s="106"/>
      <c r="X400" s="106"/>
      <c r="Y400" s="106"/>
      <c r="Z400" s="106"/>
    </row>
    <row r="401" spans="1:26" ht="13.5" customHeight="1">
      <c r="A401" s="106"/>
      <c r="B401" s="106"/>
      <c r="C401" s="106"/>
      <c r="D401" s="106"/>
      <c r="E401" s="106"/>
      <c r="F401" s="106"/>
      <c r="G401" s="110"/>
      <c r="H401" s="106"/>
      <c r="I401" s="110"/>
      <c r="J401" s="106"/>
      <c r="K401" s="106"/>
      <c r="L401" s="106"/>
      <c r="M401" s="106"/>
      <c r="N401" s="106"/>
      <c r="O401" s="106"/>
      <c r="P401" s="106"/>
      <c r="Q401" s="106"/>
      <c r="R401" s="106"/>
      <c r="S401" s="106"/>
      <c r="T401" s="106"/>
      <c r="U401" s="106"/>
      <c r="V401" s="106"/>
      <c r="W401" s="106"/>
      <c r="X401" s="106"/>
      <c r="Y401" s="106"/>
      <c r="Z401" s="106"/>
    </row>
    <row r="402" spans="1:26" ht="13.5" customHeight="1">
      <c r="A402" s="106"/>
      <c r="B402" s="106"/>
      <c r="C402" s="106"/>
      <c r="D402" s="106"/>
      <c r="E402" s="106"/>
      <c r="F402" s="106"/>
      <c r="G402" s="110"/>
      <c r="H402" s="106"/>
      <c r="I402" s="110"/>
      <c r="J402" s="106"/>
      <c r="K402" s="106"/>
      <c r="L402" s="106"/>
      <c r="M402" s="106"/>
      <c r="N402" s="106"/>
      <c r="O402" s="106"/>
      <c r="P402" s="106"/>
      <c r="Q402" s="106"/>
      <c r="R402" s="106"/>
      <c r="S402" s="106"/>
      <c r="T402" s="106"/>
      <c r="U402" s="106"/>
      <c r="V402" s="106"/>
      <c r="W402" s="106"/>
      <c r="X402" s="106"/>
      <c r="Y402" s="106"/>
      <c r="Z402" s="106"/>
    </row>
    <row r="403" spans="1:26" ht="13.5" customHeight="1">
      <c r="A403" s="106"/>
      <c r="B403" s="106"/>
      <c r="C403" s="106"/>
      <c r="D403" s="106"/>
      <c r="E403" s="106"/>
      <c r="F403" s="106"/>
      <c r="G403" s="110"/>
      <c r="H403" s="106"/>
      <c r="I403" s="110"/>
      <c r="J403" s="106"/>
      <c r="K403" s="106"/>
      <c r="L403" s="106"/>
      <c r="M403" s="106"/>
      <c r="N403" s="106"/>
      <c r="O403" s="106"/>
      <c r="P403" s="106"/>
      <c r="Q403" s="106"/>
      <c r="R403" s="106"/>
      <c r="S403" s="106"/>
      <c r="T403" s="106"/>
      <c r="U403" s="106"/>
      <c r="V403" s="106"/>
      <c r="W403" s="106"/>
      <c r="X403" s="106"/>
      <c r="Y403" s="106"/>
      <c r="Z403" s="106"/>
    </row>
    <row r="404" spans="1:26" ht="13.5" customHeight="1">
      <c r="A404" s="106"/>
      <c r="B404" s="106"/>
      <c r="C404" s="106"/>
      <c r="D404" s="106"/>
      <c r="E404" s="106"/>
      <c r="F404" s="106"/>
      <c r="G404" s="110"/>
      <c r="H404" s="106"/>
      <c r="I404" s="110"/>
      <c r="J404" s="106"/>
      <c r="K404" s="106"/>
      <c r="L404" s="106"/>
      <c r="M404" s="106"/>
      <c r="N404" s="106"/>
      <c r="O404" s="106"/>
      <c r="P404" s="106"/>
      <c r="Q404" s="106"/>
      <c r="R404" s="106"/>
      <c r="S404" s="106"/>
      <c r="T404" s="106"/>
      <c r="U404" s="106"/>
      <c r="V404" s="106"/>
      <c r="W404" s="106"/>
      <c r="X404" s="106"/>
      <c r="Y404" s="106"/>
      <c r="Z404" s="106"/>
    </row>
    <row r="405" spans="1:26" ht="13.5" customHeight="1">
      <c r="A405" s="106"/>
      <c r="B405" s="106"/>
      <c r="C405" s="106"/>
      <c r="D405" s="106"/>
      <c r="E405" s="106"/>
      <c r="F405" s="106"/>
      <c r="G405" s="110"/>
      <c r="H405" s="106"/>
      <c r="I405" s="110"/>
      <c r="J405" s="106"/>
      <c r="K405" s="106"/>
      <c r="L405" s="106"/>
      <c r="M405" s="106"/>
      <c r="N405" s="106"/>
      <c r="O405" s="106"/>
      <c r="P405" s="106"/>
      <c r="Q405" s="106"/>
      <c r="R405" s="106"/>
      <c r="S405" s="106"/>
      <c r="T405" s="106"/>
      <c r="U405" s="106"/>
      <c r="V405" s="106"/>
      <c r="W405" s="106"/>
      <c r="X405" s="106"/>
      <c r="Y405" s="106"/>
      <c r="Z405" s="106"/>
    </row>
    <row r="406" spans="1:26" ht="13.5" customHeight="1">
      <c r="A406" s="106"/>
      <c r="B406" s="106"/>
      <c r="C406" s="106"/>
      <c r="D406" s="106"/>
      <c r="E406" s="106"/>
      <c r="F406" s="106"/>
      <c r="G406" s="110"/>
      <c r="H406" s="106"/>
      <c r="I406" s="110"/>
      <c r="J406" s="106"/>
      <c r="K406" s="106"/>
      <c r="L406" s="106"/>
      <c r="M406" s="106"/>
      <c r="N406" s="106"/>
      <c r="O406" s="106"/>
      <c r="P406" s="106"/>
      <c r="Q406" s="106"/>
      <c r="R406" s="106"/>
      <c r="S406" s="106"/>
      <c r="T406" s="106"/>
      <c r="U406" s="106"/>
      <c r="V406" s="106"/>
      <c r="W406" s="106"/>
      <c r="X406" s="106"/>
      <c r="Y406" s="106"/>
      <c r="Z406" s="106"/>
    </row>
    <row r="407" spans="1:26" ht="13.5" customHeight="1">
      <c r="A407" s="106"/>
      <c r="B407" s="106"/>
      <c r="C407" s="106"/>
      <c r="D407" s="106"/>
      <c r="E407" s="106"/>
      <c r="F407" s="106"/>
      <c r="G407" s="110"/>
      <c r="H407" s="106"/>
      <c r="I407" s="110"/>
      <c r="J407" s="106"/>
      <c r="K407" s="106"/>
      <c r="L407" s="106"/>
      <c r="M407" s="106"/>
      <c r="N407" s="106"/>
      <c r="O407" s="106"/>
      <c r="P407" s="106"/>
      <c r="Q407" s="106"/>
      <c r="R407" s="106"/>
      <c r="S407" s="106"/>
      <c r="T407" s="106"/>
      <c r="U407" s="106"/>
      <c r="V407" s="106"/>
      <c r="W407" s="106"/>
      <c r="X407" s="106"/>
      <c r="Y407" s="106"/>
      <c r="Z407" s="106"/>
    </row>
    <row r="408" spans="1:26" ht="13.5" customHeight="1">
      <c r="A408" s="106"/>
      <c r="B408" s="106"/>
      <c r="C408" s="106"/>
      <c r="D408" s="106"/>
      <c r="E408" s="106"/>
      <c r="F408" s="106"/>
      <c r="G408" s="110"/>
      <c r="H408" s="106"/>
      <c r="I408" s="110"/>
      <c r="J408" s="106"/>
      <c r="K408" s="106"/>
      <c r="L408" s="106"/>
      <c r="M408" s="106"/>
      <c r="N408" s="106"/>
      <c r="O408" s="106"/>
      <c r="P408" s="106"/>
      <c r="Q408" s="106"/>
      <c r="R408" s="106"/>
      <c r="S408" s="106"/>
      <c r="T408" s="106"/>
      <c r="U408" s="106"/>
      <c r="V408" s="106"/>
      <c r="W408" s="106"/>
      <c r="X408" s="106"/>
      <c r="Y408" s="106"/>
      <c r="Z408" s="106"/>
    </row>
    <row r="409" spans="1:26" ht="13.5" customHeight="1">
      <c r="A409" s="106"/>
      <c r="B409" s="106"/>
      <c r="C409" s="106"/>
      <c r="D409" s="106"/>
      <c r="E409" s="106"/>
      <c r="F409" s="106"/>
      <c r="G409" s="110"/>
      <c r="H409" s="106"/>
      <c r="I409" s="110"/>
      <c r="J409" s="106"/>
      <c r="K409" s="106"/>
      <c r="L409" s="106"/>
      <c r="M409" s="106"/>
      <c r="N409" s="106"/>
      <c r="O409" s="106"/>
      <c r="P409" s="106"/>
      <c r="Q409" s="106"/>
      <c r="R409" s="106"/>
      <c r="S409" s="106"/>
      <c r="T409" s="106"/>
      <c r="U409" s="106"/>
      <c r="V409" s="106"/>
      <c r="W409" s="106"/>
      <c r="X409" s="106"/>
      <c r="Y409" s="106"/>
      <c r="Z409" s="106"/>
    </row>
    <row r="410" spans="1:26" ht="13.5" customHeight="1">
      <c r="A410" s="106"/>
      <c r="B410" s="106"/>
      <c r="C410" s="106"/>
      <c r="D410" s="106"/>
      <c r="E410" s="106"/>
      <c r="F410" s="106"/>
      <c r="G410" s="110"/>
      <c r="H410" s="106"/>
      <c r="I410" s="110"/>
      <c r="J410" s="106"/>
      <c r="K410" s="106"/>
      <c r="L410" s="106"/>
      <c r="M410" s="106"/>
      <c r="N410" s="106"/>
      <c r="O410" s="106"/>
      <c r="P410" s="106"/>
      <c r="Q410" s="106"/>
      <c r="R410" s="106"/>
      <c r="S410" s="106"/>
      <c r="T410" s="106"/>
      <c r="U410" s="106"/>
      <c r="V410" s="106"/>
      <c r="W410" s="106"/>
      <c r="X410" s="106"/>
      <c r="Y410" s="106"/>
      <c r="Z410" s="106"/>
    </row>
    <row r="411" spans="1:26" ht="13.5" customHeight="1">
      <c r="A411" s="106"/>
      <c r="B411" s="106"/>
      <c r="C411" s="106"/>
      <c r="D411" s="106"/>
      <c r="E411" s="106"/>
      <c r="F411" s="106"/>
      <c r="G411" s="110"/>
      <c r="H411" s="106"/>
      <c r="I411" s="110"/>
      <c r="J411" s="106"/>
      <c r="K411" s="106"/>
      <c r="L411" s="106"/>
      <c r="M411" s="106"/>
      <c r="N411" s="106"/>
      <c r="O411" s="106"/>
      <c r="P411" s="106"/>
      <c r="Q411" s="106"/>
      <c r="R411" s="106"/>
      <c r="S411" s="106"/>
      <c r="T411" s="106"/>
      <c r="U411" s="106"/>
      <c r="V411" s="106"/>
      <c r="W411" s="106"/>
      <c r="X411" s="106"/>
      <c r="Y411" s="106"/>
      <c r="Z411" s="106"/>
    </row>
    <row r="412" spans="1:26" ht="13.5" customHeight="1">
      <c r="A412" s="106"/>
      <c r="B412" s="106"/>
      <c r="C412" s="106"/>
      <c r="D412" s="106"/>
      <c r="E412" s="106"/>
      <c r="F412" s="106"/>
      <c r="G412" s="110"/>
      <c r="H412" s="106"/>
      <c r="I412" s="110"/>
      <c r="J412" s="106"/>
      <c r="K412" s="106"/>
      <c r="L412" s="106"/>
      <c r="M412" s="106"/>
      <c r="N412" s="106"/>
      <c r="O412" s="106"/>
      <c r="P412" s="106"/>
      <c r="Q412" s="106"/>
      <c r="R412" s="106"/>
      <c r="S412" s="106"/>
      <c r="T412" s="106"/>
      <c r="U412" s="106"/>
      <c r="V412" s="106"/>
      <c r="W412" s="106"/>
      <c r="X412" s="106"/>
      <c r="Y412" s="106"/>
      <c r="Z412" s="106"/>
    </row>
    <row r="413" spans="1:26" ht="13.5" customHeight="1">
      <c r="A413" s="106"/>
      <c r="B413" s="106"/>
      <c r="C413" s="106"/>
      <c r="D413" s="106"/>
      <c r="E413" s="106"/>
      <c r="F413" s="106"/>
      <c r="G413" s="110"/>
      <c r="H413" s="106"/>
      <c r="I413" s="110"/>
      <c r="J413" s="106"/>
      <c r="K413" s="106"/>
      <c r="L413" s="106"/>
      <c r="M413" s="106"/>
      <c r="N413" s="106"/>
      <c r="O413" s="106"/>
      <c r="P413" s="106"/>
      <c r="Q413" s="106"/>
      <c r="R413" s="106"/>
      <c r="S413" s="106"/>
      <c r="T413" s="106"/>
      <c r="U413" s="106"/>
      <c r="V413" s="106"/>
      <c r="W413" s="106"/>
      <c r="X413" s="106"/>
      <c r="Y413" s="106"/>
      <c r="Z413" s="106"/>
    </row>
    <row r="414" spans="1:26" ht="13.5" customHeight="1">
      <c r="A414" s="106"/>
      <c r="B414" s="106"/>
      <c r="C414" s="106"/>
      <c r="D414" s="106"/>
      <c r="E414" s="106"/>
      <c r="F414" s="106"/>
      <c r="G414" s="110"/>
      <c r="H414" s="106"/>
      <c r="I414" s="110"/>
      <c r="J414" s="106"/>
      <c r="K414" s="106"/>
      <c r="L414" s="106"/>
      <c r="M414" s="106"/>
      <c r="N414" s="106"/>
      <c r="O414" s="106"/>
      <c r="P414" s="106"/>
      <c r="Q414" s="106"/>
      <c r="R414" s="106"/>
      <c r="S414" s="106"/>
      <c r="T414" s="106"/>
      <c r="U414" s="106"/>
      <c r="V414" s="106"/>
      <c r="W414" s="106"/>
      <c r="X414" s="106"/>
      <c r="Y414" s="106"/>
      <c r="Z414" s="106"/>
    </row>
    <row r="415" spans="1:26" ht="13.5" customHeight="1">
      <c r="A415" s="106"/>
      <c r="B415" s="106"/>
      <c r="C415" s="106"/>
      <c r="D415" s="106"/>
      <c r="E415" s="106"/>
      <c r="F415" s="106"/>
      <c r="G415" s="110"/>
      <c r="H415" s="106"/>
      <c r="I415" s="110"/>
      <c r="J415" s="106"/>
      <c r="K415" s="106"/>
      <c r="L415" s="106"/>
      <c r="M415" s="106"/>
      <c r="N415" s="106"/>
      <c r="O415" s="106"/>
      <c r="P415" s="106"/>
      <c r="Q415" s="106"/>
      <c r="R415" s="106"/>
      <c r="S415" s="106"/>
      <c r="T415" s="106"/>
      <c r="U415" s="106"/>
      <c r="V415" s="106"/>
      <c r="W415" s="106"/>
      <c r="X415" s="106"/>
      <c r="Y415" s="106"/>
      <c r="Z415" s="106"/>
    </row>
    <row r="416" spans="1:26" ht="13.5" customHeight="1">
      <c r="A416" s="106"/>
      <c r="B416" s="106"/>
      <c r="C416" s="106"/>
      <c r="D416" s="106"/>
      <c r="E416" s="106"/>
      <c r="F416" s="106"/>
      <c r="G416" s="110"/>
      <c r="H416" s="106"/>
      <c r="I416" s="110"/>
      <c r="J416" s="106"/>
      <c r="K416" s="106"/>
      <c r="L416" s="106"/>
      <c r="M416" s="106"/>
      <c r="N416" s="106"/>
      <c r="O416" s="106"/>
      <c r="P416" s="106"/>
      <c r="Q416" s="106"/>
      <c r="R416" s="106"/>
      <c r="S416" s="106"/>
      <c r="T416" s="106"/>
      <c r="U416" s="106"/>
      <c r="V416" s="106"/>
      <c r="W416" s="106"/>
      <c r="X416" s="106"/>
      <c r="Y416" s="106"/>
      <c r="Z416" s="106"/>
    </row>
    <row r="417" spans="1:26" ht="13.5" customHeight="1">
      <c r="A417" s="106"/>
      <c r="B417" s="106"/>
      <c r="C417" s="106"/>
      <c r="D417" s="106"/>
      <c r="E417" s="106"/>
      <c r="F417" s="106"/>
      <c r="G417" s="110"/>
      <c r="H417" s="106"/>
      <c r="I417" s="110"/>
      <c r="J417" s="106"/>
      <c r="K417" s="106"/>
      <c r="L417" s="106"/>
      <c r="M417" s="106"/>
      <c r="N417" s="106"/>
      <c r="O417" s="106"/>
      <c r="P417" s="106"/>
      <c r="Q417" s="106"/>
      <c r="R417" s="106"/>
      <c r="S417" s="106"/>
      <c r="T417" s="106"/>
      <c r="U417" s="106"/>
      <c r="V417" s="106"/>
      <c r="W417" s="106"/>
      <c r="X417" s="106"/>
      <c r="Y417" s="106"/>
      <c r="Z417" s="106"/>
    </row>
    <row r="418" spans="1:26" ht="13.5" customHeight="1">
      <c r="A418" s="106"/>
      <c r="B418" s="106"/>
      <c r="C418" s="106"/>
      <c r="D418" s="106"/>
      <c r="E418" s="106"/>
      <c r="F418" s="106"/>
      <c r="G418" s="110"/>
      <c r="H418" s="106"/>
      <c r="I418" s="110"/>
      <c r="J418" s="106"/>
      <c r="K418" s="106"/>
      <c r="L418" s="106"/>
      <c r="M418" s="106"/>
      <c r="N418" s="106"/>
      <c r="O418" s="106"/>
      <c r="P418" s="106"/>
      <c r="Q418" s="106"/>
      <c r="R418" s="106"/>
      <c r="S418" s="106"/>
      <c r="T418" s="106"/>
      <c r="U418" s="106"/>
      <c r="V418" s="106"/>
      <c r="W418" s="106"/>
      <c r="X418" s="106"/>
      <c r="Y418" s="106"/>
      <c r="Z418" s="106"/>
    </row>
    <row r="419" spans="1:26" ht="13.5" customHeight="1">
      <c r="A419" s="106"/>
      <c r="B419" s="106"/>
      <c r="C419" s="106"/>
      <c r="D419" s="106"/>
      <c r="E419" s="106"/>
      <c r="F419" s="106"/>
      <c r="G419" s="110"/>
      <c r="H419" s="106"/>
      <c r="I419" s="110"/>
      <c r="J419" s="106"/>
      <c r="K419" s="106"/>
      <c r="L419" s="106"/>
      <c r="M419" s="106"/>
      <c r="N419" s="106"/>
      <c r="O419" s="106"/>
      <c r="P419" s="106"/>
      <c r="Q419" s="106"/>
      <c r="R419" s="106"/>
      <c r="S419" s="106"/>
      <c r="T419" s="106"/>
      <c r="U419" s="106"/>
      <c r="V419" s="106"/>
      <c r="W419" s="106"/>
      <c r="X419" s="106"/>
      <c r="Y419" s="106"/>
      <c r="Z419" s="106"/>
    </row>
    <row r="420" spans="1:26" ht="13.5" customHeight="1">
      <c r="A420" s="106"/>
      <c r="B420" s="106"/>
      <c r="C420" s="106"/>
      <c r="D420" s="106"/>
      <c r="E420" s="106"/>
      <c r="F420" s="106"/>
      <c r="G420" s="110"/>
      <c r="H420" s="106"/>
      <c r="I420" s="110"/>
      <c r="J420" s="106"/>
      <c r="K420" s="106"/>
      <c r="L420" s="106"/>
      <c r="M420" s="106"/>
      <c r="N420" s="106"/>
      <c r="O420" s="106"/>
      <c r="P420" s="106"/>
      <c r="Q420" s="106"/>
      <c r="R420" s="106"/>
      <c r="S420" s="106"/>
      <c r="T420" s="106"/>
      <c r="U420" s="106"/>
      <c r="V420" s="106"/>
      <c r="W420" s="106"/>
      <c r="X420" s="106"/>
      <c r="Y420" s="106"/>
      <c r="Z420" s="106"/>
    </row>
    <row r="421" spans="1:26" ht="13.5" customHeight="1">
      <c r="A421" s="106"/>
      <c r="B421" s="106"/>
      <c r="C421" s="106"/>
      <c r="D421" s="106"/>
      <c r="E421" s="106"/>
      <c r="F421" s="106"/>
      <c r="G421" s="110"/>
      <c r="H421" s="106"/>
      <c r="I421" s="110"/>
      <c r="J421" s="106"/>
      <c r="K421" s="106"/>
      <c r="L421" s="106"/>
      <c r="M421" s="106"/>
      <c r="N421" s="106"/>
      <c r="O421" s="106"/>
      <c r="P421" s="106"/>
      <c r="Q421" s="106"/>
      <c r="R421" s="106"/>
      <c r="S421" s="106"/>
      <c r="T421" s="106"/>
      <c r="U421" s="106"/>
      <c r="V421" s="106"/>
      <c r="W421" s="106"/>
      <c r="X421" s="106"/>
      <c r="Y421" s="106"/>
      <c r="Z421" s="106"/>
    </row>
    <row r="422" spans="1:26" ht="13.5" customHeight="1">
      <c r="A422" s="106"/>
      <c r="B422" s="106"/>
      <c r="C422" s="106"/>
      <c r="D422" s="106"/>
      <c r="E422" s="106"/>
      <c r="F422" s="106"/>
      <c r="G422" s="110"/>
      <c r="H422" s="106"/>
      <c r="I422" s="110"/>
      <c r="J422" s="106"/>
      <c r="K422" s="106"/>
      <c r="L422" s="106"/>
      <c r="M422" s="106"/>
      <c r="N422" s="106"/>
      <c r="O422" s="106"/>
      <c r="P422" s="106"/>
      <c r="Q422" s="106"/>
      <c r="R422" s="106"/>
      <c r="S422" s="106"/>
      <c r="T422" s="106"/>
      <c r="U422" s="106"/>
      <c r="V422" s="106"/>
      <c r="W422" s="106"/>
      <c r="X422" s="106"/>
      <c r="Y422" s="106"/>
      <c r="Z422" s="106"/>
    </row>
    <row r="423" spans="1:26" ht="13.5" customHeight="1">
      <c r="A423" s="106"/>
      <c r="B423" s="106"/>
      <c r="C423" s="106"/>
      <c r="D423" s="106"/>
      <c r="E423" s="106"/>
      <c r="F423" s="106"/>
      <c r="G423" s="110"/>
      <c r="H423" s="106"/>
      <c r="I423" s="110"/>
      <c r="J423" s="106"/>
      <c r="K423" s="106"/>
      <c r="L423" s="106"/>
      <c r="M423" s="106"/>
      <c r="N423" s="106"/>
      <c r="O423" s="106"/>
      <c r="P423" s="106"/>
      <c r="Q423" s="106"/>
      <c r="R423" s="106"/>
      <c r="S423" s="106"/>
      <c r="T423" s="106"/>
      <c r="U423" s="106"/>
      <c r="V423" s="106"/>
      <c r="W423" s="106"/>
      <c r="X423" s="106"/>
      <c r="Y423" s="106"/>
      <c r="Z423" s="106"/>
    </row>
    <row r="424" spans="1:26" ht="13.5" customHeight="1">
      <c r="A424" s="106"/>
      <c r="B424" s="106"/>
      <c r="C424" s="106"/>
      <c r="D424" s="106"/>
      <c r="E424" s="106"/>
      <c r="F424" s="106"/>
      <c r="G424" s="110"/>
      <c r="H424" s="106"/>
      <c r="I424" s="110"/>
      <c r="J424" s="106"/>
      <c r="K424" s="106"/>
      <c r="L424" s="106"/>
      <c r="M424" s="106"/>
      <c r="N424" s="106"/>
      <c r="O424" s="106"/>
      <c r="P424" s="106"/>
      <c r="Q424" s="106"/>
      <c r="R424" s="106"/>
      <c r="S424" s="106"/>
      <c r="T424" s="106"/>
      <c r="U424" s="106"/>
      <c r="V424" s="106"/>
      <c r="W424" s="106"/>
      <c r="X424" s="106"/>
      <c r="Y424" s="106"/>
      <c r="Z424" s="106"/>
    </row>
    <row r="425" spans="1:26" ht="13.5" customHeight="1">
      <c r="A425" s="106"/>
      <c r="B425" s="106"/>
      <c r="C425" s="106"/>
      <c r="D425" s="106"/>
      <c r="E425" s="106"/>
      <c r="F425" s="106"/>
      <c r="G425" s="110"/>
      <c r="H425" s="106"/>
      <c r="I425" s="110"/>
      <c r="J425" s="106"/>
      <c r="K425" s="106"/>
      <c r="L425" s="106"/>
      <c r="M425" s="106"/>
      <c r="N425" s="106"/>
      <c r="O425" s="106"/>
      <c r="P425" s="106"/>
      <c r="Q425" s="106"/>
      <c r="R425" s="106"/>
      <c r="S425" s="106"/>
      <c r="T425" s="106"/>
      <c r="U425" s="106"/>
      <c r="V425" s="106"/>
      <c r="W425" s="106"/>
      <c r="X425" s="106"/>
      <c r="Y425" s="106"/>
      <c r="Z425" s="106"/>
    </row>
    <row r="426" spans="1:26" ht="13.5" customHeight="1">
      <c r="A426" s="106"/>
      <c r="B426" s="106"/>
      <c r="C426" s="106"/>
      <c r="D426" s="106"/>
      <c r="E426" s="106"/>
      <c r="F426" s="106"/>
      <c r="G426" s="110"/>
      <c r="H426" s="106"/>
      <c r="I426" s="110"/>
      <c r="J426" s="106"/>
      <c r="K426" s="106"/>
      <c r="L426" s="106"/>
      <c r="M426" s="106"/>
      <c r="N426" s="106"/>
      <c r="O426" s="106"/>
      <c r="P426" s="106"/>
      <c r="Q426" s="106"/>
      <c r="R426" s="106"/>
      <c r="S426" s="106"/>
      <c r="T426" s="106"/>
      <c r="U426" s="106"/>
      <c r="V426" s="106"/>
      <c r="W426" s="106"/>
      <c r="X426" s="106"/>
      <c r="Y426" s="106"/>
      <c r="Z426" s="106"/>
    </row>
    <row r="427" spans="1:26" ht="13.5" customHeight="1">
      <c r="A427" s="106"/>
      <c r="B427" s="106"/>
      <c r="C427" s="106"/>
      <c r="D427" s="106"/>
      <c r="E427" s="106"/>
      <c r="F427" s="106"/>
      <c r="G427" s="110"/>
      <c r="H427" s="106"/>
      <c r="I427" s="110"/>
      <c r="J427" s="106"/>
      <c r="K427" s="106"/>
      <c r="L427" s="106"/>
      <c r="M427" s="106"/>
      <c r="N427" s="106"/>
      <c r="O427" s="106"/>
      <c r="P427" s="106"/>
      <c r="Q427" s="106"/>
      <c r="R427" s="106"/>
      <c r="S427" s="106"/>
      <c r="T427" s="106"/>
      <c r="U427" s="106"/>
      <c r="V427" s="106"/>
      <c r="W427" s="106"/>
      <c r="X427" s="106"/>
      <c r="Y427" s="106"/>
      <c r="Z427" s="106"/>
    </row>
    <row r="428" spans="1:26" ht="13.5" customHeight="1">
      <c r="A428" s="106"/>
      <c r="B428" s="106"/>
      <c r="C428" s="106"/>
      <c r="D428" s="106"/>
      <c r="E428" s="106"/>
      <c r="F428" s="106"/>
      <c r="G428" s="110"/>
      <c r="H428" s="106"/>
      <c r="I428" s="110"/>
      <c r="J428" s="106"/>
      <c r="K428" s="106"/>
      <c r="L428" s="106"/>
      <c r="M428" s="106"/>
      <c r="N428" s="106"/>
      <c r="O428" s="106"/>
      <c r="P428" s="106"/>
      <c r="Q428" s="106"/>
      <c r="R428" s="106"/>
      <c r="S428" s="106"/>
      <c r="T428" s="106"/>
      <c r="U428" s="106"/>
      <c r="V428" s="106"/>
      <c r="W428" s="106"/>
      <c r="X428" s="106"/>
      <c r="Y428" s="106"/>
      <c r="Z428" s="106"/>
    </row>
    <row r="429" spans="1:26" ht="13.5" customHeight="1">
      <c r="A429" s="106"/>
      <c r="B429" s="106"/>
      <c r="C429" s="106"/>
      <c r="D429" s="106"/>
      <c r="E429" s="106"/>
      <c r="F429" s="106"/>
      <c r="G429" s="110"/>
      <c r="H429" s="106"/>
      <c r="I429" s="110"/>
      <c r="J429" s="106"/>
      <c r="K429" s="106"/>
      <c r="L429" s="106"/>
      <c r="M429" s="106"/>
      <c r="N429" s="106"/>
      <c r="O429" s="106"/>
      <c r="P429" s="106"/>
      <c r="Q429" s="106"/>
      <c r="R429" s="106"/>
      <c r="S429" s="106"/>
      <c r="T429" s="106"/>
      <c r="U429" s="106"/>
      <c r="V429" s="106"/>
      <c r="W429" s="106"/>
      <c r="X429" s="106"/>
      <c r="Y429" s="106"/>
      <c r="Z429" s="106"/>
    </row>
    <row r="430" spans="1:26" ht="13.5" customHeight="1">
      <c r="A430" s="106"/>
      <c r="B430" s="106"/>
      <c r="C430" s="106"/>
      <c r="D430" s="106"/>
      <c r="E430" s="106"/>
      <c r="F430" s="106"/>
      <c r="G430" s="110"/>
      <c r="H430" s="106"/>
      <c r="I430" s="110"/>
      <c r="J430" s="106"/>
      <c r="K430" s="106"/>
      <c r="L430" s="106"/>
      <c r="M430" s="106"/>
      <c r="N430" s="106"/>
      <c r="O430" s="106"/>
      <c r="P430" s="106"/>
      <c r="Q430" s="106"/>
      <c r="R430" s="106"/>
      <c r="S430" s="106"/>
      <c r="T430" s="106"/>
      <c r="U430" s="106"/>
      <c r="V430" s="106"/>
      <c r="W430" s="106"/>
      <c r="X430" s="106"/>
      <c r="Y430" s="106"/>
      <c r="Z430" s="106"/>
    </row>
    <row r="431" spans="1:26" ht="13.5" customHeight="1">
      <c r="A431" s="106"/>
      <c r="B431" s="106"/>
      <c r="C431" s="106"/>
      <c r="D431" s="106"/>
      <c r="E431" s="106"/>
      <c r="F431" s="106"/>
      <c r="G431" s="110"/>
      <c r="H431" s="106"/>
      <c r="I431" s="110"/>
      <c r="J431" s="106"/>
      <c r="K431" s="106"/>
      <c r="L431" s="106"/>
      <c r="M431" s="106"/>
      <c r="N431" s="106"/>
      <c r="O431" s="106"/>
      <c r="P431" s="106"/>
      <c r="Q431" s="106"/>
      <c r="R431" s="106"/>
      <c r="S431" s="106"/>
      <c r="T431" s="106"/>
      <c r="U431" s="106"/>
      <c r="V431" s="106"/>
      <c r="W431" s="106"/>
      <c r="X431" s="106"/>
      <c r="Y431" s="106"/>
      <c r="Z431" s="106"/>
    </row>
    <row r="432" spans="1:26" ht="13.5" customHeight="1">
      <c r="A432" s="106"/>
      <c r="B432" s="106"/>
      <c r="C432" s="106"/>
      <c r="D432" s="106"/>
      <c r="E432" s="106"/>
      <c r="F432" s="106"/>
      <c r="G432" s="110"/>
      <c r="H432" s="106"/>
      <c r="I432" s="110"/>
      <c r="J432" s="106"/>
      <c r="K432" s="106"/>
      <c r="L432" s="106"/>
      <c r="M432" s="106"/>
      <c r="N432" s="106"/>
      <c r="O432" s="106"/>
      <c r="P432" s="106"/>
      <c r="Q432" s="106"/>
      <c r="R432" s="106"/>
      <c r="S432" s="106"/>
      <c r="T432" s="106"/>
      <c r="U432" s="106"/>
      <c r="V432" s="106"/>
      <c r="W432" s="106"/>
      <c r="X432" s="106"/>
      <c r="Y432" s="106"/>
      <c r="Z432" s="106"/>
    </row>
    <row r="433" spans="1:26" ht="13.5" customHeight="1">
      <c r="A433" s="106"/>
      <c r="B433" s="106"/>
      <c r="C433" s="106"/>
      <c r="D433" s="106"/>
      <c r="E433" s="106"/>
      <c r="F433" s="106"/>
      <c r="G433" s="110"/>
      <c r="H433" s="106"/>
      <c r="I433" s="110"/>
      <c r="J433" s="106"/>
      <c r="K433" s="106"/>
      <c r="L433" s="106"/>
      <c r="M433" s="106"/>
      <c r="N433" s="106"/>
      <c r="O433" s="106"/>
      <c r="P433" s="106"/>
      <c r="Q433" s="106"/>
      <c r="R433" s="106"/>
      <c r="S433" s="106"/>
      <c r="T433" s="106"/>
      <c r="U433" s="106"/>
      <c r="V433" s="106"/>
      <c r="W433" s="106"/>
      <c r="X433" s="106"/>
      <c r="Y433" s="106"/>
      <c r="Z433" s="106"/>
    </row>
    <row r="434" spans="1:26" ht="13.5" customHeight="1">
      <c r="A434" s="106"/>
      <c r="B434" s="106"/>
      <c r="C434" s="106"/>
      <c r="D434" s="106"/>
      <c r="E434" s="106"/>
      <c r="F434" s="106"/>
      <c r="G434" s="110"/>
      <c r="H434" s="106"/>
      <c r="I434" s="110"/>
      <c r="J434" s="106"/>
      <c r="K434" s="106"/>
      <c r="L434" s="106"/>
      <c r="M434" s="106"/>
      <c r="N434" s="106"/>
      <c r="O434" s="106"/>
      <c r="P434" s="106"/>
      <c r="Q434" s="106"/>
      <c r="R434" s="106"/>
      <c r="S434" s="106"/>
      <c r="T434" s="106"/>
      <c r="U434" s="106"/>
      <c r="V434" s="106"/>
      <c r="W434" s="106"/>
      <c r="X434" s="106"/>
      <c r="Y434" s="106"/>
      <c r="Z434" s="106"/>
    </row>
    <row r="435" spans="1:26" ht="13.5" customHeight="1">
      <c r="A435" s="106"/>
      <c r="B435" s="106"/>
      <c r="C435" s="106"/>
      <c r="D435" s="106"/>
      <c r="E435" s="106"/>
      <c r="F435" s="106"/>
      <c r="G435" s="110"/>
      <c r="H435" s="106"/>
      <c r="I435" s="110"/>
      <c r="J435" s="106"/>
      <c r="K435" s="106"/>
      <c r="L435" s="106"/>
      <c r="M435" s="106"/>
      <c r="N435" s="106"/>
      <c r="O435" s="106"/>
      <c r="P435" s="106"/>
      <c r="Q435" s="106"/>
      <c r="R435" s="106"/>
      <c r="S435" s="106"/>
      <c r="T435" s="106"/>
      <c r="U435" s="106"/>
      <c r="V435" s="106"/>
      <c r="W435" s="106"/>
      <c r="X435" s="106"/>
      <c r="Y435" s="106"/>
      <c r="Z435" s="106"/>
    </row>
    <row r="436" spans="1:26" ht="13.5" customHeight="1">
      <c r="A436" s="106"/>
      <c r="B436" s="106"/>
      <c r="C436" s="106"/>
      <c r="D436" s="106"/>
      <c r="E436" s="106"/>
      <c r="F436" s="106"/>
      <c r="G436" s="110"/>
      <c r="H436" s="106"/>
      <c r="I436" s="110"/>
      <c r="J436" s="106"/>
      <c r="K436" s="106"/>
      <c r="L436" s="106"/>
      <c r="M436" s="106"/>
      <c r="N436" s="106"/>
      <c r="O436" s="106"/>
      <c r="P436" s="106"/>
      <c r="Q436" s="106"/>
      <c r="R436" s="106"/>
      <c r="S436" s="106"/>
      <c r="T436" s="106"/>
      <c r="U436" s="106"/>
      <c r="V436" s="106"/>
      <c r="W436" s="106"/>
      <c r="X436" s="106"/>
      <c r="Y436" s="106"/>
      <c r="Z436" s="106"/>
    </row>
    <row r="437" spans="1:26" ht="13.5" customHeight="1">
      <c r="A437" s="106"/>
      <c r="B437" s="106"/>
      <c r="C437" s="106"/>
      <c r="D437" s="106"/>
      <c r="E437" s="106"/>
      <c r="F437" s="106"/>
      <c r="G437" s="110"/>
      <c r="H437" s="106"/>
      <c r="I437" s="110"/>
      <c r="J437" s="106"/>
      <c r="K437" s="106"/>
      <c r="L437" s="106"/>
      <c r="M437" s="106"/>
      <c r="N437" s="106"/>
      <c r="O437" s="106"/>
      <c r="P437" s="106"/>
      <c r="Q437" s="106"/>
      <c r="R437" s="106"/>
      <c r="S437" s="106"/>
      <c r="T437" s="106"/>
      <c r="U437" s="106"/>
      <c r="V437" s="106"/>
      <c r="W437" s="106"/>
      <c r="X437" s="106"/>
      <c r="Y437" s="106"/>
      <c r="Z437" s="106"/>
    </row>
    <row r="438" spans="1:26" ht="13.5" customHeight="1">
      <c r="A438" s="106"/>
      <c r="B438" s="106"/>
      <c r="C438" s="106"/>
      <c r="D438" s="106"/>
      <c r="E438" s="106"/>
      <c r="F438" s="106"/>
      <c r="G438" s="110"/>
      <c r="H438" s="106"/>
      <c r="I438" s="110"/>
      <c r="J438" s="106"/>
      <c r="K438" s="106"/>
      <c r="L438" s="106"/>
      <c r="M438" s="106"/>
      <c r="N438" s="106"/>
      <c r="O438" s="106"/>
      <c r="P438" s="106"/>
      <c r="Q438" s="106"/>
      <c r="R438" s="106"/>
      <c r="S438" s="106"/>
      <c r="T438" s="106"/>
      <c r="U438" s="106"/>
      <c r="V438" s="106"/>
      <c r="W438" s="106"/>
      <c r="X438" s="106"/>
      <c r="Y438" s="106"/>
      <c r="Z438" s="106"/>
    </row>
    <row r="439" spans="1:26" ht="13.5" customHeight="1">
      <c r="A439" s="106"/>
      <c r="B439" s="106"/>
      <c r="C439" s="106"/>
      <c r="D439" s="106"/>
      <c r="E439" s="106"/>
      <c r="F439" s="106"/>
      <c r="G439" s="110"/>
      <c r="H439" s="106"/>
      <c r="I439" s="110"/>
      <c r="J439" s="106"/>
      <c r="K439" s="106"/>
      <c r="L439" s="106"/>
      <c r="M439" s="106"/>
      <c r="N439" s="106"/>
      <c r="O439" s="106"/>
      <c r="P439" s="106"/>
      <c r="Q439" s="106"/>
      <c r="R439" s="106"/>
      <c r="S439" s="106"/>
      <c r="T439" s="106"/>
      <c r="U439" s="106"/>
      <c r="V439" s="106"/>
      <c r="W439" s="106"/>
      <c r="X439" s="106"/>
      <c r="Y439" s="106"/>
      <c r="Z439" s="106"/>
    </row>
    <row r="440" spans="1:26" ht="13.5" customHeight="1">
      <c r="A440" s="106"/>
      <c r="B440" s="106"/>
      <c r="C440" s="106"/>
      <c r="D440" s="106"/>
      <c r="E440" s="106"/>
      <c r="F440" s="106"/>
      <c r="G440" s="110"/>
      <c r="H440" s="106"/>
      <c r="I440" s="110"/>
      <c r="J440" s="106"/>
      <c r="K440" s="106"/>
      <c r="L440" s="106"/>
      <c r="M440" s="106"/>
      <c r="N440" s="106"/>
      <c r="O440" s="106"/>
      <c r="P440" s="106"/>
      <c r="Q440" s="106"/>
      <c r="R440" s="106"/>
      <c r="S440" s="106"/>
      <c r="T440" s="106"/>
      <c r="U440" s="106"/>
      <c r="V440" s="106"/>
      <c r="W440" s="106"/>
      <c r="X440" s="106"/>
      <c r="Y440" s="106"/>
      <c r="Z440" s="106"/>
    </row>
    <row r="441" spans="1:26" ht="13.5" customHeight="1">
      <c r="A441" s="106"/>
      <c r="B441" s="106"/>
      <c r="C441" s="106"/>
      <c r="D441" s="106"/>
      <c r="E441" s="106"/>
      <c r="F441" s="106"/>
      <c r="G441" s="110"/>
      <c r="H441" s="106"/>
      <c r="I441" s="110"/>
      <c r="J441" s="106"/>
      <c r="K441" s="106"/>
      <c r="L441" s="106"/>
      <c r="M441" s="106"/>
      <c r="N441" s="106"/>
      <c r="O441" s="106"/>
      <c r="P441" s="106"/>
      <c r="Q441" s="106"/>
      <c r="R441" s="106"/>
      <c r="S441" s="106"/>
      <c r="T441" s="106"/>
      <c r="U441" s="106"/>
      <c r="V441" s="106"/>
      <c r="W441" s="106"/>
      <c r="X441" s="106"/>
      <c r="Y441" s="106"/>
      <c r="Z441" s="106"/>
    </row>
    <row r="442" spans="1:26" ht="13.5" customHeight="1">
      <c r="A442" s="106"/>
      <c r="B442" s="106"/>
      <c r="C442" s="106"/>
      <c r="D442" s="106"/>
      <c r="E442" s="106"/>
      <c r="F442" s="106"/>
      <c r="G442" s="110"/>
      <c r="H442" s="106"/>
      <c r="I442" s="110"/>
      <c r="J442" s="106"/>
      <c r="K442" s="106"/>
      <c r="L442" s="106"/>
      <c r="M442" s="106"/>
      <c r="N442" s="106"/>
      <c r="O442" s="106"/>
      <c r="P442" s="106"/>
      <c r="Q442" s="106"/>
      <c r="R442" s="106"/>
      <c r="S442" s="106"/>
      <c r="T442" s="106"/>
      <c r="U442" s="106"/>
      <c r="V442" s="106"/>
      <c r="W442" s="106"/>
      <c r="X442" s="106"/>
      <c r="Y442" s="106"/>
      <c r="Z442" s="106"/>
    </row>
    <row r="443" spans="1:26" ht="13.5" customHeight="1">
      <c r="A443" s="106"/>
      <c r="B443" s="106"/>
      <c r="C443" s="106"/>
      <c r="D443" s="106"/>
      <c r="E443" s="106"/>
      <c r="F443" s="106"/>
      <c r="G443" s="110"/>
      <c r="H443" s="106"/>
      <c r="I443" s="110"/>
      <c r="J443" s="106"/>
      <c r="K443" s="106"/>
      <c r="L443" s="106"/>
      <c r="M443" s="106"/>
      <c r="N443" s="106"/>
      <c r="O443" s="106"/>
      <c r="P443" s="106"/>
      <c r="Q443" s="106"/>
      <c r="R443" s="106"/>
      <c r="S443" s="106"/>
      <c r="T443" s="106"/>
      <c r="U443" s="106"/>
      <c r="V443" s="106"/>
      <c r="W443" s="106"/>
      <c r="X443" s="106"/>
      <c r="Y443" s="106"/>
      <c r="Z443" s="106"/>
    </row>
    <row r="444" spans="1:26" ht="13.5" customHeight="1">
      <c r="A444" s="106"/>
      <c r="B444" s="106"/>
      <c r="C444" s="106"/>
      <c r="D444" s="106"/>
      <c r="E444" s="106"/>
      <c r="F444" s="106"/>
      <c r="G444" s="110"/>
      <c r="H444" s="106"/>
      <c r="I444" s="110"/>
      <c r="J444" s="106"/>
      <c r="K444" s="106"/>
      <c r="L444" s="106"/>
      <c r="M444" s="106"/>
      <c r="N444" s="106"/>
      <c r="O444" s="106"/>
      <c r="P444" s="106"/>
      <c r="Q444" s="106"/>
      <c r="R444" s="106"/>
      <c r="S444" s="106"/>
      <c r="T444" s="106"/>
      <c r="U444" s="106"/>
      <c r="V444" s="106"/>
      <c r="W444" s="106"/>
      <c r="X444" s="106"/>
      <c r="Y444" s="106"/>
      <c r="Z444" s="106"/>
    </row>
    <row r="445" spans="1:26" ht="13.5" customHeight="1">
      <c r="A445" s="106"/>
      <c r="B445" s="106"/>
      <c r="C445" s="106"/>
      <c r="D445" s="106"/>
      <c r="E445" s="106"/>
      <c r="F445" s="106"/>
      <c r="G445" s="110"/>
      <c r="H445" s="106"/>
      <c r="I445" s="110"/>
      <c r="J445" s="106"/>
      <c r="K445" s="106"/>
      <c r="L445" s="106"/>
      <c r="M445" s="106"/>
      <c r="N445" s="106"/>
      <c r="O445" s="106"/>
      <c r="P445" s="106"/>
      <c r="Q445" s="106"/>
      <c r="R445" s="106"/>
      <c r="S445" s="106"/>
      <c r="T445" s="106"/>
      <c r="U445" s="106"/>
      <c r="V445" s="106"/>
      <c r="W445" s="106"/>
      <c r="X445" s="106"/>
      <c r="Y445" s="106"/>
      <c r="Z445" s="106"/>
    </row>
    <row r="446" spans="1:26" ht="13.5" customHeight="1">
      <c r="A446" s="106"/>
      <c r="B446" s="106"/>
      <c r="C446" s="106"/>
      <c r="D446" s="106"/>
      <c r="E446" s="106"/>
      <c r="F446" s="106"/>
      <c r="G446" s="110"/>
      <c r="H446" s="106"/>
      <c r="I446" s="110"/>
      <c r="J446" s="106"/>
      <c r="K446" s="106"/>
      <c r="L446" s="106"/>
      <c r="M446" s="106"/>
      <c r="N446" s="106"/>
      <c r="O446" s="106"/>
      <c r="P446" s="106"/>
      <c r="Q446" s="106"/>
      <c r="R446" s="106"/>
      <c r="S446" s="106"/>
      <c r="T446" s="106"/>
      <c r="U446" s="106"/>
      <c r="V446" s="106"/>
      <c r="W446" s="106"/>
      <c r="X446" s="106"/>
      <c r="Y446" s="106"/>
      <c r="Z446" s="106"/>
    </row>
    <row r="447" spans="1:26" ht="13.5" customHeight="1">
      <c r="A447" s="106"/>
      <c r="B447" s="106"/>
      <c r="C447" s="106"/>
      <c r="D447" s="106"/>
      <c r="E447" s="106"/>
      <c r="F447" s="106"/>
      <c r="G447" s="110"/>
      <c r="H447" s="106"/>
      <c r="I447" s="110"/>
      <c r="J447" s="106"/>
      <c r="K447" s="106"/>
      <c r="L447" s="106"/>
      <c r="M447" s="106"/>
      <c r="N447" s="106"/>
      <c r="O447" s="106"/>
      <c r="P447" s="106"/>
      <c r="Q447" s="106"/>
      <c r="R447" s="106"/>
      <c r="S447" s="106"/>
      <c r="T447" s="106"/>
      <c r="U447" s="106"/>
      <c r="V447" s="106"/>
      <c r="W447" s="106"/>
      <c r="X447" s="106"/>
      <c r="Y447" s="106"/>
      <c r="Z447" s="106"/>
    </row>
    <row r="448" spans="1:26" ht="13.5" customHeight="1">
      <c r="A448" s="106"/>
      <c r="B448" s="106"/>
      <c r="C448" s="106"/>
      <c r="D448" s="106"/>
      <c r="E448" s="106"/>
      <c r="F448" s="106"/>
      <c r="G448" s="110"/>
      <c r="H448" s="106"/>
      <c r="I448" s="110"/>
      <c r="J448" s="106"/>
      <c r="K448" s="106"/>
      <c r="L448" s="106"/>
      <c r="M448" s="106"/>
      <c r="N448" s="106"/>
      <c r="O448" s="106"/>
      <c r="P448" s="106"/>
      <c r="Q448" s="106"/>
      <c r="R448" s="106"/>
      <c r="S448" s="106"/>
      <c r="T448" s="106"/>
      <c r="U448" s="106"/>
      <c r="V448" s="106"/>
      <c r="W448" s="106"/>
      <c r="X448" s="106"/>
      <c r="Y448" s="106"/>
      <c r="Z448" s="106"/>
    </row>
    <row r="449" spans="1:26" ht="13.5" customHeight="1">
      <c r="A449" s="106"/>
      <c r="B449" s="106"/>
      <c r="C449" s="106"/>
      <c r="D449" s="106"/>
      <c r="E449" s="106"/>
      <c r="F449" s="106"/>
      <c r="G449" s="110"/>
      <c r="H449" s="106"/>
      <c r="I449" s="110"/>
      <c r="J449" s="106"/>
      <c r="K449" s="106"/>
      <c r="L449" s="106"/>
      <c r="M449" s="106"/>
      <c r="N449" s="106"/>
      <c r="O449" s="106"/>
      <c r="P449" s="106"/>
      <c r="Q449" s="106"/>
      <c r="R449" s="106"/>
      <c r="S449" s="106"/>
      <c r="T449" s="106"/>
      <c r="U449" s="106"/>
      <c r="V449" s="106"/>
      <c r="W449" s="106"/>
      <c r="X449" s="106"/>
      <c r="Y449" s="106"/>
      <c r="Z449" s="106"/>
    </row>
    <row r="450" spans="1:26" ht="13.5" customHeight="1">
      <c r="A450" s="106"/>
      <c r="B450" s="106"/>
      <c r="C450" s="106"/>
      <c r="D450" s="106"/>
      <c r="E450" s="106"/>
      <c r="F450" s="106"/>
      <c r="G450" s="110"/>
      <c r="H450" s="106"/>
      <c r="I450" s="110"/>
      <c r="J450" s="106"/>
      <c r="K450" s="106"/>
      <c r="L450" s="106"/>
      <c r="M450" s="106"/>
      <c r="N450" s="106"/>
      <c r="O450" s="106"/>
      <c r="P450" s="106"/>
      <c r="Q450" s="106"/>
      <c r="R450" s="106"/>
      <c r="S450" s="106"/>
      <c r="T450" s="106"/>
      <c r="U450" s="106"/>
      <c r="V450" s="106"/>
      <c r="W450" s="106"/>
      <c r="X450" s="106"/>
      <c r="Y450" s="106"/>
      <c r="Z450" s="106"/>
    </row>
    <row r="451" spans="1:26" ht="13.5" customHeight="1">
      <c r="A451" s="106"/>
      <c r="B451" s="106"/>
      <c r="C451" s="106"/>
      <c r="D451" s="106"/>
      <c r="E451" s="106"/>
      <c r="F451" s="106"/>
      <c r="G451" s="110"/>
      <c r="H451" s="106"/>
      <c r="I451" s="110"/>
      <c r="J451" s="106"/>
      <c r="K451" s="106"/>
      <c r="L451" s="106"/>
      <c r="M451" s="106"/>
      <c r="N451" s="106"/>
      <c r="O451" s="106"/>
      <c r="P451" s="106"/>
      <c r="Q451" s="106"/>
      <c r="R451" s="106"/>
      <c r="S451" s="106"/>
      <c r="T451" s="106"/>
      <c r="U451" s="106"/>
      <c r="V451" s="106"/>
      <c r="W451" s="106"/>
      <c r="X451" s="106"/>
      <c r="Y451" s="106"/>
      <c r="Z451" s="106"/>
    </row>
    <row r="452" spans="1:26" ht="13.5" customHeight="1">
      <c r="A452" s="106"/>
      <c r="B452" s="106"/>
      <c r="C452" s="106"/>
      <c r="D452" s="106"/>
      <c r="E452" s="106"/>
      <c r="F452" s="106"/>
      <c r="G452" s="110"/>
      <c r="H452" s="106"/>
      <c r="I452" s="110"/>
      <c r="J452" s="106"/>
      <c r="K452" s="106"/>
      <c r="L452" s="106"/>
      <c r="M452" s="106"/>
      <c r="N452" s="106"/>
      <c r="O452" s="106"/>
      <c r="P452" s="106"/>
      <c r="Q452" s="106"/>
      <c r="R452" s="106"/>
      <c r="S452" s="106"/>
      <c r="T452" s="106"/>
      <c r="U452" s="106"/>
      <c r="V452" s="106"/>
      <c r="W452" s="106"/>
      <c r="X452" s="106"/>
      <c r="Y452" s="106"/>
      <c r="Z452" s="106"/>
    </row>
    <row r="453" spans="1:26" ht="13.5" customHeight="1">
      <c r="A453" s="106"/>
      <c r="B453" s="106"/>
      <c r="C453" s="106"/>
      <c r="D453" s="106"/>
      <c r="E453" s="106"/>
      <c r="F453" s="106"/>
      <c r="G453" s="110"/>
      <c r="H453" s="106"/>
      <c r="I453" s="110"/>
      <c r="J453" s="106"/>
      <c r="K453" s="106"/>
      <c r="L453" s="106"/>
      <c r="M453" s="106"/>
      <c r="N453" s="106"/>
      <c r="O453" s="106"/>
      <c r="P453" s="106"/>
      <c r="Q453" s="106"/>
      <c r="R453" s="106"/>
      <c r="S453" s="106"/>
      <c r="T453" s="106"/>
      <c r="U453" s="106"/>
      <c r="V453" s="106"/>
      <c r="W453" s="106"/>
      <c r="X453" s="106"/>
      <c r="Y453" s="106"/>
      <c r="Z453" s="106"/>
    </row>
    <row r="454" spans="1:26" ht="13.5" customHeight="1">
      <c r="A454" s="106"/>
      <c r="B454" s="106"/>
      <c r="C454" s="106"/>
      <c r="D454" s="106"/>
      <c r="E454" s="106"/>
      <c r="F454" s="106"/>
      <c r="G454" s="110"/>
      <c r="H454" s="106"/>
      <c r="I454" s="110"/>
      <c r="J454" s="106"/>
      <c r="K454" s="106"/>
      <c r="L454" s="106"/>
      <c r="M454" s="106"/>
      <c r="N454" s="106"/>
      <c r="O454" s="106"/>
      <c r="P454" s="106"/>
      <c r="Q454" s="106"/>
      <c r="R454" s="106"/>
      <c r="S454" s="106"/>
      <c r="T454" s="106"/>
      <c r="U454" s="106"/>
      <c r="V454" s="106"/>
      <c r="W454" s="106"/>
      <c r="X454" s="106"/>
      <c r="Y454" s="106"/>
      <c r="Z454" s="106"/>
    </row>
    <row r="455" spans="1:26" ht="13.5" customHeight="1">
      <c r="A455" s="106"/>
      <c r="B455" s="106"/>
      <c r="C455" s="106"/>
      <c r="D455" s="106"/>
      <c r="E455" s="106"/>
      <c r="F455" s="106"/>
      <c r="G455" s="110"/>
      <c r="H455" s="106"/>
      <c r="I455" s="110"/>
      <c r="J455" s="106"/>
      <c r="K455" s="106"/>
      <c r="L455" s="106"/>
      <c r="M455" s="106"/>
      <c r="N455" s="106"/>
      <c r="O455" s="106"/>
      <c r="P455" s="106"/>
      <c r="Q455" s="106"/>
      <c r="R455" s="106"/>
      <c r="S455" s="106"/>
      <c r="T455" s="106"/>
      <c r="U455" s="106"/>
      <c r="V455" s="106"/>
      <c r="W455" s="106"/>
      <c r="X455" s="106"/>
      <c r="Y455" s="106"/>
      <c r="Z455" s="106"/>
    </row>
    <row r="456" spans="1:26" ht="13.5" customHeight="1">
      <c r="A456" s="106"/>
      <c r="B456" s="106"/>
      <c r="C456" s="106"/>
      <c r="D456" s="106"/>
      <c r="E456" s="106"/>
      <c r="F456" s="106"/>
      <c r="G456" s="110"/>
      <c r="H456" s="106"/>
      <c r="I456" s="110"/>
      <c r="J456" s="106"/>
      <c r="K456" s="106"/>
      <c r="L456" s="106"/>
      <c r="M456" s="106"/>
      <c r="N456" s="106"/>
      <c r="O456" s="106"/>
      <c r="P456" s="106"/>
      <c r="Q456" s="106"/>
      <c r="R456" s="106"/>
      <c r="S456" s="106"/>
      <c r="T456" s="106"/>
      <c r="U456" s="106"/>
      <c r="V456" s="106"/>
      <c r="W456" s="106"/>
      <c r="X456" s="106"/>
      <c r="Y456" s="106"/>
      <c r="Z456" s="106"/>
    </row>
    <row r="457" spans="1:26" ht="13.5" customHeight="1">
      <c r="A457" s="106"/>
      <c r="B457" s="106"/>
      <c r="C457" s="106"/>
      <c r="D457" s="106"/>
      <c r="E457" s="106"/>
      <c r="F457" s="106"/>
      <c r="G457" s="110"/>
      <c r="H457" s="106"/>
      <c r="I457" s="110"/>
      <c r="J457" s="106"/>
      <c r="K457" s="106"/>
      <c r="L457" s="106"/>
      <c r="M457" s="106"/>
      <c r="N457" s="106"/>
      <c r="O457" s="106"/>
      <c r="P457" s="106"/>
      <c r="Q457" s="106"/>
      <c r="R457" s="106"/>
      <c r="S457" s="106"/>
      <c r="T457" s="106"/>
      <c r="U457" s="106"/>
      <c r="V457" s="106"/>
      <c r="W457" s="106"/>
      <c r="X457" s="106"/>
      <c r="Y457" s="106"/>
      <c r="Z457" s="106"/>
    </row>
    <row r="458" spans="1:26" ht="13.5" customHeight="1">
      <c r="A458" s="106"/>
      <c r="B458" s="106"/>
      <c r="C458" s="106"/>
      <c r="D458" s="106"/>
      <c r="E458" s="106"/>
      <c r="F458" s="106"/>
      <c r="G458" s="110"/>
      <c r="H458" s="106"/>
      <c r="I458" s="110"/>
      <c r="J458" s="106"/>
      <c r="K458" s="106"/>
      <c r="L458" s="106"/>
      <c r="M458" s="106"/>
      <c r="N458" s="106"/>
      <c r="O458" s="106"/>
      <c r="P458" s="106"/>
      <c r="Q458" s="106"/>
      <c r="R458" s="106"/>
      <c r="S458" s="106"/>
      <c r="T458" s="106"/>
      <c r="U458" s="106"/>
      <c r="V458" s="106"/>
      <c r="W458" s="106"/>
      <c r="X458" s="106"/>
      <c r="Y458" s="106"/>
      <c r="Z458" s="106"/>
    </row>
    <row r="459" spans="1:26" ht="13.5" customHeight="1">
      <c r="A459" s="106"/>
      <c r="B459" s="106"/>
      <c r="C459" s="106"/>
      <c r="D459" s="106"/>
      <c r="E459" s="106"/>
      <c r="F459" s="106"/>
      <c r="G459" s="110"/>
      <c r="H459" s="106"/>
      <c r="I459" s="110"/>
      <c r="J459" s="106"/>
      <c r="K459" s="106"/>
      <c r="L459" s="106"/>
      <c r="M459" s="106"/>
      <c r="N459" s="106"/>
      <c r="O459" s="106"/>
      <c r="P459" s="106"/>
      <c r="Q459" s="106"/>
      <c r="R459" s="106"/>
      <c r="S459" s="106"/>
      <c r="T459" s="106"/>
      <c r="U459" s="106"/>
      <c r="V459" s="106"/>
      <c r="W459" s="106"/>
      <c r="X459" s="106"/>
      <c r="Y459" s="106"/>
      <c r="Z459" s="106"/>
    </row>
    <row r="460" spans="1:26" ht="13.5" customHeight="1">
      <c r="A460" s="106"/>
      <c r="B460" s="106"/>
      <c r="C460" s="106"/>
      <c r="D460" s="106"/>
      <c r="E460" s="106"/>
      <c r="F460" s="106"/>
      <c r="G460" s="110"/>
      <c r="H460" s="106"/>
      <c r="I460" s="110"/>
      <c r="J460" s="106"/>
      <c r="K460" s="106"/>
      <c r="L460" s="106"/>
      <c r="M460" s="106"/>
      <c r="N460" s="106"/>
      <c r="O460" s="106"/>
      <c r="P460" s="106"/>
      <c r="Q460" s="106"/>
      <c r="R460" s="106"/>
      <c r="S460" s="106"/>
      <c r="T460" s="106"/>
      <c r="U460" s="106"/>
      <c r="V460" s="106"/>
      <c r="W460" s="106"/>
      <c r="X460" s="106"/>
      <c r="Y460" s="106"/>
      <c r="Z460" s="106"/>
    </row>
    <row r="461" spans="1:26" ht="13.5" customHeight="1">
      <c r="A461" s="106"/>
      <c r="B461" s="106"/>
      <c r="C461" s="106"/>
      <c r="D461" s="106"/>
      <c r="E461" s="106"/>
      <c r="F461" s="106"/>
      <c r="G461" s="110"/>
      <c r="H461" s="106"/>
      <c r="I461" s="110"/>
      <c r="J461" s="106"/>
      <c r="K461" s="106"/>
      <c r="L461" s="106"/>
      <c r="M461" s="106"/>
      <c r="N461" s="106"/>
      <c r="O461" s="106"/>
      <c r="P461" s="106"/>
      <c r="Q461" s="106"/>
      <c r="R461" s="106"/>
      <c r="S461" s="106"/>
      <c r="T461" s="106"/>
      <c r="U461" s="106"/>
      <c r="V461" s="106"/>
      <c r="W461" s="106"/>
      <c r="X461" s="106"/>
      <c r="Y461" s="106"/>
      <c r="Z461" s="106"/>
    </row>
    <row r="462" spans="1:26" ht="13.5" customHeight="1">
      <c r="A462" s="106"/>
      <c r="B462" s="106"/>
      <c r="C462" s="106"/>
      <c r="D462" s="106"/>
      <c r="E462" s="106"/>
      <c r="F462" s="106"/>
      <c r="G462" s="110"/>
      <c r="H462" s="106"/>
      <c r="I462" s="110"/>
      <c r="J462" s="106"/>
      <c r="K462" s="106"/>
      <c r="L462" s="106"/>
      <c r="M462" s="106"/>
      <c r="N462" s="106"/>
      <c r="O462" s="106"/>
      <c r="P462" s="106"/>
      <c r="Q462" s="106"/>
      <c r="R462" s="106"/>
      <c r="S462" s="106"/>
      <c r="T462" s="106"/>
      <c r="U462" s="106"/>
      <c r="V462" s="106"/>
      <c r="W462" s="106"/>
      <c r="X462" s="106"/>
      <c r="Y462" s="106"/>
      <c r="Z462" s="106"/>
    </row>
    <row r="463" spans="1:26" ht="13.5" customHeight="1">
      <c r="A463" s="106"/>
      <c r="B463" s="106"/>
      <c r="C463" s="106"/>
      <c r="D463" s="106"/>
      <c r="E463" s="106"/>
      <c r="F463" s="106"/>
      <c r="G463" s="110"/>
      <c r="H463" s="106"/>
      <c r="I463" s="110"/>
      <c r="J463" s="106"/>
      <c r="K463" s="106"/>
      <c r="L463" s="106"/>
      <c r="M463" s="106"/>
      <c r="N463" s="106"/>
      <c r="O463" s="106"/>
      <c r="P463" s="106"/>
      <c r="Q463" s="106"/>
      <c r="R463" s="106"/>
      <c r="S463" s="106"/>
      <c r="T463" s="106"/>
      <c r="U463" s="106"/>
      <c r="V463" s="106"/>
      <c r="W463" s="106"/>
      <c r="X463" s="106"/>
      <c r="Y463" s="106"/>
      <c r="Z463" s="106"/>
    </row>
    <row r="464" spans="1:26" ht="13.5" customHeight="1">
      <c r="A464" s="106"/>
      <c r="B464" s="106"/>
      <c r="C464" s="106"/>
      <c r="D464" s="106"/>
      <c r="E464" s="106"/>
      <c r="F464" s="106"/>
      <c r="G464" s="110"/>
      <c r="H464" s="106"/>
      <c r="I464" s="110"/>
      <c r="J464" s="106"/>
      <c r="K464" s="106"/>
      <c r="L464" s="106"/>
      <c r="M464" s="106"/>
      <c r="N464" s="106"/>
      <c r="O464" s="106"/>
      <c r="P464" s="106"/>
      <c r="Q464" s="106"/>
      <c r="R464" s="106"/>
      <c r="S464" s="106"/>
      <c r="T464" s="106"/>
      <c r="U464" s="106"/>
      <c r="V464" s="106"/>
      <c r="W464" s="106"/>
      <c r="X464" s="106"/>
      <c r="Y464" s="106"/>
      <c r="Z464" s="106"/>
    </row>
    <row r="465" spans="1:26" ht="13.5" customHeight="1">
      <c r="A465" s="106"/>
      <c r="B465" s="106"/>
      <c r="C465" s="106"/>
      <c r="D465" s="106"/>
      <c r="E465" s="106"/>
      <c r="F465" s="106"/>
      <c r="G465" s="110"/>
      <c r="H465" s="106"/>
      <c r="I465" s="110"/>
      <c r="J465" s="106"/>
      <c r="K465" s="106"/>
      <c r="L465" s="106"/>
      <c r="M465" s="106"/>
      <c r="N465" s="106"/>
      <c r="O465" s="106"/>
      <c r="P465" s="106"/>
      <c r="Q465" s="106"/>
      <c r="R465" s="106"/>
      <c r="S465" s="106"/>
      <c r="T465" s="106"/>
      <c r="U465" s="106"/>
      <c r="V465" s="106"/>
      <c r="W465" s="106"/>
      <c r="X465" s="106"/>
      <c r="Y465" s="106"/>
      <c r="Z465" s="106"/>
    </row>
    <row r="466" spans="1:26" ht="13.5" customHeight="1">
      <c r="A466" s="106"/>
      <c r="B466" s="106"/>
      <c r="C466" s="106"/>
      <c r="D466" s="106"/>
      <c r="E466" s="106"/>
      <c r="F466" s="106"/>
      <c r="G466" s="110"/>
      <c r="H466" s="106"/>
      <c r="I466" s="110"/>
      <c r="J466" s="106"/>
      <c r="K466" s="106"/>
      <c r="L466" s="106"/>
      <c r="M466" s="106"/>
      <c r="N466" s="106"/>
      <c r="O466" s="106"/>
      <c r="P466" s="106"/>
      <c r="Q466" s="106"/>
      <c r="R466" s="106"/>
      <c r="S466" s="106"/>
      <c r="T466" s="106"/>
      <c r="U466" s="106"/>
      <c r="V466" s="106"/>
      <c r="W466" s="106"/>
      <c r="X466" s="106"/>
      <c r="Y466" s="106"/>
      <c r="Z466" s="106"/>
    </row>
    <row r="467" spans="1:26" ht="13.5" customHeight="1">
      <c r="A467" s="106"/>
      <c r="B467" s="106"/>
      <c r="C467" s="106"/>
      <c r="D467" s="106"/>
      <c r="E467" s="106"/>
      <c r="F467" s="106"/>
      <c r="G467" s="110"/>
      <c r="H467" s="106"/>
      <c r="I467" s="110"/>
      <c r="J467" s="106"/>
      <c r="K467" s="106"/>
      <c r="L467" s="106"/>
      <c r="M467" s="106"/>
      <c r="N467" s="106"/>
      <c r="O467" s="106"/>
      <c r="P467" s="106"/>
      <c r="Q467" s="106"/>
      <c r="R467" s="106"/>
      <c r="S467" s="106"/>
      <c r="T467" s="106"/>
      <c r="U467" s="106"/>
      <c r="V467" s="106"/>
      <c r="W467" s="106"/>
      <c r="X467" s="106"/>
      <c r="Y467" s="106"/>
      <c r="Z467" s="106"/>
    </row>
    <row r="468" spans="1:26" ht="13.5" customHeight="1">
      <c r="A468" s="106"/>
      <c r="B468" s="106"/>
      <c r="C468" s="106"/>
      <c r="D468" s="106"/>
      <c r="E468" s="106"/>
      <c r="F468" s="106"/>
      <c r="G468" s="110"/>
      <c r="H468" s="106"/>
      <c r="I468" s="110"/>
      <c r="J468" s="106"/>
      <c r="K468" s="106"/>
      <c r="L468" s="106"/>
      <c r="M468" s="106"/>
      <c r="N468" s="106"/>
      <c r="O468" s="106"/>
      <c r="P468" s="106"/>
      <c r="Q468" s="106"/>
      <c r="R468" s="106"/>
      <c r="S468" s="106"/>
      <c r="T468" s="106"/>
      <c r="U468" s="106"/>
      <c r="V468" s="106"/>
      <c r="W468" s="106"/>
      <c r="X468" s="106"/>
      <c r="Y468" s="106"/>
      <c r="Z468" s="106"/>
    </row>
    <row r="469" spans="1:26" ht="13.5" customHeight="1">
      <c r="A469" s="106"/>
      <c r="B469" s="106"/>
      <c r="C469" s="106"/>
      <c r="D469" s="106"/>
      <c r="E469" s="106"/>
      <c r="F469" s="106"/>
      <c r="G469" s="110"/>
      <c r="H469" s="106"/>
      <c r="I469" s="110"/>
      <c r="J469" s="106"/>
      <c r="K469" s="106"/>
      <c r="L469" s="106"/>
      <c r="M469" s="106"/>
      <c r="N469" s="106"/>
      <c r="O469" s="106"/>
      <c r="P469" s="106"/>
      <c r="Q469" s="106"/>
      <c r="R469" s="106"/>
      <c r="S469" s="106"/>
      <c r="T469" s="106"/>
      <c r="U469" s="106"/>
      <c r="V469" s="106"/>
      <c r="W469" s="106"/>
      <c r="X469" s="106"/>
      <c r="Y469" s="106"/>
      <c r="Z469" s="106"/>
    </row>
    <row r="470" spans="1:26" ht="13.5" customHeight="1">
      <c r="A470" s="106"/>
      <c r="B470" s="106"/>
      <c r="C470" s="106"/>
      <c r="D470" s="106"/>
      <c r="E470" s="106"/>
      <c r="F470" s="106"/>
      <c r="G470" s="110"/>
      <c r="H470" s="106"/>
      <c r="I470" s="110"/>
      <c r="J470" s="106"/>
      <c r="K470" s="106"/>
      <c r="L470" s="106"/>
      <c r="M470" s="106"/>
      <c r="N470" s="106"/>
      <c r="O470" s="106"/>
      <c r="P470" s="106"/>
      <c r="Q470" s="106"/>
      <c r="R470" s="106"/>
      <c r="S470" s="106"/>
      <c r="T470" s="106"/>
      <c r="U470" s="106"/>
      <c r="V470" s="106"/>
      <c r="W470" s="106"/>
      <c r="X470" s="106"/>
      <c r="Y470" s="106"/>
      <c r="Z470" s="106"/>
    </row>
    <row r="471" spans="1:26" ht="13.5" customHeight="1">
      <c r="A471" s="106"/>
      <c r="B471" s="106"/>
      <c r="C471" s="106"/>
      <c r="D471" s="106"/>
      <c r="E471" s="106"/>
      <c r="F471" s="106"/>
      <c r="G471" s="110"/>
      <c r="H471" s="106"/>
      <c r="I471" s="110"/>
      <c r="J471" s="106"/>
      <c r="K471" s="106"/>
      <c r="L471" s="106"/>
      <c r="M471" s="106"/>
      <c r="N471" s="106"/>
      <c r="O471" s="106"/>
      <c r="P471" s="106"/>
      <c r="Q471" s="106"/>
      <c r="R471" s="106"/>
      <c r="S471" s="106"/>
      <c r="T471" s="106"/>
      <c r="U471" s="106"/>
      <c r="V471" s="106"/>
      <c r="W471" s="106"/>
      <c r="X471" s="106"/>
      <c r="Y471" s="106"/>
      <c r="Z471" s="106"/>
    </row>
    <row r="472" spans="1:26" ht="13.5" customHeight="1">
      <c r="A472" s="106"/>
      <c r="B472" s="106"/>
      <c r="C472" s="106"/>
      <c r="D472" s="106"/>
      <c r="E472" s="106"/>
      <c r="F472" s="106"/>
      <c r="G472" s="110"/>
      <c r="H472" s="106"/>
      <c r="I472" s="110"/>
      <c r="J472" s="106"/>
      <c r="K472" s="106"/>
      <c r="L472" s="106"/>
      <c r="M472" s="106"/>
      <c r="N472" s="106"/>
      <c r="O472" s="106"/>
      <c r="P472" s="106"/>
      <c r="Q472" s="106"/>
      <c r="R472" s="106"/>
      <c r="S472" s="106"/>
      <c r="T472" s="106"/>
      <c r="U472" s="106"/>
      <c r="V472" s="106"/>
      <c r="W472" s="106"/>
      <c r="X472" s="106"/>
      <c r="Y472" s="106"/>
      <c r="Z472" s="106"/>
    </row>
    <row r="473" spans="1:26" ht="13.5" customHeight="1">
      <c r="A473" s="106"/>
      <c r="B473" s="106"/>
      <c r="C473" s="106"/>
      <c r="D473" s="106"/>
      <c r="E473" s="106"/>
      <c r="F473" s="106"/>
      <c r="G473" s="110"/>
      <c r="H473" s="106"/>
      <c r="I473" s="110"/>
      <c r="J473" s="106"/>
      <c r="K473" s="106"/>
      <c r="L473" s="106"/>
      <c r="M473" s="106"/>
      <c r="N473" s="106"/>
      <c r="O473" s="106"/>
      <c r="P473" s="106"/>
      <c r="Q473" s="106"/>
      <c r="R473" s="106"/>
      <c r="S473" s="106"/>
      <c r="T473" s="106"/>
      <c r="U473" s="106"/>
      <c r="V473" s="106"/>
      <c r="W473" s="106"/>
      <c r="X473" s="106"/>
      <c r="Y473" s="106"/>
      <c r="Z473" s="106"/>
    </row>
    <row r="474" spans="1:26" ht="13.5" customHeight="1">
      <c r="A474" s="106"/>
      <c r="B474" s="106"/>
      <c r="C474" s="106"/>
      <c r="D474" s="106"/>
      <c r="E474" s="106"/>
      <c r="F474" s="106"/>
      <c r="G474" s="110"/>
      <c r="H474" s="106"/>
      <c r="I474" s="110"/>
      <c r="J474" s="106"/>
      <c r="K474" s="106"/>
      <c r="L474" s="106"/>
      <c r="M474" s="106"/>
      <c r="N474" s="106"/>
      <c r="O474" s="106"/>
      <c r="P474" s="106"/>
      <c r="Q474" s="106"/>
      <c r="R474" s="106"/>
      <c r="S474" s="106"/>
      <c r="T474" s="106"/>
      <c r="U474" s="106"/>
      <c r="V474" s="106"/>
      <c r="W474" s="106"/>
      <c r="X474" s="106"/>
      <c r="Y474" s="106"/>
      <c r="Z474" s="106"/>
    </row>
    <row r="475" spans="1:26" ht="13.5" customHeight="1">
      <c r="A475" s="106"/>
      <c r="B475" s="106"/>
      <c r="C475" s="106"/>
      <c r="D475" s="106"/>
      <c r="E475" s="106"/>
      <c r="F475" s="106"/>
      <c r="G475" s="110"/>
      <c r="H475" s="106"/>
      <c r="I475" s="110"/>
      <c r="J475" s="106"/>
      <c r="K475" s="106"/>
      <c r="L475" s="106"/>
      <c r="M475" s="106"/>
      <c r="N475" s="106"/>
      <c r="O475" s="106"/>
      <c r="P475" s="106"/>
      <c r="Q475" s="106"/>
      <c r="R475" s="106"/>
      <c r="S475" s="106"/>
      <c r="T475" s="106"/>
      <c r="U475" s="106"/>
      <c r="V475" s="106"/>
      <c r="W475" s="106"/>
      <c r="X475" s="106"/>
      <c r="Y475" s="106"/>
      <c r="Z475" s="106"/>
    </row>
    <row r="476" spans="1:26" ht="13.5" customHeight="1">
      <c r="A476" s="106"/>
      <c r="B476" s="106"/>
      <c r="C476" s="106"/>
      <c r="D476" s="106"/>
      <c r="E476" s="106"/>
      <c r="F476" s="106"/>
      <c r="G476" s="110"/>
      <c r="H476" s="106"/>
      <c r="I476" s="110"/>
      <c r="J476" s="106"/>
      <c r="K476" s="106"/>
      <c r="L476" s="106"/>
      <c r="M476" s="106"/>
      <c r="N476" s="106"/>
      <c r="O476" s="106"/>
      <c r="P476" s="106"/>
      <c r="Q476" s="106"/>
      <c r="R476" s="106"/>
      <c r="S476" s="106"/>
      <c r="T476" s="106"/>
      <c r="U476" s="106"/>
      <c r="V476" s="106"/>
      <c r="W476" s="106"/>
      <c r="X476" s="106"/>
      <c r="Y476" s="106"/>
      <c r="Z476" s="106"/>
    </row>
    <row r="477" spans="1:26" ht="13.5" customHeight="1">
      <c r="A477" s="106"/>
      <c r="B477" s="106"/>
      <c r="C477" s="106"/>
      <c r="D477" s="106"/>
      <c r="E477" s="106"/>
      <c r="F477" s="106"/>
      <c r="G477" s="110"/>
      <c r="H477" s="106"/>
      <c r="I477" s="110"/>
      <c r="J477" s="106"/>
      <c r="K477" s="106"/>
      <c r="L477" s="106"/>
      <c r="M477" s="106"/>
      <c r="N477" s="106"/>
      <c r="O477" s="106"/>
      <c r="P477" s="106"/>
      <c r="Q477" s="106"/>
      <c r="R477" s="106"/>
      <c r="S477" s="106"/>
      <c r="T477" s="106"/>
      <c r="U477" s="106"/>
      <c r="V477" s="106"/>
      <c r="W477" s="106"/>
      <c r="X477" s="106"/>
      <c r="Y477" s="106"/>
      <c r="Z477" s="106"/>
    </row>
    <row r="478" spans="1:26" ht="13.5" customHeight="1">
      <c r="A478" s="106"/>
      <c r="B478" s="106"/>
      <c r="C478" s="106"/>
      <c r="D478" s="106"/>
      <c r="E478" s="106"/>
      <c r="F478" s="106"/>
      <c r="G478" s="110"/>
      <c r="H478" s="106"/>
      <c r="I478" s="110"/>
      <c r="J478" s="106"/>
      <c r="K478" s="106"/>
      <c r="L478" s="106"/>
      <c r="M478" s="106"/>
      <c r="N478" s="106"/>
      <c r="O478" s="106"/>
      <c r="P478" s="106"/>
      <c r="Q478" s="106"/>
      <c r="R478" s="106"/>
      <c r="S478" s="106"/>
      <c r="T478" s="106"/>
      <c r="U478" s="106"/>
      <c r="V478" s="106"/>
      <c r="W478" s="106"/>
      <c r="X478" s="106"/>
      <c r="Y478" s="106"/>
      <c r="Z478" s="106"/>
    </row>
    <row r="479" spans="1:26" ht="13.5" customHeight="1">
      <c r="A479" s="106"/>
      <c r="B479" s="106"/>
      <c r="C479" s="106"/>
      <c r="D479" s="106"/>
      <c r="E479" s="106"/>
      <c r="F479" s="106"/>
      <c r="G479" s="110"/>
      <c r="H479" s="106"/>
      <c r="I479" s="110"/>
      <c r="J479" s="106"/>
      <c r="K479" s="106"/>
      <c r="L479" s="106"/>
      <c r="M479" s="106"/>
      <c r="N479" s="106"/>
      <c r="O479" s="106"/>
      <c r="P479" s="106"/>
      <c r="Q479" s="106"/>
      <c r="R479" s="106"/>
      <c r="S479" s="106"/>
      <c r="T479" s="106"/>
      <c r="U479" s="106"/>
      <c r="V479" s="106"/>
      <c r="W479" s="106"/>
      <c r="X479" s="106"/>
      <c r="Y479" s="106"/>
      <c r="Z479" s="106"/>
    </row>
    <row r="480" spans="1:26" ht="13.5" customHeight="1">
      <c r="A480" s="106"/>
      <c r="B480" s="106"/>
      <c r="C480" s="106"/>
      <c r="D480" s="106"/>
      <c r="E480" s="106"/>
      <c r="F480" s="106"/>
      <c r="G480" s="110"/>
      <c r="H480" s="106"/>
      <c r="I480" s="110"/>
      <c r="J480" s="106"/>
      <c r="K480" s="106"/>
      <c r="L480" s="106"/>
      <c r="M480" s="106"/>
      <c r="N480" s="106"/>
      <c r="O480" s="106"/>
      <c r="P480" s="106"/>
      <c r="Q480" s="106"/>
      <c r="R480" s="106"/>
      <c r="S480" s="106"/>
      <c r="T480" s="106"/>
      <c r="U480" s="106"/>
      <c r="V480" s="106"/>
      <c r="W480" s="106"/>
      <c r="X480" s="106"/>
      <c r="Y480" s="106"/>
      <c r="Z480" s="106"/>
    </row>
    <row r="481" spans="1:26" ht="13.5" customHeight="1">
      <c r="A481" s="106"/>
      <c r="B481" s="106"/>
      <c r="C481" s="106"/>
      <c r="D481" s="106"/>
      <c r="E481" s="106"/>
      <c r="F481" s="106"/>
      <c r="G481" s="110"/>
      <c r="H481" s="106"/>
      <c r="I481" s="110"/>
      <c r="J481" s="106"/>
      <c r="K481" s="106"/>
      <c r="L481" s="106"/>
      <c r="M481" s="106"/>
      <c r="N481" s="106"/>
      <c r="O481" s="106"/>
      <c r="P481" s="106"/>
      <c r="Q481" s="106"/>
      <c r="R481" s="106"/>
      <c r="S481" s="106"/>
      <c r="T481" s="106"/>
      <c r="U481" s="106"/>
      <c r="V481" s="106"/>
      <c r="W481" s="106"/>
      <c r="X481" s="106"/>
      <c r="Y481" s="106"/>
      <c r="Z481" s="106"/>
    </row>
    <row r="482" spans="1:26" ht="13.5" customHeight="1">
      <c r="A482" s="106"/>
      <c r="B482" s="106"/>
      <c r="C482" s="106"/>
      <c r="D482" s="106"/>
      <c r="E482" s="106"/>
      <c r="F482" s="106"/>
      <c r="G482" s="110"/>
      <c r="H482" s="106"/>
      <c r="I482" s="110"/>
      <c r="J482" s="106"/>
      <c r="K482" s="106"/>
      <c r="L482" s="106"/>
      <c r="M482" s="106"/>
      <c r="N482" s="106"/>
      <c r="O482" s="106"/>
      <c r="P482" s="106"/>
      <c r="Q482" s="106"/>
      <c r="R482" s="106"/>
      <c r="S482" s="106"/>
      <c r="T482" s="106"/>
      <c r="U482" s="106"/>
      <c r="V482" s="106"/>
      <c r="W482" s="106"/>
      <c r="X482" s="106"/>
      <c r="Y482" s="106"/>
      <c r="Z482" s="106"/>
    </row>
    <row r="483" spans="1:26" ht="13.5" customHeight="1">
      <c r="A483" s="106"/>
      <c r="B483" s="106"/>
      <c r="C483" s="106"/>
      <c r="D483" s="106"/>
      <c r="E483" s="106"/>
      <c r="F483" s="106"/>
      <c r="G483" s="110"/>
      <c r="H483" s="106"/>
      <c r="I483" s="110"/>
      <c r="J483" s="106"/>
      <c r="K483" s="106"/>
      <c r="L483" s="106"/>
      <c r="M483" s="106"/>
      <c r="N483" s="106"/>
      <c r="O483" s="106"/>
      <c r="P483" s="106"/>
      <c r="Q483" s="106"/>
      <c r="R483" s="106"/>
      <c r="S483" s="106"/>
      <c r="T483" s="106"/>
      <c r="U483" s="106"/>
      <c r="V483" s="106"/>
      <c r="W483" s="106"/>
      <c r="X483" s="106"/>
      <c r="Y483" s="106"/>
      <c r="Z483" s="106"/>
    </row>
    <row r="484" spans="1:26" ht="13.5" customHeight="1">
      <c r="A484" s="106"/>
      <c r="B484" s="106"/>
      <c r="C484" s="106"/>
      <c r="D484" s="106"/>
      <c r="E484" s="106"/>
      <c r="F484" s="106"/>
      <c r="G484" s="110"/>
      <c r="H484" s="106"/>
      <c r="I484" s="110"/>
      <c r="J484" s="106"/>
      <c r="K484" s="106"/>
      <c r="L484" s="106"/>
      <c r="M484" s="106"/>
      <c r="N484" s="106"/>
      <c r="O484" s="106"/>
      <c r="P484" s="106"/>
      <c r="Q484" s="106"/>
      <c r="R484" s="106"/>
      <c r="S484" s="106"/>
      <c r="T484" s="106"/>
      <c r="U484" s="106"/>
      <c r="V484" s="106"/>
      <c r="W484" s="106"/>
      <c r="X484" s="106"/>
      <c r="Y484" s="106"/>
      <c r="Z484" s="106"/>
    </row>
    <row r="485" spans="1:26" ht="13.5" customHeight="1">
      <c r="A485" s="106"/>
      <c r="B485" s="106"/>
      <c r="C485" s="106"/>
      <c r="D485" s="106"/>
      <c r="E485" s="106"/>
      <c r="F485" s="106"/>
      <c r="G485" s="110"/>
      <c r="H485" s="106"/>
      <c r="I485" s="110"/>
      <c r="J485" s="106"/>
      <c r="K485" s="106"/>
      <c r="L485" s="106"/>
      <c r="M485" s="106"/>
      <c r="N485" s="106"/>
      <c r="O485" s="106"/>
      <c r="P485" s="106"/>
      <c r="Q485" s="106"/>
      <c r="R485" s="106"/>
      <c r="S485" s="106"/>
      <c r="T485" s="106"/>
      <c r="U485" s="106"/>
      <c r="V485" s="106"/>
      <c r="W485" s="106"/>
      <c r="X485" s="106"/>
      <c r="Y485" s="106"/>
      <c r="Z485" s="106"/>
    </row>
    <row r="486" spans="1:26" ht="13.5" customHeight="1">
      <c r="A486" s="106"/>
      <c r="B486" s="106"/>
      <c r="C486" s="106"/>
      <c r="D486" s="106"/>
      <c r="E486" s="106"/>
      <c r="F486" s="106"/>
      <c r="G486" s="110"/>
      <c r="H486" s="106"/>
      <c r="I486" s="110"/>
      <c r="J486" s="106"/>
      <c r="K486" s="106"/>
      <c r="L486" s="106"/>
      <c r="M486" s="106"/>
      <c r="N486" s="106"/>
      <c r="O486" s="106"/>
      <c r="P486" s="106"/>
      <c r="Q486" s="106"/>
      <c r="R486" s="106"/>
      <c r="S486" s="106"/>
      <c r="T486" s="106"/>
      <c r="U486" s="106"/>
      <c r="V486" s="106"/>
      <c r="W486" s="106"/>
      <c r="X486" s="106"/>
      <c r="Y486" s="106"/>
      <c r="Z486" s="106"/>
    </row>
    <row r="487" spans="1:26" ht="13.5" customHeight="1">
      <c r="A487" s="106"/>
      <c r="B487" s="106"/>
      <c r="C487" s="106"/>
      <c r="D487" s="106"/>
      <c r="E487" s="106"/>
      <c r="F487" s="106"/>
      <c r="G487" s="110"/>
      <c r="H487" s="106"/>
      <c r="I487" s="110"/>
      <c r="J487" s="106"/>
      <c r="K487" s="106"/>
      <c r="L487" s="106"/>
      <c r="M487" s="106"/>
      <c r="N487" s="106"/>
      <c r="O487" s="106"/>
      <c r="P487" s="106"/>
      <c r="Q487" s="106"/>
      <c r="R487" s="106"/>
      <c r="S487" s="106"/>
      <c r="T487" s="106"/>
      <c r="U487" s="106"/>
      <c r="V487" s="106"/>
      <c r="W487" s="106"/>
      <c r="X487" s="106"/>
      <c r="Y487" s="106"/>
      <c r="Z487" s="106"/>
    </row>
    <row r="488" spans="1:26" ht="13.5" customHeight="1">
      <c r="A488" s="106"/>
      <c r="B488" s="106"/>
      <c r="C488" s="106"/>
      <c r="D488" s="106"/>
      <c r="E488" s="106"/>
      <c r="F488" s="106"/>
      <c r="G488" s="110"/>
      <c r="H488" s="106"/>
      <c r="I488" s="110"/>
      <c r="J488" s="106"/>
      <c r="K488" s="106"/>
      <c r="L488" s="106"/>
      <c r="M488" s="106"/>
      <c r="N488" s="106"/>
      <c r="O488" s="106"/>
      <c r="P488" s="106"/>
      <c r="Q488" s="106"/>
      <c r="R488" s="106"/>
      <c r="S488" s="106"/>
      <c r="T488" s="106"/>
      <c r="U488" s="106"/>
      <c r="V488" s="106"/>
      <c r="W488" s="106"/>
      <c r="X488" s="106"/>
      <c r="Y488" s="106"/>
      <c r="Z488" s="106"/>
    </row>
    <row r="489" spans="1:26" ht="13.5" customHeight="1">
      <c r="A489" s="106"/>
      <c r="B489" s="106"/>
      <c r="C489" s="106"/>
      <c r="D489" s="106"/>
      <c r="E489" s="106"/>
      <c r="F489" s="106"/>
      <c r="G489" s="110"/>
      <c r="H489" s="106"/>
      <c r="I489" s="110"/>
      <c r="J489" s="106"/>
      <c r="K489" s="106"/>
      <c r="L489" s="106"/>
      <c r="M489" s="106"/>
      <c r="N489" s="106"/>
      <c r="O489" s="106"/>
      <c r="P489" s="106"/>
      <c r="Q489" s="106"/>
      <c r="R489" s="106"/>
      <c r="S489" s="106"/>
      <c r="T489" s="106"/>
      <c r="U489" s="106"/>
      <c r="V489" s="106"/>
      <c r="W489" s="106"/>
      <c r="X489" s="106"/>
      <c r="Y489" s="106"/>
      <c r="Z489" s="106"/>
    </row>
    <row r="490" spans="1:26" ht="13.5" customHeight="1">
      <c r="A490" s="106"/>
      <c r="B490" s="106"/>
      <c r="C490" s="106"/>
      <c r="D490" s="106"/>
      <c r="E490" s="106"/>
      <c r="F490" s="106"/>
      <c r="G490" s="110"/>
      <c r="H490" s="106"/>
      <c r="I490" s="110"/>
      <c r="J490" s="106"/>
      <c r="K490" s="106"/>
      <c r="L490" s="106"/>
      <c r="M490" s="106"/>
      <c r="N490" s="106"/>
      <c r="O490" s="106"/>
      <c r="P490" s="106"/>
      <c r="Q490" s="106"/>
      <c r="R490" s="106"/>
      <c r="S490" s="106"/>
      <c r="T490" s="106"/>
      <c r="U490" s="106"/>
      <c r="V490" s="106"/>
      <c r="W490" s="106"/>
      <c r="X490" s="106"/>
      <c r="Y490" s="106"/>
      <c r="Z490" s="106"/>
    </row>
    <row r="491" spans="1:26" ht="13.5" customHeight="1">
      <c r="A491" s="106"/>
      <c r="B491" s="106"/>
      <c r="C491" s="106"/>
      <c r="D491" s="106"/>
      <c r="E491" s="106"/>
      <c r="F491" s="106"/>
      <c r="G491" s="110"/>
      <c r="H491" s="106"/>
      <c r="I491" s="110"/>
      <c r="J491" s="106"/>
      <c r="K491" s="106"/>
      <c r="L491" s="106"/>
      <c r="M491" s="106"/>
      <c r="N491" s="106"/>
      <c r="O491" s="106"/>
      <c r="P491" s="106"/>
      <c r="Q491" s="106"/>
      <c r="R491" s="106"/>
      <c r="S491" s="106"/>
      <c r="T491" s="106"/>
      <c r="U491" s="106"/>
      <c r="V491" s="106"/>
      <c r="W491" s="106"/>
      <c r="X491" s="106"/>
      <c r="Y491" s="106"/>
      <c r="Z491" s="106"/>
    </row>
    <row r="492" spans="1:26" ht="13.5" customHeight="1">
      <c r="A492" s="106"/>
      <c r="B492" s="106"/>
      <c r="C492" s="106"/>
      <c r="D492" s="106"/>
      <c r="E492" s="106"/>
      <c r="F492" s="106"/>
      <c r="G492" s="110"/>
      <c r="H492" s="106"/>
      <c r="I492" s="110"/>
      <c r="J492" s="106"/>
      <c r="K492" s="106"/>
      <c r="L492" s="106"/>
      <c r="M492" s="106"/>
      <c r="N492" s="106"/>
      <c r="O492" s="106"/>
      <c r="P492" s="106"/>
      <c r="Q492" s="106"/>
      <c r="R492" s="106"/>
      <c r="S492" s="106"/>
      <c r="T492" s="106"/>
      <c r="U492" s="106"/>
      <c r="V492" s="106"/>
      <c r="W492" s="106"/>
      <c r="X492" s="106"/>
      <c r="Y492" s="106"/>
      <c r="Z492" s="106"/>
    </row>
    <row r="493" spans="1:26" ht="13.5" customHeight="1">
      <c r="A493" s="106"/>
      <c r="B493" s="106"/>
      <c r="C493" s="106"/>
      <c r="D493" s="106"/>
      <c r="E493" s="106"/>
      <c r="F493" s="106"/>
      <c r="G493" s="110"/>
      <c r="H493" s="106"/>
      <c r="I493" s="110"/>
      <c r="J493" s="106"/>
      <c r="K493" s="106"/>
      <c r="L493" s="106"/>
      <c r="M493" s="106"/>
      <c r="N493" s="106"/>
      <c r="O493" s="106"/>
      <c r="P493" s="106"/>
      <c r="Q493" s="106"/>
      <c r="R493" s="106"/>
      <c r="S493" s="106"/>
      <c r="T493" s="106"/>
      <c r="U493" s="106"/>
      <c r="V493" s="106"/>
      <c r="W493" s="106"/>
      <c r="X493" s="106"/>
      <c r="Y493" s="106"/>
      <c r="Z493" s="106"/>
    </row>
    <row r="494" spans="1:26" ht="13.5" customHeight="1">
      <c r="A494" s="106"/>
      <c r="B494" s="106"/>
      <c r="C494" s="106"/>
      <c r="D494" s="106"/>
      <c r="E494" s="106"/>
      <c r="F494" s="106"/>
      <c r="G494" s="110"/>
      <c r="H494" s="106"/>
      <c r="I494" s="110"/>
      <c r="J494" s="106"/>
      <c r="K494" s="106"/>
      <c r="L494" s="106"/>
      <c r="M494" s="106"/>
      <c r="N494" s="106"/>
      <c r="O494" s="106"/>
      <c r="P494" s="106"/>
      <c r="Q494" s="106"/>
      <c r="R494" s="106"/>
      <c r="S494" s="106"/>
      <c r="T494" s="106"/>
      <c r="U494" s="106"/>
      <c r="V494" s="106"/>
      <c r="W494" s="106"/>
      <c r="X494" s="106"/>
      <c r="Y494" s="106"/>
      <c r="Z494" s="106"/>
    </row>
    <row r="495" spans="1:26" ht="13.5" customHeight="1">
      <c r="A495" s="106"/>
      <c r="B495" s="106"/>
      <c r="C495" s="106"/>
      <c r="D495" s="106"/>
      <c r="E495" s="106"/>
      <c r="F495" s="106"/>
      <c r="G495" s="110"/>
      <c r="H495" s="106"/>
      <c r="I495" s="110"/>
      <c r="J495" s="106"/>
      <c r="K495" s="106"/>
      <c r="L495" s="106"/>
      <c r="M495" s="106"/>
      <c r="N495" s="106"/>
      <c r="O495" s="106"/>
      <c r="P495" s="106"/>
      <c r="Q495" s="106"/>
      <c r="R495" s="106"/>
      <c r="S495" s="106"/>
      <c r="T495" s="106"/>
      <c r="U495" s="106"/>
      <c r="V495" s="106"/>
      <c r="W495" s="106"/>
      <c r="X495" s="106"/>
      <c r="Y495" s="106"/>
      <c r="Z495" s="106"/>
    </row>
    <row r="496" spans="1:26" ht="13.5" customHeight="1">
      <c r="A496" s="106"/>
      <c r="B496" s="106"/>
      <c r="C496" s="106"/>
      <c r="D496" s="106"/>
      <c r="E496" s="106"/>
      <c r="F496" s="106"/>
      <c r="G496" s="110"/>
      <c r="H496" s="106"/>
      <c r="I496" s="110"/>
      <c r="J496" s="106"/>
      <c r="K496" s="106"/>
      <c r="L496" s="106"/>
      <c r="M496" s="106"/>
      <c r="N496" s="106"/>
      <c r="O496" s="106"/>
      <c r="P496" s="106"/>
      <c r="Q496" s="106"/>
      <c r="R496" s="106"/>
      <c r="S496" s="106"/>
      <c r="T496" s="106"/>
      <c r="U496" s="106"/>
      <c r="V496" s="106"/>
      <c r="W496" s="106"/>
      <c r="X496" s="106"/>
      <c r="Y496" s="106"/>
      <c r="Z496" s="106"/>
    </row>
    <row r="497" spans="1:26" ht="13.5" customHeight="1">
      <c r="A497" s="106"/>
      <c r="B497" s="106"/>
      <c r="C497" s="106"/>
      <c r="D497" s="106"/>
      <c r="E497" s="106"/>
      <c r="F497" s="106"/>
      <c r="G497" s="110"/>
      <c r="H497" s="106"/>
      <c r="I497" s="110"/>
      <c r="J497" s="106"/>
      <c r="K497" s="106"/>
      <c r="L497" s="106"/>
      <c r="M497" s="106"/>
      <c r="N497" s="106"/>
      <c r="O497" s="106"/>
      <c r="P497" s="106"/>
      <c r="Q497" s="106"/>
      <c r="R497" s="106"/>
      <c r="S497" s="106"/>
      <c r="T497" s="106"/>
      <c r="U497" s="106"/>
      <c r="V497" s="106"/>
      <c r="W497" s="106"/>
      <c r="X497" s="106"/>
      <c r="Y497" s="106"/>
      <c r="Z497" s="106"/>
    </row>
    <row r="498" spans="1:26" ht="13.5" customHeight="1">
      <c r="A498" s="106"/>
      <c r="B498" s="106"/>
      <c r="C498" s="106"/>
      <c r="D498" s="106"/>
      <c r="E498" s="106"/>
      <c r="F498" s="106"/>
      <c r="G498" s="110"/>
      <c r="H498" s="106"/>
      <c r="I498" s="110"/>
      <c r="J498" s="106"/>
      <c r="K498" s="106"/>
      <c r="L498" s="106"/>
      <c r="M498" s="106"/>
      <c r="N498" s="106"/>
      <c r="O498" s="106"/>
      <c r="P498" s="106"/>
      <c r="Q498" s="106"/>
      <c r="R498" s="106"/>
      <c r="S498" s="106"/>
      <c r="T498" s="106"/>
      <c r="U498" s="106"/>
      <c r="V498" s="106"/>
      <c r="W498" s="106"/>
      <c r="X498" s="106"/>
      <c r="Y498" s="106"/>
      <c r="Z498" s="106"/>
    </row>
    <row r="499" spans="1:26" ht="13.5" customHeight="1">
      <c r="A499" s="106"/>
      <c r="B499" s="106"/>
      <c r="C499" s="106"/>
      <c r="D499" s="106"/>
      <c r="E499" s="106"/>
      <c r="F499" s="106"/>
      <c r="G499" s="110"/>
      <c r="H499" s="106"/>
      <c r="I499" s="110"/>
      <c r="J499" s="106"/>
      <c r="K499" s="106"/>
      <c r="L499" s="106"/>
      <c r="M499" s="106"/>
      <c r="N499" s="106"/>
      <c r="O499" s="106"/>
      <c r="P499" s="106"/>
      <c r="Q499" s="106"/>
      <c r="R499" s="106"/>
      <c r="S499" s="106"/>
      <c r="T499" s="106"/>
      <c r="U499" s="106"/>
      <c r="V499" s="106"/>
      <c r="W499" s="106"/>
      <c r="X499" s="106"/>
      <c r="Y499" s="106"/>
      <c r="Z499" s="106"/>
    </row>
    <row r="500" spans="1:26" ht="13.5" customHeight="1">
      <c r="A500" s="106"/>
      <c r="B500" s="106"/>
      <c r="C500" s="106"/>
      <c r="D500" s="106"/>
      <c r="E500" s="106"/>
      <c r="F500" s="106"/>
      <c r="G500" s="110"/>
      <c r="H500" s="106"/>
      <c r="I500" s="110"/>
      <c r="J500" s="106"/>
      <c r="K500" s="106"/>
      <c r="L500" s="106"/>
      <c r="M500" s="106"/>
      <c r="N500" s="106"/>
      <c r="O500" s="106"/>
      <c r="P500" s="106"/>
      <c r="Q500" s="106"/>
      <c r="R500" s="106"/>
      <c r="S500" s="106"/>
      <c r="T500" s="106"/>
      <c r="U500" s="106"/>
      <c r="V500" s="106"/>
      <c r="W500" s="106"/>
      <c r="X500" s="106"/>
      <c r="Y500" s="106"/>
      <c r="Z500" s="106"/>
    </row>
    <row r="501" spans="1:26" ht="13.5" customHeight="1">
      <c r="A501" s="106"/>
      <c r="B501" s="106"/>
      <c r="C501" s="106"/>
      <c r="D501" s="106"/>
      <c r="E501" s="106"/>
      <c r="F501" s="106"/>
      <c r="G501" s="110"/>
      <c r="H501" s="106"/>
      <c r="I501" s="110"/>
      <c r="J501" s="106"/>
      <c r="K501" s="106"/>
      <c r="L501" s="106"/>
      <c r="M501" s="106"/>
      <c r="N501" s="106"/>
      <c r="O501" s="106"/>
      <c r="P501" s="106"/>
      <c r="Q501" s="106"/>
      <c r="R501" s="106"/>
      <c r="S501" s="106"/>
      <c r="T501" s="106"/>
      <c r="U501" s="106"/>
      <c r="V501" s="106"/>
      <c r="W501" s="106"/>
      <c r="X501" s="106"/>
      <c r="Y501" s="106"/>
      <c r="Z501" s="106"/>
    </row>
    <row r="502" spans="1:26" ht="13.5" customHeight="1">
      <c r="A502" s="106"/>
      <c r="B502" s="106"/>
      <c r="C502" s="106"/>
      <c r="D502" s="106"/>
      <c r="E502" s="106"/>
      <c r="F502" s="106"/>
      <c r="G502" s="110"/>
      <c r="H502" s="106"/>
      <c r="I502" s="110"/>
      <c r="J502" s="106"/>
      <c r="K502" s="106"/>
      <c r="L502" s="106"/>
      <c r="M502" s="106"/>
      <c r="N502" s="106"/>
      <c r="O502" s="106"/>
      <c r="P502" s="106"/>
      <c r="Q502" s="106"/>
      <c r="R502" s="106"/>
      <c r="S502" s="106"/>
      <c r="T502" s="106"/>
      <c r="U502" s="106"/>
      <c r="V502" s="106"/>
      <c r="W502" s="106"/>
      <c r="X502" s="106"/>
      <c r="Y502" s="106"/>
      <c r="Z502" s="106"/>
    </row>
    <row r="503" spans="1:26" ht="13.5" customHeight="1">
      <c r="A503" s="106"/>
      <c r="B503" s="106"/>
      <c r="C503" s="106"/>
      <c r="D503" s="106"/>
      <c r="E503" s="106"/>
      <c r="F503" s="106"/>
      <c r="G503" s="110"/>
      <c r="H503" s="106"/>
      <c r="I503" s="110"/>
      <c r="J503" s="106"/>
      <c r="K503" s="106"/>
      <c r="L503" s="106"/>
      <c r="M503" s="106"/>
      <c r="N503" s="106"/>
      <c r="O503" s="106"/>
      <c r="P503" s="106"/>
      <c r="Q503" s="106"/>
      <c r="R503" s="106"/>
      <c r="S503" s="106"/>
      <c r="T503" s="106"/>
      <c r="U503" s="106"/>
      <c r="V503" s="106"/>
      <c r="W503" s="106"/>
      <c r="X503" s="106"/>
      <c r="Y503" s="106"/>
      <c r="Z503" s="106"/>
    </row>
    <row r="504" spans="1:26" ht="13.5" customHeight="1">
      <c r="A504" s="106"/>
      <c r="B504" s="106"/>
      <c r="C504" s="106"/>
      <c r="D504" s="106"/>
      <c r="E504" s="106"/>
      <c r="F504" s="106"/>
      <c r="G504" s="110"/>
      <c r="H504" s="106"/>
      <c r="I504" s="110"/>
      <c r="J504" s="106"/>
      <c r="K504" s="106"/>
      <c r="L504" s="106"/>
      <c r="M504" s="106"/>
      <c r="N504" s="106"/>
      <c r="O504" s="106"/>
      <c r="P504" s="106"/>
      <c r="Q504" s="106"/>
      <c r="R504" s="106"/>
      <c r="S504" s="106"/>
      <c r="T504" s="106"/>
      <c r="U504" s="106"/>
      <c r="V504" s="106"/>
      <c r="W504" s="106"/>
      <c r="X504" s="106"/>
      <c r="Y504" s="106"/>
      <c r="Z504" s="106"/>
    </row>
    <row r="505" spans="1:26" ht="13.5" customHeight="1">
      <c r="A505" s="106"/>
      <c r="B505" s="106"/>
      <c r="C505" s="106"/>
      <c r="D505" s="106"/>
      <c r="E505" s="106"/>
      <c r="F505" s="106"/>
      <c r="G505" s="110"/>
      <c r="H505" s="106"/>
      <c r="I505" s="110"/>
      <c r="J505" s="106"/>
      <c r="K505" s="106"/>
      <c r="L505" s="106"/>
      <c r="M505" s="106"/>
      <c r="N505" s="106"/>
      <c r="O505" s="106"/>
      <c r="P505" s="106"/>
      <c r="Q505" s="106"/>
      <c r="R505" s="106"/>
      <c r="S505" s="106"/>
      <c r="T505" s="106"/>
      <c r="U505" s="106"/>
      <c r="V505" s="106"/>
      <c r="W505" s="106"/>
      <c r="X505" s="106"/>
      <c r="Y505" s="106"/>
      <c r="Z505" s="106"/>
    </row>
    <row r="506" spans="1:26" ht="13.5" customHeight="1">
      <c r="A506" s="106"/>
      <c r="B506" s="106"/>
      <c r="C506" s="106"/>
      <c r="D506" s="106"/>
      <c r="E506" s="106"/>
      <c r="F506" s="106"/>
      <c r="G506" s="110"/>
      <c r="H506" s="106"/>
      <c r="I506" s="110"/>
      <c r="J506" s="106"/>
      <c r="K506" s="106"/>
      <c r="L506" s="106"/>
      <c r="M506" s="106"/>
      <c r="N506" s="106"/>
      <c r="O506" s="106"/>
      <c r="P506" s="106"/>
      <c r="Q506" s="106"/>
      <c r="R506" s="106"/>
      <c r="S506" s="106"/>
      <c r="T506" s="106"/>
      <c r="U506" s="106"/>
      <c r="V506" s="106"/>
      <c r="W506" s="106"/>
      <c r="X506" s="106"/>
      <c r="Y506" s="106"/>
      <c r="Z506" s="106"/>
    </row>
    <row r="507" spans="1:26" ht="13.5" customHeight="1">
      <c r="A507" s="106"/>
      <c r="B507" s="106"/>
      <c r="C507" s="106"/>
      <c r="D507" s="106"/>
      <c r="E507" s="106"/>
      <c r="F507" s="106"/>
      <c r="G507" s="110"/>
      <c r="H507" s="106"/>
      <c r="I507" s="110"/>
      <c r="J507" s="106"/>
      <c r="K507" s="106"/>
      <c r="L507" s="106"/>
      <c r="M507" s="106"/>
      <c r="N507" s="106"/>
      <c r="O507" s="106"/>
      <c r="P507" s="106"/>
      <c r="Q507" s="106"/>
      <c r="R507" s="106"/>
      <c r="S507" s="106"/>
      <c r="T507" s="106"/>
      <c r="U507" s="106"/>
      <c r="V507" s="106"/>
      <c r="W507" s="106"/>
      <c r="X507" s="106"/>
      <c r="Y507" s="106"/>
      <c r="Z507" s="106"/>
    </row>
    <row r="508" spans="1:26" ht="13.5" customHeight="1">
      <c r="A508" s="106"/>
      <c r="B508" s="106"/>
      <c r="C508" s="106"/>
      <c r="D508" s="106"/>
      <c r="E508" s="106"/>
      <c r="F508" s="106"/>
      <c r="G508" s="110"/>
      <c r="H508" s="106"/>
      <c r="I508" s="110"/>
      <c r="J508" s="106"/>
      <c r="K508" s="106"/>
      <c r="L508" s="106"/>
      <c r="M508" s="106"/>
      <c r="N508" s="106"/>
      <c r="O508" s="106"/>
      <c r="P508" s="106"/>
      <c r="Q508" s="106"/>
      <c r="R508" s="106"/>
      <c r="S508" s="106"/>
      <c r="T508" s="106"/>
      <c r="U508" s="106"/>
      <c r="V508" s="106"/>
      <c r="W508" s="106"/>
      <c r="X508" s="106"/>
      <c r="Y508" s="106"/>
      <c r="Z508" s="106"/>
    </row>
    <row r="509" spans="1:26" ht="13.5" customHeight="1">
      <c r="A509" s="106"/>
      <c r="B509" s="106"/>
      <c r="C509" s="106"/>
      <c r="D509" s="106"/>
      <c r="E509" s="106"/>
      <c r="F509" s="106"/>
      <c r="G509" s="110"/>
      <c r="H509" s="106"/>
      <c r="I509" s="110"/>
      <c r="J509" s="106"/>
      <c r="K509" s="106"/>
      <c r="L509" s="106"/>
      <c r="M509" s="106"/>
      <c r="N509" s="106"/>
      <c r="O509" s="106"/>
      <c r="P509" s="106"/>
      <c r="Q509" s="106"/>
      <c r="R509" s="106"/>
      <c r="S509" s="106"/>
      <c r="T509" s="106"/>
      <c r="U509" s="106"/>
      <c r="V509" s="106"/>
      <c r="W509" s="106"/>
      <c r="X509" s="106"/>
      <c r="Y509" s="106"/>
      <c r="Z509" s="106"/>
    </row>
    <row r="510" spans="1:26" ht="13.5" customHeight="1">
      <c r="A510" s="106"/>
      <c r="B510" s="106"/>
      <c r="C510" s="106"/>
      <c r="D510" s="106"/>
      <c r="E510" s="106"/>
      <c r="F510" s="106"/>
      <c r="G510" s="110"/>
      <c r="H510" s="106"/>
      <c r="I510" s="110"/>
      <c r="J510" s="106"/>
      <c r="K510" s="106"/>
      <c r="L510" s="106"/>
      <c r="M510" s="106"/>
      <c r="N510" s="106"/>
      <c r="O510" s="106"/>
      <c r="P510" s="106"/>
      <c r="Q510" s="106"/>
      <c r="R510" s="106"/>
      <c r="S510" s="106"/>
      <c r="T510" s="106"/>
      <c r="U510" s="106"/>
      <c r="V510" s="106"/>
      <c r="W510" s="106"/>
      <c r="X510" s="106"/>
      <c r="Y510" s="106"/>
      <c r="Z510" s="106"/>
    </row>
    <row r="511" spans="1:26" ht="13.5" customHeight="1">
      <c r="A511" s="106"/>
      <c r="B511" s="106"/>
      <c r="C511" s="106"/>
      <c r="D511" s="106"/>
      <c r="E511" s="106"/>
      <c r="F511" s="106"/>
      <c r="G511" s="110"/>
      <c r="H511" s="106"/>
      <c r="I511" s="110"/>
      <c r="J511" s="106"/>
      <c r="K511" s="106"/>
      <c r="L511" s="106"/>
      <c r="M511" s="106"/>
      <c r="N511" s="106"/>
      <c r="O511" s="106"/>
      <c r="P511" s="106"/>
      <c r="Q511" s="106"/>
      <c r="R511" s="106"/>
      <c r="S511" s="106"/>
      <c r="T511" s="106"/>
      <c r="U511" s="106"/>
      <c r="V511" s="106"/>
      <c r="W511" s="106"/>
      <c r="X511" s="106"/>
      <c r="Y511" s="106"/>
      <c r="Z511" s="106"/>
    </row>
    <row r="512" spans="1:26" ht="13.5" customHeight="1">
      <c r="A512" s="106"/>
      <c r="B512" s="106"/>
      <c r="C512" s="106"/>
      <c r="D512" s="106"/>
      <c r="E512" s="106"/>
      <c r="F512" s="106"/>
      <c r="G512" s="110"/>
      <c r="H512" s="106"/>
      <c r="I512" s="110"/>
      <c r="J512" s="106"/>
      <c r="K512" s="106"/>
      <c r="L512" s="106"/>
      <c r="M512" s="106"/>
      <c r="N512" s="106"/>
      <c r="O512" s="106"/>
      <c r="P512" s="106"/>
      <c r="Q512" s="106"/>
      <c r="R512" s="106"/>
      <c r="S512" s="106"/>
      <c r="T512" s="106"/>
      <c r="U512" s="106"/>
      <c r="V512" s="106"/>
      <c r="W512" s="106"/>
      <c r="X512" s="106"/>
      <c r="Y512" s="106"/>
      <c r="Z512" s="106"/>
    </row>
    <row r="513" spans="1:26" ht="13.5" customHeight="1">
      <c r="A513" s="106"/>
      <c r="B513" s="106"/>
      <c r="C513" s="106"/>
      <c r="D513" s="106"/>
      <c r="E513" s="106"/>
      <c r="F513" s="106"/>
      <c r="G513" s="110"/>
      <c r="H513" s="106"/>
      <c r="I513" s="110"/>
      <c r="J513" s="106"/>
      <c r="K513" s="106"/>
      <c r="L513" s="106"/>
      <c r="M513" s="106"/>
      <c r="N513" s="106"/>
      <c r="O513" s="106"/>
      <c r="P513" s="106"/>
      <c r="Q513" s="106"/>
      <c r="R513" s="106"/>
      <c r="S513" s="106"/>
      <c r="T513" s="106"/>
      <c r="U513" s="106"/>
      <c r="V513" s="106"/>
      <c r="W513" s="106"/>
      <c r="X513" s="106"/>
      <c r="Y513" s="106"/>
      <c r="Z513" s="106"/>
    </row>
    <row r="514" spans="1:26" ht="13.5" customHeight="1">
      <c r="A514" s="106"/>
      <c r="B514" s="106"/>
      <c r="C514" s="106"/>
      <c r="D514" s="106"/>
      <c r="E514" s="106"/>
      <c r="F514" s="106"/>
      <c r="G514" s="110"/>
      <c r="H514" s="106"/>
      <c r="I514" s="110"/>
      <c r="J514" s="106"/>
      <c r="K514" s="106"/>
      <c r="L514" s="106"/>
      <c r="M514" s="106"/>
      <c r="N514" s="106"/>
      <c r="O514" s="106"/>
      <c r="P514" s="106"/>
      <c r="Q514" s="106"/>
      <c r="R514" s="106"/>
      <c r="S514" s="106"/>
      <c r="T514" s="106"/>
      <c r="U514" s="106"/>
      <c r="V514" s="106"/>
      <c r="W514" s="106"/>
      <c r="X514" s="106"/>
      <c r="Y514" s="106"/>
      <c r="Z514" s="106"/>
    </row>
    <row r="515" spans="1:26" ht="13.5" customHeight="1">
      <c r="A515" s="106"/>
      <c r="B515" s="106"/>
      <c r="C515" s="106"/>
      <c r="D515" s="106"/>
      <c r="E515" s="106"/>
      <c r="F515" s="106"/>
      <c r="G515" s="110"/>
      <c r="H515" s="106"/>
      <c r="I515" s="110"/>
      <c r="J515" s="106"/>
      <c r="K515" s="106"/>
      <c r="L515" s="106"/>
      <c r="M515" s="106"/>
      <c r="N515" s="106"/>
      <c r="O515" s="106"/>
      <c r="P515" s="106"/>
      <c r="Q515" s="106"/>
      <c r="R515" s="106"/>
      <c r="S515" s="106"/>
      <c r="T515" s="106"/>
      <c r="U515" s="106"/>
      <c r="V515" s="106"/>
      <c r="W515" s="106"/>
      <c r="X515" s="106"/>
      <c r="Y515" s="106"/>
      <c r="Z515" s="106"/>
    </row>
    <row r="516" spans="1:26" ht="13.5" customHeight="1">
      <c r="A516" s="106"/>
      <c r="B516" s="106"/>
      <c r="C516" s="106"/>
      <c r="D516" s="106"/>
      <c r="E516" s="106"/>
      <c r="F516" s="106"/>
      <c r="G516" s="110"/>
      <c r="H516" s="106"/>
      <c r="I516" s="110"/>
      <c r="J516" s="106"/>
      <c r="K516" s="106"/>
      <c r="L516" s="106"/>
      <c r="M516" s="106"/>
      <c r="N516" s="106"/>
      <c r="O516" s="106"/>
      <c r="P516" s="106"/>
      <c r="Q516" s="106"/>
      <c r="R516" s="106"/>
      <c r="S516" s="106"/>
      <c r="T516" s="106"/>
      <c r="U516" s="106"/>
      <c r="V516" s="106"/>
      <c r="W516" s="106"/>
      <c r="X516" s="106"/>
      <c r="Y516" s="106"/>
      <c r="Z516" s="106"/>
    </row>
    <row r="517" spans="1:26" ht="13.5" customHeight="1">
      <c r="A517" s="106"/>
      <c r="B517" s="106"/>
      <c r="C517" s="106"/>
      <c r="D517" s="106"/>
      <c r="E517" s="106"/>
      <c r="F517" s="106"/>
      <c r="G517" s="110"/>
      <c r="H517" s="106"/>
      <c r="I517" s="110"/>
      <c r="J517" s="106"/>
      <c r="K517" s="106"/>
      <c r="L517" s="106"/>
      <c r="M517" s="106"/>
      <c r="N517" s="106"/>
      <c r="O517" s="106"/>
      <c r="P517" s="106"/>
      <c r="Q517" s="106"/>
      <c r="R517" s="106"/>
      <c r="S517" s="106"/>
      <c r="T517" s="106"/>
      <c r="U517" s="106"/>
      <c r="V517" s="106"/>
      <c r="W517" s="106"/>
      <c r="X517" s="106"/>
      <c r="Y517" s="106"/>
      <c r="Z517" s="106"/>
    </row>
    <row r="518" spans="1:26" ht="13.5" customHeight="1">
      <c r="A518" s="106"/>
      <c r="B518" s="106"/>
      <c r="C518" s="106"/>
      <c r="D518" s="106"/>
      <c r="E518" s="106"/>
      <c r="F518" s="106"/>
      <c r="G518" s="110"/>
      <c r="H518" s="106"/>
      <c r="I518" s="110"/>
      <c r="J518" s="106"/>
      <c r="K518" s="106"/>
      <c r="L518" s="106"/>
      <c r="M518" s="106"/>
      <c r="N518" s="106"/>
      <c r="O518" s="106"/>
      <c r="P518" s="106"/>
      <c r="Q518" s="106"/>
      <c r="R518" s="106"/>
      <c r="S518" s="106"/>
      <c r="T518" s="106"/>
      <c r="U518" s="106"/>
      <c r="V518" s="106"/>
      <c r="W518" s="106"/>
      <c r="X518" s="106"/>
      <c r="Y518" s="106"/>
      <c r="Z518" s="106"/>
    </row>
    <row r="519" spans="1:26" ht="13.5" customHeight="1">
      <c r="A519" s="106"/>
      <c r="B519" s="106"/>
      <c r="C519" s="106"/>
      <c r="D519" s="106"/>
      <c r="E519" s="106"/>
      <c r="F519" s="106"/>
      <c r="G519" s="110"/>
      <c r="H519" s="106"/>
      <c r="I519" s="110"/>
      <c r="J519" s="106"/>
      <c r="K519" s="106"/>
      <c r="L519" s="106"/>
      <c r="M519" s="106"/>
      <c r="N519" s="106"/>
      <c r="O519" s="106"/>
      <c r="P519" s="106"/>
      <c r="Q519" s="106"/>
      <c r="R519" s="106"/>
      <c r="S519" s="106"/>
      <c r="T519" s="106"/>
      <c r="U519" s="106"/>
      <c r="V519" s="106"/>
      <c r="W519" s="106"/>
      <c r="X519" s="106"/>
      <c r="Y519" s="106"/>
      <c r="Z519" s="106"/>
    </row>
    <row r="520" spans="1:26" ht="13.5" customHeight="1">
      <c r="A520" s="106"/>
      <c r="B520" s="106"/>
      <c r="C520" s="106"/>
      <c r="D520" s="106"/>
      <c r="E520" s="106"/>
      <c r="F520" s="106"/>
      <c r="G520" s="110"/>
      <c r="H520" s="106"/>
      <c r="I520" s="110"/>
      <c r="J520" s="106"/>
      <c r="K520" s="106"/>
      <c r="L520" s="106"/>
      <c r="M520" s="106"/>
      <c r="N520" s="106"/>
      <c r="O520" s="106"/>
      <c r="P520" s="106"/>
      <c r="Q520" s="106"/>
      <c r="R520" s="106"/>
      <c r="S520" s="106"/>
      <c r="T520" s="106"/>
      <c r="U520" s="106"/>
      <c r="V520" s="106"/>
      <c r="W520" s="106"/>
      <c r="X520" s="106"/>
      <c r="Y520" s="106"/>
      <c r="Z520" s="106"/>
    </row>
    <row r="521" spans="1:26" ht="13.5" customHeight="1">
      <c r="A521" s="106"/>
      <c r="B521" s="106"/>
      <c r="C521" s="106"/>
      <c r="D521" s="106"/>
      <c r="E521" s="106"/>
      <c r="F521" s="106"/>
      <c r="G521" s="110"/>
      <c r="H521" s="106"/>
      <c r="I521" s="110"/>
      <c r="J521" s="106"/>
      <c r="K521" s="106"/>
      <c r="L521" s="106"/>
      <c r="M521" s="106"/>
      <c r="N521" s="106"/>
      <c r="O521" s="106"/>
      <c r="P521" s="106"/>
      <c r="Q521" s="106"/>
      <c r="R521" s="106"/>
      <c r="S521" s="106"/>
      <c r="T521" s="106"/>
      <c r="U521" s="106"/>
      <c r="V521" s="106"/>
      <c r="W521" s="106"/>
      <c r="X521" s="106"/>
      <c r="Y521" s="106"/>
      <c r="Z521" s="106"/>
    </row>
    <row r="522" spans="1:26" ht="13.5" customHeight="1">
      <c r="A522" s="106"/>
      <c r="B522" s="106"/>
      <c r="C522" s="106"/>
      <c r="D522" s="106"/>
      <c r="E522" s="106"/>
      <c r="F522" s="106"/>
      <c r="G522" s="110"/>
      <c r="H522" s="106"/>
      <c r="I522" s="110"/>
      <c r="J522" s="106"/>
      <c r="K522" s="106"/>
      <c r="L522" s="106"/>
      <c r="M522" s="106"/>
      <c r="N522" s="106"/>
      <c r="O522" s="106"/>
      <c r="P522" s="106"/>
      <c r="Q522" s="106"/>
      <c r="R522" s="106"/>
      <c r="S522" s="106"/>
      <c r="T522" s="106"/>
      <c r="U522" s="106"/>
      <c r="V522" s="106"/>
      <c r="W522" s="106"/>
      <c r="X522" s="106"/>
      <c r="Y522" s="106"/>
      <c r="Z522" s="106"/>
    </row>
    <row r="523" spans="1:26" ht="13.5" customHeight="1">
      <c r="A523" s="106"/>
      <c r="B523" s="106"/>
      <c r="C523" s="106"/>
      <c r="D523" s="106"/>
      <c r="E523" s="106"/>
      <c r="F523" s="106"/>
      <c r="G523" s="110"/>
      <c r="H523" s="106"/>
      <c r="I523" s="110"/>
      <c r="J523" s="106"/>
      <c r="K523" s="106"/>
      <c r="L523" s="106"/>
      <c r="M523" s="106"/>
      <c r="N523" s="106"/>
      <c r="O523" s="106"/>
      <c r="P523" s="106"/>
      <c r="Q523" s="106"/>
      <c r="R523" s="106"/>
      <c r="S523" s="106"/>
      <c r="T523" s="106"/>
      <c r="U523" s="106"/>
      <c r="V523" s="106"/>
      <c r="W523" s="106"/>
      <c r="X523" s="106"/>
      <c r="Y523" s="106"/>
      <c r="Z523" s="106"/>
    </row>
    <row r="524" spans="1:26" ht="13.5" customHeight="1">
      <c r="A524" s="106"/>
      <c r="B524" s="106"/>
      <c r="C524" s="106"/>
      <c r="D524" s="106"/>
      <c r="E524" s="106"/>
      <c r="F524" s="106"/>
      <c r="G524" s="110"/>
      <c r="H524" s="106"/>
      <c r="I524" s="110"/>
      <c r="J524" s="106"/>
      <c r="K524" s="106"/>
      <c r="L524" s="106"/>
      <c r="M524" s="106"/>
      <c r="N524" s="106"/>
      <c r="O524" s="106"/>
      <c r="P524" s="106"/>
      <c r="Q524" s="106"/>
      <c r="R524" s="106"/>
      <c r="S524" s="106"/>
      <c r="T524" s="106"/>
      <c r="U524" s="106"/>
      <c r="V524" s="106"/>
      <c r="W524" s="106"/>
      <c r="X524" s="106"/>
      <c r="Y524" s="106"/>
      <c r="Z524" s="106"/>
    </row>
    <row r="525" spans="1:26" ht="13.5" customHeight="1">
      <c r="A525" s="106"/>
      <c r="B525" s="106"/>
      <c r="C525" s="106"/>
      <c r="D525" s="106"/>
      <c r="E525" s="106"/>
      <c r="F525" s="106"/>
      <c r="G525" s="110"/>
      <c r="H525" s="106"/>
      <c r="I525" s="110"/>
      <c r="J525" s="106"/>
      <c r="K525" s="106"/>
      <c r="L525" s="106"/>
      <c r="M525" s="106"/>
      <c r="N525" s="106"/>
      <c r="O525" s="106"/>
      <c r="P525" s="106"/>
      <c r="Q525" s="106"/>
      <c r="R525" s="106"/>
      <c r="S525" s="106"/>
      <c r="T525" s="106"/>
      <c r="U525" s="106"/>
      <c r="V525" s="106"/>
      <c r="W525" s="106"/>
      <c r="X525" s="106"/>
      <c r="Y525" s="106"/>
      <c r="Z525" s="106"/>
    </row>
    <row r="526" spans="1:26" ht="13.5" customHeight="1">
      <c r="A526" s="106"/>
      <c r="B526" s="106"/>
      <c r="C526" s="106"/>
      <c r="D526" s="106"/>
      <c r="E526" s="106"/>
      <c r="F526" s="106"/>
      <c r="G526" s="110"/>
      <c r="H526" s="106"/>
      <c r="I526" s="110"/>
      <c r="J526" s="106"/>
      <c r="K526" s="106"/>
      <c r="L526" s="106"/>
      <c r="M526" s="106"/>
      <c r="N526" s="106"/>
      <c r="O526" s="106"/>
      <c r="P526" s="106"/>
      <c r="Q526" s="106"/>
      <c r="R526" s="106"/>
      <c r="S526" s="106"/>
      <c r="T526" s="106"/>
      <c r="U526" s="106"/>
      <c r="V526" s="106"/>
      <c r="W526" s="106"/>
      <c r="X526" s="106"/>
      <c r="Y526" s="106"/>
      <c r="Z526" s="106"/>
    </row>
    <row r="527" spans="1:26" ht="13.5" customHeight="1">
      <c r="A527" s="106"/>
      <c r="B527" s="106"/>
      <c r="C527" s="106"/>
      <c r="D527" s="106"/>
      <c r="E527" s="106"/>
      <c r="F527" s="106"/>
      <c r="G527" s="110"/>
      <c r="H527" s="106"/>
      <c r="I527" s="110"/>
      <c r="J527" s="106"/>
      <c r="K527" s="106"/>
      <c r="L527" s="106"/>
      <c r="M527" s="106"/>
      <c r="N527" s="106"/>
      <c r="O527" s="106"/>
      <c r="P527" s="106"/>
      <c r="Q527" s="106"/>
      <c r="R527" s="106"/>
      <c r="S527" s="106"/>
      <c r="T527" s="106"/>
      <c r="U527" s="106"/>
      <c r="V527" s="106"/>
      <c r="W527" s="106"/>
      <c r="X527" s="106"/>
      <c r="Y527" s="106"/>
      <c r="Z527" s="106"/>
    </row>
    <row r="528" spans="1:26" ht="13.5" customHeight="1">
      <c r="A528" s="106"/>
      <c r="B528" s="106"/>
      <c r="C528" s="106"/>
      <c r="D528" s="106"/>
      <c r="E528" s="106"/>
      <c r="F528" s="106"/>
      <c r="G528" s="110"/>
      <c r="H528" s="106"/>
      <c r="I528" s="110"/>
      <c r="J528" s="106"/>
      <c r="K528" s="106"/>
      <c r="L528" s="106"/>
      <c r="M528" s="106"/>
      <c r="N528" s="106"/>
      <c r="O528" s="106"/>
      <c r="P528" s="106"/>
      <c r="Q528" s="106"/>
      <c r="R528" s="106"/>
      <c r="S528" s="106"/>
      <c r="T528" s="106"/>
      <c r="U528" s="106"/>
      <c r="V528" s="106"/>
      <c r="W528" s="106"/>
      <c r="X528" s="106"/>
      <c r="Y528" s="106"/>
      <c r="Z528" s="106"/>
    </row>
    <row r="529" spans="1:26" ht="13.5" customHeight="1">
      <c r="A529" s="106"/>
      <c r="B529" s="106"/>
      <c r="C529" s="106"/>
      <c r="D529" s="106"/>
      <c r="E529" s="106"/>
      <c r="F529" s="106"/>
      <c r="G529" s="110"/>
      <c r="H529" s="106"/>
      <c r="I529" s="110"/>
      <c r="J529" s="106"/>
      <c r="K529" s="106"/>
      <c r="L529" s="106"/>
      <c r="M529" s="106"/>
      <c r="N529" s="106"/>
      <c r="O529" s="106"/>
      <c r="P529" s="106"/>
      <c r="Q529" s="106"/>
      <c r="R529" s="106"/>
      <c r="S529" s="106"/>
      <c r="T529" s="106"/>
      <c r="U529" s="106"/>
      <c r="V529" s="106"/>
      <c r="W529" s="106"/>
      <c r="X529" s="106"/>
      <c r="Y529" s="106"/>
      <c r="Z529" s="106"/>
    </row>
    <row r="530" spans="1:26" ht="13.5" customHeight="1">
      <c r="A530" s="106"/>
      <c r="B530" s="106"/>
      <c r="C530" s="106"/>
      <c r="D530" s="106"/>
      <c r="E530" s="106"/>
      <c r="F530" s="106"/>
      <c r="G530" s="110"/>
      <c r="H530" s="106"/>
      <c r="I530" s="110"/>
      <c r="J530" s="106"/>
      <c r="K530" s="106"/>
      <c r="L530" s="106"/>
      <c r="M530" s="106"/>
      <c r="N530" s="106"/>
      <c r="O530" s="106"/>
      <c r="P530" s="106"/>
      <c r="Q530" s="106"/>
      <c r="R530" s="106"/>
      <c r="S530" s="106"/>
      <c r="T530" s="106"/>
      <c r="U530" s="106"/>
      <c r="V530" s="106"/>
      <c r="W530" s="106"/>
      <c r="X530" s="106"/>
      <c r="Y530" s="106"/>
      <c r="Z530" s="106"/>
    </row>
    <row r="531" spans="1:26" ht="13.5" customHeight="1">
      <c r="A531" s="106"/>
      <c r="B531" s="106"/>
      <c r="C531" s="106"/>
      <c r="D531" s="106"/>
      <c r="E531" s="106"/>
      <c r="F531" s="106"/>
      <c r="G531" s="110"/>
      <c r="H531" s="106"/>
      <c r="I531" s="110"/>
      <c r="J531" s="106"/>
      <c r="K531" s="106"/>
      <c r="L531" s="106"/>
      <c r="M531" s="106"/>
      <c r="N531" s="106"/>
      <c r="O531" s="106"/>
      <c r="P531" s="106"/>
      <c r="Q531" s="106"/>
      <c r="R531" s="106"/>
      <c r="S531" s="106"/>
      <c r="T531" s="106"/>
      <c r="U531" s="106"/>
      <c r="V531" s="106"/>
      <c r="W531" s="106"/>
      <c r="X531" s="106"/>
      <c r="Y531" s="106"/>
      <c r="Z531" s="106"/>
    </row>
    <row r="532" spans="1:26" ht="13.5" customHeight="1">
      <c r="A532" s="106"/>
      <c r="B532" s="106"/>
      <c r="C532" s="106"/>
      <c r="D532" s="106"/>
      <c r="E532" s="106"/>
      <c r="F532" s="106"/>
      <c r="G532" s="110"/>
      <c r="H532" s="106"/>
      <c r="I532" s="110"/>
      <c r="J532" s="106"/>
      <c r="K532" s="106"/>
      <c r="L532" s="106"/>
      <c r="M532" s="106"/>
      <c r="N532" s="106"/>
      <c r="O532" s="106"/>
      <c r="P532" s="106"/>
      <c r="Q532" s="106"/>
      <c r="R532" s="106"/>
      <c r="S532" s="106"/>
      <c r="T532" s="106"/>
      <c r="U532" s="106"/>
      <c r="V532" s="106"/>
      <c r="W532" s="106"/>
      <c r="X532" s="106"/>
      <c r="Y532" s="106"/>
      <c r="Z532" s="106"/>
    </row>
    <row r="533" spans="1:26" ht="13.5" customHeight="1">
      <c r="A533" s="106"/>
      <c r="B533" s="106"/>
      <c r="C533" s="106"/>
      <c r="D533" s="106"/>
      <c r="E533" s="106"/>
      <c r="F533" s="106"/>
      <c r="G533" s="110"/>
      <c r="H533" s="106"/>
      <c r="I533" s="110"/>
      <c r="J533" s="106"/>
      <c r="K533" s="106"/>
      <c r="L533" s="106"/>
      <c r="M533" s="106"/>
      <c r="N533" s="106"/>
      <c r="O533" s="106"/>
      <c r="P533" s="106"/>
      <c r="Q533" s="106"/>
      <c r="R533" s="106"/>
      <c r="S533" s="106"/>
      <c r="T533" s="106"/>
      <c r="U533" s="106"/>
      <c r="V533" s="106"/>
      <c r="W533" s="106"/>
      <c r="X533" s="106"/>
      <c r="Y533" s="106"/>
      <c r="Z533" s="106"/>
    </row>
    <row r="534" spans="1:26" ht="13.5" customHeight="1">
      <c r="A534" s="106"/>
      <c r="B534" s="106"/>
      <c r="C534" s="106"/>
      <c r="D534" s="106"/>
      <c r="E534" s="106"/>
      <c r="F534" s="106"/>
      <c r="G534" s="110"/>
      <c r="H534" s="106"/>
      <c r="I534" s="110"/>
      <c r="J534" s="106"/>
      <c r="K534" s="106"/>
      <c r="L534" s="106"/>
      <c r="M534" s="106"/>
      <c r="N534" s="106"/>
      <c r="O534" s="106"/>
      <c r="P534" s="106"/>
      <c r="Q534" s="106"/>
      <c r="R534" s="106"/>
      <c r="S534" s="106"/>
      <c r="T534" s="106"/>
      <c r="U534" s="106"/>
      <c r="V534" s="106"/>
      <c r="W534" s="106"/>
      <c r="X534" s="106"/>
      <c r="Y534" s="106"/>
      <c r="Z534" s="106"/>
    </row>
    <row r="535" spans="1:26" ht="13.5" customHeight="1">
      <c r="A535" s="106"/>
      <c r="B535" s="106"/>
      <c r="C535" s="106"/>
      <c r="D535" s="106"/>
      <c r="E535" s="106"/>
      <c r="F535" s="106"/>
      <c r="G535" s="110"/>
      <c r="H535" s="106"/>
      <c r="I535" s="110"/>
      <c r="J535" s="106"/>
      <c r="K535" s="106"/>
      <c r="L535" s="106"/>
      <c r="M535" s="106"/>
      <c r="N535" s="106"/>
      <c r="O535" s="106"/>
      <c r="P535" s="106"/>
      <c r="Q535" s="106"/>
      <c r="R535" s="106"/>
      <c r="S535" s="106"/>
      <c r="T535" s="106"/>
      <c r="U535" s="106"/>
      <c r="V535" s="106"/>
      <c r="W535" s="106"/>
      <c r="X535" s="106"/>
      <c r="Y535" s="106"/>
      <c r="Z535" s="106"/>
    </row>
    <row r="536" spans="1:26" ht="13.5" customHeight="1">
      <c r="A536" s="106"/>
      <c r="B536" s="106"/>
      <c r="C536" s="106"/>
      <c r="D536" s="106"/>
      <c r="E536" s="106"/>
      <c r="F536" s="106"/>
      <c r="G536" s="110"/>
      <c r="H536" s="106"/>
      <c r="I536" s="110"/>
      <c r="J536" s="106"/>
      <c r="K536" s="106"/>
      <c r="L536" s="106"/>
      <c r="M536" s="106"/>
      <c r="N536" s="106"/>
      <c r="O536" s="106"/>
      <c r="P536" s="106"/>
      <c r="Q536" s="106"/>
      <c r="R536" s="106"/>
      <c r="S536" s="106"/>
      <c r="T536" s="106"/>
      <c r="U536" s="106"/>
      <c r="V536" s="106"/>
      <c r="W536" s="106"/>
      <c r="X536" s="106"/>
      <c r="Y536" s="106"/>
      <c r="Z536" s="106"/>
    </row>
    <row r="537" spans="1:26" ht="13.5" customHeight="1">
      <c r="A537" s="106"/>
      <c r="B537" s="106"/>
      <c r="C537" s="106"/>
      <c r="D537" s="106"/>
      <c r="E537" s="106"/>
      <c r="F537" s="106"/>
      <c r="G537" s="110"/>
      <c r="H537" s="106"/>
      <c r="I537" s="110"/>
      <c r="J537" s="106"/>
      <c r="K537" s="106"/>
      <c r="L537" s="106"/>
      <c r="M537" s="106"/>
      <c r="N537" s="106"/>
      <c r="O537" s="106"/>
      <c r="P537" s="106"/>
      <c r="Q537" s="106"/>
      <c r="R537" s="106"/>
      <c r="S537" s="106"/>
      <c r="T537" s="106"/>
      <c r="U537" s="106"/>
      <c r="V537" s="106"/>
      <c r="W537" s="106"/>
      <c r="X537" s="106"/>
      <c r="Y537" s="106"/>
      <c r="Z537" s="106"/>
    </row>
    <row r="538" spans="1:26" ht="13.5" customHeight="1">
      <c r="A538" s="106"/>
      <c r="B538" s="106"/>
      <c r="C538" s="106"/>
      <c r="D538" s="106"/>
      <c r="E538" s="106"/>
      <c r="F538" s="106"/>
      <c r="G538" s="110"/>
      <c r="H538" s="106"/>
      <c r="I538" s="110"/>
      <c r="J538" s="106"/>
      <c r="K538" s="106"/>
      <c r="L538" s="106"/>
      <c r="M538" s="106"/>
      <c r="N538" s="106"/>
      <c r="O538" s="106"/>
      <c r="P538" s="106"/>
      <c r="Q538" s="106"/>
      <c r="R538" s="106"/>
      <c r="S538" s="106"/>
      <c r="T538" s="106"/>
      <c r="U538" s="106"/>
      <c r="V538" s="106"/>
      <c r="W538" s="106"/>
      <c r="X538" s="106"/>
      <c r="Y538" s="106"/>
      <c r="Z538" s="106"/>
    </row>
    <row r="539" spans="1:26" ht="13.5" customHeight="1">
      <c r="A539" s="106"/>
      <c r="B539" s="106"/>
      <c r="C539" s="106"/>
      <c r="D539" s="106"/>
      <c r="E539" s="106"/>
      <c r="F539" s="106"/>
      <c r="G539" s="110"/>
      <c r="H539" s="106"/>
      <c r="I539" s="110"/>
      <c r="J539" s="106"/>
      <c r="K539" s="106"/>
      <c r="L539" s="106"/>
      <c r="M539" s="106"/>
      <c r="N539" s="106"/>
      <c r="O539" s="106"/>
      <c r="P539" s="106"/>
      <c r="Q539" s="106"/>
      <c r="R539" s="106"/>
      <c r="S539" s="106"/>
      <c r="T539" s="106"/>
      <c r="U539" s="106"/>
      <c r="V539" s="106"/>
      <c r="W539" s="106"/>
      <c r="X539" s="106"/>
      <c r="Y539" s="106"/>
      <c r="Z539" s="106"/>
    </row>
    <row r="540" spans="1:26" ht="13.5" customHeight="1">
      <c r="A540" s="106"/>
      <c r="B540" s="106"/>
      <c r="C540" s="106"/>
      <c r="D540" s="106"/>
      <c r="E540" s="106"/>
      <c r="F540" s="106"/>
      <c r="G540" s="110"/>
      <c r="H540" s="106"/>
      <c r="I540" s="110"/>
      <c r="J540" s="106"/>
      <c r="K540" s="106"/>
      <c r="L540" s="106"/>
      <c r="M540" s="106"/>
      <c r="N540" s="106"/>
      <c r="O540" s="106"/>
      <c r="P540" s="106"/>
      <c r="Q540" s="106"/>
      <c r="R540" s="106"/>
      <c r="S540" s="106"/>
      <c r="T540" s="106"/>
      <c r="U540" s="106"/>
      <c r="V540" s="106"/>
      <c r="W540" s="106"/>
      <c r="X540" s="106"/>
      <c r="Y540" s="106"/>
      <c r="Z540" s="106"/>
    </row>
    <row r="541" spans="1:26" ht="13.5" customHeight="1">
      <c r="A541" s="106"/>
      <c r="B541" s="106"/>
      <c r="C541" s="106"/>
      <c r="D541" s="106"/>
      <c r="E541" s="106"/>
      <c r="F541" s="106"/>
      <c r="G541" s="110"/>
      <c r="H541" s="106"/>
      <c r="I541" s="110"/>
      <c r="J541" s="106"/>
      <c r="K541" s="106"/>
      <c r="L541" s="106"/>
      <c r="M541" s="106"/>
      <c r="N541" s="106"/>
      <c r="O541" s="106"/>
      <c r="P541" s="106"/>
      <c r="Q541" s="106"/>
      <c r="R541" s="106"/>
      <c r="S541" s="106"/>
      <c r="T541" s="106"/>
      <c r="U541" s="106"/>
      <c r="V541" s="106"/>
      <c r="W541" s="106"/>
      <c r="X541" s="106"/>
      <c r="Y541" s="106"/>
      <c r="Z541" s="106"/>
    </row>
    <row r="542" spans="1:26" ht="13.5" customHeight="1">
      <c r="A542" s="106"/>
      <c r="B542" s="106"/>
      <c r="C542" s="106"/>
      <c r="D542" s="106"/>
      <c r="E542" s="106"/>
      <c r="F542" s="106"/>
      <c r="G542" s="110"/>
      <c r="H542" s="106"/>
      <c r="I542" s="110"/>
      <c r="J542" s="106"/>
      <c r="K542" s="106"/>
      <c r="L542" s="106"/>
      <c r="M542" s="106"/>
      <c r="N542" s="106"/>
      <c r="O542" s="106"/>
      <c r="P542" s="106"/>
      <c r="Q542" s="106"/>
      <c r="R542" s="106"/>
      <c r="S542" s="106"/>
      <c r="T542" s="106"/>
      <c r="U542" s="106"/>
      <c r="V542" s="106"/>
      <c r="W542" s="106"/>
      <c r="X542" s="106"/>
      <c r="Y542" s="106"/>
      <c r="Z542" s="106"/>
    </row>
    <row r="543" spans="1:26" ht="13.5" customHeight="1">
      <c r="A543" s="106"/>
      <c r="B543" s="106"/>
      <c r="C543" s="106"/>
      <c r="D543" s="106"/>
      <c r="E543" s="106"/>
      <c r="F543" s="106"/>
      <c r="G543" s="110"/>
      <c r="H543" s="106"/>
      <c r="I543" s="110"/>
      <c r="J543" s="106"/>
      <c r="K543" s="106"/>
      <c r="L543" s="106"/>
      <c r="M543" s="106"/>
      <c r="N543" s="106"/>
      <c r="O543" s="106"/>
      <c r="P543" s="106"/>
      <c r="Q543" s="106"/>
      <c r="R543" s="106"/>
      <c r="S543" s="106"/>
      <c r="T543" s="106"/>
      <c r="U543" s="106"/>
      <c r="V543" s="106"/>
      <c r="W543" s="106"/>
      <c r="X543" s="106"/>
      <c r="Y543" s="106"/>
      <c r="Z543" s="106"/>
    </row>
    <row r="544" spans="1:26" ht="13.5" customHeight="1">
      <c r="A544" s="106"/>
      <c r="B544" s="106"/>
      <c r="C544" s="106"/>
      <c r="D544" s="106"/>
      <c r="E544" s="106"/>
      <c r="F544" s="106"/>
      <c r="G544" s="110"/>
      <c r="H544" s="106"/>
      <c r="I544" s="110"/>
      <c r="J544" s="106"/>
      <c r="K544" s="106"/>
      <c r="L544" s="106"/>
      <c r="M544" s="106"/>
      <c r="N544" s="106"/>
      <c r="O544" s="106"/>
      <c r="P544" s="106"/>
      <c r="Q544" s="106"/>
      <c r="R544" s="106"/>
      <c r="S544" s="106"/>
      <c r="T544" s="106"/>
      <c r="U544" s="106"/>
      <c r="V544" s="106"/>
      <c r="W544" s="106"/>
      <c r="X544" s="106"/>
      <c r="Y544" s="106"/>
      <c r="Z544" s="106"/>
    </row>
    <row r="545" spans="1:26" ht="13.5" customHeight="1">
      <c r="A545" s="106"/>
      <c r="B545" s="106"/>
      <c r="C545" s="106"/>
      <c r="D545" s="106"/>
      <c r="E545" s="106"/>
      <c r="F545" s="106"/>
      <c r="G545" s="110"/>
      <c r="H545" s="106"/>
      <c r="I545" s="110"/>
      <c r="J545" s="106"/>
      <c r="K545" s="106"/>
      <c r="L545" s="106"/>
      <c r="M545" s="106"/>
      <c r="N545" s="106"/>
      <c r="O545" s="106"/>
      <c r="P545" s="106"/>
      <c r="Q545" s="106"/>
      <c r="R545" s="106"/>
      <c r="S545" s="106"/>
      <c r="T545" s="106"/>
      <c r="U545" s="106"/>
      <c r="V545" s="106"/>
      <c r="W545" s="106"/>
      <c r="X545" s="106"/>
      <c r="Y545" s="106"/>
      <c r="Z545" s="106"/>
    </row>
    <row r="546" spans="1:26" ht="13.5" customHeight="1">
      <c r="A546" s="106"/>
      <c r="B546" s="106"/>
      <c r="C546" s="106"/>
      <c r="D546" s="106"/>
      <c r="E546" s="106"/>
      <c r="F546" s="106"/>
      <c r="G546" s="110"/>
      <c r="H546" s="106"/>
      <c r="I546" s="110"/>
      <c r="J546" s="106"/>
      <c r="K546" s="106"/>
      <c r="L546" s="106"/>
      <c r="M546" s="106"/>
      <c r="N546" s="106"/>
      <c r="O546" s="106"/>
      <c r="P546" s="106"/>
      <c r="Q546" s="106"/>
      <c r="R546" s="106"/>
      <c r="S546" s="106"/>
      <c r="T546" s="106"/>
      <c r="U546" s="106"/>
      <c r="V546" s="106"/>
      <c r="W546" s="106"/>
      <c r="X546" s="106"/>
      <c r="Y546" s="106"/>
      <c r="Z546" s="106"/>
    </row>
    <row r="547" spans="1:26" ht="13.5" customHeight="1">
      <c r="A547" s="106"/>
      <c r="B547" s="106"/>
      <c r="C547" s="106"/>
      <c r="D547" s="106"/>
      <c r="E547" s="106"/>
      <c r="F547" s="106"/>
      <c r="G547" s="110"/>
      <c r="H547" s="106"/>
      <c r="I547" s="110"/>
      <c r="J547" s="106"/>
      <c r="K547" s="106"/>
      <c r="L547" s="106"/>
      <c r="M547" s="106"/>
      <c r="N547" s="106"/>
      <c r="O547" s="106"/>
      <c r="P547" s="106"/>
      <c r="Q547" s="106"/>
      <c r="R547" s="106"/>
      <c r="S547" s="106"/>
      <c r="T547" s="106"/>
      <c r="U547" s="106"/>
      <c r="V547" s="106"/>
      <c r="W547" s="106"/>
      <c r="X547" s="106"/>
      <c r="Y547" s="106"/>
      <c r="Z547" s="106"/>
    </row>
    <row r="548" spans="1:26" ht="13.5" customHeight="1">
      <c r="A548" s="106"/>
      <c r="B548" s="106"/>
      <c r="C548" s="106"/>
      <c r="D548" s="106"/>
      <c r="E548" s="106"/>
      <c r="F548" s="106"/>
      <c r="G548" s="110"/>
      <c r="H548" s="106"/>
      <c r="I548" s="110"/>
      <c r="J548" s="106"/>
      <c r="K548" s="106"/>
      <c r="L548" s="106"/>
      <c r="M548" s="106"/>
      <c r="N548" s="106"/>
      <c r="O548" s="106"/>
      <c r="P548" s="106"/>
      <c r="Q548" s="106"/>
      <c r="R548" s="106"/>
      <c r="S548" s="106"/>
      <c r="T548" s="106"/>
      <c r="U548" s="106"/>
      <c r="V548" s="106"/>
      <c r="W548" s="106"/>
      <c r="X548" s="106"/>
      <c r="Y548" s="106"/>
      <c r="Z548" s="106"/>
    </row>
    <row r="549" spans="1:26" ht="13.5" customHeight="1">
      <c r="A549" s="106"/>
      <c r="B549" s="106"/>
      <c r="C549" s="106"/>
      <c r="D549" s="106"/>
      <c r="E549" s="106"/>
      <c r="F549" s="106"/>
      <c r="G549" s="110"/>
      <c r="H549" s="106"/>
      <c r="I549" s="110"/>
      <c r="J549" s="106"/>
      <c r="K549" s="106"/>
      <c r="L549" s="106"/>
      <c r="M549" s="106"/>
      <c r="N549" s="106"/>
      <c r="O549" s="106"/>
      <c r="P549" s="106"/>
      <c r="Q549" s="106"/>
      <c r="R549" s="106"/>
      <c r="S549" s="106"/>
      <c r="T549" s="106"/>
      <c r="U549" s="106"/>
      <c r="V549" s="106"/>
      <c r="W549" s="106"/>
      <c r="X549" s="106"/>
      <c r="Y549" s="106"/>
      <c r="Z549" s="106"/>
    </row>
    <row r="550" spans="1:26" ht="13.5" customHeight="1">
      <c r="A550" s="106"/>
      <c r="B550" s="106"/>
      <c r="C550" s="106"/>
      <c r="D550" s="106"/>
      <c r="E550" s="106"/>
      <c r="F550" s="106"/>
      <c r="G550" s="110"/>
      <c r="H550" s="106"/>
      <c r="I550" s="110"/>
      <c r="J550" s="106"/>
      <c r="K550" s="106"/>
      <c r="L550" s="106"/>
      <c r="M550" s="106"/>
      <c r="N550" s="106"/>
      <c r="O550" s="106"/>
      <c r="P550" s="106"/>
      <c r="Q550" s="106"/>
      <c r="R550" s="106"/>
      <c r="S550" s="106"/>
      <c r="T550" s="106"/>
      <c r="U550" s="106"/>
      <c r="V550" s="106"/>
      <c r="W550" s="106"/>
      <c r="X550" s="106"/>
      <c r="Y550" s="106"/>
      <c r="Z550" s="106"/>
    </row>
    <row r="551" spans="1:26" ht="13.5" customHeight="1">
      <c r="A551" s="106"/>
      <c r="B551" s="106"/>
      <c r="C551" s="106"/>
      <c r="D551" s="106"/>
      <c r="E551" s="106"/>
      <c r="F551" s="106"/>
      <c r="G551" s="110"/>
      <c r="H551" s="106"/>
      <c r="I551" s="110"/>
      <c r="J551" s="106"/>
      <c r="K551" s="106"/>
      <c r="L551" s="106"/>
      <c r="M551" s="106"/>
      <c r="N551" s="106"/>
      <c r="O551" s="106"/>
      <c r="P551" s="106"/>
      <c r="Q551" s="106"/>
      <c r="R551" s="106"/>
      <c r="S551" s="106"/>
      <c r="T551" s="106"/>
      <c r="U551" s="106"/>
      <c r="V551" s="106"/>
      <c r="W551" s="106"/>
      <c r="X551" s="106"/>
      <c r="Y551" s="106"/>
      <c r="Z551" s="106"/>
    </row>
    <row r="552" spans="1:26" ht="13.5" customHeight="1">
      <c r="A552" s="106"/>
      <c r="B552" s="106"/>
      <c r="C552" s="106"/>
      <c r="D552" s="106"/>
      <c r="E552" s="106"/>
      <c r="F552" s="106"/>
      <c r="G552" s="110"/>
      <c r="H552" s="106"/>
      <c r="I552" s="110"/>
      <c r="J552" s="106"/>
      <c r="K552" s="106"/>
      <c r="L552" s="106"/>
      <c r="M552" s="106"/>
      <c r="N552" s="106"/>
      <c r="O552" s="106"/>
      <c r="P552" s="106"/>
      <c r="Q552" s="106"/>
      <c r="R552" s="106"/>
      <c r="S552" s="106"/>
      <c r="T552" s="106"/>
      <c r="U552" s="106"/>
      <c r="V552" s="106"/>
      <c r="W552" s="106"/>
      <c r="X552" s="106"/>
      <c r="Y552" s="106"/>
      <c r="Z552" s="106"/>
    </row>
    <row r="553" spans="1:26" ht="13.5" customHeight="1">
      <c r="A553" s="106"/>
      <c r="B553" s="106"/>
      <c r="C553" s="106"/>
      <c r="D553" s="106"/>
      <c r="E553" s="106"/>
      <c r="F553" s="106"/>
      <c r="G553" s="110"/>
      <c r="H553" s="106"/>
      <c r="I553" s="110"/>
      <c r="J553" s="106"/>
      <c r="K553" s="106"/>
      <c r="L553" s="106"/>
      <c r="M553" s="106"/>
      <c r="N553" s="106"/>
      <c r="O553" s="106"/>
      <c r="P553" s="106"/>
      <c r="Q553" s="106"/>
      <c r="R553" s="106"/>
      <c r="S553" s="106"/>
      <c r="T553" s="106"/>
      <c r="U553" s="106"/>
      <c r="V553" s="106"/>
      <c r="W553" s="106"/>
      <c r="X553" s="106"/>
      <c r="Y553" s="106"/>
      <c r="Z553" s="106"/>
    </row>
    <row r="554" spans="1:26" ht="13.5" customHeight="1">
      <c r="A554" s="106"/>
      <c r="B554" s="106"/>
      <c r="C554" s="106"/>
      <c r="D554" s="106"/>
      <c r="E554" s="106"/>
      <c r="F554" s="106"/>
      <c r="G554" s="110"/>
      <c r="H554" s="106"/>
      <c r="I554" s="110"/>
      <c r="J554" s="106"/>
      <c r="K554" s="106"/>
      <c r="L554" s="106"/>
      <c r="M554" s="106"/>
      <c r="N554" s="106"/>
      <c r="O554" s="106"/>
      <c r="P554" s="106"/>
      <c r="Q554" s="106"/>
      <c r="R554" s="106"/>
      <c r="S554" s="106"/>
      <c r="T554" s="106"/>
      <c r="U554" s="106"/>
      <c r="V554" s="106"/>
      <c r="W554" s="106"/>
      <c r="X554" s="106"/>
      <c r="Y554" s="106"/>
      <c r="Z554" s="106"/>
    </row>
    <row r="555" spans="1:26" ht="13.5" customHeight="1">
      <c r="A555" s="106"/>
      <c r="B555" s="106"/>
      <c r="C555" s="106"/>
      <c r="D555" s="106"/>
      <c r="E555" s="106"/>
      <c r="F555" s="106"/>
      <c r="G555" s="110"/>
      <c r="H555" s="106"/>
      <c r="I555" s="110"/>
      <c r="J555" s="106"/>
      <c r="K555" s="106"/>
      <c r="L555" s="106"/>
      <c r="M555" s="106"/>
      <c r="N555" s="106"/>
      <c r="O555" s="106"/>
      <c r="P555" s="106"/>
      <c r="Q555" s="106"/>
      <c r="R555" s="106"/>
      <c r="S555" s="106"/>
      <c r="T555" s="106"/>
      <c r="U555" s="106"/>
      <c r="V555" s="106"/>
      <c r="W555" s="106"/>
      <c r="X555" s="106"/>
      <c r="Y555" s="106"/>
      <c r="Z555" s="106"/>
    </row>
    <row r="556" spans="1:26" ht="13.5" customHeight="1">
      <c r="A556" s="106"/>
      <c r="B556" s="106"/>
      <c r="C556" s="106"/>
      <c r="D556" s="106"/>
      <c r="E556" s="106"/>
      <c r="F556" s="106"/>
      <c r="G556" s="110"/>
      <c r="H556" s="106"/>
      <c r="I556" s="110"/>
      <c r="J556" s="106"/>
      <c r="K556" s="106"/>
      <c r="L556" s="106"/>
      <c r="M556" s="106"/>
      <c r="N556" s="106"/>
      <c r="O556" s="106"/>
      <c r="P556" s="106"/>
      <c r="Q556" s="106"/>
      <c r="R556" s="106"/>
      <c r="S556" s="106"/>
      <c r="T556" s="106"/>
      <c r="U556" s="106"/>
      <c r="V556" s="106"/>
      <c r="W556" s="106"/>
      <c r="X556" s="106"/>
      <c r="Y556" s="106"/>
      <c r="Z556" s="106"/>
    </row>
    <row r="557" spans="1:26" ht="13.5" customHeight="1">
      <c r="A557" s="106"/>
      <c r="B557" s="106"/>
      <c r="C557" s="106"/>
      <c r="D557" s="106"/>
      <c r="E557" s="106"/>
      <c r="F557" s="106"/>
      <c r="G557" s="110"/>
      <c r="H557" s="106"/>
      <c r="I557" s="110"/>
      <c r="J557" s="106"/>
      <c r="K557" s="106"/>
      <c r="L557" s="106"/>
      <c r="M557" s="106"/>
      <c r="N557" s="106"/>
      <c r="O557" s="106"/>
      <c r="P557" s="106"/>
      <c r="Q557" s="106"/>
      <c r="R557" s="106"/>
      <c r="S557" s="106"/>
      <c r="T557" s="106"/>
      <c r="U557" s="106"/>
      <c r="V557" s="106"/>
      <c r="W557" s="106"/>
      <c r="X557" s="106"/>
      <c r="Y557" s="106"/>
      <c r="Z557" s="106"/>
    </row>
    <row r="558" spans="1:26" ht="13.5" customHeight="1">
      <c r="A558" s="106"/>
      <c r="B558" s="106"/>
      <c r="C558" s="106"/>
      <c r="D558" s="106"/>
      <c r="E558" s="106"/>
      <c r="F558" s="106"/>
      <c r="G558" s="110"/>
      <c r="H558" s="106"/>
      <c r="I558" s="110"/>
      <c r="J558" s="106"/>
      <c r="K558" s="106"/>
      <c r="L558" s="106"/>
      <c r="M558" s="106"/>
      <c r="N558" s="106"/>
      <c r="O558" s="106"/>
      <c r="P558" s="106"/>
      <c r="Q558" s="106"/>
      <c r="R558" s="106"/>
      <c r="S558" s="106"/>
      <c r="T558" s="106"/>
      <c r="U558" s="106"/>
      <c r="V558" s="106"/>
      <c r="W558" s="106"/>
      <c r="X558" s="106"/>
      <c r="Y558" s="106"/>
      <c r="Z558" s="106"/>
    </row>
    <row r="559" spans="1:26" ht="13.5" customHeight="1">
      <c r="A559" s="106"/>
      <c r="B559" s="106"/>
      <c r="C559" s="106"/>
      <c r="D559" s="106"/>
      <c r="E559" s="106"/>
      <c r="F559" s="106"/>
      <c r="G559" s="110"/>
      <c r="H559" s="106"/>
      <c r="I559" s="110"/>
      <c r="J559" s="106"/>
      <c r="K559" s="106"/>
      <c r="L559" s="106"/>
      <c r="M559" s="106"/>
      <c r="N559" s="106"/>
      <c r="O559" s="106"/>
      <c r="P559" s="106"/>
      <c r="Q559" s="106"/>
      <c r="R559" s="106"/>
      <c r="S559" s="106"/>
      <c r="T559" s="106"/>
      <c r="U559" s="106"/>
      <c r="V559" s="106"/>
      <c r="W559" s="106"/>
      <c r="X559" s="106"/>
      <c r="Y559" s="106"/>
      <c r="Z559" s="106"/>
    </row>
    <row r="560" spans="1:26" ht="13.5" customHeight="1">
      <c r="A560" s="106"/>
      <c r="B560" s="106"/>
      <c r="C560" s="106"/>
      <c r="D560" s="106"/>
      <c r="E560" s="106"/>
      <c r="F560" s="106"/>
      <c r="G560" s="110"/>
      <c r="H560" s="106"/>
      <c r="I560" s="110"/>
      <c r="J560" s="106"/>
      <c r="K560" s="106"/>
      <c r="L560" s="106"/>
      <c r="M560" s="106"/>
      <c r="N560" s="106"/>
      <c r="O560" s="106"/>
      <c r="P560" s="106"/>
      <c r="Q560" s="106"/>
      <c r="R560" s="106"/>
      <c r="S560" s="106"/>
      <c r="T560" s="106"/>
      <c r="U560" s="106"/>
      <c r="V560" s="106"/>
      <c r="W560" s="106"/>
      <c r="X560" s="106"/>
      <c r="Y560" s="106"/>
      <c r="Z560" s="106"/>
    </row>
    <row r="561" spans="1:26" ht="13.5" customHeight="1">
      <c r="A561" s="106"/>
      <c r="B561" s="106"/>
      <c r="C561" s="106"/>
      <c r="D561" s="106"/>
      <c r="E561" s="106"/>
      <c r="F561" s="106"/>
      <c r="G561" s="110"/>
      <c r="H561" s="106"/>
      <c r="I561" s="110"/>
      <c r="J561" s="106"/>
      <c r="K561" s="106"/>
      <c r="L561" s="106"/>
      <c r="M561" s="106"/>
      <c r="N561" s="106"/>
      <c r="O561" s="106"/>
      <c r="P561" s="106"/>
      <c r="Q561" s="106"/>
      <c r="R561" s="106"/>
      <c r="S561" s="106"/>
      <c r="T561" s="106"/>
      <c r="U561" s="106"/>
      <c r="V561" s="106"/>
      <c r="W561" s="106"/>
      <c r="X561" s="106"/>
      <c r="Y561" s="106"/>
      <c r="Z561" s="106"/>
    </row>
    <row r="562" spans="1:26" ht="13.5" customHeight="1">
      <c r="A562" s="106"/>
      <c r="B562" s="106"/>
      <c r="C562" s="106"/>
      <c r="D562" s="106"/>
      <c r="E562" s="106"/>
      <c r="F562" s="106"/>
      <c r="G562" s="110"/>
      <c r="H562" s="106"/>
      <c r="I562" s="110"/>
      <c r="J562" s="106"/>
      <c r="K562" s="106"/>
      <c r="L562" s="106"/>
      <c r="M562" s="106"/>
      <c r="N562" s="106"/>
      <c r="O562" s="106"/>
      <c r="P562" s="106"/>
      <c r="Q562" s="106"/>
      <c r="R562" s="106"/>
      <c r="S562" s="106"/>
      <c r="T562" s="106"/>
      <c r="U562" s="106"/>
      <c r="V562" s="106"/>
      <c r="W562" s="106"/>
      <c r="X562" s="106"/>
      <c r="Y562" s="106"/>
      <c r="Z562" s="106"/>
    </row>
    <row r="563" spans="1:26" ht="13.5" customHeight="1">
      <c r="A563" s="106"/>
      <c r="B563" s="106"/>
      <c r="C563" s="106"/>
      <c r="D563" s="106"/>
      <c r="E563" s="106"/>
      <c r="F563" s="106"/>
      <c r="G563" s="110"/>
      <c r="H563" s="106"/>
      <c r="I563" s="110"/>
      <c r="J563" s="106"/>
      <c r="K563" s="106"/>
      <c r="L563" s="106"/>
      <c r="M563" s="106"/>
      <c r="N563" s="106"/>
      <c r="O563" s="106"/>
      <c r="P563" s="106"/>
      <c r="Q563" s="106"/>
      <c r="R563" s="106"/>
      <c r="S563" s="106"/>
      <c r="T563" s="106"/>
      <c r="U563" s="106"/>
      <c r="V563" s="106"/>
      <c r="W563" s="106"/>
      <c r="X563" s="106"/>
      <c r="Y563" s="106"/>
      <c r="Z563" s="106"/>
    </row>
    <row r="564" spans="1:26" ht="13.5" customHeight="1">
      <c r="A564" s="106"/>
      <c r="B564" s="106"/>
      <c r="C564" s="106"/>
      <c r="D564" s="106"/>
      <c r="E564" s="106"/>
      <c r="F564" s="106"/>
      <c r="G564" s="110"/>
      <c r="H564" s="106"/>
      <c r="I564" s="110"/>
      <c r="J564" s="106"/>
      <c r="K564" s="106"/>
      <c r="L564" s="106"/>
      <c r="M564" s="106"/>
      <c r="N564" s="106"/>
      <c r="O564" s="106"/>
      <c r="P564" s="106"/>
      <c r="Q564" s="106"/>
      <c r="R564" s="106"/>
      <c r="S564" s="106"/>
      <c r="T564" s="106"/>
      <c r="U564" s="106"/>
      <c r="V564" s="106"/>
      <c r="W564" s="106"/>
      <c r="X564" s="106"/>
      <c r="Y564" s="106"/>
      <c r="Z564" s="106"/>
    </row>
    <row r="565" spans="1:26" ht="13.5" customHeight="1">
      <c r="A565" s="106"/>
      <c r="B565" s="106"/>
      <c r="C565" s="106"/>
      <c r="D565" s="106"/>
      <c r="E565" s="106"/>
      <c r="F565" s="106"/>
      <c r="G565" s="110"/>
      <c r="H565" s="106"/>
      <c r="I565" s="110"/>
      <c r="J565" s="106"/>
      <c r="K565" s="106"/>
      <c r="L565" s="106"/>
      <c r="M565" s="106"/>
      <c r="N565" s="106"/>
      <c r="O565" s="106"/>
      <c r="P565" s="106"/>
      <c r="Q565" s="106"/>
      <c r="R565" s="106"/>
      <c r="S565" s="106"/>
      <c r="T565" s="106"/>
      <c r="U565" s="106"/>
      <c r="V565" s="106"/>
      <c r="W565" s="106"/>
      <c r="X565" s="106"/>
      <c r="Y565" s="106"/>
      <c r="Z565" s="106"/>
    </row>
    <row r="566" spans="1:26" ht="13.5" customHeight="1">
      <c r="A566" s="106"/>
      <c r="B566" s="106"/>
      <c r="C566" s="106"/>
      <c r="D566" s="106"/>
      <c r="E566" s="106"/>
      <c r="F566" s="106"/>
      <c r="G566" s="110"/>
      <c r="H566" s="106"/>
      <c r="I566" s="110"/>
      <c r="J566" s="106"/>
      <c r="K566" s="106"/>
      <c r="L566" s="106"/>
      <c r="M566" s="106"/>
      <c r="N566" s="106"/>
      <c r="O566" s="106"/>
      <c r="P566" s="106"/>
      <c r="Q566" s="106"/>
      <c r="R566" s="106"/>
      <c r="S566" s="106"/>
      <c r="T566" s="106"/>
      <c r="U566" s="106"/>
      <c r="V566" s="106"/>
      <c r="W566" s="106"/>
      <c r="X566" s="106"/>
      <c r="Y566" s="106"/>
      <c r="Z566" s="106"/>
    </row>
    <row r="567" spans="1:26" ht="13.5" customHeight="1">
      <c r="A567" s="106"/>
      <c r="B567" s="106"/>
      <c r="C567" s="106"/>
      <c r="D567" s="106"/>
      <c r="E567" s="106"/>
      <c r="F567" s="106"/>
      <c r="G567" s="110"/>
      <c r="H567" s="106"/>
      <c r="I567" s="110"/>
      <c r="J567" s="106"/>
      <c r="K567" s="106"/>
      <c r="L567" s="106"/>
      <c r="M567" s="106"/>
      <c r="N567" s="106"/>
      <c r="O567" s="106"/>
      <c r="P567" s="106"/>
      <c r="Q567" s="106"/>
      <c r="R567" s="106"/>
      <c r="S567" s="106"/>
      <c r="T567" s="106"/>
      <c r="U567" s="106"/>
      <c r="V567" s="106"/>
      <c r="W567" s="106"/>
      <c r="X567" s="106"/>
      <c r="Y567" s="106"/>
      <c r="Z567" s="106"/>
    </row>
    <row r="568" spans="1:26" ht="13.5" customHeight="1">
      <c r="A568" s="106"/>
      <c r="B568" s="106"/>
      <c r="C568" s="106"/>
      <c r="D568" s="106"/>
      <c r="E568" s="106"/>
      <c r="F568" s="106"/>
      <c r="G568" s="110"/>
      <c r="H568" s="106"/>
      <c r="I568" s="110"/>
      <c r="J568" s="106"/>
      <c r="K568" s="106"/>
      <c r="L568" s="106"/>
      <c r="M568" s="106"/>
      <c r="N568" s="106"/>
      <c r="O568" s="106"/>
      <c r="P568" s="106"/>
      <c r="Q568" s="106"/>
      <c r="R568" s="106"/>
      <c r="S568" s="106"/>
      <c r="T568" s="106"/>
      <c r="U568" s="106"/>
      <c r="V568" s="106"/>
      <c r="W568" s="106"/>
      <c r="X568" s="106"/>
      <c r="Y568" s="106"/>
      <c r="Z568" s="106"/>
    </row>
    <row r="569" spans="1:26" ht="13.5" customHeight="1">
      <c r="A569" s="106"/>
      <c r="B569" s="106"/>
      <c r="C569" s="106"/>
      <c r="D569" s="106"/>
      <c r="E569" s="106"/>
      <c r="F569" s="106"/>
      <c r="G569" s="110"/>
      <c r="H569" s="106"/>
      <c r="I569" s="110"/>
      <c r="J569" s="106"/>
      <c r="K569" s="106"/>
      <c r="L569" s="106"/>
      <c r="M569" s="106"/>
      <c r="N569" s="106"/>
      <c r="O569" s="106"/>
      <c r="P569" s="106"/>
      <c r="Q569" s="106"/>
      <c r="R569" s="106"/>
      <c r="S569" s="106"/>
      <c r="T569" s="106"/>
      <c r="U569" s="106"/>
      <c r="V569" s="106"/>
      <c r="W569" s="106"/>
      <c r="X569" s="106"/>
      <c r="Y569" s="106"/>
      <c r="Z569" s="106"/>
    </row>
    <row r="570" spans="1:26" ht="13.5" customHeight="1">
      <c r="A570" s="106"/>
      <c r="B570" s="106"/>
      <c r="C570" s="106"/>
      <c r="D570" s="106"/>
      <c r="E570" s="106"/>
      <c r="F570" s="106"/>
      <c r="G570" s="110"/>
      <c r="H570" s="106"/>
      <c r="I570" s="110"/>
      <c r="J570" s="106"/>
      <c r="K570" s="106"/>
      <c r="L570" s="106"/>
      <c r="M570" s="106"/>
      <c r="N570" s="106"/>
      <c r="O570" s="106"/>
      <c r="P570" s="106"/>
      <c r="Q570" s="106"/>
      <c r="R570" s="106"/>
      <c r="S570" s="106"/>
      <c r="T570" s="106"/>
      <c r="U570" s="106"/>
      <c r="V570" s="106"/>
      <c r="W570" s="106"/>
      <c r="X570" s="106"/>
      <c r="Y570" s="106"/>
      <c r="Z570" s="106"/>
    </row>
    <row r="571" spans="1:26" ht="13.5" customHeight="1">
      <c r="A571" s="106"/>
      <c r="B571" s="106"/>
      <c r="C571" s="106"/>
      <c r="D571" s="106"/>
      <c r="E571" s="106"/>
      <c r="F571" s="106"/>
      <c r="G571" s="110"/>
      <c r="H571" s="106"/>
      <c r="I571" s="110"/>
      <c r="J571" s="106"/>
      <c r="K571" s="106"/>
      <c r="L571" s="106"/>
      <c r="M571" s="106"/>
      <c r="N571" s="106"/>
      <c r="O571" s="106"/>
      <c r="P571" s="106"/>
      <c r="Q571" s="106"/>
      <c r="R571" s="106"/>
      <c r="S571" s="106"/>
      <c r="T571" s="106"/>
      <c r="U571" s="106"/>
      <c r="V571" s="106"/>
      <c r="W571" s="106"/>
      <c r="X571" s="106"/>
      <c r="Y571" s="106"/>
      <c r="Z571" s="106"/>
    </row>
    <row r="572" spans="1:26" ht="13.5" customHeight="1">
      <c r="A572" s="106"/>
      <c r="B572" s="106"/>
      <c r="C572" s="106"/>
      <c r="D572" s="106"/>
      <c r="E572" s="106"/>
      <c r="F572" s="106"/>
      <c r="G572" s="110"/>
      <c r="H572" s="106"/>
      <c r="I572" s="110"/>
      <c r="J572" s="106"/>
      <c r="K572" s="106"/>
      <c r="L572" s="106"/>
      <c r="M572" s="106"/>
      <c r="N572" s="106"/>
      <c r="O572" s="106"/>
      <c r="P572" s="106"/>
      <c r="Q572" s="106"/>
      <c r="R572" s="106"/>
      <c r="S572" s="106"/>
      <c r="T572" s="106"/>
      <c r="U572" s="106"/>
      <c r="V572" s="106"/>
      <c r="W572" s="106"/>
      <c r="X572" s="106"/>
      <c r="Y572" s="106"/>
      <c r="Z572" s="106"/>
    </row>
    <row r="573" spans="1:26" ht="13.5" customHeight="1">
      <c r="A573" s="106"/>
      <c r="B573" s="106"/>
      <c r="C573" s="106"/>
      <c r="D573" s="106"/>
      <c r="E573" s="106"/>
      <c r="F573" s="106"/>
      <c r="G573" s="110"/>
      <c r="H573" s="106"/>
      <c r="I573" s="110"/>
      <c r="J573" s="106"/>
      <c r="K573" s="106"/>
      <c r="L573" s="106"/>
      <c r="M573" s="106"/>
      <c r="N573" s="106"/>
      <c r="O573" s="106"/>
      <c r="P573" s="106"/>
      <c r="Q573" s="106"/>
      <c r="R573" s="106"/>
      <c r="S573" s="106"/>
      <c r="T573" s="106"/>
      <c r="U573" s="106"/>
      <c r="V573" s="106"/>
      <c r="W573" s="106"/>
      <c r="X573" s="106"/>
      <c r="Y573" s="106"/>
      <c r="Z573" s="106"/>
    </row>
    <row r="574" spans="1:26" ht="13.5" customHeight="1">
      <c r="A574" s="106"/>
      <c r="B574" s="106"/>
      <c r="C574" s="106"/>
      <c r="D574" s="106"/>
      <c r="E574" s="106"/>
      <c r="F574" s="106"/>
      <c r="G574" s="110"/>
      <c r="H574" s="106"/>
      <c r="I574" s="110"/>
      <c r="J574" s="106"/>
      <c r="K574" s="106"/>
      <c r="L574" s="106"/>
      <c r="M574" s="106"/>
      <c r="N574" s="106"/>
      <c r="O574" s="106"/>
      <c r="P574" s="106"/>
      <c r="Q574" s="106"/>
      <c r="R574" s="106"/>
      <c r="S574" s="106"/>
      <c r="T574" s="106"/>
      <c r="U574" s="106"/>
      <c r="V574" s="106"/>
      <c r="W574" s="106"/>
      <c r="X574" s="106"/>
      <c r="Y574" s="106"/>
      <c r="Z574" s="106"/>
    </row>
    <row r="575" spans="1:26" ht="13.5" customHeight="1">
      <c r="A575" s="106"/>
      <c r="B575" s="106"/>
      <c r="C575" s="106"/>
      <c r="D575" s="106"/>
      <c r="E575" s="106"/>
      <c r="F575" s="106"/>
      <c r="G575" s="110"/>
      <c r="H575" s="106"/>
      <c r="I575" s="110"/>
      <c r="J575" s="106"/>
      <c r="K575" s="106"/>
      <c r="L575" s="106"/>
      <c r="M575" s="106"/>
      <c r="N575" s="106"/>
      <c r="O575" s="106"/>
      <c r="P575" s="106"/>
      <c r="Q575" s="106"/>
      <c r="R575" s="106"/>
      <c r="S575" s="106"/>
      <c r="T575" s="106"/>
      <c r="U575" s="106"/>
      <c r="V575" s="106"/>
      <c r="W575" s="106"/>
      <c r="X575" s="106"/>
      <c r="Y575" s="106"/>
      <c r="Z575" s="106"/>
    </row>
    <row r="576" spans="1:26" ht="13.5" customHeight="1">
      <c r="A576" s="106"/>
      <c r="B576" s="106"/>
      <c r="C576" s="106"/>
      <c r="D576" s="106"/>
      <c r="E576" s="106"/>
      <c r="F576" s="106"/>
      <c r="G576" s="110"/>
      <c r="H576" s="106"/>
      <c r="I576" s="110"/>
      <c r="J576" s="106"/>
      <c r="K576" s="106"/>
      <c r="L576" s="106"/>
      <c r="M576" s="106"/>
      <c r="N576" s="106"/>
      <c r="O576" s="106"/>
      <c r="P576" s="106"/>
      <c r="Q576" s="106"/>
      <c r="R576" s="106"/>
      <c r="S576" s="106"/>
      <c r="T576" s="106"/>
      <c r="U576" s="106"/>
      <c r="V576" s="106"/>
      <c r="W576" s="106"/>
      <c r="X576" s="106"/>
      <c r="Y576" s="106"/>
      <c r="Z576" s="106"/>
    </row>
    <row r="577" spans="1:26" ht="13.5" customHeight="1">
      <c r="A577" s="106"/>
      <c r="B577" s="106"/>
      <c r="C577" s="106"/>
      <c r="D577" s="106"/>
      <c r="E577" s="106"/>
      <c r="F577" s="106"/>
      <c r="G577" s="110"/>
      <c r="H577" s="106"/>
      <c r="I577" s="110"/>
      <c r="J577" s="106"/>
      <c r="K577" s="106"/>
      <c r="L577" s="106"/>
      <c r="M577" s="106"/>
      <c r="N577" s="106"/>
      <c r="O577" s="106"/>
      <c r="P577" s="106"/>
      <c r="Q577" s="106"/>
      <c r="R577" s="106"/>
      <c r="S577" s="106"/>
      <c r="T577" s="106"/>
      <c r="U577" s="106"/>
      <c r="V577" s="106"/>
      <c r="W577" s="106"/>
      <c r="X577" s="106"/>
      <c r="Y577" s="106"/>
      <c r="Z577" s="106"/>
    </row>
    <row r="578" spans="1:26" ht="13.5" customHeight="1">
      <c r="A578" s="106"/>
      <c r="B578" s="106"/>
      <c r="C578" s="106"/>
      <c r="D578" s="106"/>
      <c r="E578" s="106"/>
      <c r="F578" s="106"/>
      <c r="G578" s="110"/>
      <c r="H578" s="106"/>
      <c r="I578" s="110"/>
      <c r="J578" s="106"/>
      <c r="K578" s="106"/>
      <c r="L578" s="106"/>
      <c r="M578" s="106"/>
      <c r="N578" s="106"/>
      <c r="O578" s="106"/>
      <c r="P578" s="106"/>
      <c r="Q578" s="106"/>
      <c r="R578" s="106"/>
      <c r="S578" s="106"/>
      <c r="T578" s="106"/>
      <c r="U578" s="106"/>
      <c r="V578" s="106"/>
      <c r="W578" s="106"/>
      <c r="X578" s="106"/>
      <c r="Y578" s="106"/>
      <c r="Z578" s="106"/>
    </row>
    <row r="579" spans="1:26" ht="13.5" customHeight="1">
      <c r="A579" s="106"/>
      <c r="B579" s="106"/>
      <c r="C579" s="106"/>
      <c r="D579" s="106"/>
      <c r="E579" s="106"/>
      <c r="F579" s="106"/>
      <c r="G579" s="110"/>
      <c r="H579" s="106"/>
      <c r="I579" s="110"/>
      <c r="J579" s="106"/>
      <c r="K579" s="106"/>
      <c r="L579" s="106"/>
      <c r="M579" s="106"/>
      <c r="N579" s="106"/>
      <c r="O579" s="106"/>
      <c r="P579" s="106"/>
      <c r="Q579" s="106"/>
      <c r="R579" s="106"/>
      <c r="S579" s="106"/>
      <c r="T579" s="106"/>
      <c r="U579" s="106"/>
      <c r="V579" s="106"/>
      <c r="W579" s="106"/>
      <c r="X579" s="106"/>
      <c r="Y579" s="106"/>
      <c r="Z579" s="106"/>
    </row>
    <row r="580" spans="1:26" ht="13.5" customHeight="1">
      <c r="A580" s="106"/>
      <c r="B580" s="106"/>
      <c r="C580" s="106"/>
      <c r="D580" s="106"/>
      <c r="E580" s="106"/>
      <c r="F580" s="106"/>
      <c r="G580" s="110"/>
      <c r="H580" s="106"/>
      <c r="I580" s="110"/>
      <c r="J580" s="106"/>
      <c r="K580" s="106"/>
      <c r="L580" s="106"/>
      <c r="M580" s="106"/>
      <c r="N580" s="106"/>
      <c r="O580" s="106"/>
      <c r="P580" s="106"/>
      <c r="Q580" s="106"/>
      <c r="R580" s="106"/>
      <c r="S580" s="106"/>
      <c r="T580" s="106"/>
      <c r="U580" s="106"/>
      <c r="V580" s="106"/>
      <c r="W580" s="106"/>
      <c r="X580" s="106"/>
      <c r="Y580" s="106"/>
      <c r="Z580" s="106"/>
    </row>
    <row r="581" spans="1:26" ht="13.5" customHeight="1">
      <c r="A581" s="106"/>
      <c r="B581" s="106"/>
      <c r="C581" s="106"/>
      <c r="D581" s="106"/>
      <c r="E581" s="106"/>
      <c r="F581" s="106"/>
      <c r="G581" s="110"/>
      <c r="H581" s="106"/>
      <c r="I581" s="110"/>
      <c r="J581" s="106"/>
      <c r="K581" s="106"/>
      <c r="L581" s="106"/>
      <c r="M581" s="106"/>
      <c r="N581" s="106"/>
      <c r="O581" s="106"/>
      <c r="P581" s="106"/>
      <c r="Q581" s="106"/>
      <c r="R581" s="106"/>
      <c r="S581" s="106"/>
      <c r="T581" s="106"/>
      <c r="U581" s="106"/>
      <c r="V581" s="106"/>
      <c r="W581" s="106"/>
      <c r="X581" s="106"/>
      <c r="Y581" s="106"/>
      <c r="Z581" s="106"/>
    </row>
    <row r="582" spans="1:26" ht="13.5" customHeight="1">
      <c r="A582" s="106"/>
      <c r="B582" s="106"/>
      <c r="C582" s="106"/>
      <c r="D582" s="106"/>
      <c r="E582" s="106"/>
      <c r="F582" s="106"/>
      <c r="G582" s="110"/>
      <c r="H582" s="106"/>
      <c r="I582" s="110"/>
      <c r="J582" s="106"/>
      <c r="K582" s="106"/>
      <c r="L582" s="106"/>
      <c r="M582" s="106"/>
      <c r="N582" s="106"/>
      <c r="O582" s="106"/>
      <c r="P582" s="106"/>
      <c r="Q582" s="106"/>
      <c r="R582" s="106"/>
      <c r="S582" s="106"/>
      <c r="T582" s="106"/>
      <c r="U582" s="106"/>
      <c r="V582" s="106"/>
      <c r="W582" s="106"/>
      <c r="X582" s="106"/>
      <c r="Y582" s="106"/>
      <c r="Z582" s="106"/>
    </row>
    <row r="583" spans="1:26" ht="13.5" customHeight="1">
      <c r="A583" s="106"/>
      <c r="B583" s="106"/>
      <c r="C583" s="106"/>
      <c r="D583" s="106"/>
      <c r="E583" s="106"/>
      <c r="F583" s="106"/>
      <c r="G583" s="110"/>
      <c r="H583" s="106"/>
      <c r="I583" s="110"/>
      <c r="J583" s="106"/>
      <c r="K583" s="106"/>
      <c r="L583" s="106"/>
      <c r="M583" s="106"/>
      <c r="N583" s="106"/>
      <c r="O583" s="106"/>
      <c r="P583" s="106"/>
      <c r="Q583" s="106"/>
      <c r="R583" s="106"/>
      <c r="S583" s="106"/>
      <c r="T583" s="106"/>
      <c r="U583" s="106"/>
      <c r="V583" s="106"/>
      <c r="W583" s="106"/>
      <c r="X583" s="106"/>
      <c r="Y583" s="106"/>
      <c r="Z583" s="106"/>
    </row>
    <row r="584" spans="1:26" ht="13.5" customHeight="1">
      <c r="A584" s="106"/>
      <c r="B584" s="106"/>
      <c r="C584" s="106"/>
      <c r="D584" s="106"/>
      <c r="E584" s="106"/>
      <c r="F584" s="106"/>
      <c r="G584" s="110"/>
      <c r="H584" s="106"/>
      <c r="I584" s="110"/>
      <c r="J584" s="106"/>
      <c r="K584" s="106"/>
      <c r="L584" s="106"/>
      <c r="M584" s="106"/>
      <c r="N584" s="106"/>
      <c r="O584" s="106"/>
      <c r="P584" s="106"/>
      <c r="Q584" s="106"/>
      <c r="R584" s="106"/>
      <c r="S584" s="106"/>
      <c r="T584" s="106"/>
      <c r="U584" s="106"/>
      <c r="V584" s="106"/>
      <c r="W584" s="106"/>
      <c r="X584" s="106"/>
      <c r="Y584" s="106"/>
      <c r="Z584" s="106"/>
    </row>
    <row r="585" spans="1:26" ht="13.5" customHeight="1">
      <c r="A585" s="106"/>
      <c r="B585" s="106"/>
      <c r="C585" s="106"/>
      <c r="D585" s="106"/>
      <c r="E585" s="106"/>
      <c r="F585" s="106"/>
      <c r="G585" s="110"/>
      <c r="H585" s="106"/>
      <c r="I585" s="110"/>
      <c r="J585" s="106"/>
      <c r="K585" s="106"/>
      <c r="L585" s="106"/>
      <c r="M585" s="106"/>
      <c r="N585" s="106"/>
      <c r="O585" s="106"/>
      <c r="P585" s="106"/>
      <c r="Q585" s="106"/>
      <c r="R585" s="106"/>
      <c r="S585" s="106"/>
      <c r="T585" s="106"/>
      <c r="U585" s="106"/>
      <c r="V585" s="106"/>
      <c r="W585" s="106"/>
      <c r="X585" s="106"/>
      <c r="Y585" s="106"/>
      <c r="Z585" s="106"/>
    </row>
    <row r="586" spans="1:26" ht="13.5" customHeight="1">
      <c r="A586" s="106"/>
      <c r="B586" s="106"/>
      <c r="C586" s="106"/>
      <c r="D586" s="106"/>
      <c r="E586" s="106"/>
      <c r="F586" s="106"/>
      <c r="G586" s="110"/>
      <c r="H586" s="106"/>
      <c r="I586" s="110"/>
      <c r="J586" s="106"/>
      <c r="K586" s="106"/>
      <c r="L586" s="106"/>
      <c r="M586" s="106"/>
      <c r="N586" s="106"/>
      <c r="O586" s="106"/>
      <c r="P586" s="106"/>
      <c r="Q586" s="106"/>
      <c r="R586" s="106"/>
      <c r="S586" s="106"/>
      <c r="T586" s="106"/>
      <c r="U586" s="106"/>
      <c r="V586" s="106"/>
      <c r="W586" s="106"/>
      <c r="X586" s="106"/>
      <c r="Y586" s="106"/>
      <c r="Z586" s="106"/>
    </row>
    <row r="587" spans="1:26" ht="13.5" customHeight="1">
      <c r="A587" s="106"/>
      <c r="B587" s="106"/>
      <c r="C587" s="106"/>
      <c r="D587" s="106"/>
      <c r="E587" s="106"/>
      <c r="F587" s="106"/>
      <c r="G587" s="110"/>
      <c r="H587" s="106"/>
      <c r="I587" s="110"/>
      <c r="J587" s="106"/>
      <c r="K587" s="106"/>
      <c r="L587" s="106"/>
      <c r="M587" s="106"/>
      <c r="N587" s="106"/>
      <c r="O587" s="106"/>
      <c r="P587" s="106"/>
      <c r="Q587" s="106"/>
      <c r="R587" s="106"/>
      <c r="S587" s="106"/>
      <c r="T587" s="106"/>
      <c r="U587" s="106"/>
      <c r="V587" s="106"/>
      <c r="W587" s="106"/>
      <c r="X587" s="106"/>
      <c r="Y587" s="106"/>
      <c r="Z587" s="106"/>
    </row>
    <row r="588" spans="1:26" ht="13.5" customHeight="1">
      <c r="A588" s="106"/>
      <c r="B588" s="106"/>
      <c r="C588" s="106"/>
      <c r="D588" s="106"/>
      <c r="E588" s="106"/>
      <c r="F588" s="106"/>
      <c r="G588" s="110"/>
      <c r="H588" s="106"/>
      <c r="I588" s="110"/>
      <c r="J588" s="106"/>
      <c r="K588" s="106"/>
      <c r="L588" s="106"/>
      <c r="M588" s="106"/>
      <c r="N588" s="106"/>
      <c r="O588" s="106"/>
      <c r="P588" s="106"/>
      <c r="Q588" s="106"/>
      <c r="R588" s="106"/>
      <c r="S588" s="106"/>
      <c r="T588" s="106"/>
      <c r="U588" s="106"/>
      <c r="V588" s="106"/>
      <c r="W588" s="106"/>
      <c r="X588" s="106"/>
      <c r="Y588" s="106"/>
      <c r="Z588" s="106"/>
    </row>
    <row r="589" spans="1:26" ht="13.5" customHeight="1">
      <c r="A589" s="106"/>
      <c r="B589" s="106"/>
      <c r="C589" s="106"/>
      <c r="D589" s="106"/>
      <c r="E589" s="106"/>
      <c r="F589" s="106"/>
      <c r="G589" s="110"/>
      <c r="H589" s="106"/>
      <c r="I589" s="110"/>
      <c r="J589" s="106"/>
      <c r="K589" s="106"/>
      <c r="L589" s="106"/>
      <c r="M589" s="106"/>
      <c r="N589" s="106"/>
      <c r="O589" s="106"/>
      <c r="P589" s="106"/>
      <c r="Q589" s="106"/>
      <c r="R589" s="106"/>
      <c r="S589" s="106"/>
      <c r="T589" s="106"/>
      <c r="U589" s="106"/>
      <c r="V589" s="106"/>
      <c r="W589" s="106"/>
      <c r="X589" s="106"/>
      <c r="Y589" s="106"/>
      <c r="Z589" s="106"/>
    </row>
    <row r="590" spans="1:26" ht="13.5" customHeight="1">
      <c r="A590" s="106"/>
      <c r="B590" s="106"/>
      <c r="C590" s="106"/>
      <c r="D590" s="106"/>
      <c r="E590" s="106"/>
      <c r="F590" s="106"/>
      <c r="G590" s="110"/>
      <c r="H590" s="106"/>
      <c r="I590" s="110"/>
      <c r="J590" s="106"/>
      <c r="K590" s="106"/>
      <c r="L590" s="106"/>
      <c r="M590" s="106"/>
      <c r="N590" s="106"/>
      <c r="O590" s="106"/>
      <c r="P590" s="106"/>
      <c r="Q590" s="106"/>
      <c r="R590" s="106"/>
      <c r="S590" s="106"/>
      <c r="T590" s="106"/>
      <c r="U590" s="106"/>
      <c r="V590" s="106"/>
      <c r="W590" s="106"/>
      <c r="X590" s="106"/>
      <c r="Y590" s="106"/>
      <c r="Z590" s="106"/>
    </row>
    <row r="591" spans="1:26" ht="13.5" customHeight="1">
      <c r="A591" s="106"/>
      <c r="B591" s="106"/>
      <c r="C591" s="106"/>
      <c r="D591" s="106"/>
      <c r="E591" s="106"/>
      <c r="F591" s="106"/>
      <c r="G591" s="110"/>
      <c r="H591" s="106"/>
      <c r="I591" s="110"/>
      <c r="J591" s="106"/>
      <c r="K591" s="106"/>
      <c r="L591" s="106"/>
      <c r="M591" s="106"/>
      <c r="N591" s="106"/>
      <c r="O591" s="106"/>
      <c r="P591" s="106"/>
      <c r="Q591" s="106"/>
      <c r="R591" s="106"/>
      <c r="S591" s="106"/>
      <c r="T591" s="106"/>
      <c r="U591" s="106"/>
      <c r="V591" s="106"/>
      <c r="W591" s="106"/>
      <c r="X591" s="106"/>
      <c r="Y591" s="106"/>
      <c r="Z591" s="106"/>
    </row>
    <row r="592" spans="1:26" ht="13.5" customHeight="1">
      <c r="A592" s="106"/>
      <c r="B592" s="106"/>
      <c r="C592" s="106"/>
      <c r="D592" s="106"/>
      <c r="E592" s="106"/>
      <c r="F592" s="106"/>
      <c r="G592" s="110"/>
      <c r="H592" s="106"/>
      <c r="I592" s="110"/>
      <c r="J592" s="106"/>
      <c r="K592" s="106"/>
      <c r="L592" s="106"/>
      <c r="M592" s="106"/>
      <c r="N592" s="106"/>
      <c r="O592" s="106"/>
      <c r="P592" s="106"/>
      <c r="Q592" s="106"/>
      <c r="R592" s="106"/>
      <c r="S592" s="106"/>
      <c r="T592" s="106"/>
      <c r="U592" s="106"/>
      <c r="V592" s="106"/>
      <c r="W592" s="106"/>
      <c r="X592" s="106"/>
      <c r="Y592" s="106"/>
      <c r="Z592" s="106"/>
    </row>
    <row r="593" spans="1:26" ht="13.5" customHeight="1">
      <c r="A593" s="106"/>
      <c r="B593" s="106"/>
      <c r="C593" s="106"/>
      <c r="D593" s="106"/>
      <c r="E593" s="106"/>
      <c r="F593" s="106"/>
      <c r="G593" s="110"/>
      <c r="H593" s="106"/>
      <c r="I593" s="110"/>
      <c r="J593" s="106"/>
      <c r="K593" s="106"/>
      <c r="L593" s="106"/>
      <c r="M593" s="106"/>
      <c r="N593" s="106"/>
      <c r="O593" s="106"/>
      <c r="P593" s="106"/>
      <c r="Q593" s="106"/>
      <c r="R593" s="106"/>
      <c r="S593" s="106"/>
      <c r="T593" s="106"/>
      <c r="U593" s="106"/>
      <c r="V593" s="106"/>
      <c r="W593" s="106"/>
      <c r="X593" s="106"/>
      <c r="Y593" s="106"/>
      <c r="Z593" s="106"/>
    </row>
    <row r="594" spans="1:26" ht="13.5" customHeight="1">
      <c r="A594" s="106"/>
      <c r="B594" s="106"/>
      <c r="C594" s="106"/>
      <c r="D594" s="106"/>
      <c r="E594" s="106"/>
      <c r="F594" s="106"/>
      <c r="G594" s="110"/>
      <c r="H594" s="106"/>
      <c r="I594" s="110"/>
      <c r="J594" s="106"/>
      <c r="K594" s="106"/>
      <c r="L594" s="106"/>
      <c r="M594" s="106"/>
      <c r="N594" s="106"/>
      <c r="O594" s="106"/>
      <c r="P594" s="106"/>
      <c r="Q594" s="106"/>
      <c r="R594" s="106"/>
      <c r="S594" s="106"/>
      <c r="T594" s="106"/>
      <c r="U594" s="106"/>
      <c r="V594" s="106"/>
      <c r="W594" s="106"/>
      <c r="X594" s="106"/>
      <c r="Y594" s="106"/>
      <c r="Z594" s="106"/>
    </row>
    <row r="595" spans="1:26" ht="13.5" customHeight="1">
      <c r="A595" s="106"/>
      <c r="B595" s="106"/>
      <c r="C595" s="106"/>
      <c r="D595" s="106"/>
      <c r="E595" s="106"/>
      <c r="F595" s="106"/>
      <c r="G595" s="110"/>
      <c r="H595" s="106"/>
      <c r="I595" s="110"/>
      <c r="J595" s="106"/>
      <c r="K595" s="106"/>
      <c r="L595" s="106"/>
      <c r="M595" s="106"/>
      <c r="N595" s="106"/>
      <c r="O595" s="106"/>
      <c r="P595" s="106"/>
      <c r="Q595" s="106"/>
      <c r="R595" s="106"/>
      <c r="S595" s="106"/>
      <c r="T595" s="106"/>
      <c r="U595" s="106"/>
      <c r="V595" s="106"/>
      <c r="W595" s="106"/>
      <c r="X595" s="106"/>
      <c r="Y595" s="106"/>
      <c r="Z595" s="106"/>
    </row>
    <row r="596" spans="1:26" ht="13.5" customHeight="1">
      <c r="A596" s="106"/>
      <c r="B596" s="106"/>
      <c r="C596" s="106"/>
      <c r="D596" s="106"/>
      <c r="E596" s="106"/>
      <c r="F596" s="106"/>
      <c r="G596" s="110"/>
      <c r="H596" s="106"/>
      <c r="I596" s="110"/>
      <c r="J596" s="106"/>
      <c r="K596" s="106"/>
      <c r="L596" s="106"/>
      <c r="M596" s="106"/>
      <c r="N596" s="106"/>
      <c r="O596" s="106"/>
      <c r="P596" s="106"/>
      <c r="Q596" s="106"/>
      <c r="R596" s="106"/>
      <c r="S596" s="106"/>
      <c r="T596" s="106"/>
      <c r="U596" s="106"/>
      <c r="V596" s="106"/>
      <c r="W596" s="106"/>
      <c r="X596" s="106"/>
      <c r="Y596" s="106"/>
      <c r="Z596" s="106"/>
    </row>
    <row r="597" spans="1:26" ht="13.5" customHeight="1">
      <c r="A597" s="106"/>
      <c r="B597" s="106"/>
      <c r="C597" s="106"/>
      <c r="D597" s="106"/>
      <c r="E597" s="106"/>
      <c r="F597" s="106"/>
      <c r="G597" s="110"/>
      <c r="H597" s="106"/>
      <c r="I597" s="110"/>
      <c r="J597" s="106"/>
      <c r="K597" s="106"/>
      <c r="L597" s="106"/>
      <c r="M597" s="106"/>
      <c r="N597" s="106"/>
      <c r="O597" s="106"/>
      <c r="P597" s="106"/>
      <c r="Q597" s="106"/>
      <c r="R597" s="106"/>
      <c r="S597" s="106"/>
      <c r="T597" s="106"/>
      <c r="U597" s="106"/>
      <c r="V597" s="106"/>
      <c r="W597" s="106"/>
      <c r="X597" s="106"/>
      <c r="Y597" s="106"/>
      <c r="Z597" s="106"/>
    </row>
    <row r="598" spans="1:26" ht="13.5" customHeight="1">
      <c r="A598" s="106"/>
      <c r="B598" s="106"/>
      <c r="C598" s="106"/>
      <c r="D598" s="106"/>
      <c r="E598" s="106"/>
      <c r="F598" s="106"/>
      <c r="G598" s="110"/>
      <c r="H598" s="106"/>
      <c r="I598" s="110"/>
      <c r="J598" s="106"/>
      <c r="K598" s="106"/>
      <c r="L598" s="106"/>
      <c r="M598" s="106"/>
      <c r="N598" s="106"/>
      <c r="O598" s="106"/>
      <c r="P598" s="106"/>
      <c r="Q598" s="106"/>
      <c r="R598" s="106"/>
      <c r="S598" s="106"/>
      <c r="T598" s="106"/>
      <c r="U598" s="106"/>
      <c r="V598" s="106"/>
      <c r="W598" s="106"/>
      <c r="X598" s="106"/>
      <c r="Y598" s="106"/>
      <c r="Z598" s="106"/>
    </row>
    <row r="599" spans="1:26" ht="13.5" customHeight="1">
      <c r="A599" s="106"/>
      <c r="B599" s="106"/>
      <c r="C599" s="106"/>
      <c r="D599" s="106"/>
      <c r="E599" s="106"/>
      <c r="F599" s="106"/>
      <c r="G599" s="110"/>
      <c r="H599" s="106"/>
      <c r="I599" s="110"/>
      <c r="J599" s="106"/>
      <c r="K599" s="106"/>
      <c r="L599" s="106"/>
      <c r="M599" s="106"/>
      <c r="N599" s="106"/>
      <c r="O599" s="106"/>
      <c r="P599" s="106"/>
      <c r="Q599" s="106"/>
      <c r="R599" s="106"/>
      <c r="S599" s="106"/>
      <c r="T599" s="106"/>
      <c r="U599" s="106"/>
      <c r="V599" s="106"/>
      <c r="W599" s="106"/>
      <c r="X599" s="106"/>
      <c r="Y599" s="106"/>
      <c r="Z599" s="106"/>
    </row>
    <row r="600" spans="1:26" ht="13.5" customHeight="1">
      <c r="A600" s="106"/>
      <c r="B600" s="106"/>
      <c r="C600" s="106"/>
      <c r="D600" s="106"/>
      <c r="E600" s="106"/>
      <c r="F600" s="106"/>
      <c r="G600" s="110"/>
      <c r="H600" s="106"/>
      <c r="I600" s="110"/>
      <c r="J600" s="106"/>
      <c r="K600" s="106"/>
      <c r="L600" s="106"/>
      <c r="M600" s="106"/>
      <c r="N600" s="106"/>
      <c r="O600" s="106"/>
      <c r="P600" s="106"/>
      <c r="Q600" s="106"/>
      <c r="R600" s="106"/>
      <c r="S600" s="106"/>
      <c r="T600" s="106"/>
      <c r="U600" s="106"/>
      <c r="V600" s="106"/>
      <c r="W600" s="106"/>
      <c r="X600" s="106"/>
      <c r="Y600" s="106"/>
      <c r="Z600" s="106"/>
    </row>
    <row r="601" spans="1:26" ht="13.5" customHeight="1">
      <c r="A601" s="106"/>
      <c r="B601" s="106"/>
      <c r="C601" s="106"/>
      <c r="D601" s="106"/>
      <c r="E601" s="106"/>
      <c r="F601" s="106"/>
      <c r="G601" s="110"/>
      <c r="H601" s="106"/>
      <c r="I601" s="110"/>
      <c r="J601" s="106"/>
      <c r="K601" s="106"/>
      <c r="L601" s="106"/>
      <c r="M601" s="106"/>
      <c r="N601" s="106"/>
      <c r="O601" s="106"/>
      <c r="P601" s="106"/>
      <c r="Q601" s="106"/>
      <c r="R601" s="106"/>
      <c r="S601" s="106"/>
      <c r="T601" s="106"/>
      <c r="U601" s="106"/>
      <c r="V601" s="106"/>
      <c r="W601" s="106"/>
      <c r="X601" s="106"/>
      <c r="Y601" s="106"/>
      <c r="Z601" s="106"/>
    </row>
    <row r="602" spans="1:26" ht="13.5" customHeight="1">
      <c r="A602" s="106"/>
      <c r="B602" s="106"/>
      <c r="C602" s="106"/>
      <c r="D602" s="106"/>
      <c r="E602" s="106"/>
      <c r="F602" s="106"/>
      <c r="G602" s="110"/>
      <c r="H602" s="106"/>
      <c r="I602" s="110"/>
      <c r="J602" s="106"/>
      <c r="K602" s="106"/>
      <c r="L602" s="106"/>
      <c r="M602" s="106"/>
      <c r="N602" s="106"/>
      <c r="O602" s="106"/>
      <c r="P602" s="106"/>
      <c r="Q602" s="106"/>
      <c r="R602" s="106"/>
      <c r="S602" s="106"/>
      <c r="T602" s="106"/>
      <c r="U602" s="106"/>
      <c r="V602" s="106"/>
      <c r="W602" s="106"/>
      <c r="X602" s="106"/>
      <c r="Y602" s="106"/>
      <c r="Z602" s="106"/>
    </row>
    <row r="603" spans="1:26" ht="13.5" customHeight="1">
      <c r="A603" s="106"/>
      <c r="B603" s="106"/>
      <c r="C603" s="106"/>
      <c r="D603" s="106"/>
      <c r="E603" s="106"/>
      <c r="F603" s="106"/>
      <c r="G603" s="110"/>
      <c r="H603" s="106"/>
      <c r="I603" s="110"/>
      <c r="J603" s="106"/>
      <c r="K603" s="106"/>
      <c r="L603" s="106"/>
      <c r="M603" s="106"/>
      <c r="N603" s="106"/>
      <c r="O603" s="106"/>
      <c r="P603" s="106"/>
      <c r="Q603" s="106"/>
      <c r="R603" s="106"/>
      <c r="S603" s="106"/>
      <c r="T603" s="106"/>
      <c r="U603" s="106"/>
      <c r="V603" s="106"/>
      <c r="W603" s="106"/>
      <c r="X603" s="106"/>
      <c r="Y603" s="106"/>
      <c r="Z603" s="106"/>
    </row>
    <row r="604" spans="1:26" ht="13.5" customHeight="1">
      <c r="A604" s="106"/>
      <c r="B604" s="106"/>
      <c r="C604" s="106"/>
      <c r="D604" s="106"/>
      <c r="E604" s="106"/>
      <c r="F604" s="106"/>
      <c r="G604" s="110"/>
      <c r="H604" s="106"/>
      <c r="I604" s="110"/>
      <c r="J604" s="106"/>
      <c r="K604" s="106"/>
      <c r="L604" s="106"/>
      <c r="M604" s="106"/>
      <c r="N604" s="106"/>
      <c r="O604" s="106"/>
      <c r="P604" s="106"/>
      <c r="Q604" s="106"/>
      <c r="R604" s="106"/>
      <c r="S604" s="106"/>
      <c r="T604" s="106"/>
      <c r="U604" s="106"/>
      <c r="V604" s="106"/>
      <c r="W604" s="106"/>
      <c r="X604" s="106"/>
      <c r="Y604" s="106"/>
      <c r="Z604" s="106"/>
    </row>
    <row r="605" spans="1:26" ht="13.5" customHeight="1">
      <c r="A605" s="106"/>
      <c r="B605" s="106"/>
      <c r="C605" s="106"/>
      <c r="D605" s="106"/>
      <c r="E605" s="106"/>
      <c r="F605" s="106"/>
      <c r="G605" s="110"/>
      <c r="H605" s="106"/>
      <c r="I605" s="110"/>
      <c r="J605" s="106"/>
      <c r="K605" s="106"/>
      <c r="L605" s="106"/>
      <c r="M605" s="106"/>
      <c r="N605" s="106"/>
      <c r="O605" s="106"/>
      <c r="P605" s="106"/>
      <c r="Q605" s="106"/>
      <c r="R605" s="106"/>
      <c r="S605" s="106"/>
      <c r="T605" s="106"/>
      <c r="U605" s="106"/>
      <c r="V605" s="106"/>
      <c r="W605" s="106"/>
      <c r="X605" s="106"/>
      <c r="Y605" s="106"/>
      <c r="Z605" s="106"/>
    </row>
    <row r="606" spans="1:26" ht="13.5" customHeight="1">
      <c r="A606" s="106"/>
      <c r="B606" s="106"/>
      <c r="C606" s="106"/>
      <c r="D606" s="106"/>
      <c r="E606" s="106"/>
      <c r="F606" s="106"/>
      <c r="G606" s="110"/>
      <c r="H606" s="106"/>
      <c r="I606" s="110"/>
      <c r="J606" s="106"/>
      <c r="K606" s="106"/>
      <c r="L606" s="106"/>
      <c r="M606" s="106"/>
      <c r="N606" s="106"/>
      <c r="O606" s="106"/>
      <c r="P606" s="106"/>
      <c r="Q606" s="106"/>
      <c r="R606" s="106"/>
      <c r="S606" s="106"/>
      <c r="T606" s="106"/>
      <c r="U606" s="106"/>
      <c r="V606" s="106"/>
      <c r="W606" s="106"/>
      <c r="X606" s="106"/>
      <c r="Y606" s="106"/>
      <c r="Z606" s="106"/>
    </row>
    <row r="607" spans="1:26" ht="13.5" customHeight="1">
      <c r="A607" s="106"/>
      <c r="B607" s="106"/>
      <c r="C607" s="106"/>
      <c r="D607" s="106"/>
      <c r="E607" s="106"/>
      <c r="F607" s="106"/>
      <c r="G607" s="110"/>
      <c r="H607" s="106"/>
      <c r="I607" s="110"/>
      <c r="J607" s="106"/>
      <c r="K607" s="106"/>
      <c r="L607" s="106"/>
      <c r="M607" s="106"/>
      <c r="N607" s="106"/>
      <c r="O607" s="106"/>
      <c r="P607" s="106"/>
      <c r="Q607" s="106"/>
      <c r="R607" s="106"/>
      <c r="S607" s="106"/>
      <c r="T607" s="106"/>
      <c r="U607" s="106"/>
      <c r="V607" s="106"/>
      <c r="W607" s="106"/>
      <c r="X607" s="106"/>
      <c r="Y607" s="106"/>
      <c r="Z607" s="106"/>
    </row>
    <row r="608" spans="1:26" ht="13.5" customHeight="1">
      <c r="A608" s="106"/>
      <c r="B608" s="106"/>
      <c r="C608" s="106"/>
      <c r="D608" s="106"/>
      <c r="E608" s="106"/>
      <c r="F608" s="106"/>
      <c r="G608" s="110"/>
      <c r="H608" s="106"/>
      <c r="I608" s="110"/>
      <c r="J608" s="106"/>
      <c r="K608" s="106"/>
      <c r="L608" s="106"/>
      <c r="M608" s="106"/>
      <c r="N608" s="106"/>
      <c r="O608" s="106"/>
      <c r="P608" s="106"/>
      <c r="Q608" s="106"/>
      <c r="R608" s="106"/>
      <c r="S608" s="106"/>
      <c r="T608" s="106"/>
      <c r="U608" s="106"/>
      <c r="V608" s="106"/>
      <c r="W608" s="106"/>
      <c r="X608" s="106"/>
      <c r="Y608" s="106"/>
      <c r="Z608" s="106"/>
    </row>
    <row r="609" spans="1:26" ht="13.5" customHeight="1">
      <c r="A609" s="106"/>
      <c r="B609" s="106"/>
      <c r="C609" s="106"/>
      <c r="D609" s="106"/>
      <c r="E609" s="106"/>
      <c r="F609" s="106"/>
      <c r="G609" s="110"/>
      <c r="H609" s="106"/>
      <c r="I609" s="110"/>
      <c r="J609" s="106"/>
      <c r="K609" s="106"/>
      <c r="L609" s="106"/>
      <c r="M609" s="106"/>
      <c r="N609" s="106"/>
      <c r="O609" s="106"/>
      <c r="P609" s="106"/>
      <c r="Q609" s="106"/>
      <c r="R609" s="106"/>
      <c r="S609" s="106"/>
      <c r="T609" s="106"/>
      <c r="U609" s="106"/>
      <c r="V609" s="106"/>
      <c r="W609" s="106"/>
      <c r="X609" s="106"/>
      <c r="Y609" s="106"/>
      <c r="Z609" s="106"/>
    </row>
    <row r="610" spans="1:26" ht="13.5" customHeight="1">
      <c r="A610" s="106"/>
      <c r="B610" s="106"/>
      <c r="C610" s="106"/>
      <c r="D610" s="106"/>
      <c r="E610" s="106"/>
      <c r="F610" s="106"/>
      <c r="G610" s="110"/>
      <c r="H610" s="106"/>
      <c r="I610" s="110"/>
      <c r="J610" s="106"/>
      <c r="K610" s="106"/>
      <c r="L610" s="106"/>
      <c r="M610" s="106"/>
      <c r="N610" s="106"/>
      <c r="O610" s="106"/>
      <c r="P610" s="106"/>
      <c r="Q610" s="106"/>
      <c r="R610" s="106"/>
      <c r="S610" s="106"/>
      <c r="T610" s="106"/>
      <c r="U610" s="106"/>
      <c r="V610" s="106"/>
      <c r="W610" s="106"/>
      <c r="X610" s="106"/>
      <c r="Y610" s="106"/>
      <c r="Z610" s="106"/>
    </row>
    <row r="611" spans="1:26" ht="13.5" customHeight="1">
      <c r="A611" s="106"/>
      <c r="B611" s="106"/>
      <c r="C611" s="106"/>
      <c r="D611" s="106"/>
      <c r="E611" s="106"/>
      <c r="F611" s="106"/>
      <c r="G611" s="110"/>
      <c r="H611" s="106"/>
      <c r="I611" s="110"/>
      <c r="J611" s="106"/>
      <c r="K611" s="106"/>
      <c r="L611" s="106"/>
      <c r="M611" s="106"/>
      <c r="N611" s="106"/>
      <c r="O611" s="106"/>
      <c r="P611" s="106"/>
      <c r="Q611" s="106"/>
      <c r="R611" s="106"/>
      <c r="S611" s="106"/>
      <c r="T611" s="106"/>
      <c r="U611" s="106"/>
      <c r="V611" s="106"/>
      <c r="W611" s="106"/>
      <c r="X611" s="106"/>
      <c r="Y611" s="106"/>
      <c r="Z611" s="106"/>
    </row>
    <row r="612" spans="1:26" ht="13.5" customHeight="1">
      <c r="A612" s="106"/>
      <c r="B612" s="106"/>
      <c r="C612" s="106"/>
      <c r="D612" s="106"/>
      <c r="E612" s="106"/>
      <c r="F612" s="106"/>
      <c r="G612" s="110"/>
      <c r="H612" s="106"/>
      <c r="I612" s="110"/>
      <c r="J612" s="106"/>
      <c r="K612" s="106"/>
      <c r="L612" s="106"/>
      <c r="M612" s="106"/>
      <c r="N612" s="106"/>
      <c r="O612" s="106"/>
      <c r="P612" s="106"/>
      <c r="Q612" s="106"/>
      <c r="R612" s="106"/>
      <c r="S612" s="106"/>
      <c r="T612" s="106"/>
      <c r="U612" s="106"/>
      <c r="V612" s="106"/>
      <c r="W612" s="106"/>
      <c r="X612" s="106"/>
      <c r="Y612" s="106"/>
      <c r="Z612" s="106"/>
    </row>
    <row r="613" spans="1:26" ht="13.5" customHeight="1">
      <c r="A613" s="106"/>
      <c r="B613" s="106"/>
      <c r="C613" s="106"/>
      <c r="D613" s="106"/>
      <c r="E613" s="106"/>
      <c r="F613" s="106"/>
      <c r="G613" s="110"/>
      <c r="H613" s="106"/>
      <c r="I613" s="110"/>
      <c r="J613" s="106"/>
      <c r="K613" s="106"/>
      <c r="L613" s="106"/>
      <c r="M613" s="106"/>
      <c r="N613" s="106"/>
      <c r="O613" s="106"/>
      <c r="P613" s="106"/>
      <c r="Q613" s="106"/>
      <c r="R613" s="106"/>
      <c r="S613" s="106"/>
      <c r="T613" s="106"/>
      <c r="U613" s="106"/>
      <c r="V613" s="106"/>
      <c r="W613" s="106"/>
      <c r="X613" s="106"/>
      <c r="Y613" s="106"/>
      <c r="Z613" s="106"/>
    </row>
    <row r="614" spans="1:26" ht="13.5" customHeight="1">
      <c r="A614" s="106"/>
      <c r="B614" s="106"/>
      <c r="C614" s="106"/>
      <c r="D614" s="106"/>
      <c r="E614" s="106"/>
      <c r="F614" s="106"/>
      <c r="G614" s="110"/>
      <c r="H614" s="106"/>
      <c r="I614" s="110"/>
      <c r="J614" s="106"/>
      <c r="K614" s="106"/>
      <c r="L614" s="106"/>
      <c r="M614" s="106"/>
      <c r="N614" s="106"/>
      <c r="O614" s="106"/>
      <c r="P614" s="106"/>
      <c r="Q614" s="106"/>
      <c r="R614" s="106"/>
      <c r="S614" s="106"/>
      <c r="T614" s="106"/>
      <c r="U614" s="106"/>
      <c r="V614" s="106"/>
      <c r="W614" s="106"/>
      <c r="X614" s="106"/>
      <c r="Y614" s="106"/>
      <c r="Z614" s="106"/>
    </row>
    <row r="615" spans="1:26" ht="13.5" customHeight="1">
      <c r="A615" s="106"/>
      <c r="B615" s="106"/>
      <c r="C615" s="106"/>
      <c r="D615" s="106"/>
      <c r="E615" s="106"/>
      <c r="F615" s="106"/>
      <c r="G615" s="110"/>
      <c r="H615" s="106"/>
      <c r="I615" s="110"/>
      <c r="J615" s="106"/>
      <c r="K615" s="106"/>
      <c r="L615" s="106"/>
      <c r="M615" s="106"/>
      <c r="N615" s="106"/>
      <c r="O615" s="106"/>
      <c r="P615" s="106"/>
      <c r="Q615" s="106"/>
      <c r="R615" s="106"/>
      <c r="S615" s="106"/>
      <c r="T615" s="106"/>
      <c r="U615" s="106"/>
      <c r="V615" s="106"/>
      <c r="W615" s="106"/>
      <c r="X615" s="106"/>
      <c r="Y615" s="106"/>
      <c r="Z615" s="106"/>
    </row>
    <row r="616" spans="1:26" ht="13.5" customHeight="1">
      <c r="A616" s="106"/>
      <c r="B616" s="106"/>
      <c r="C616" s="106"/>
      <c r="D616" s="106"/>
      <c r="E616" s="106"/>
      <c r="F616" s="106"/>
      <c r="G616" s="110"/>
      <c r="H616" s="106"/>
      <c r="I616" s="110"/>
      <c r="J616" s="106"/>
      <c r="K616" s="106"/>
      <c r="L616" s="106"/>
      <c r="M616" s="106"/>
      <c r="N616" s="106"/>
      <c r="O616" s="106"/>
      <c r="P616" s="106"/>
      <c r="Q616" s="106"/>
      <c r="R616" s="106"/>
      <c r="S616" s="106"/>
      <c r="T616" s="106"/>
      <c r="U616" s="106"/>
      <c r="V616" s="106"/>
      <c r="W616" s="106"/>
      <c r="X616" s="106"/>
      <c r="Y616" s="106"/>
      <c r="Z616" s="106"/>
    </row>
    <row r="617" spans="1:26" ht="13.5" customHeight="1">
      <c r="A617" s="106"/>
      <c r="B617" s="106"/>
      <c r="C617" s="106"/>
      <c r="D617" s="106"/>
      <c r="E617" s="106"/>
      <c r="F617" s="106"/>
      <c r="G617" s="110"/>
      <c r="H617" s="106"/>
      <c r="I617" s="110"/>
      <c r="J617" s="106"/>
      <c r="K617" s="106"/>
      <c r="L617" s="106"/>
      <c r="M617" s="106"/>
      <c r="N617" s="106"/>
      <c r="O617" s="106"/>
      <c r="P617" s="106"/>
      <c r="Q617" s="106"/>
      <c r="R617" s="106"/>
      <c r="S617" s="106"/>
      <c r="T617" s="106"/>
      <c r="U617" s="106"/>
      <c r="V617" s="106"/>
      <c r="W617" s="106"/>
      <c r="X617" s="106"/>
      <c r="Y617" s="106"/>
      <c r="Z617" s="106"/>
    </row>
    <row r="618" spans="1:26" ht="13.5" customHeight="1">
      <c r="A618" s="106"/>
      <c r="B618" s="106"/>
      <c r="C618" s="106"/>
      <c r="D618" s="106"/>
      <c r="E618" s="106"/>
      <c r="F618" s="106"/>
      <c r="G618" s="110"/>
      <c r="H618" s="106"/>
      <c r="I618" s="110"/>
      <c r="J618" s="106"/>
      <c r="K618" s="106"/>
      <c r="L618" s="106"/>
      <c r="M618" s="106"/>
      <c r="N618" s="106"/>
      <c r="O618" s="106"/>
      <c r="P618" s="106"/>
      <c r="Q618" s="106"/>
      <c r="R618" s="106"/>
      <c r="S618" s="106"/>
      <c r="T618" s="106"/>
      <c r="U618" s="106"/>
      <c r="V618" s="106"/>
      <c r="W618" s="106"/>
      <c r="X618" s="106"/>
      <c r="Y618" s="106"/>
      <c r="Z618" s="106"/>
    </row>
    <row r="619" spans="1:26" ht="13.5" customHeight="1">
      <c r="A619" s="106"/>
      <c r="B619" s="106"/>
      <c r="C619" s="106"/>
      <c r="D619" s="106"/>
      <c r="E619" s="106"/>
      <c r="F619" s="106"/>
      <c r="G619" s="110"/>
      <c r="H619" s="106"/>
      <c r="I619" s="110"/>
      <c r="J619" s="106"/>
      <c r="K619" s="106"/>
      <c r="L619" s="106"/>
      <c r="M619" s="106"/>
      <c r="N619" s="106"/>
      <c r="O619" s="106"/>
      <c r="P619" s="106"/>
      <c r="Q619" s="106"/>
      <c r="R619" s="106"/>
      <c r="S619" s="106"/>
      <c r="T619" s="106"/>
      <c r="U619" s="106"/>
      <c r="V619" s="106"/>
      <c r="W619" s="106"/>
      <c r="X619" s="106"/>
      <c r="Y619" s="106"/>
      <c r="Z619" s="106"/>
    </row>
    <row r="620" spans="1:26" ht="13.5" customHeight="1">
      <c r="A620" s="106"/>
      <c r="B620" s="106"/>
      <c r="C620" s="106"/>
      <c r="D620" s="106"/>
      <c r="E620" s="106"/>
      <c r="F620" s="106"/>
      <c r="G620" s="110"/>
      <c r="H620" s="106"/>
      <c r="I620" s="110"/>
      <c r="J620" s="106"/>
      <c r="K620" s="106"/>
      <c r="L620" s="106"/>
      <c r="M620" s="106"/>
      <c r="N620" s="106"/>
      <c r="O620" s="106"/>
      <c r="P620" s="106"/>
      <c r="Q620" s="106"/>
      <c r="R620" s="106"/>
      <c r="S620" s="106"/>
      <c r="T620" s="106"/>
      <c r="U620" s="106"/>
      <c r="V620" s="106"/>
      <c r="W620" s="106"/>
      <c r="X620" s="106"/>
      <c r="Y620" s="106"/>
      <c r="Z620" s="106"/>
    </row>
    <row r="621" spans="1:26" ht="13.5" customHeight="1">
      <c r="A621" s="106"/>
      <c r="B621" s="106"/>
      <c r="C621" s="106"/>
      <c r="D621" s="106"/>
      <c r="E621" s="106"/>
      <c r="F621" s="106"/>
      <c r="G621" s="110"/>
      <c r="H621" s="106"/>
      <c r="I621" s="110"/>
      <c r="J621" s="106"/>
      <c r="K621" s="106"/>
      <c r="L621" s="106"/>
      <c r="M621" s="106"/>
      <c r="N621" s="106"/>
      <c r="O621" s="106"/>
      <c r="P621" s="106"/>
      <c r="Q621" s="106"/>
      <c r="R621" s="106"/>
      <c r="S621" s="106"/>
      <c r="T621" s="106"/>
      <c r="U621" s="106"/>
      <c r="V621" s="106"/>
      <c r="W621" s="106"/>
      <c r="X621" s="106"/>
      <c r="Y621" s="106"/>
      <c r="Z621" s="106"/>
    </row>
    <row r="622" spans="1:26" ht="13.5" customHeight="1">
      <c r="A622" s="106"/>
      <c r="B622" s="106"/>
      <c r="C622" s="106"/>
      <c r="D622" s="106"/>
      <c r="E622" s="106"/>
      <c r="F622" s="106"/>
      <c r="G622" s="110"/>
      <c r="H622" s="106"/>
      <c r="I622" s="110"/>
      <c r="J622" s="106"/>
      <c r="K622" s="106"/>
      <c r="L622" s="106"/>
      <c r="M622" s="106"/>
      <c r="N622" s="106"/>
      <c r="O622" s="106"/>
      <c r="P622" s="106"/>
      <c r="Q622" s="106"/>
      <c r="R622" s="106"/>
      <c r="S622" s="106"/>
      <c r="T622" s="106"/>
      <c r="U622" s="106"/>
      <c r="V622" s="106"/>
      <c r="W622" s="106"/>
      <c r="X622" s="106"/>
      <c r="Y622" s="106"/>
      <c r="Z622" s="106"/>
    </row>
    <row r="623" spans="1:26" ht="13.5" customHeight="1">
      <c r="A623" s="106"/>
      <c r="B623" s="106"/>
      <c r="C623" s="106"/>
      <c r="D623" s="106"/>
      <c r="E623" s="106"/>
      <c r="F623" s="106"/>
      <c r="G623" s="110"/>
      <c r="H623" s="106"/>
      <c r="I623" s="110"/>
      <c r="J623" s="106"/>
      <c r="K623" s="106"/>
      <c r="L623" s="106"/>
      <c r="M623" s="106"/>
      <c r="N623" s="106"/>
      <c r="O623" s="106"/>
      <c r="P623" s="106"/>
      <c r="Q623" s="106"/>
      <c r="R623" s="106"/>
      <c r="S623" s="106"/>
      <c r="T623" s="106"/>
      <c r="U623" s="106"/>
      <c r="V623" s="106"/>
      <c r="W623" s="106"/>
      <c r="X623" s="106"/>
      <c r="Y623" s="106"/>
      <c r="Z623" s="106"/>
    </row>
    <row r="624" spans="1:26" ht="13.5" customHeight="1">
      <c r="A624" s="106"/>
      <c r="B624" s="106"/>
      <c r="C624" s="106"/>
      <c r="D624" s="106"/>
      <c r="E624" s="106"/>
      <c r="F624" s="106"/>
      <c r="G624" s="110"/>
      <c r="H624" s="106"/>
      <c r="I624" s="110"/>
      <c r="J624" s="106"/>
      <c r="K624" s="106"/>
      <c r="L624" s="106"/>
      <c r="M624" s="106"/>
      <c r="N624" s="106"/>
      <c r="O624" s="106"/>
      <c r="P624" s="106"/>
      <c r="Q624" s="106"/>
      <c r="R624" s="106"/>
      <c r="S624" s="106"/>
      <c r="T624" s="106"/>
      <c r="U624" s="106"/>
      <c r="V624" s="106"/>
      <c r="W624" s="106"/>
      <c r="X624" s="106"/>
      <c r="Y624" s="106"/>
      <c r="Z624" s="106"/>
    </row>
    <row r="625" spans="1:26" ht="13.5" customHeight="1">
      <c r="A625" s="106"/>
      <c r="B625" s="106"/>
      <c r="C625" s="106"/>
      <c r="D625" s="106"/>
      <c r="E625" s="106"/>
      <c r="F625" s="106"/>
      <c r="G625" s="110"/>
      <c r="H625" s="106"/>
      <c r="I625" s="110"/>
      <c r="J625" s="106"/>
      <c r="K625" s="106"/>
      <c r="L625" s="106"/>
      <c r="M625" s="106"/>
      <c r="N625" s="106"/>
      <c r="O625" s="106"/>
      <c r="P625" s="106"/>
      <c r="Q625" s="106"/>
      <c r="R625" s="106"/>
      <c r="S625" s="106"/>
      <c r="T625" s="106"/>
      <c r="U625" s="106"/>
      <c r="V625" s="106"/>
      <c r="W625" s="106"/>
      <c r="X625" s="106"/>
      <c r="Y625" s="106"/>
      <c r="Z625" s="106"/>
    </row>
    <row r="626" spans="1:26" ht="13.5" customHeight="1">
      <c r="A626" s="106"/>
      <c r="B626" s="106"/>
      <c r="C626" s="106"/>
      <c r="D626" s="106"/>
      <c r="E626" s="106"/>
      <c r="F626" s="106"/>
      <c r="G626" s="110"/>
      <c r="H626" s="106"/>
      <c r="I626" s="110"/>
      <c r="J626" s="106"/>
      <c r="K626" s="106"/>
      <c r="L626" s="106"/>
      <c r="M626" s="106"/>
      <c r="N626" s="106"/>
      <c r="O626" s="106"/>
      <c r="P626" s="106"/>
      <c r="Q626" s="106"/>
      <c r="R626" s="106"/>
      <c r="S626" s="106"/>
      <c r="T626" s="106"/>
      <c r="U626" s="106"/>
      <c r="V626" s="106"/>
      <c r="W626" s="106"/>
      <c r="X626" s="106"/>
      <c r="Y626" s="106"/>
      <c r="Z626" s="106"/>
    </row>
    <row r="627" spans="1:26" ht="13.5" customHeight="1">
      <c r="A627" s="106"/>
      <c r="B627" s="106"/>
      <c r="C627" s="106"/>
      <c r="D627" s="106"/>
      <c r="E627" s="106"/>
      <c r="F627" s="106"/>
      <c r="G627" s="110"/>
      <c r="H627" s="106"/>
      <c r="I627" s="110"/>
      <c r="J627" s="106"/>
      <c r="K627" s="106"/>
      <c r="L627" s="106"/>
      <c r="M627" s="106"/>
      <c r="N627" s="106"/>
      <c r="O627" s="106"/>
      <c r="P627" s="106"/>
      <c r="Q627" s="106"/>
      <c r="R627" s="106"/>
      <c r="S627" s="106"/>
      <c r="T627" s="106"/>
      <c r="U627" s="106"/>
      <c r="V627" s="106"/>
      <c r="W627" s="106"/>
      <c r="X627" s="106"/>
      <c r="Y627" s="106"/>
      <c r="Z627" s="106"/>
    </row>
    <row r="628" spans="1:26" ht="13.5" customHeight="1">
      <c r="A628" s="106"/>
      <c r="B628" s="106"/>
      <c r="C628" s="106"/>
      <c r="D628" s="106"/>
      <c r="E628" s="106"/>
      <c r="F628" s="106"/>
      <c r="G628" s="110"/>
      <c r="H628" s="106"/>
      <c r="I628" s="110"/>
      <c r="J628" s="106"/>
      <c r="K628" s="106"/>
      <c r="L628" s="106"/>
      <c r="M628" s="106"/>
      <c r="N628" s="106"/>
      <c r="O628" s="106"/>
      <c r="P628" s="106"/>
      <c r="Q628" s="106"/>
      <c r="R628" s="106"/>
      <c r="S628" s="106"/>
      <c r="T628" s="106"/>
      <c r="U628" s="106"/>
      <c r="V628" s="106"/>
      <c r="W628" s="106"/>
      <c r="X628" s="106"/>
      <c r="Y628" s="106"/>
      <c r="Z628" s="106"/>
    </row>
    <row r="629" spans="1:26" ht="13.5" customHeight="1">
      <c r="A629" s="106"/>
      <c r="B629" s="106"/>
      <c r="C629" s="106"/>
      <c r="D629" s="106"/>
      <c r="E629" s="106"/>
      <c r="F629" s="106"/>
      <c r="G629" s="110"/>
      <c r="H629" s="106"/>
      <c r="I629" s="110"/>
      <c r="J629" s="106"/>
      <c r="K629" s="106"/>
      <c r="L629" s="106"/>
      <c r="M629" s="106"/>
      <c r="N629" s="106"/>
      <c r="O629" s="106"/>
      <c r="P629" s="106"/>
      <c r="Q629" s="106"/>
      <c r="R629" s="106"/>
      <c r="S629" s="106"/>
      <c r="T629" s="106"/>
      <c r="U629" s="106"/>
      <c r="V629" s="106"/>
      <c r="W629" s="106"/>
      <c r="X629" s="106"/>
      <c r="Y629" s="106"/>
      <c r="Z629" s="106"/>
    </row>
    <row r="630" spans="1:26" ht="13.5" customHeight="1">
      <c r="A630" s="106"/>
      <c r="B630" s="106"/>
      <c r="C630" s="106"/>
      <c r="D630" s="106"/>
      <c r="E630" s="106"/>
      <c r="F630" s="106"/>
      <c r="G630" s="110"/>
      <c r="H630" s="106"/>
      <c r="I630" s="110"/>
      <c r="J630" s="106"/>
      <c r="K630" s="106"/>
      <c r="L630" s="106"/>
      <c r="M630" s="106"/>
      <c r="N630" s="106"/>
      <c r="O630" s="106"/>
      <c r="P630" s="106"/>
      <c r="Q630" s="106"/>
      <c r="R630" s="106"/>
      <c r="S630" s="106"/>
      <c r="T630" s="106"/>
      <c r="U630" s="106"/>
      <c r="V630" s="106"/>
      <c r="W630" s="106"/>
      <c r="X630" s="106"/>
      <c r="Y630" s="106"/>
      <c r="Z630" s="106"/>
    </row>
    <row r="631" spans="1:26" ht="13.5" customHeight="1">
      <c r="A631" s="106"/>
      <c r="B631" s="106"/>
      <c r="C631" s="106"/>
      <c r="D631" s="106"/>
      <c r="E631" s="106"/>
      <c r="F631" s="106"/>
      <c r="G631" s="110"/>
      <c r="H631" s="106"/>
      <c r="I631" s="110"/>
      <c r="J631" s="106"/>
      <c r="K631" s="106"/>
      <c r="L631" s="106"/>
      <c r="M631" s="106"/>
      <c r="N631" s="106"/>
      <c r="O631" s="106"/>
      <c r="P631" s="106"/>
      <c r="Q631" s="106"/>
      <c r="R631" s="106"/>
      <c r="S631" s="106"/>
      <c r="T631" s="106"/>
      <c r="U631" s="106"/>
      <c r="V631" s="106"/>
      <c r="W631" s="106"/>
      <c r="X631" s="106"/>
      <c r="Y631" s="106"/>
      <c r="Z631" s="106"/>
    </row>
    <row r="632" spans="1:26" ht="13.5" customHeight="1">
      <c r="A632" s="106"/>
      <c r="B632" s="106"/>
      <c r="C632" s="106"/>
      <c r="D632" s="106"/>
      <c r="E632" s="106"/>
      <c r="F632" s="106"/>
      <c r="G632" s="110"/>
      <c r="H632" s="106"/>
      <c r="I632" s="110"/>
      <c r="J632" s="106"/>
      <c r="K632" s="106"/>
      <c r="L632" s="106"/>
      <c r="M632" s="106"/>
      <c r="N632" s="106"/>
      <c r="O632" s="106"/>
      <c r="P632" s="106"/>
      <c r="Q632" s="106"/>
      <c r="R632" s="106"/>
      <c r="S632" s="106"/>
      <c r="T632" s="106"/>
      <c r="U632" s="106"/>
      <c r="V632" s="106"/>
      <c r="W632" s="106"/>
      <c r="X632" s="106"/>
      <c r="Y632" s="106"/>
      <c r="Z632" s="106"/>
    </row>
    <row r="633" spans="1:26" ht="13.5" customHeight="1">
      <c r="A633" s="106"/>
      <c r="B633" s="106"/>
      <c r="C633" s="106"/>
      <c r="D633" s="106"/>
      <c r="E633" s="106"/>
      <c r="F633" s="106"/>
      <c r="G633" s="110"/>
      <c r="H633" s="106"/>
      <c r="I633" s="110"/>
      <c r="J633" s="106"/>
      <c r="K633" s="106"/>
      <c r="L633" s="106"/>
      <c r="M633" s="106"/>
      <c r="N633" s="106"/>
      <c r="O633" s="106"/>
      <c r="P633" s="106"/>
      <c r="Q633" s="106"/>
      <c r="R633" s="106"/>
      <c r="S633" s="106"/>
      <c r="T633" s="106"/>
      <c r="U633" s="106"/>
      <c r="V633" s="106"/>
      <c r="W633" s="106"/>
      <c r="X633" s="106"/>
      <c r="Y633" s="106"/>
      <c r="Z633" s="106"/>
    </row>
    <row r="634" spans="1:26" ht="13.5" customHeight="1">
      <c r="A634" s="106"/>
      <c r="B634" s="106"/>
      <c r="C634" s="106"/>
      <c r="D634" s="106"/>
      <c r="E634" s="106"/>
      <c r="F634" s="106"/>
      <c r="G634" s="110"/>
      <c r="H634" s="106"/>
      <c r="I634" s="110"/>
      <c r="J634" s="106"/>
      <c r="K634" s="106"/>
      <c r="L634" s="106"/>
      <c r="M634" s="106"/>
      <c r="N634" s="106"/>
      <c r="O634" s="106"/>
      <c r="P634" s="106"/>
      <c r="Q634" s="106"/>
      <c r="R634" s="106"/>
      <c r="S634" s="106"/>
      <c r="T634" s="106"/>
      <c r="U634" s="106"/>
      <c r="V634" s="106"/>
      <c r="W634" s="106"/>
      <c r="X634" s="106"/>
      <c r="Y634" s="106"/>
      <c r="Z634" s="106"/>
    </row>
    <row r="635" spans="1:26" ht="13.5" customHeight="1">
      <c r="A635" s="106"/>
      <c r="B635" s="106"/>
      <c r="C635" s="106"/>
      <c r="D635" s="106"/>
      <c r="E635" s="106"/>
      <c r="F635" s="106"/>
      <c r="G635" s="110"/>
      <c r="H635" s="106"/>
      <c r="I635" s="110"/>
      <c r="J635" s="106"/>
      <c r="K635" s="106"/>
      <c r="L635" s="106"/>
      <c r="M635" s="106"/>
      <c r="N635" s="106"/>
      <c r="O635" s="106"/>
      <c r="P635" s="106"/>
      <c r="Q635" s="106"/>
      <c r="R635" s="106"/>
      <c r="S635" s="106"/>
      <c r="T635" s="106"/>
      <c r="U635" s="106"/>
      <c r="V635" s="106"/>
      <c r="W635" s="106"/>
      <c r="X635" s="106"/>
      <c r="Y635" s="106"/>
      <c r="Z635" s="106"/>
    </row>
    <row r="636" spans="1:26" ht="13.5" customHeight="1">
      <c r="A636" s="106"/>
      <c r="B636" s="106"/>
      <c r="C636" s="106"/>
      <c r="D636" s="106"/>
      <c r="E636" s="106"/>
      <c r="F636" s="106"/>
      <c r="G636" s="110"/>
      <c r="H636" s="106"/>
      <c r="I636" s="110"/>
      <c r="J636" s="106"/>
      <c r="K636" s="106"/>
      <c r="L636" s="106"/>
      <c r="M636" s="106"/>
      <c r="N636" s="106"/>
      <c r="O636" s="106"/>
      <c r="P636" s="106"/>
      <c r="Q636" s="106"/>
      <c r="R636" s="106"/>
      <c r="S636" s="106"/>
      <c r="T636" s="106"/>
      <c r="U636" s="106"/>
      <c r="V636" s="106"/>
      <c r="W636" s="106"/>
      <c r="X636" s="106"/>
      <c r="Y636" s="106"/>
      <c r="Z636" s="106"/>
    </row>
    <row r="637" spans="1:26" ht="13.5" customHeight="1">
      <c r="A637" s="106"/>
      <c r="B637" s="106"/>
      <c r="C637" s="106"/>
      <c r="D637" s="106"/>
      <c r="E637" s="106"/>
      <c r="F637" s="106"/>
      <c r="G637" s="110"/>
      <c r="H637" s="106"/>
      <c r="I637" s="110"/>
      <c r="J637" s="106"/>
      <c r="K637" s="106"/>
      <c r="L637" s="106"/>
      <c r="M637" s="106"/>
      <c r="N637" s="106"/>
      <c r="O637" s="106"/>
      <c r="P637" s="106"/>
      <c r="Q637" s="106"/>
      <c r="R637" s="106"/>
      <c r="S637" s="106"/>
      <c r="T637" s="106"/>
      <c r="U637" s="106"/>
      <c r="V637" s="106"/>
      <c r="W637" s="106"/>
      <c r="X637" s="106"/>
      <c r="Y637" s="106"/>
      <c r="Z637" s="106"/>
    </row>
    <row r="638" spans="1:26" ht="13.5" customHeight="1">
      <c r="A638" s="106"/>
      <c r="B638" s="106"/>
      <c r="C638" s="106"/>
      <c r="D638" s="106"/>
      <c r="E638" s="106"/>
      <c r="F638" s="106"/>
      <c r="G638" s="110"/>
      <c r="H638" s="106"/>
      <c r="I638" s="110"/>
      <c r="J638" s="106"/>
      <c r="K638" s="106"/>
      <c r="L638" s="106"/>
      <c r="M638" s="106"/>
      <c r="N638" s="106"/>
      <c r="O638" s="106"/>
      <c r="P638" s="106"/>
      <c r="Q638" s="106"/>
      <c r="R638" s="106"/>
      <c r="S638" s="106"/>
      <c r="T638" s="106"/>
      <c r="U638" s="106"/>
      <c r="V638" s="106"/>
      <c r="W638" s="106"/>
      <c r="X638" s="106"/>
      <c r="Y638" s="106"/>
      <c r="Z638" s="106"/>
    </row>
    <row r="639" spans="1:26" ht="13.5" customHeight="1">
      <c r="A639" s="106"/>
      <c r="B639" s="106"/>
      <c r="C639" s="106"/>
      <c r="D639" s="106"/>
      <c r="E639" s="106"/>
      <c r="F639" s="106"/>
      <c r="G639" s="110"/>
      <c r="H639" s="106"/>
      <c r="I639" s="110"/>
      <c r="J639" s="106"/>
      <c r="K639" s="106"/>
      <c r="L639" s="106"/>
      <c r="M639" s="106"/>
      <c r="N639" s="106"/>
      <c r="O639" s="106"/>
      <c r="P639" s="106"/>
      <c r="Q639" s="106"/>
      <c r="R639" s="106"/>
      <c r="S639" s="106"/>
      <c r="T639" s="106"/>
      <c r="U639" s="106"/>
      <c r="V639" s="106"/>
      <c r="W639" s="106"/>
      <c r="X639" s="106"/>
      <c r="Y639" s="106"/>
      <c r="Z639" s="106"/>
    </row>
    <row r="640" spans="1:26" ht="13.5" customHeight="1">
      <c r="A640" s="106"/>
      <c r="B640" s="106"/>
      <c r="C640" s="106"/>
      <c r="D640" s="106"/>
      <c r="E640" s="106"/>
      <c r="F640" s="106"/>
      <c r="G640" s="110"/>
      <c r="H640" s="106"/>
      <c r="I640" s="110"/>
      <c r="J640" s="106"/>
      <c r="K640" s="106"/>
      <c r="L640" s="106"/>
      <c r="M640" s="106"/>
      <c r="N640" s="106"/>
      <c r="O640" s="106"/>
      <c r="P640" s="106"/>
      <c r="Q640" s="106"/>
      <c r="R640" s="106"/>
      <c r="S640" s="106"/>
      <c r="T640" s="106"/>
      <c r="U640" s="106"/>
      <c r="V640" s="106"/>
      <c r="W640" s="106"/>
      <c r="X640" s="106"/>
      <c r="Y640" s="106"/>
      <c r="Z640" s="106"/>
    </row>
    <row r="641" spans="1:26" ht="13.5" customHeight="1">
      <c r="A641" s="106"/>
      <c r="B641" s="106"/>
      <c r="C641" s="106"/>
      <c r="D641" s="106"/>
      <c r="E641" s="106"/>
      <c r="F641" s="106"/>
      <c r="G641" s="110"/>
      <c r="H641" s="106"/>
      <c r="I641" s="110"/>
      <c r="J641" s="106"/>
      <c r="K641" s="106"/>
      <c r="L641" s="106"/>
      <c r="M641" s="106"/>
      <c r="N641" s="106"/>
      <c r="O641" s="106"/>
      <c r="P641" s="106"/>
      <c r="Q641" s="106"/>
      <c r="R641" s="106"/>
      <c r="S641" s="106"/>
      <c r="T641" s="106"/>
      <c r="U641" s="106"/>
      <c r="V641" s="106"/>
      <c r="W641" s="106"/>
      <c r="X641" s="106"/>
      <c r="Y641" s="106"/>
      <c r="Z641" s="106"/>
    </row>
    <row r="642" spans="1:26" ht="13.5" customHeight="1">
      <c r="A642" s="106"/>
      <c r="B642" s="106"/>
      <c r="C642" s="106"/>
      <c r="D642" s="106"/>
      <c r="E642" s="106"/>
      <c r="F642" s="106"/>
      <c r="G642" s="110"/>
      <c r="H642" s="106"/>
      <c r="I642" s="110"/>
      <c r="J642" s="106"/>
      <c r="K642" s="106"/>
      <c r="L642" s="106"/>
      <c r="M642" s="106"/>
      <c r="N642" s="106"/>
      <c r="O642" s="106"/>
      <c r="P642" s="106"/>
      <c r="Q642" s="106"/>
      <c r="R642" s="106"/>
      <c r="S642" s="106"/>
      <c r="T642" s="106"/>
      <c r="U642" s="106"/>
      <c r="V642" s="106"/>
      <c r="W642" s="106"/>
      <c r="X642" s="106"/>
      <c r="Y642" s="106"/>
      <c r="Z642" s="106"/>
    </row>
    <row r="643" spans="1:26" ht="13.5" customHeight="1">
      <c r="A643" s="106"/>
      <c r="B643" s="106"/>
      <c r="C643" s="106"/>
      <c r="D643" s="106"/>
      <c r="E643" s="106"/>
      <c r="F643" s="106"/>
      <c r="G643" s="110"/>
      <c r="H643" s="106"/>
      <c r="I643" s="110"/>
      <c r="J643" s="106"/>
      <c r="K643" s="106"/>
      <c r="L643" s="106"/>
      <c r="M643" s="106"/>
      <c r="N643" s="106"/>
      <c r="O643" s="106"/>
      <c r="P643" s="106"/>
      <c r="Q643" s="106"/>
      <c r="R643" s="106"/>
      <c r="S643" s="106"/>
      <c r="T643" s="106"/>
      <c r="U643" s="106"/>
      <c r="V643" s="106"/>
      <c r="W643" s="106"/>
      <c r="X643" s="106"/>
      <c r="Y643" s="106"/>
      <c r="Z643" s="106"/>
    </row>
    <row r="644" spans="1:26" ht="13.5" customHeight="1">
      <c r="A644" s="106"/>
      <c r="B644" s="106"/>
      <c r="C644" s="106"/>
      <c r="D644" s="106"/>
      <c r="E644" s="106"/>
      <c r="F644" s="106"/>
      <c r="G644" s="110"/>
      <c r="H644" s="106"/>
      <c r="I644" s="110"/>
      <c r="J644" s="106"/>
      <c r="K644" s="106"/>
      <c r="L644" s="106"/>
      <c r="M644" s="106"/>
      <c r="N644" s="106"/>
      <c r="O644" s="106"/>
      <c r="P644" s="106"/>
      <c r="Q644" s="106"/>
      <c r="R644" s="106"/>
      <c r="S644" s="106"/>
      <c r="T644" s="106"/>
      <c r="U644" s="106"/>
      <c r="V644" s="106"/>
      <c r="W644" s="106"/>
      <c r="X644" s="106"/>
      <c r="Y644" s="106"/>
      <c r="Z644" s="106"/>
    </row>
    <row r="645" spans="1:26" ht="13.5" customHeight="1">
      <c r="A645" s="106"/>
      <c r="B645" s="106"/>
      <c r="C645" s="106"/>
      <c r="D645" s="106"/>
      <c r="E645" s="106"/>
      <c r="F645" s="106"/>
      <c r="G645" s="110"/>
      <c r="H645" s="106"/>
      <c r="I645" s="110"/>
      <c r="J645" s="106"/>
      <c r="K645" s="106"/>
      <c r="L645" s="106"/>
      <c r="M645" s="106"/>
      <c r="N645" s="106"/>
      <c r="O645" s="106"/>
      <c r="P645" s="106"/>
      <c r="Q645" s="106"/>
      <c r="R645" s="106"/>
      <c r="S645" s="106"/>
      <c r="T645" s="106"/>
      <c r="U645" s="106"/>
      <c r="V645" s="106"/>
      <c r="W645" s="106"/>
      <c r="X645" s="106"/>
      <c r="Y645" s="106"/>
      <c r="Z645" s="106"/>
    </row>
    <row r="646" spans="1:26" ht="13.5" customHeight="1">
      <c r="A646" s="106"/>
      <c r="B646" s="106"/>
      <c r="C646" s="106"/>
      <c r="D646" s="106"/>
      <c r="E646" s="106"/>
      <c r="F646" s="106"/>
      <c r="G646" s="110"/>
      <c r="H646" s="106"/>
      <c r="I646" s="110"/>
      <c r="J646" s="106"/>
      <c r="K646" s="106"/>
      <c r="L646" s="106"/>
      <c r="M646" s="106"/>
      <c r="N646" s="106"/>
      <c r="O646" s="106"/>
      <c r="P646" s="106"/>
      <c r="Q646" s="106"/>
      <c r="R646" s="106"/>
      <c r="S646" s="106"/>
      <c r="T646" s="106"/>
      <c r="U646" s="106"/>
      <c r="V646" s="106"/>
      <c r="W646" s="106"/>
      <c r="X646" s="106"/>
      <c r="Y646" s="106"/>
      <c r="Z646" s="106"/>
    </row>
    <row r="647" spans="1:26" ht="13.5" customHeight="1">
      <c r="A647" s="106"/>
      <c r="B647" s="106"/>
      <c r="C647" s="106"/>
      <c r="D647" s="106"/>
      <c r="E647" s="106"/>
      <c r="F647" s="106"/>
      <c r="G647" s="110"/>
      <c r="H647" s="106"/>
      <c r="I647" s="110"/>
      <c r="J647" s="106"/>
      <c r="K647" s="106"/>
      <c r="L647" s="106"/>
      <c r="M647" s="106"/>
      <c r="N647" s="106"/>
      <c r="O647" s="106"/>
      <c r="P647" s="106"/>
      <c r="Q647" s="106"/>
      <c r="R647" s="106"/>
      <c r="S647" s="106"/>
      <c r="T647" s="106"/>
      <c r="U647" s="106"/>
      <c r="V647" s="106"/>
      <c r="W647" s="106"/>
      <c r="X647" s="106"/>
      <c r="Y647" s="106"/>
      <c r="Z647" s="106"/>
    </row>
    <row r="648" spans="1:26" ht="13.5" customHeight="1">
      <c r="A648" s="106"/>
      <c r="B648" s="106"/>
      <c r="C648" s="106"/>
      <c r="D648" s="106"/>
      <c r="E648" s="106"/>
      <c r="F648" s="106"/>
      <c r="G648" s="110"/>
      <c r="H648" s="106"/>
      <c r="I648" s="110"/>
      <c r="J648" s="106"/>
      <c r="K648" s="106"/>
      <c r="L648" s="106"/>
      <c r="M648" s="106"/>
      <c r="N648" s="106"/>
      <c r="O648" s="106"/>
      <c r="P648" s="106"/>
      <c r="Q648" s="106"/>
      <c r="R648" s="106"/>
      <c r="S648" s="106"/>
      <c r="T648" s="106"/>
      <c r="U648" s="106"/>
      <c r="V648" s="106"/>
      <c r="W648" s="106"/>
      <c r="X648" s="106"/>
      <c r="Y648" s="106"/>
      <c r="Z648" s="106"/>
    </row>
    <row r="649" spans="1:26" ht="13.5" customHeight="1">
      <c r="A649" s="106"/>
      <c r="B649" s="106"/>
      <c r="C649" s="106"/>
      <c r="D649" s="106"/>
      <c r="E649" s="106"/>
      <c r="F649" s="106"/>
      <c r="G649" s="110"/>
      <c r="H649" s="106"/>
      <c r="I649" s="110"/>
      <c r="J649" s="106"/>
      <c r="K649" s="106"/>
      <c r="L649" s="106"/>
      <c r="M649" s="106"/>
      <c r="N649" s="106"/>
      <c r="O649" s="106"/>
      <c r="P649" s="106"/>
      <c r="Q649" s="106"/>
      <c r="R649" s="106"/>
      <c r="S649" s="106"/>
      <c r="T649" s="106"/>
      <c r="U649" s="106"/>
      <c r="V649" s="106"/>
      <c r="W649" s="106"/>
      <c r="X649" s="106"/>
      <c r="Y649" s="106"/>
      <c r="Z649" s="106"/>
    </row>
    <row r="650" spans="1:26" ht="13.5" customHeight="1">
      <c r="A650" s="106"/>
      <c r="B650" s="106"/>
      <c r="C650" s="106"/>
      <c r="D650" s="106"/>
      <c r="E650" s="106"/>
      <c r="F650" s="106"/>
      <c r="G650" s="110"/>
      <c r="H650" s="106"/>
      <c r="I650" s="110"/>
      <c r="J650" s="106"/>
      <c r="K650" s="106"/>
      <c r="L650" s="106"/>
      <c r="M650" s="106"/>
      <c r="N650" s="106"/>
      <c r="O650" s="106"/>
      <c r="P650" s="106"/>
      <c r="Q650" s="106"/>
      <c r="R650" s="106"/>
      <c r="S650" s="106"/>
      <c r="T650" s="106"/>
      <c r="U650" s="106"/>
      <c r="V650" s="106"/>
      <c r="W650" s="106"/>
      <c r="X650" s="106"/>
      <c r="Y650" s="106"/>
      <c r="Z650" s="106"/>
    </row>
    <row r="651" spans="1:26" ht="13.5" customHeight="1">
      <c r="A651" s="106"/>
      <c r="B651" s="106"/>
      <c r="C651" s="106"/>
      <c r="D651" s="106"/>
      <c r="E651" s="106"/>
      <c r="F651" s="106"/>
      <c r="G651" s="110"/>
      <c r="H651" s="106"/>
      <c r="I651" s="110"/>
      <c r="J651" s="106"/>
      <c r="K651" s="106"/>
      <c r="L651" s="106"/>
      <c r="M651" s="106"/>
      <c r="N651" s="106"/>
      <c r="O651" s="106"/>
      <c r="P651" s="106"/>
      <c r="Q651" s="106"/>
      <c r="R651" s="106"/>
      <c r="S651" s="106"/>
      <c r="T651" s="106"/>
      <c r="U651" s="106"/>
      <c r="V651" s="106"/>
      <c r="W651" s="106"/>
      <c r="X651" s="106"/>
      <c r="Y651" s="106"/>
      <c r="Z651" s="106"/>
    </row>
    <row r="652" spans="1:26" ht="13.5" customHeight="1">
      <c r="A652" s="106"/>
      <c r="B652" s="106"/>
      <c r="C652" s="106"/>
      <c r="D652" s="106"/>
      <c r="E652" s="106"/>
      <c r="F652" s="106"/>
      <c r="G652" s="110"/>
      <c r="H652" s="106"/>
      <c r="I652" s="110"/>
      <c r="J652" s="106"/>
      <c r="K652" s="106"/>
      <c r="L652" s="106"/>
      <c r="M652" s="106"/>
      <c r="N652" s="106"/>
      <c r="O652" s="106"/>
      <c r="P652" s="106"/>
      <c r="Q652" s="106"/>
      <c r="R652" s="106"/>
      <c r="S652" s="106"/>
      <c r="T652" s="106"/>
      <c r="U652" s="106"/>
      <c r="V652" s="106"/>
      <c r="W652" s="106"/>
      <c r="X652" s="106"/>
      <c r="Y652" s="106"/>
      <c r="Z652" s="106"/>
    </row>
    <row r="653" spans="1:26" ht="13.5" customHeight="1">
      <c r="A653" s="106"/>
      <c r="B653" s="106"/>
      <c r="C653" s="106"/>
      <c r="D653" s="106"/>
      <c r="E653" s="106"/>
      <c r="F653" s="106"/>
      <c r="G653" s="110"/>
      <c r="H653" s="106"/>
      <c r="I653" s="110"/>
      <c r="J653" s="106"/>
      <c r="K653" s="106"/>
      <c r="L653" s="106"/>
      <c r="M653" s="106"/>
      <c r="N653" s="106"/>
      <c r="O653" s="106"/>
      <c r="P653" s="106"/>
      <c r="Q653" s="106"/>
      <c r="R653" s="106"/>
      <c r="S653" s="106"/>
      <c r="T653" s="106"/>
      <c r="U653" s="106"/>
      <c r="V653" s="106"/>
      <c r="W653" s="106"/>
      <c r="X653" s="106"/>
      <c r="Y653" s="106"/>
      <c r="Z653" s="106"/>
    </row>
    <row r="654" spans="1:26" ht="13.5" customHeight="1">
      <c r="A654" s="106"/>
      <c r="B654" s="106"/>
      <c r="C654" s="106"/>
      <c r="D654" s="106"/>
      <c r="E654" s="106"/>
      <c r="F654" s="106"/>
      <c r="G654" s="110"/>
      <c r="H654" s="106"/>
      <c r="I654" s="110"/>
      <c r="J654" s="106"/>
      <c r="K654" s="106"/>
      <c r="L654" s="106"/>
      <c r="M654" s="106"/>
      <c r="N654" s="106"/>
      <c r="O654" s="106"/>
      <c r="P654" s="106"/>
      <c r="Q654" s="106"/>
      <c r="R654" s="106"/>
      <c r="S654" s="106"/>
      <c r="T654" s="106"/>
      <c r="U654" s="106"/>
      <c r="V654" s="106"/>
      <c r="W654" s="106"/>
      <c r="X654" s="106"/>
      <c r="Y654" s="106"/>
      <c r="Z654" s="106"/>
    </row>
    <row r="655" spans="1:26" ht="13.5" customHeight="1">
      <c r="A655" s="106"/>
      <c r="B655" s="106"/>
      <c r="C655" s="106"/>
      <c r="D655" s="106"/>
      <c r="E655" s="106"/>
      <c r="F655" s="106"/>
      <c r="G655" s="110"/>
      <c r="H655" s="106"/>
      <c r="I655" s="110"/>
      <c r="J655" s="106"/>
      <c r="K655" s="106"/>
      <c r="L655" s="106"/>
      <c r="M655" s="106"/>
      <c r="N655" s="106"/>
      <c r="O655" s="106"/>
      <c r="P655" s="106"/>
      <c r="Q655" s="106"/>
      <c r="R655" s="106"/>
      <c r="S655" s="106"/>
      <c r="T655" s="106"/>
      <c r="U655" s="106"/>
      <c r="V655" s="106"/>
      <c r="W655" s="106"/>
      <c r="X655" s="106"/>
      <c r="Y655" s="106"/>
      <c r="Z655" s="106"/>
    </row>
    <row r="656" spans="1:26" ht="13.5" customHeight="1">
      <c r="A656" s="106"/>
      <c r="B656" s="106"/>
      <c r="C656" s="106"/>
      <c r="D656" s="106"/>
      <c r="E656" s="106"/>
      <c r="F656" s="106"/>
      <c r="G656" s="110"/>
      <c r="H656" s="106"/>
      <c r="I656" s="110"/>
      <c r="J656" s="106"/>
      <c r="K656" s="106"/>
      <c r="L656" s="106"/>
      <c r="M656" s="106"/>
      <c r="N656" s="106"/>
      <c r="O656" s="106"/>
      <c r="P656" s="106"/>
      <c r="Q656" s="106"/>
      <c r="R656" s="106"/>
      <c r="S656" s="106"/>
      <c r="T656" s="106"/>
      <c r="U656" s="106"/>
      <c r="V656" s="106"/>
      <c r="W656" s="106"/>
      <c r="X656" s="106"/>
      <c r="Y656" s="106"/>
      <c r="Z656" s="106"/>
    </row>
    <row r="657" spans="1:26" ht="13.5" customHeight="1">
      <c r="A657" s="106"/>
      <c r="B657" s="106"/>
      <c r="C657" s="106"/>
      <c r="D657" s="106"/>
      <c r="E657" s="106"/>
      <c r="F657" s="106"/>
      <c r="G657" s="110"/>
      <c r="H657" s="106"/>
      <c r="I657" s="110"/>
      <c r="J657" s="106"/>
      <c r="K657" s="106"/>
      <c r="L657" s="106"/>
      <c r="M657" s="106"/>
      <c r="N657" s="106"/>
      <c r="O657" s="106"/>
      <c r="P657" s="106"/>
      <c r="Q657" s="106"/>
      <c r="R657" s="106"/>
      <c r="S657" s="106"/>
      <c r="T657" s="106"/>
      <c r="U657" s="106"/>
      <c r="V657" s="106"/>
      <c r="W657" s="106"/>
      <c r="X657" s="106"/>
      <c r="Y657" s="106"/>
      <c r="Z657" s="106"/>
    </row>
    <row r="658" spans="1:26" ht="13.5" customHeight="1">
      <c r="A658" s="106"/>
      <c r="B658" s="106"/>
      <c r="C658" s="106"/>
      <c r="D658" s="106"/>
      <c r="E658" s="106"/>
      <c r="F658" s="106"/>
      <c r="G658" s="110"/>
      <c r="H658" s="106"/>
      <c r="I658" s="110"/>
      <c r="J658" s="106"/>
      <c r="K658" s="106"/>
      <c r="L658" s="106"/>
      <c r="M658" s="106"/>
      <c r="N658" s="106"/>
      <c r="O658" s="106"/>
      <c r="P658" s="106"/>
      <c r="Q658" s="106"/>
      <c r="R658" s="106"/>
      <c r="S658" s="106"/>
      <c r="T658" s="106"/>
      <c r="U658" s="106"/>
      <c r="V658" s="106"/>
      <c r="W658" s="106"/>
      <c r="X658" s="106"/>
      <c r="Y658" s="106"/>
      <c r="Z658" s="106"/>
    </row>
    <row r="659" spans="1:26" ht="13.5" customHeight="1">
      <c r="A659" s="106"/>
      <c r="B659" s="106"/>
      <c r="C659" s="106"/>
      <c r="D659" s="106"/>
      <c r="E659" s="106"/>
      <c r="F659" s="106"/>
      <c r="G659" s="110"/>
      <c r="H659" s="106"/>
      <c r="I659" s="110"/>
      <c r="J659" s="106"/>
      <c r="K659" s="106"/>
      <c r="L659" s="106"/>
      <c r="M659" s="106"/>
      <c r="N659" s="106"/>
      <c r="O659" s="106"/>
      <c r="P659" s="106"/>
      <c r="Q659" s="106"/>
      <c r="R659" s="106"/>
      <c r="S659" s="106"/>
      <c r="T659" s="106"/>
      <c r="U659" s="106"/>
      <c r="V659" s="106"/>
      <c r="W659" s="106"/>
      <c r="X659" s="106"/>
      <c r="Y659" s="106"/>
      <c r="Z659" s="106"/>
    </row>
    <row r="660" spans="1:26" ht="13.5" customHeight="1">
      <c r="A660" s="106"/>
      <c r="B660" s="106"/>
      <c r="C660" s="106"/>
      <c r="D660" s="106"/>
      <c r="E660" s="106"/>
      <c r="F660" s="106"/>
      <c r="G660" s="110"/>
      <c r="H660" s="106"/>
      <c r="I660" s="110"/>
      <c r="J660" s="106"/>
      <c r="K660" s="106"/>
      <c r="L660" s="106"/>
      <c r="M660" s="106"/>
      <c r="N660" s="106"/>
      <c r="O660" s="106"/>
      <c r="P660" s="106"/>
      <c r="Q660" s="106"/>
      <c r="R660" s="106"/>
      <c r="S660" s="106"/>
      <c r="T660" s="106"/>
      <c r="U660" s="106"/>
      <c r="V660" s="106"/>
      <c r="W660" s="106"/>
      <c r="X660" s="106"/>
      <c r="Y660" s="106"/>
      <c r="Z660" s="106"/>
    </row>
    <row r="661" spans="1:26" ht="13.5" customHeight="1">
      <c r="A661" s="106"/>
      <c r="B661" s="106"/>
      <c r="C661" s="106"/>
      <c r="D661" s="106"/>
      <c r="E661" s="106"/>
      <c r="F661" s="106"/>
      <c r="G661" s="110"/>
      <c r="H661" s="106"/>
      <c r="I661" s="110"/>
      <c r="J661" s="106"/>
      <c r="K661" s="106"/>
      <c r="L661" s="106"/>
      <c r="M661" s="106"/>
      <c r="N661" s="106"/>
      <c r="O661" s="106"/>
      <c r="P661" s="106"/>
      <c r="Q661" s="106"/>
      <c r="R661" s="106"/>
      <c r="S661" s="106"/>
      <c r="T661" s="106"/>
      <c r="U661" s="106"/>
      <c r="V661" s="106"/>
      <c r="W661" s="106"/>
      <c r="X661" s="106"/>
      <c r="Y661" s="106"/>
      <c r="Z661" s="106"/>
    </row>
    <row r="662" spans="1:26" ht="13.5" customHeight="1">
      <c r="A662" s="106"/>
      <c r="B662" s="106"/>
      <c r="C662" s="106"/>
      <c r="D662" s="106"/>
      <c r="E662" s="106"/>
      <c r="F662" s="106"/>
      <c r="G662" s="110"/>
      <c r="H662" s="106"/>
      <c r="I662" s="110"/>
      <c r="J662" s="106"/>
      <c r="K662" s="106"/>
      <c r="L662" s="106"/>
      <c r="M662" s="106"/>
      <c r="N662" s="106"/>
      <c r="O662" s="106"/>
      <c r="P662" s="106"/>
      <c r="Q662" s="106"/>
      <c r="R662" s="106"/>
      <c r="S662" s="106"/>
      <c r="T662" s="106"/>
      <c r="U662" s="106"/>
      <c r="V662" s="106"/>
      <c r="W662" s="106"/>
      <c r="X662" s="106"/>
      <c r="Y662" s="106"/>
      <c r="Z662" s="106"/>
    </row>
    <row r="663" spans="1:26" ht="13.5" customHeight="1">
      <c r="A663" s="106"/>
      <c r="B663" s="106"/>
      <c r="C663" s="106"/>
      <c r="D663" s="106"/>
      <c r="E663" s="106"/>
      <c r="F663" s="106"/>
      <c r="G663" s="110"/>
      <c r="H663" s="106"/>
      <c r="I663" s="110"/>
      <c r="J663" s="106"/>
      <c r="K663" s="106"/>
      <c r="L663" s="106"/>
      <c r="M663" s="106"/>
      <c r="N663" s="106"/>
      <c r="O663" s="106"/>
      <c r="P663" s="106"/>
      <c r="Q663" s="106"/>
      <c r="R663" s="106"/>
      <c r="S663" s="106"/>
      <c r="T663" s="106"/>
      <c r="U663" s="106"/>
      <c r="V663" s="106"/>
      <c r="W663" s="106"/>
      <c r="X663" s="106"/>
      <c r="Y663" s="106"/>
      <c r="Z663" s="106"/>
    </row>
    <row r="664" spans="1:26" ht="13.5" customHeight="1">
      <c r="A664" s="106"/>
      <c r="B664" s="106"/>
      <c r="C664" s="106"/>
      <c r="D664" s="106"/>
      <c r="E664" s="106"/>
      <c r="F664" s="106"/>
      <c r="G664" s="110"/>
      <c r="H664" s="106"/>
      <c r="I664" s="110"/>
      <c r="J664" s="106"/>
      <c r="K664" s="106"/>
      <c r="L664" s="106"/>
      <c r="M664" s="106"/>
      <c r="N664" s="106"/>
      <c r="O664" s="106"/>
      <c r="P664" s="106"/>
      <c r="Q664" s="106"/>
      <c r="R664" s="106"/>
      <c r="S664" s="106"/>
      <c r="T664" s="106"/>
      <c r="U664" s="106"/>
      <c r="V664" s="106"/>
      <c r="W664" s="106"/>
      <c r="X664" s="106"/>
      <c r="Y664" s="106"/>
      <c r="Z664" s="106"/>
    </row>
    <row r="665" spans="1:26" ht="13.5" customHeight="1">
      <c r="A665" s="106"/>
      <c r="B665" s="106"/>
      <c r="C665" s="106"/>
      <c r="D665" s="106"/>
      <c r="E665" s="106"/>
      <c r="F665" s="106"/>
      <c r="G665" s="110"/>
      <c r="H665" s="106"/>
      <c r="I665" s="110"/>
      <c r="J665" s="106"/>
      <c r="K665" s="106"/>
      <c r="L665" s="106"/>
      <c r="M665" s="106"/>
      <c r="N665" s="106"/>
      <c r="O665" s="106"/>
      <c r="P665" s="106"/>
      <c r="Q665" s="106"/>
      <c r="R665" s="106"/>
      <c r="S665" s="106"/>
      <c r="T665" s="106"/>
      <c r="U665" s="106"/>
      <c r="V665" s="106"/>
      <c r="W665" s="106"/>
      <c r="X665" s="106"/>
      <c r="Y665" s="106"/>
      <c r="Z665" s="106"/>
    </row>
    <row r="666" spans="1:26" ht="13.5" customHeight="1">
      <c r="A666" s="106"/>
      <c r="B666" s="106"/>
      <c r="C666" s="106"/>
      <c r="D666" s="106"/>
      <c r="E666" s="106"/>
      <c r="F666" s="106"/>
      <c r="G666" s="110"/>
      <c r="H666" s="106"/>
      <c r="I666" s="110"/>
      <c r="J666" s="106"/>
      <c r="K666" s="106"/>
      <c r="L666" s="106"/>
      <c r="M666" s="106"/>
      <c r="N666" s="106"/>
      <c r="O666" s="106"/>
      <c r="P666" s="106"/>
      <c r="Q666" s="106"/>
      <c r="R666" s="106"/>
      <c r="S666" s="106"/>
      <c r="T666" s="106"/>
      <c r="U666" s="106"/>
      <c r="V666" s="106"/>
      <c r="W666" s="106"/>
      <c r="X666" s="106"/>
      <c r="Y666" s="106"/>
      <c r="Z666" s="106"/>
    </row>
    <row r="667" spans="1:26" ht="13.5" customHeight="1">
      <c r="A667" s="106"/>
      <c r="B667" s="106"/>
      <c r="C667" s="106"/>
      <c r="D667" s="106"/>
      <c r="E667" s="106"/>
      <c r="F667" s="106"/>
      <c r="G667" s="110"/>
      <c r="H667" s="106"/>
      <c r="I667" s="110"/>
      <c r="J667" s="106"/>
      <c r="K667" s="106"/>
      <c r="L667" s="106"/>
      <c r="M667" s="106"/>
      <c r="N667" s="106"/>
      <c r="O667" s="106"/>
      <c r="P667" s="106"/>
      <c r="Q667" s="106"/>
      <c r="R667" s="106"/>
      <c r="S667" s="106"/>
      <c r="T667" s="106"/>
      <c r="U667" s="106"/>
      <c r="V667" s="106"/>
      <c r="W667" s="106"/>
      <c r="X667" s="106"/>
      <c r="Y667" s="106"/>
      <c r="Z667" s="106"/>
    </row>
    <row r="668" spans="1:26" ht="13.5" customHeight="1">
      <c r="A668" s="106"/>
      <c r="B668" s="106"/>
      <c r="C668" s="106"/>
      <c r="D668" s="106"/>
      <c r="E668" s="106"/>
      <c r="F668" s="106"/>
      <c r="G668" s="110"/>
      <c r="H668" s="106"/>
      <c r="I668" s="110"/>
      <c r="J668" s="106"/>
      <c r="K668" s="106"/>
      <c r="L668" s="106"/>
      <c r="M668" s="106"/>
      <c r="N668" s="106"/>
      <c r="O668" s="106"/>
      <c r="P668" s="106"/>
      <c r="Q668" s="106"/>
      <c r="R668" s="106"/>
      <c r="S668" s="106"/>
      <c r="T668" s="106"/>
      <c r="U668" s="106"/>
      <c r="V668" s="106"/>
      <c r="W668" s="106"/>
      <c r="X668" s="106"/>
      <c r="Y668" s="106"/>
      <c r="Z668" s="106"/>
    </row>
    <row r="669" spans="1:26" ht="13.5" customHeight="1">
      <c r="A669" s="106"/>
      <c r="B669" s="106"/>
      <c r="C669" s="106"/>
      <c r="D669" s="106"/>
      <c r="E669" s="106"/>
      <c r="F669" s="106"/>
      <c r="G669" s="110"/>
      <c r="H669" s="106"/>
      <c r="I669" s="110"/>
      <c r="J669" s="106"/>
      <c r="K669" s="106"/>
      <c r="L669" s="106"/>
      <c r="M669" s="106"/>
      <c r="N669" s="106"/>
      <c r="O669" s="106"/>
      <c r="P669" s="106"/>
      <c r="Q669" s="106"/>
      <c r="R669" s="106"/>
      <c r="S669" s="106"/>
      <c r="T669" s="106"/>
      <c r="U669" s="106"/>
      <c r="V669" s="106"/>
      <c r="W669" s="106"/>
      <c r="X669" s="106"/>
      <c r="Y669" s="106"/>
      <c r="Z669" s="106"/>
    </row>
    <row r="670" spans="1:26" ht="13.5" customHeight="1">
      <c r="A670" s="106"/>
      <c r="B670" s="106"/>
      <c r="C670" s="106"/>
      <c r="D670" s="106"/>
      <c r="E670" s="106"/>
      <c r="F670" s="106"/>
      <c r="G670" s="110"/>
      <c r="H670" s="106"/>
      <c r="I670" s="110"/>
      <c r="J670" s="106"/>
      <c r="K670" s="106"/>
      <c r="L670" s="106"/>
      <c r="M670" s="106"/>
      <c r="N670" s="106"/>
      <c r="O670" s="106"/>
      <c r="P670" s="106"/>
      <c r="Q670" s="106"/>
      <c r="R670" s="106"/>
      <c r="S670" s="106"/>
      <c r="T670" s="106"/>
      <c r="U670" s="106"/>
      <c r="V670" s="106"/>
      <c r="W670" s="106"/>
      <c r="X670" s="106"/>
      <c r="Y670" s="106"/>
      <c r="Z670" s="106"/>
    </row>
    <row r="671" spans="1:26" ht="13.5" customHeight="1">
      <c r="A671" s="106"/>
      <c r="B671" s="106"/>
      <c r="C671" s="106"/>
      <c r="D671" s="106"/>
      <c r="E671" s="106"/>
      <c r="F671" s="106"/>
      <c r="G671" s="110"/>
      <c r="H671" s="106"/>
      <c r="I671" s="110"/>
      <c r="J671" s="106"/>
      <c r="K671" s="106"/>
      <c r="L671" s="106"/>
      <c r="M671" s="106"/>
      <c r="N671" s="106"/>
      <c r="O671" s="106"/>
      <c r="P671" s="106"/>
      <c r="Q671" s="106"/>
      <c r="R671" s="106"/>
      <c r="S671" s="106"/>
      <c r="T671" s="106"/>
      <c r="U671" s="106"/>
      <c r="V671" s="106"/>
      <c r="W671" s="106"/>
      <c r="X671" s="106"/>
      <c r="Y671" s="106"/>
      <c r="Z671" s="106"/>
    </row>
    <row r="672" spans="1:26" ht="13.5" customHeight="1">
      <c r="A672" s="106"/>
      <c r="B672" s="106"/>
      <c r="C672" s="106"/>
      <c r="D672" s="106"/>
      <c r="E672" s="106"/>
      <c r="F672" s="106"/>
      <c r="G672" s="110"/>
      <c r="H672" s="106"/>
      <c r="I672" s="110"/>
      <c r="J672" s="106"/>
      <c r="K672" s="106"/>
      <c r="L672" s="106"/>
      <c r="M672" s="106"/>
      <c r="N672" s="106"/>
      <c r="O672" s="106"/>
      <c r="P672" s="106"/>
      <c r="Q672" s="106"/>
      <c r="R672" s="106"/>
      <c r="S672" s="106"/>
      <c r="T672" s="106"/>
      <c r="U672" s="106"/>
      <c r="V672" s="106"/>
      <c r="W672" s="106"/>
      <c r="X672" s="106"/>
      <c r="Y672" s="106"/>
      <c r="Z672" s="106"/>
    </row>
    <row r="673" spans="1:26" ht="13.5" customHeight="1">
      <c r="A673" s="106"/>
      <c r="B673" s="106"/>
      <c r="C673" s="106"/>
      <c r="D673" s="106"/>
      <c r="E673" s="106"/>
      <c r="F673" s="106"/>
      <c r="G673" s="110"/>
      <c r="H673" s="106"/>
      <c r="I673" s="110"/>
      <c r="J673" s="106"/>
      <c r="K673" s="106"/>
      <c r="L673" s="106"/>
      <c r="M673" s="106"/>
      <c r="N673" s="106"/>
      <c r="O673" s="106"/>
      <c r="P673" s="106"/>
      <c r="Q673" s="106"/>
      <c r="R673" s="106"/>
      <c r="S673" s="106"/>
      <c r="T673" s="106"/>
      <c r="U673" s="106"/>
      <c r="V673" s="106"/>
      <c r="W673" s="106"/>
      <c r="X673" s="106"/>
      <c r="Y673" s="106"/>
      <c r="Z673" s="106"/>
    </row>
    <row r="674" spans="1:26" ht="13.5" customHeight="1">
      <c r="A674" s="106"/>
      <c r="B674" s="106"/>
      <c r="C674" s="106"/>
      <c r="D674" s="106"/>
      <c r="E674" s="106"/>
      <c r="F674" s="106"/>
      <c r="G674" s="110"/>
      <c r="H674" s="106"/>
      <c r="I674" s="110"/>
      <c r="J674" s="106"/>
      <c r="K674" s="106"/>
      <c r="L674" s="106"/>
      <c r="M674" s="106"/>
      <c r="N674" s="106"/>
      <c r="O674" s="106"/>
      <c r="P674" s="106"/>
      <c r="Q674" s="106"/>
      <c r="R674" s="106"/>
      <c r="S674" s="106"/>
      <c r="T674" s="106"/>
      <c r="U674" s="106"/>
      <c r="V674" s="106"/>
      <c r="W674" s="106"/>
      <c r="X674" s="106"/>
      <c r="Y674" s="106"/>
      <c r="Z674" s="106"/>
    </row>
    <row r="675" spans="1:26" ht="13.5" customHeight="1">
      <c r="A675" s="106"/>
      <c r="B675" s="106"/>
      <c r="C675" s="106"/>
      <c r="D675" s="106"/>
      <c r="E675" s="106"/>
      <c r="F675" s="106"/>
      <c r="G675" s="110"/>
      <c r="H675" s="106"/>
      <c r="I675" s="110"/>
      <c r="J675" s="106"/>
      <c r="K675" s="106"/>
      <c r="L675" s="106"/>
      <c r="M675" s="106"/>
      <c r="N675" s="106"/>
      <c r="O675" s="106"/>
      <c r="P675" s="106"/>
      <c r="Q675" s="106"/>
      <c r="R675" s="106"/>
      <c r="S675" s="106"/>
      <c r="T675" s="106"/>
      <c r="U675" s="106"/>
      <c r="V675" s="106"/>
      <c r="W675" s="106"/>
      <c r="X675" s="106"/>
      <c r="Y675" s="106"/>
      <c r="Z675" s="106"/>
    </row>
    <row r="676" spans="1:26" ht="13.5" customHeight="1">
      <c r="A676" s="106"/>
      <c r="B676" s="106"/>
      <c r="C676" s="106"/>
      <c r="D676" s="106"/>
      <c r="E676" s="106"/>
      <c r="F676" s="106"/>
      <c r="G676" s="110"/>
      <c r="H676" s="106"/>
      <c r="I676" s="110"/>
      <c r="J676" s="106"/>
      <c r="K676" s="106"/>
      <c r="L676" s="106"/>
      <c r="M676" s="106"/>
      <c r="N676" s="106"/>
      <c r="O676" s="106"/>
      <c r="P676" s="106"/>
      <c r="Q676" s="106"/>
      <c r="R676" s="106"/>
      <c r="S676" s="106"/>
      <c r="T676" s="106"/>
      <c r="U676" s="106"/>
      <c r="V676" s="106"/>
      <c r="W676" s="106"/>
      <c r="X676" s="106"/>
      <c r="Y676" s="106"/>
      <c r="Z676" s="106"/>
    </row>
    <row r="677" spans="1:26" ht="13.5" customHeight="1">
      <c r="A677" s="106"/>
      <c r="B677" s="106"/>
      <c r="C677" s="106"/>
      <c r="D677" s="106"/>
      <c r="E677" s="106"/>
      <c r="F677" s="106"/>
      <c r="G677" s="110"/>
      <c r="H677" s="106"/>
      <c r="I677" s="110"/>
      <c r="J677" s="106"/>
      <c r="K677" s="106"/>
      <c r="L677" s="106"/>
      <c r="M677" s="106"/>
      <c r="N677" s="106"/>
      <c r="O677" s="106"/>
      <c r="P677" s="106"/>
      <c r="Q677" s="106"/>
      <c r="R677" s="106"/>
      <c r="S677" s="106"/>
      <c r="T677" s="106"/>
      <c r="U677" s="106"/>
      <c r="V677" s="106"/>
      <c r="W677" s="106"/>
      <c r="X677" s="106"/>
      <c r="Y677" s="106"/>
      <c r="Z677" s="106"/>
    </row>
    <row r="678" spans="1:26" ht="13.5" customHeight="1">
      <c r="A678" s="106"/>
      <c r="B678" s="106"/>
      <c r="C678" s="106"/>
      <c r="D678" s="106"/>
      <c r="E678" s="106"/>
      <c r="F678" s="106"/>
      <c r="G678" s="110"/>
      <c r="H678" s="106"/>
      <c r="I678" s="110"/>
      <c r="J678" s="106"/>
      <c r="K678" s="106"/>
      <c r="L678" s="106"/>
      <c r="M678" s="106"/>
      <c r="N678" s="106"/>
      <c r="O678" s="106"/>
      <c r="P678" s="106"/>
      <c r="Q678" s="106"/>
      <c r="R678" s="106"/>
      <c r="S678" s="106"/>
      <c r="T678" s="106"/>
      <c r="U678" s="106"/>
      <c r="V678" s="106"/>
      <c r="W678" s="106"/>
      <c r="X678" s="106"/>
      <c r="Y678" s="106"/>
      <c r="Z678" s="106"/>
    </row>
    <row r="679" spans="1:26" ht="13.5" customHeight="1">
      <c r="A679" s="106"/>
      <c r="B679" s="106"/>
      <c r="C679" s="106"/>
      <c r="D679" s="106"/>
      <c r="E679" s="106"/>
      <c r="F679" s="106"/>
      <c r="G679" s="110"/>
      <c r="H679" s="106"/>
      <c r="I679" s="110"/>
      <c r="J679" s="106"/>
      <c r="K679" s="106"/>
      <c r="L679" s="106"/>
      <c r="M679" s="106"/>
      <c r="N679" s="106"/>
      <c r="O679" s="106"/>
      <c r="P679" s="106"/>
      <c r="Q679" s="106"/>
      <c r="R679" s="106"/>
      <c r="S679" s="106"/>
      <c r="T679" s="106"/>
      <c r="U679" s="106"/>
      <c r="V679" s="106"/>
      <c r="W679" s="106"/>
      <c r="X679" s="106"/>
      <c r="Y679" s="106"/>
      <c r="Z679" s="106"/>
    </row>
    <row r="680" spans="1:26" ht="13.5" customHeight="1">
      <c r="A680" s="106"/>
      <c r="B680" s="106"/>
      <c r="C680" s="106"/>
      <c r="D680" s="106"/>
      <c r="E680" s="106"/>
      <c r="F680" s="106"/>
      <c r="G680" s="110"/>
      <c r="H680" s="106"/>
      <c r="I680" s="110"/>
      <c r="J680" s="106"/>
      <c r="K680" s="106"/>
      <c r="L680" s="106"/>
      <c r="M680" s="106"/>
      <c r="N680" s="106"/>
      <c r="O680" s="106"/>
      <c r="P680" s="106"/>
      <c r="Q680" s="106"/>
      <c r="R680" s="106"/>
      <c r="S680" s="106"/>
      <c r="T680" s="106"/>
      <c r="U680" s="106"/>
      <c r="V680" s="106"/>
      <c r="W680" s="106"/>
      <c r="X680" s="106"/>
      <c r="Y680" s="106"/>
      <c r="Z680" s="106"/>
    </row>
    <row r="681" spans="1:26" ht="13.5" customHeight="1">
      <c r="A681" s="106"/>
      <c r="B681" s="106"/>
      <c r="C681" s="106"/>
      <c r="D681" s="106"/>
      <c r="E681" s="106"/>
      <c r="F681" s="106"/>
      <c r="G681" s="110"/>
      <c r="H681" s="106"/>
      <c r="I681" s="110"/>
      <c r="J681" s="106"/>
      <c r="K681" s="106"/>
      <c r="L681" s="106"/>
      <c r="M681" s="106"/>
      <c r="N681" s="106"/>
      <c r="O681" s="106"/>
      <c r="P681" s="106"/>
      <c r="Q681" s="106"/>
      <c r="R681" s="106"/>
      <c r="S681" s="106"/>
      <c r="T681" s="106"/>
      <c r="U681" s="106"/>
      <c r="V681" s="106"/>
      <c r="W681" s="106"/>
      <c r="X681" s="106"/>
      <c r="Y681" s="106"/>
      <c r="Z681" s="106"/>
    </row>
    <row r="682" spans="1:26" ht="13.5" customHeight="1">
      <c r="A682" s="106"/>
      <c r="B682" s="106"/>
      <c r="C682" s="106"/>
      <c r="D682" s="106"/>
      <c r="E682" s="106"/>
      <c r="F682" s="106"/>
      <c r="G682" s="110"/>
      <c r="H682" s="106"/>
      <c r="I682" s="110"/>
      <c r="J682" s="106"/>
      <c r="K682" s="106"/>
      <c r="L682" s="106"/>
      <c r="M682" s="106"/>
      <c r="N682" s="106"/>
      <c r="O682" s="106"/>
      <c r="P682" s="106"/>
      <c r="Q682" s="106"/>
      <c r="R682" s="106"/>
      <c r="S682" s="106"/>
      <c r="T682" s="106"/>
      <c r="U682" s="106"/>
      <c r="V682" s="106"/>
      <c r="W682" s="106"/>
      <c r="X682" s="106"/>
      <c r="Y682" s="106"/>
      <c r="Z682" s="106"/>
    </row>
    <row r="683" spans="1:26" ht="13.5" customHeight="1">
      <c r="A683" s="106"/>
      <c r="B683" s="106"/>
      <c r="C683" s="106"/>
      <c r="D683" s="106"/>
      <c r="E683" s="106"/>
      <c r="F683" s="106"/>
      <c r="G683" s="110"/>
      <c r="H683" s="106"/>
      <c r="I683" s="110"/>
      <c r="J683" s="106"/>
      <c r="K683" s="106"/>
      <c r="L683" s="106"/>
      <c r="M683" s="106"/>
      <c r="N683" s="106"/>
      <c r="O683" s="106"/>
      <c r="P683" s="106"/>
      <c r="Q683" s="106"/>
      <c r="R683" s="106"/>
      <c r="S683" s="106"/>
      <c r="T683" s="106"/>
      <c r="U683" s="106"/>
      <c r="V683" s="106"/>
      <c r="W683" s="106"/>
      <c r="X683" s="106"/>
      <c r="Y683" s="106"/>
      <c r="Z683" s="106"/>
    </row>
    <row r="684" spans="1:26" ht="13.5" customHeight="1">
      <c r="A684" s="106"/>
      <c r="B684" s="106"/>
      <c r="C684" s="106"/>
      <c r="D684" s="106"/>
      <c r="E684" s="106"/>
      <c r="F684" s="106"/>
      <c r="G684" s="110"/>
      <c r="H684" s="106"/>
      <c r="I684" s="110"/>
      <c r="J684" s="106"/>
      <c r="K684" s="106"/>
      <c r="L684" s="106"/>
      <c r="M684" s="106"/>
      <c r="N684" s="106"/>
      <c r="O684" s="106"/>
      <c r="P684" s="106"/>
      <c r="Q684" s="106"/>
      <c r="R684" s="106"/>
      <c r="S684" s="106"/>
      <c r="T684" s="106"/>
      <c r="U684" s="106"/>
      <c r="V684" s="106"/>
      <c r="W684" s="106"/>
      <c r="X684" s="106"/>
      <c r="Y684" s="106"/>
      <c r="Z684" s="106"/>
    </row>
    <row r="685" spans="1:26" ht="13.5" customHeight="1">
      <c r="A685" s="106"/>
      <c r="B685" s="106"/>
      <c r="C685" s="106"/>
      <c r="D685" s="106"/>
      <c r="E685" s="106"/>
      <c r="F685" s="106"/>
      <c r="G685" s="110"/>
      <c r="H685" s="106"/>
      <c r="I685" s="110"/>
      <c r="J685" s="106"/>
      <c r="K685" s="106"/>
      <c r="L685" s="106"/>
      <c r="M685" s="106"/>
      <c r="N685" s="106"/>
      <c r="O685" s="106"/>
      <c r="P685" s="106"/>
      <c r="Q685" s="106"/>
      <c r="R685" s="106"/>
      <c r="S685" s="106"/>
      <c r="T685" s="106"/>
      <c r="U685" s="106"/>
      <c r="V685" s="106"/>
      <c r="W685" s="106"/>
      <c r="X685" s="106"/>
      <c r="Y685" s="106"/>
      <c r="Z685" s="106"/>
    </row>
    <row r="686" spans="1:26" ht="13.5" customHeight="1">
      <c r="A686" s="106"/>
      <c r="B686" s="106"/>
      <c r="C686" s="106"/>
      <c r="D686" s="106"/>
      <c r="E686" s="106"/>
      <c r="F686" s="106"/>
      <c r="G686" s="110"/>
      <c r="H686" s="106"/>
      <c r="I686" s="110"/>
      <c r="J686" s="106"/>
      <c r="K686" s="106"/>
      <c r="L686" s="106"/>
      <c r="M686" s="106"/>
      <c r="N686" s="106"/>
      <c r="O686" s="106"/>
      <c r="P686" s="106"/>
      <c r="Q686" s="106"/>
      <c r="R686" s="106"/>
      <c r="S686" s="106"/>
      <c r="T686" s="106"/>
      <c r="U686" s="106"/>
      <c r="V686" s="106"/>
      <c r="W686" s="106"/>
      <c r="X686" s="106"/>
      <c r="Y686" s="106"/>
      <c r="Z686" s="106"/>
    </row>
    <row r="687" spans="1:26" ht="13.5" customHeight="1">
      <c r="A687" s="106"/>
      <c r="B687" s="106"/>
      <c r="C687" s="106"/>
      <c r="D687" s="106"/>
      <c r="E687" s="106"/>
      <c r="F687" s="106"/>
      <c r="G687" s="110"/>
      <c r="H687" s="106"/>
      <c r="I687" s="110"/>
      <c r="J687" s="106"/>
      <c r="K687" s="106"/>
      <c r="L687" s="106"/>
      <c r="M687" s="106"/>
      <c r="N687" s="106"/>
      <c r="O687" s="106"/>
      <c r="P687" s="106"/>
      <c r="Q687" s="106"/>
      <c r="R687" s="106"/>
      <c r="S687" s="106"/>
      <c r="T687" s="106"/>
      <c r="U687" s="106"/>
      <c r="V687" s="106"/>
      <c r="W687" s="106"/>
      <c r="X687" s="106"/>
      <c r="Y687" s="106"/>
      <c r="Z687" s="106"/>
    </row>
    <row r="688" spans="1:26" ht="13.5" customHeight="1">
      <c r="A688" s="106"/>
      <c r="B688" s="106"/>
      <c r="C688" s="106"/>
      <c r="D688" s="106"/>
      <c r="E688" s="106"/>
      <c r="F688" s="106"/>
      <c r="G688" s="110"/>
      <c r="H688" s="106"/>
      <c r="I688" s="110"/>
      <c r="J688" s="106"/>
      <c r="K688" s="106"/>
      <c r="L688" s="106"/>
      <c r="M688" s="106"/>
      <c r="N688" s="106"/>
      <c r="O688" s="106"/>
      <c r="P688" s="106"/>
      <c r="Q688" s="106"/>
      <c r="R688" s="106"/>
      <c r="S688" s="106"/>
      <c r="T688" s="106"/>
      <c r="U688" s="106"/>
      <c r="V688" s="106"/>
      <c r="W688" s="106"/>
      <c r="X688" s="106"/>
      <c r="Y688" s="106"/>
      <c r="Z688" s="106"/>
    </row>
    <row r="689" spans="1:26" ht="13.5" customHeight="1">
      <c r="A689" s="106"/>
      <c r="B689" s="106"/>
      <c r="C689" s="106"/>
      <c r="D689" s="106"/>
      <c r="E689" s="106"/>
      <c r="F689" s="106"/>
      <c r="G689" s="110"/>
      <c r="H689" s="106"/>
      <c r="I689" s="110"/>
      <c r="J689" s="106"/>
      <c r="K689" s="106"/>
      <c r="L689" s="106"/>
      <c r="M689" s="106"/>
      <c r="N689" s="106"/>
      <c r="O689" s="106"/>
      <c r="P689" s="106"/>
      <c r="Q689" s="106"/>
      <c r="R689" s="106"/>
      <c r="S689" s="106"/>
      <c r="T689" s="106"/>
      <c r="U689" s="106"/>
      <c r="V689" s="106"/>
      <c r="W689" s="106"/>
      <c r="X689" s="106"/>
      <c r="Y689" s="106"/>
      <c r="Z689" s="106"/>
    </row>
    <row r="690" spans="1:26" ht="13.5" customHeight="1">
      <c r="A690" s="106"/>
      <c r="B690" s="106"/>
      <c r="C690" s="106"/>
      <c r="D690" s="106"/>
      <c r="E690" s="106"/>
      <c r="F690" s="106"/>
      <c r="G690" s="110"/>
      <c r="H690" s="106"/>
      <c r="I690" s="110"/>
      <c r="J690" s="106"/>
      <c r="K690" s="106"/>
      <c r="L690" s="106"/>
      <c r="M690" s="106"/>
      <c r="N690" s="106"/>
      <c r="O690" s="106"/>
      <c r="P690" s="106"/>
      <c r="Q690" s="106"/>
      <c r="R690" s="106"/>
      <c r="S690" s="106"/>
      <c r="T690" s="106"/>
      <c r="U690" s="106"/>
      <c r="V690" s="106"/>
      <c r="W690" s="106"/>
      <c r="X690" s="106"/>
      <c r="Y690" s="106"/>
      <c r="Z690" s="106"/>
    </row>
    <row r="691" spans="1:26" ht="13.5" customHeight="1">
      <c r="A691" s="106"/>
      <c r="B691" s="106"/>
      <c r="C691" s="106"/>
      <c r="D691" s="106"/>
      <c r="E691" s="106"/>
      <c r="F691" s="106"/>
      <c r="G691" s="110"/>
      <c r="H691" s="106"/>
      <c r="I691" s="110"/>
      <c r="J691" s="106"/>
      <c r="K691" s="106"/>
      <c r="L691" s="106"/>
      <c r="M691" s="106"/>
      <c r="N691" s="106"/>
      <c r="O691" s="106"/>
      <c r="P691" s="106"/>
      <c r="Q691" s="106"/>
      <c r="R691" s="106"/>
      <c r="S691" s="106"/>
      <c r="T691" s="106"/>
      <c r="U691" s="106"/>
      <c r="V691" s="106"/>
      <c r="W691" s="106"/>
      <c r="X691" s="106"/>
      <c r="Y691" s="106"/>
      <c r="Z691" s="106"/>
    </row>
    <row r="692" spans="1:26" ht="13.5" customHeight="1">
      <c r="A692" s="106"/>
      <c r="B692" s="106"/>
      <c r="C692" s="106"/>
      <c r="D692" s="106"/>
      <c r="E692" s="106"/>
      <c r="F692" s="106"/>
      <c r="G692" s="110"/>
      <c r="H692" s="106"/>
      <c r="I692" s="110"/>
      <c r="J692" s="106"/>
      <c r="K692" s="106"/>
      <c r="L692" s="106"/>
      <c r="M692" s="106"/>
      <c r="N692" s="106"/>
      <c r="O692" s="106"/>
      <c r="P692" s="106"/>
      <c r="Q692" s="106"/>
      <c r="R692" s="106"/>
      <c r="S692" s="106"/>
      <c r="T692" s="106"/>
      <c r="U692" s="106"/>
      <c r="V692" s="106"/>
      <c r="W692" s="106"/>
      <c r="X692" s="106"/>
      <c r="Y692" s="106"/>
      <c r="Z692" s="106"/>
    </row>
    <row r="693" spans="1:26" ht="13.5" customHeight="1">
      <c r="A693" s="106"/>
      <c r="B693" s="106"/>
      <c r="C693" s="106"/>
      <c r="D693" s="106"/>
      <c r="E693" s="106"/>
      <c r="F693" s="106"/>
      <c r="G693" s="110"/>
      <c r="H693" s="106"/>
      <c r="I693" s="110"/>
      <c r="J693" s="106"/>
      <c r="K693" s="106"/>
      <c r="L693" s="106"/>
      <c r="M693" s="106"/>
      <c r="N693" s="106"/>
      <c r="O693" s="106"/>
      <c r="P693" s="106"/>
      <c r="Q693" s="106"/>
      <c r="R693" s="106"/>
      <c r="S693" s="106"/>
      <c r="T693" s="106"/>
      <c r="U693" s="106"/>
      <c r="V693" s="106"/>
      <c r="W693" s="106"/>
      <c r="X693" s="106"/>
      <c r="Y693" s="106"/>
      <c r="Z693" s="106"/>
    </row>
    <row r="694" spans="1:26" ht="13.5" customHeight="1">
      <c r="A694" s="106"/>
      <c r="B694" s="106"/>
      <c r="C694" s="106"/>
      <c r="D694" s="106"/>
      <c r="E694" s="106"/>
      <c r="F694" s="106"/>
      <c r="G694" s="110"/>
      <c r="H694" s="106"/>
      <c r="I694" s="110"/>
      <c r="J694" s="106"/>
      <c r="K694" s="106"/>
      <c r="L694" s="106"/>
      <c r="M694" s="106"/>
      <c r="N694" s="106"/>
      <c r="O694" s="106"/>
      <c r="P694" s="106"/>
      <c r="Q694" s="106"/>
      <c r="R694" s="106"/>
      <c r="S694" s="106"/>
      <c r="T694" s="106"/>
      <c r="U694" s="106"/>
      <c r="V694" s="106"/>
      <c r="W694" s="106"/>
      <c r="X694" s="106"/>
      <c r="Y694" s="106"/>
      <c r="Z694" s="106"/>
    </row>
    <row r="695" spans="1:26" ht="13.5" customHeight="1">
      <c r="A695" s="106"/>
      <c r="B695" s="106"/>
      <c r="C695" s="106"/>
      <c r="D695" s="106"/>
      <c r="E695" s="106"/>
      <c r="F695" s="106"/>
      <c r="G695" s="110"/>
      <c r="H695" s="106"/>
      <c r="I695" s="110"/>
      <c r="J695" s="106"/>
      <c r="K695" s="106"/>
      <c r="L695" s="106"/>
      <c r="M695" s="106"/>
      <c r="N695" s="106"/>
      <c r="O695" s="106"/>
      <c r="P695" s="106"/>
      <c r="Q695" s="106"/>
      <c r="R695" s="106"/>
      <c r="S695" s="106"/>
      <c r="T695" s="106"/>
      <c r="U695" s="106"/>
      <c r="V695" s="106"/>
      <c r="W695" s="106"/>
      <c r="X695" s="106"/>
      <c r="Y695" s="106"/>
      <c r="Z695" s="106"/>
    </row>
    <row r="696" spans="1:26" ht="13.5" customHeight="1">
      <c r="A696" s="106"/>
      <c r="B696" s="106"/>
      <c r="C696" s="106"/>
      <c r="D696" s="106"/>
      <c r="E696" s="106"/>
      <c r="F696" s="106"/>
      <c r="G696" s="110"/>
      <c r="H696" s="106"/>
      <c r="I696" s="110"/>
      <c r="J696" s="106"/>
      <c r="K696" s="106"/>
      <c r="L696" s="106"/>
      <c r="M696" s="106"/>
      <c r="N696" s="106"/>
      <c r="O696" s="106"/>
      <c r="P696" s="106"/>
      <c r="Q696" s="106"/>
      <c r="R696" s="106"/>
      <c r="S696" s="106"/>
      <c r="T696" s="106"/>
      <c r="U696" s="106"/>
      <c r="V696" s="106"/>
      <c r="W696" s="106"/>
      <c r="X696" s="106"/>
      <c r="Y696" s="106"/>
      <c r="Z696" s="106"/>
    </row>
    <row r="697" spans="1:26" ht="13.5" customHeight="1">
      <c r="A697" s="106"/>
      <c r="B697" s="106"/>
      <c r="C697" s="106"/>
      <c r="D697" s="106"/>
      <c r="E697" s="106"/>
      <c r="F697" s="106"/>
      <c r="G697" s="110"/>
      <c r="H697" s="106"/>
      <c r="I697" s="110"/>
      <c r="J697" s="106"/>
      <c r="K697" s="106"/>
      <c r="L697" s="106"/>
      <c r="M697" s="106"/>
      <c r="N697" s="106"/>
      <c r="O697" s="106"/>
      <c r="P697" s="106"/>
      <c r="Q697" s="106"/>
      <c r="R697" s="106"/>
      <c r="S697" s="106"/>
      <c r="T697" s="106"/>
      <c r="U697" s="106"/>
      <c r="V697" s="106"/>
      <c r="W697" s="106"/>
      <c r="X697" s="106"/>
      <c r="Y697" s="106"/>
      <c r="Z697" s="106"/>
    </row>
    <row r="698" spans="1:26" ht="13.5" customHeight="1">
      <c r="A698" s="106"/>
      <c r="B698" s="106"/>
      <c r="C698" s="106"/>
      <c r="D698" s="106"/>
      <c r="E698" s="106"/>
      <c r="F698" s="106"/>
      <c r="G698" s="110"/>
      <c r="H698" s="106"/>
      <c r="I698" s="110"/>
      <c r="J698" s="106"/>
      <c r="K698" s="106"/>
      <c r="L698" s="106"/>
      <c r="M698" s="106"/>
      <c r="N698" s="106"/>
      <c r="O698" s="106"/>
      <c r="P698" s="106"/>
      <c r="Q698" s="106"/>
      <c r="R698" s="106"/>
      <c r="S698" s="106"/>
      <c r="T698" s="106"/>
      <c r="U698" s="106"/>
      <c r="V698" s="106"/>
      <c r="W698" s="106"/>
      <c r="X698" s="106"/>
      <c r="Y698" s="106"/>
      <c r="Z698" s="106"/>
    </row>
    <row r="699" spans="1:26" ht="13.5" customHeight="1">
      <c r="A699" s="106"/>
      <c r="B699" s="106"/>
      <c r="C699" s="106"/>
      <c r="D699" s="106"/>
      <c r="E699" s="106"/>
      <c r="F699" s="106"/>
      <c r="G699" s="110"/>
      <c r="H699" s="106"/>
      <c r="I699" s="110"/>
      <c r="J699" s="106"/>
      <c r="K699" s="106"/>
      <c r="L699" s="106"/>
      <c r="M699" s="106"/>
      <c r="N699" s="106"/>
      <c r="O699" s="106"/>
      <c r="P699" s="106"/>
      <c r="Q699" s="106"/>
      <c r="R699" s="106"/>
      <c r="S699" s="106"/>
      <c r="T699" s="106"/>
      <c r="U699" s="106"/>
      <c r="V699" s="106"/>
      <c r="W699" s="106"/>
      <c r="X699" s="106"/>
      <c r="Y699" s="106"/>
      <c r="Z699" s="106"/>
    </row>
    <row r="700" spans="1:26" ht="13.5" customHeight="1">
      <c r="A700" s="106"/>
      <c r="B700" s="106"/>
      <c r="C700" s="106"/>
      <c r="D700" s="106"/>
      <c r="E700" s="106"/>
      <c r="F700" s="106"/>
      <c r="G700" s="110"/>
      <c r="H700" s="106"/>
      <c r="I700" s="110"/>
      <c r="J700" s="106"/>
      <c r="K700" s="106"/>
      <c r="L700" s="106"/>
      <c r="M700" s="106"/>
      <c r="N700" s="106"/>
      <c r="O700" s="106"/>
      <c r="P700" s="106"/>
      <c r="Q700" s="106"/>
      <c r="R700" s="106"/>
      <c r="S700" s="106"/>
      <c r="T700" s="106"/>
      <c r="U700" s="106"/>
      <c r="V700" s="106"/>
      <c r="W700" s="106"/>
      <c r="X700" s="106"/>
      <c r="Y700" s="106"/>
      <c r="Z700" s="106"/>
    </row>
    <row r="701" spans="1:26" ht="13.5" customHeight="1">
      <c r="A701" s="106"/>
      <c r="B701" s="106"/>
      <c r="C701" s="106"/>
      <c r="D701" s="106"/>
      <c r="E701" s="106"/>
      <c r="F701" s="106"/>
      <c r="G701" s="110"/>
      <c r="H701" s="106"/>
      <c r="I701" s="110"/>
      <c r="J701" s="106"/>
      <c r="K701" s="106"/>
      <c r="L701" s="106"/>
      <c r="M701" s="106"/>
      <c r="N701" s="106"/>
      <c r="O701" s="106"/>
      <c r="P701" s="106"/>
      <c r="Q701" s="106"/>
      <c r="R701" s="106"/>
      <c r="S701" s="106"/>
      <c r="T701" s="106"/>
      <c r="U701" s="106"/>
      <c r="V701" s="106"/>
      <c r="W701" s="106"/>
      <c r="X701" s="106"/>
      <c r="Y701" s="106"/>
      <c r="Z701" s="106"/>
    </row>
    <row r="702" spans="1:26" ht="13.5" customHeight="1">
      <c r="A702" s="106"/>
      <c r="B702" s="106"/>
      <c r="C702" s="106"/>
      <c r="D702" s="106"/>
      <c r="E702" s="106"/>
      <c r="F702" s="106"/>
      <c r="G702" s="110"/>
      <c r="H702" s="106"/>
      <c r="I702" s="110"/>
      <c r="J702" s="106"/>
      <c r="K702" s="106"/>
      <c r="L702" s="106"/>
      <c r="M702" s="106"/>
      <c r="N702" s="106"/>
      <c r="O702" s="106"/>
      <c r="P702" s="106"/>
      <c r="Q702" s="106"/>
      <c r="R702" s="106"/>
      <c r="S702" s="106"/>
      <c r="T702" s="106"/>
      <c r="U702" s="106"/>
      <c r="V702" s="106"/>
      <c r="W702" s="106"/>
      <c r="X702" s="106"/>
      <c r="Y702" s="106"/>
      <c r="Z702" s="106"/>
    </row>
    <row r="703" spans="1:26" ht="13.5" customHeight="1">
      <c r="A703" s="106"/>
      <c r="B703" s="106"/>
      <c r="C703" s="106"/>
      <c r="D703" s="106"/>
      <c r="E703" s="106"/>
      <c r="F703" s="106"/>
      <c r="G703" s="110"/>
      <c r="H703" s="106"/>
      <c r="I703" s="110"/>
      <c r="J703" s="106"/>
      <c r="K703" s="106"/>
      <c r="L703" s="106"/>
      <c r="M703" s="106"/>
      <c r="N703" s="106"/>
      <c r="O703" s="106"/>
      <c r="P703" s="106"/>
      <c r="Q703" s="106"/>
      <c r="R703" s="106"/>
      <c r="S703" s="106"/>
      <c r="T703" s="106"/>
      <c r="U703" s="106"/>
      <c r="V703" s="106"/>
      <c r="W703" s="106"/>
      <c r="X703" s="106"/>
      <c r="Y703" s="106"/>
      <c r="Z703" s="106"/>
    </row>
    <row r="704" spans="1:26" ht="13.5" customHeight="1">
      <c r="A704" s="106"/>
      <c r="B704" s="106"/>
      <c r="C704" s="106"/>
      <c r="D704" s="106"/>
      <c r="E704" s="106"/>
      <c r="F704" s="106"/>
      <c r="G704" s="110"/>
      <c r="H704" s="106"/>
      <c r="I704" s="110"/>
      <c r="J704" s="106"/>
      <c r="K704" s="106"/>
      <c r="L704" s="106"/>
      <c r="M704" s="106"/>
      <c r="N704" s="106"/>
      <c r="O704" s="106"/>
      <c r="P704" s="106"/>
      <c r="Q704" s="106"/>
      <c r="R704" s="106"/>
      <c r="S704" s="106"/>
      <c r="T704" s="106"/>
      <c r="U704" s="106"/>
      <c r="V704" s="106"/>
      <c r="W704" s="106"/>
      <c r="X704" s="106"/>
      <c r="Y704" s="106"/>
      <c r="Z704" s="106"/>
    </row>
    <row r="705" spans="1:26" ht="13.5" customHeight="1">
      <c r="A705" s="106"/>
      <c r="B705" s="106"/>
      <c r="C705" s="106"/>
      <c r="D705" s="106"/>
      <c r="E705" s="106"/>
      <c r="F705" s="106"/>
      <c r="G705" s="110"/>
      <c r="H705" s="106"/>
      <c r="I705" s="110"/>
      <c r="J705" s="106"/>
      <c r="K705" s="106"/>
      <c r="L705" s="106"/>
      <c r="M705" s="106"/>
      <c r="N705" s="106"/>
      <c r="O705" s="106"/>
      <c r="P705" s="106"/>
      <c r="Q705" s="106"/>
      <c r="R705" s="106"/>
      <c r="S705" s="106"/>
      <c r="T705" s="106"/>
      <c r="U705" s="106"/>
      <c r="V705" s="106"/>
      <c r="W705" s="106"/>
      <c r="X705" s="106"/>
      <c r="Y705" s="106"/>
      <c r="Z705" s="106"/>
    </row>
    <row r="706" spans="1:26" ht="13.5" customHeight="1">
      <c r="A706" s="106"/>
      <c r="B706" s="106"/>
      <c r="C706" s="106"/>
      <c r="D706" s="106"/>
      <c r="E706" s="106"/>
      <c r="F706" s="106"/>
      <c r="G706" s="110"/>
      <c r="H706" s="106"/>
      <c r="I706" s="110"/>
      <c r="J706" s="106"/>
      <c r="K706" s="106"/>
      <c r="L706" s="106"/>
      <c r="M706" s="106"/>
      <c r="N706" s="106"/>
      <c r="O706" s="106"/>
      <c r="P706" s="106"/>
      <c r="Q706" s="106"/>
      <c r="R706" s="106"/>
      <c r="S706" s="106"/>
      <c r="T706" s="106"/>
      <c r="U706" s="106"/>
      <c r="V706" s="106"/>
      <c r="W706" s="106"/>
      <c r="X706" s="106"/>
      <c r="Y706" s="106"/>
      <c r="Z706" s="106"/>
    </row>
    <row r="707" spans="1:26" ht="13.5" customHeight="1">
      <c r="A707" s="106"/>
      <c r="B707" s="106"/>
      <c r="C707" s="106"/>
      <c r="D707" s="106"/>
      <c r="E707" s="106"/>
      <c r="F707" s="106"/>
      <c r="G707" s="110"/>
      <c r="H707" s="106"/>
      <c r="I707" s="110"/>
      <c r="J707" s="106"/>
      <c r="K707" s="106"/>
      <c r="L707" s="106"/>
      <c r="M707" s="106"/>
      <c r="N707" s="106"/>
      <c r="O707" s="106"/>
      <c r="P707" s="106"/>
      <c r="Q707" s="106"/>
      <c r="R707" s="106"/>
      <c r="S707" s="106"/>
      <c r="T707" s="106"/>
      <c r="U707" s="106"/>
      <c r="V707" s="106"/>
      <c r="W707" s="106"/>
      <c r="X707" s="106"/>
      <c r="Y707" s="106"/>
      <c r="Z707" s="106"/>
    </row>
    <row r="708" spans="1:26" ht="13.5" customHeight="1">
      <c r="A708" s="106"/>
      <c r="B708" s="106"/>
      <c r="C708" s="106"/>
      <c r="D708" s="106"/>
      <c r="E708" s="106"/>
      <c r="F708" s="106"/>
      <c r="G708" s="110"/>
      <c r="H708" s="106"/>
      <c r="I708" s="110"/>
      <c r="J708" s="106"/>
      <c r="K708" s="106"/>
      <c r="L708" s="106"/>
      <c r="M708" s="106"/>
      <c r="N708" s="106"/>
      <c r="O708" s="106"/>
      <c r="P708" s="106"/>
      <c r="Q708" s="106"/>
      <c r="R708" s="106"/>
      <c r="S708" s="106"/>
      <c r="T708" s="106"/>
      <c r="U708" s="106"/>
      <c r="V708" s="106"/>
      <c r="W708" s="106"/>
      <c r="X708" s="106"/>
      <c r="Y708" s="106"/>
      <c r="Z708" s="106"/>
    </row>
    <row r="709" spans="1:26" ht="13.5" customHeight="1">
      <c r="A709" s="106"/>
      <c r="B709" s="106"/>
      <c r="C709" s="106"/>
      <c r="D709" s="106"/>
      <c r="E709" s="106"/>
      <c r="F709" s="106"/>
      <c r="G709" s="110"/>
      <c r="H709" s="106"/>
      <c r="I709" s="110"/>
      <c r="J709" s="106"/>
      <c r="K709" s="106"/>
      <c r="L709" s="106"/>
      <c r="M709" s="106"/>
      <c r="N709" s="106"/>
      <c r="O709" s="106"/>
      <c r="P709" s="106"/>
      <c r="Q709" s="106"/>
      <c r="R709" s="106"/>
      <c r="S709" s="106"/>
      <c r="T709" s="106"/>
      <c r="U709" s="106"/>
      <c r="V709" s="106"/>
      <c r="W709" s="106"/>
      <c r="X709" s="106"/>
      <c r="Y709" s="106"/>
      <c r="Z709" s="106"/>
    </row>
    <row r="710" spans="1:26" ht="13.5" customHeight="1">
      <c r="A710" s="106"/>
      <c r="B710" s="106"/>
      <c r="C710" s="106"/>
      <c r="D710" s="106"/>
      <c r="E710" s="106"/>
      <c r="F710" s="106"/>
      <c r="G710" s="110"/>
      <c r="H710" s="106"/>
      <c r="I710" s="110"/>
      <c r="J710" s="106"/>
      <c r="K710" s="106"/>
      <c r="L710" s="106"/>
      <c r="M710" s="106"/>
      <c r="N710" s="106"/>
      <c r="O710" s="106"/>
      <c r="P710" s="106"/>
      <c r="Q710" s="106"/>
      <c r="R710" s="106"/>
      <c r="S710" s="106"/>
      <c r="T710" s="106"/>
      <c r="U710" s="106"/>
      <c r="V710" s="106"/>
      <c r="W710" s="106"/>
      <c r="X710" s="106"/>
      <c r="Y710" s="106"/>
      <c r="Z710" s="106"/>
    </row>
    <row r="711" spans="1:26" ht="13.5" customHeight="1">
      <c r="A711" s="106"/>
      <c r="B711" s="106"/>
      <c r="C711" s="106"/>
      <c r="D711" s="106"/>
      <c r="E711" s="106"/>
      <c r="F711" s="106"/>
      <c r="G711" s="110"/>
      <c r="H711" s="106"/>
      <c r="I711" s="110"/>
      <c r="J711" s="106"/>
      <c r="K711" s="106"/>
      <c r="L711" s="106"/>
      <c r="M711" s="106"/>
      <c r="N711" s="106"/>
      <c r="O711" s="106"/>
      <c r="P711" s="106"/>
      <c r="Q711" s="106"/>
      <c r="R711" s="106"/>
      <c r="S711" s="106"/>
      <c r="T711" s="106"/>
      <c r="U711" s="106"/>
      <c r="V711" s="106"/>
      <c r="W711" s="106"/>
      <c r="X711" s="106"/>
      <c r="Y711" s="106"/>
      <c r="Z711" s="106"/>
    </row>
    <row r="712" spans="1:26" ht="13.5" customHeight="1">
      <c r="A712" s="106"/>
      <c r="B712" s="106"/>
      <c r="C712" s="106"/>
      <c r="D712" s="106"/>
      <c r="E712" s="106"/>
      <c r="F712" s="106"/>
      <c r="G712" s="110"/>
      <c r="H712" s="106"/>
      <c r="I712" s="110"/>
      <c r="J712" s="106"/>
      <c r="K712" s="106"/>
      <c r="L712" s="106"/>
      <c r="M712" s="106"/>
      <c r="N712" s="106"/>
      <c r="O712" s="106"/>
      <c r="P712" s="106"/>
      <c r="Q712" s="106"/>
      <c r="R712" s="106"/>
      <c r="S712" s="106"/>
      <c r="T712" s="106"/>
      <c r="U712" s="106"/>
      <c r="V712" s="106"/>
      <c r="W712" s="106"/>
      <c r="X712" s="106"/>
      <c r="Y712" s="106"/>
      <c r="Z712" s="106"/>
    </row>
    <row r="713" spans="1:26" ht="13.5" customHeight="1">
      <c r="A713" s="106"/>
      <c r="B713" s="106"/>
      <c r="C713" s="106"/>
      <c r="D713" s="106"/>
      <c r="E713" s="106"/>
      <c r="F713" s="106"/>
      <c r="G713" s="110"/>
      <c r="H713" s="106"/>
      <c r="I713" s="110"/>
      <c r="J713" s="106"/>
      <c r="K713" s="106"/>
      <c r="L713" s="106"/>
      <c r="M713" s="106"/>
      <c r="N713" s="106"/>
      <c r="O713" s="106"/>
      <c r="P713" s="106"/>
      <c r="Q713" s="106"/>
      <c r="R713" s="106"/>
      <c r="S713" s="106"/>
      <c r="T713" s="106"/>
      <c r="U713" s="106"/>
      <c r="V713" s="106"/>
      <c r="W713" s="106"/>
      <c r="X713" s="106"/>
      <c r="Y713" s="106"/>
      <c r="Z713" s="106"/>
    </row>
    <row r="714" spans="1:26" ht="13.5" customHeight="1">
      <c r="A714" s="106"/>
      <c r="B714" s="106"/>
      <c r="C714" s="106"/>
      <c r="D714" s="106"/>
      <c r="E714" s="106"/>
      <c r="F714" s="106"/>
      <c r="G714" s="110"/>
      <c r="H714" s="106"/>
      <c r="I714" s="110"/>
      <c r="J714" s="106"/>
      <c r="K714" s="106"/>
      <c r="L714" s="106"/>
      <c r="M714" s="106"/>
      <c r="N714" s="106"/>
      <c r="O714" s="106"/>
      <c r="P714" s="106"/>
      <c r="Q714" s="106"/>
      <c r="R714" s="106"/>
      <c r="S714" s="106"/>
      <c r="T714" s="106"/>
      <c r="U714" s="106"/>
      <c r="V714" s="106"/>
      <c r="W714" s="106"/>
      <c r="X714" s="106"/>
      <c r="Y714" s="106"/>
      <c r="Z714" s="106"/>
    </row>
    <row r="715" spans="1:26" ht="13.5" customHeight="1">
      <c r="A715" s="106"/>
      <c r="B715" s="106"/>
      <c r="C715" s="106"/>
      <c r="D715" s="106"/>
      <c r="E715" s="106"/>
      <c r="F715" s="106"/>
      <c r="G715" s="110"/>
      <c r="H715" s="106"/>
      <c r="I715" s="110"/>
      <c r="J715" s="106"/>
      <c r="K715" s="106"/>
      <c r="L715" s="106"/>
      <c r="M715" s="106"/>
      <c r="N715" s="106"/>
      <c r="O715" s="106"/>
      <c r="P715" s="106"/>
      <c r="Q715" s="106"/>
      <c r="R715" s="106"/>
      <c r="S715" s="106"/>
      <c r="T715" s="106"/>
      <c r="U715" s="106"/>
      <c r="V715" s="106"/>
      <c r="W715" s="106"/>
      <c r="X715" s="106"/>
      <c r="Y715" s="106"/>
      <c r="Z715" s="106"/>
    </row>
    <row r="716" spans="1:26" ht="13.5" customHeight="1">
      <c r="A716" s="106"/>
      <c r="B716" s="106"/>
      <c r="C716" s="106"/>
      <c r="D716" s="106"/>
      <c r="E716" s="106"/>
      <c r="F716" s="106"/>
      <c r="G716" s="110"/>
      <c r="H716" s="106"/>
      <c r="I716" s="110"/>
      <c r="J716" s="106"/>
      <c r="K716" s="106"/>
      <c r="L716" s="106"/>
      <c r="M716" s="106"/>
      <c r="N716" s="106"/>
      <c r="O716" s="106"/>
      <c r="P716" s="106"/>
      <c r="Q716" s="106"/>
      <c r="R716" s="106"/>
      <c r="S716" s="106"/>
      <c r="T716" s="106"/>
      <c r="U716" s="106"/>
      <c r="V716" s="106"/>
      <c r="W716" s="106"/>
      <c r="X716" s="106"/>
      <c r="Y716" s="106"/>
      <c r="Z716" s="106"/>
    </row>
    <row r="717" spans="1:26" ht="13.5" customHeight="1">
      <c r="A717" s="106"/>
      <c r="B717" s="106"/>
      <c r="C717" s="106"/>
      <c r="D717" s="106"/>
      <c r="E717" s="106"/>
      <c r="F717" s="106"/>
      <c r="G717" s="110"/>
      <c r="H717" s="106"/>
      <c r="I717" s="110"/>
      <c r="J717" s="106"/>
      <c r="K717" s="106"/>
      <c r="L717" s="106"/>
      <c r="M717" s="106"/>
      <c r="N717" s="106"/>
      <c r="O717" s="106"/>
      <c r="P717" s="106"/>
      <c r="Q717" s="106"/>
      <c r="R717" s="106"/>
      <c r="S717" s="106"/>
      <c r="T717" s="106"/>
      <c r="U717" s="106"/>
      <c r="V717" s="106"/>
      <c r="W717" s="106"/>
      <c r="X717" s="106"/>
      <c r="Y717" s="106"/>
      <c r="Z717" s="106"/>
    </row>
    <row r="718" spans="1:26" ht="13.5" customHeight="1">
      <c r="A718" s="106"/>
      <c r="B718" s="106"/>
      <c r="C718" s="106"/>
      <c r="D718" s="106"/>
      <c r="E718" s="106"/>
      <c r="F718" s="106"/>
      <c r="G718" s="110"/>
      <c r="H718" s="106"/>
      <c r="I718" s="110"/>
      <c r="J718" s="106"/>
      <c r="K718" s="106"/>
      <c r="L718" s="106"/>
      <c r="M718" s="106"/>
      <c r="N718" s="106"/>
      <c r="O718" s="106"/>
      <c r="P718" s="106"/>
      <c r="Q718" s="106"/>
      <c r="R718" s="106"/>
      <c r="S718" s="106"/>
      <c r="T718" s="106"/>
      <c r="U718" s="106"/>
      <c r="V718" s="106"/>
      <c r="W718" s="106"/>
      <c r="X718" s="106"/>
      <c r="Y718" s="106"/>
      <c r="Z718" s="106"/>
    </row>
    <row r="719" spans="1:26" ht="13.5" customHeight="1">
      <c r="A719" s="106"/>
      <c r="B719" s="106"/>
      <c r="C719" s="106"/>
      <c r="D719" s="106"/>
      <c r="E719" s="106"/>
      <c r="F719" s="106"/>
      <c r="G719" s="110"/>
      <c r="H719" s="106"/>
      <c r="I719" s="110"/>
      <c r="J719" s="106"/>
      <c r="K719" s="106"/>
      <c r="L719" s="106"/>
      <c r="M719" s="106"/>
      <c r="N719" s="106"/>
      <c r="O719" s="106"/>
      <c r="P719" s="106"/>
      <c r="Q719" s="106"/>
      <c r="R719" s="106"/>
      <c r="S719" s="106"/>
      <c r="T719" s="106"/>
      <c r="U719" s="106"/>
      <c r="V719" s="106"/>
      <c r="W719" s="106"/>
      <c r="X719" s="106"/>
      <c r="Y719" s="106"/>
      <c r="Z719" s="106"/>
    </row>
    <row r="720" spans="1:26" ht="13.5" customHeight="1">
      <c r="A720" s="106"/>
      <c r="B720" s="106"/>
      <c r="C720" s="106"/>
      <c r="D720" s="106"/>
      <c r="E720" s="106"/>
      <c r="F720" s="106"/>
      <c r="G720" s="110"/>
      <c r="H720" s="106"/>
      <c r="I720" s="110"/>
      <c r="J720" s="106"/>
      <c r="K720" s="106"/>
      <c r="L720" s="106"/>
      <c r="M720" s="106"/>
      <c r="N720" s="106"/>
      <c r="O720" s="106"/>
      <c r="P720" s="106"/>
      <c r="Q720" s="106"/>
      <c r="R720" s="106"/>
      <c r="S720" s="106"/>
      <c r="T720" s="106"/>
      <c r="U720" s="106"/>
      <c r="V720" s="106"/>
      <c r="W720" s="106"/>
      <c r="X720" s="106"/>
      <c r="Y720" s="106"/>
      <c r="Z720" s="106"/>
    </row>
    <row r="721" spans="1:26" ht="13.5" customHeight="1">
      <c r="A721" s="106"/>
      <c r="B721" s="106"/>
      <c r="C721" s="106"/>
      <c r="D721" s="106"/>
      <c r="E721" s="106"/>
      <c r="F721" s="106"/>
      <c r="G721" s="110"/>
      <c r="H721" s="106"/>
      <c r="I721" s="110"/>
      <c r="J721" s="106"/>
      <c r="K721" s="106"/>
      <c r="L721" s="106"/>
      <c r="M721" s="106"/>
      <c r="N721" s="106"/>
      <c r="O721" s="106"/>
      <c r="P721" s="106"/>
      <c r="Q721" s="106"/>
      <c r="R721" s="106"/>
      <c r="S721" s="106"/>
      <c r="T721" s="106"/>
      <c r="U721" s="106"/>
      <c r="V721" s="106"/>
      <c r="W721" s="106"/>
      <c r="X721" s="106"/>
      <c r="Y721" s="106"/>
      <c r="Z721" s="106"/>
    </row>
    <row r="722" spans="1:26" ht="13.5" customHeight="1">
      <c r="A722" s="106"/>
      <c r="B722" s="106"/>
      <c r="C722" s="106"/>
      <c r="D722" s="106"/>
      <c r="E722" s="106"/>
      <c r="F722" s="106"/>
      <c r="G722" s="110"/>
      <c r="H722" s="106"/>
      <c r="I722" s="110"/>
      <c r="J722" s="106"/>
      <c r="K722" s="106"/>
      <c r="L722" s="106"/>
      <c r="M722" s="106"/>
      <c r="N722" s="106"/>
      <c r="O722" s="106"/>
      <c r="P722" s="106"/>
      <c r="Q722" s="106"/>
      <c r="R722" s="106"/>
      <c r="S722" s="106"/>
      <c r="T722" s="106"/>
      <c r="U722" s="106"/>
      <c r="V722" s="106"/>
      <c r="W722" s="106"/>
      <c r="X722" s="106"/>
      <c r="Y722" s="106"/>
      <c r="Z722" s="106"/>
    </row>
    <row r="723" spans="1:26" ht="13.5" customHeight="1">
      <c r="A723" s="106"/>
      <c r="B723" s="106"/>
      <c r="C723" s="106"/>
      <c r="D723" s="106"/>
      <c r="E723" s="106"/>
      <c r="F723" s="106"/>
      <c r="G723" s="110"/>
      <c r="H723" s="106"/>
      <c r="I723" s="110"/>
      <c r="J723" s="106"/>
      <c r="K723" s="106"/>
      <c r="L723" s="106"/>
      <c r="M723" s="106"/>
      <c r="N723" s="106"/>
      <c r="O723" s="106"/>
      <c r="P723" s="106"/>
      <c r="Q723" s="106"/>
      <c r="R723" s="106"/>
      <c r="S723" s="106"/>
      <c r="T723" s="106"/>
      <c r="U723" s="106"/>
      <c r="V723" s="106"/>
      <c r="W723" s="106"/>
      <c r="X723" s="106"/>
      <c r="Y723" s="106"/>
      <c r="Z723" s="106"/>
    </row>
    <row r="724" spans="1:26" ht="13.5" customHeight="1">
      <c r="A724" s="106"/>
      <c r="B724" s="106"/>
      <c r="C724" s="106"/>
      <c r="D724" s="106"/>
      <c r="E724" s="106"/>
      <c r="F724" s="106"/>
      <c r="G724" s="110"/>
      <c r="H724" s="106"/>
      <c r="I724" s="110"/>
      <c r="J724" s="106"/>
      <c r="K724" s="106"/>
      <c r="L724" s="106"/>
      <c r="M724" s="106"/>
      <c r="N724" s="106"/>
      <c r="O724" s="106"/>
      <c r="P724" s="106"/>
      <c r="Q724" s="106"/>
      <c r="R724" s="106"/>
      <c r="S724" s="106"/>
      <c r="T724" s="106"/>
      <c r="U724" s="106"/>
      <c r="V724" s="106"/>
      <c r="W724" s="106"/>
      <c r="X724" s="106"/>
      <c r="Y724" s="106"/>
      <c r="Z724" s="106"/>
    </row>
    <row r="725" spans="1:26" ht="13.5" customHeight="1">
      <c r="A725" s="106"/>
      <c r="B725" s="106"/>
      <c r="C725" s="106"/>
      <c r="D725" s="106"/>
      <c r="E725" s="106"/>
      <c r="F725" s="106"/>
      <c r="G725" s="110"/>
      <c r="H725" s="106"/>
      <c r="I725" s="110"/>
      <c r="J725" s="106"/>
      <c r="K725" s="106"/>
      <c r="L725" s="106"/>
      <c r="M725" s="106"/>
      <c r="N725" s="106"/>
      <c r="O725" s="106"/>
      <c r="P725" s="106"/>
      <c r="Q725" s="106"/>
      <c r="R725" s="106"/>
      <c r="S725" s="106"/>
      <c r="T725" s="106"/>
      <c r="U725" s="106"/>
      <c r="V725" s="106"/>
      <c r="W725" s="106"/>
      <c r="X725" s="106"/>
      <c r="Y725" s="106"/>
      <c r="Z725" s="106"/>
    </row>
    <row r="726" spans="1:26" ht="13.5" customHeight="1">
      <c r="A726" s="106"/>
      <c r="B726" s="106"/>
      <c r="C726" s="106"/>
      <c r="D726" s="106"/>
      <c r="E726" s="106"/>
      <c r="F726" s="106"/>
      <c r="G726" s="110"/>
      <c r="H726" s="106"/>
      <c r="I726" s="110"/>
      <c r="J726" s="106"/>
      <c r="K726" s="106"/>
      <c r="L726" s="106"/>
      <c r="M726" s="106"/>
      <c r="N726" s="106"/>
      <c r="O726" s="106"/>
      <c r="P726" s="106"/>
      <c r="Q726" s="106"/>
      <c r="R726" s="106"/>
      <c r="S726" s="106"/>
      <c r="T726" s="106"/>
      <c r="U726" s="106"/>
      <c r="V726" s="106"/>
      <c r="W726" s="106"/>
      <c r="X726" s="106"/>
      <c r="Y726" s="106"/>
      <c r="Z726" s="106"/>
    </row>
    <row r="727" spans="1:26" ht="13.5" customHeight="1">
      <c r="A727" s="106"/>
      <c r="B727" s="106"/>
      <c r="C727" s="106"/>
      <c r="D727" s="106"/>
      <c r="E727" s="106"/>
      <c r="F727" s="106"/>
      <c r="G727" s="110"/>
      <c r="H727" s="106"/>
      <c r="I727" s="110"/>
      <c r="J727" s="106"/>
      <c r="K727" s="106"/>
      <c r="L727" s="106"/>
      <c r="M727" s="106"/>
      <c r="N727" s="106"/>
      <c r="O727" s="106"/>
      <c r="P727" s="106"/>
      <c r="Q727" s="106"/>
      <c r="R727" s="106"/>
      <c r="S727" s="106"/>
      <c r="T727" s="106"/>
      <c r="U727" s="106"/>
      <c r="V727" s="106"/>
      <c r="W727" s="106"/>
      <c r="X727" s="106"/>
      <c r="Y727" s="106"/>
      <c r="Z727" s="106"/>
    </row>
    <row r="728" spans="1:26" ht="13.5" customHeight="1">
      <c r="A728" s="106"/>
      <c r="B728" s="106"/>
      <c r="C728" s="106"/>
      <c r="D728" s="106"/>
      <c r="E728" s="106"/>
      <c r="F728" s="106"/>
      <c r="G728" s="110"/>
      <c r="H728" s="106"/>
      <c r="I728" s="110"/>
      <c r="J728" s="106"/>
      <c r="K728" s="106"/>
      <c r="L728" s="106"/>
      <c r="M728" s="106"/>
      <c r="N728" s="106"/>
      <c r="O728" s="106"/>
      <c r="P728" s="106"/>
      <c r="Q728" s="106"/>
      <c r="R728" s="106"/>
      <c r="S728" s="106"/>
      <c r="T728" s="106"/>
      <c r="U728" s="106"/>
      <c r="V728" s="106"/>
      <c r="W728" s="106"/>
      <c r="X728" s="106"/>
      <c r="Y728" s="106"/>
      <c r="Z728" s="106"/>
    </row>
    <row r="729" spans="1:26" ht="13.5" customHeight="1">
      <c r="A729" s="106"/>
      <c r="B729" s="106"/>
      <c r="C729" s="106"/>
      <c r="D729" s="106"/>
      <c r="E729" s="106"/>
      <c r="F729" s="106"/>
      <c r="G729" s="110"/>
      <c r="H729" s="106"/>
      <c r="I729" s="110"/>
      <c r="J729" s="106"/>
      <c r="K729" s="106"/>
      <c r="L729" s="106"/>
      <c r="M729" s="106"/>
      <c r="N729" s="106"/>
      <c r="O729" s="106"/>
      <c r="P729" s="106"/>
      <c r="Q729" s="106"/>
      <c r="R729" s="106"/>
      <c r="S729" s="106"/>
      <c r="T729" s="106"/>
      <c r="U729" s="106"/>
      <c r="V729" s="106"/>
      <c r="W729" s="106"/>
      <c r="X729" s="106"/>
      <c r="Y729" s="106"/>
      <c r="Z729" s="106"/>
    </row>
    <row r="730" spans="1:26" ht="13.5" customHeight="1">
      <c r="A730" s="106"/>
      <c r="B730" s="106"/>
      <c r="C730" s="106"/>
      <c r="D730" s="106"/>
      <c r="E730" s="106"/>
      <c r="F730" s="106"/>
      <c r="G730" s="110"/>
      <c r="H730" s="106"/>
      <c r="I730" s="110"/>
      <c r="J730" s="106"/>
      <c r="K730" s="106"/>
      <c r="L730" s="106"/>
      <c r="M730" s="106"/>
      <c r="N730" s="106"/>
      <c r="O730" s="106"/>
      <c r="P730" s="106"/>
      <c r="Q730" s="106"/>
      <c r="R730" s="106"/>
      <c r="S730" s="106"/>
      <c r="T730" s="106"/>
      <c r="U730" s="106"/>
      <c r="V730" s="106"/>
      <c r="W730" s="106"/>
      <c r="X730" s="106"/>
      <c r="Y730" s="106"/>
      <c r="Z730" s="106"/>
    </row>
    <row r="731" spans="1:26" ht="13.5" customHeight="1">
      <c r="A731" s="106"/>
      <c r="B731" s="106"/>
      <c r="C731" s="106"/>
      <c r="D731" s="106"/>
      <c r="E731" s="106"/>
      <c r="F731" s="106"/>
      <c r="G731" s="110"/>
      <c r="H731" s="106"/>
      <c r="I731" s="110"/>
      <c r="J731" s="106"/>
      <c r="K731" s="106"/>
      <c r="L731" s="106"/>
      <c r="M731" s="106"/>
      <c r="N731" s="106"/>
      <c r="O731" s="106"/>
      <c r="P731" s="106"/>
      <c r="Q731" s="106"/>
      <c r="R731" s="106"/>
      <c r="S731" s="106"/>
      <c r="T731" s="106"/>
      <c r="U731" s="106"/>
      <c r="V731" s="106"/>
      <c r="W731" s="106"/>
      <c r="X731" s="106"/>
      <c r="Y731" s="106"/>
      <c r="Z731" s="106"/>
    </row>
    <row r="732" spans="1:26" ht="13.5" customHeight="1">
      <c r="A732" s="106"/>
      <c r="B732" s="106"/>
      <c r="C732" s="106"/>
      <c r="D732" s="106"/>
      <c r="E732" s="106"/>
      <c r="F732" s="106"/>
      <c r="G732" s="110"/>
      <c r="H732" s="106"/>
      <c r="I732" s="110"/>
      <c r="J732" s="106"/>
      <c r="K732" s="106"/>
      <c r="L732" s="106"/>
      <c r="M732" s="106"/>
      <c r="N732" s="106"/>
      <c r="O732" s="106"/>
      <c r="P732" s="106"/>
      <c r="Q732" s="106"/>
      <c r="R732" s="106"/>
      <c r="S732" s="106"/>
      <c r="T732" s="106"/>
      <c r="U732" s="106"/>
      <c r="V732" s="106"/>
      <c r="W732" s="106"/>
      <c r="X732" s="106"/>
      <c r="Y732" s="106"/>
      <c r="Z732" s="106"/>
    </row>
    <row r="733" spans="1:26" ht="13.5" customHeight="1">
      <c r="A733" s="106"/>
      <c r="B733" s="106"/>
      <c r="C733" s="106"/>
      <c r="D733" s="106"/>
      <c r="E733" s="106"/>
      <c r="F733" s="106"/>
      <c r="G733" s="110"/>
      <c r="H733" s="106"/>
      <c r="I733" s="110"/>
      <c r="J733" s="106"/>
      <c r="K733" s="106"/>
      <c r="L733" s="106"/>
      <c r="M733" s="106"/>
      <c r="N733" s="106"/>
      <c r="O733" s="106"/>
      <c r="P733" s="106"/>
      <c r="Q733" s="106"/>
      <c r="R733" s="106"/>
      <c r="S733" s="106"/>
      <c r="T733" s="106"/>
      <c r="U733" s="106"/>
      <c r="V733" s="106"/>
      <c r="W733" s="106"/>
      <c r="X733" s="106"/>
      <c r="Y733" s="106"/>
      <c r="Z733" s="106"/>
    </row>
    <row r="734" spans="1:26" ht="13.5" customHeight="1">
      <c r="A734" s="106"/>
      <c r="B734" s="106"/>
      <c r="C734" s="106"/>
      <c r="D734" s="106"/>
      <c r="E734" s="106"/>
      <c r="F734" s="106"/>
      <c r="G734" s="110"/>
      <c r="H734" s="106"/>
      <c r="I734" s="110"/>
      <c r="J734" s="106"/>
      <c r="K734" s="106"/>
      <c r="L734" s="106"/>
      <c r="M734" s="106"/>
      <c r="N734" s="106"/>
      <c r="O734" s="106"/>
      <c r="P734" s="106"/>
      <c r="Q734" s="106"/>
      <c r="R734" s="106"/>
      <c r="S734" s="106"/>
      <c r="T734" s="106"/>
      <c r="U734" s="106"/>
      <c r="V734" s="106"/>
      <c r="W734" s="106"/>
      <c r="X734" s="106"/>
      <c r="Y734" s="106"/>
      <c r="Z734" s="106"/>
    </row>
    <row r="735" spans="1:26" ht="13.5" customHeight="1">
      <c r="A735" s="106"/>
      <c r="B735" s="106"/>
      <c r="C735" s="106"/>
      <c r="D735" s="106"/>
      <c r="E735" s="106"/>
      <c r="F735" s="106"/>
      <c r="G735" s="110"/>
      <c r="H735" s="106"/>
      <c r="I735" s="110"/>
      <c r="J735" s="106"/>
      <c r="K735" s="106"/>
      <c r="L735" s="106"/>
      <c r="M735" s="106"/>
      <c r="N735" s="106"/>
      <c r="O735" s="106"/>
      <c r="P735" s="106"/>
      <c r="Q735" s="106"/>
      <c r="R735" s="106"/>
      <c r="S735" s="106"/>
      <c r="T735" s="106"/>
      <c r="U735" s="106"/>
      <c r="V735" s="106"/>
      <c r="W735" s="106"/>
      <c r="X735" s="106"/>
      <c r="Y735" s="106"/>
      <c r="Z735" s="106"/>
    </row>
    <row r="736" spans="1:26" ht="13.5" customHeight="1">
      <c r="A736" s="106"/>
      <c r="B736" s="106"/>
      <c r="C736" s="106"/>
      <c r="D736" s="106"/>
      <c r="E736" s="106"/>
      <c r="F736" s="106"/>
      <c r="G736" s="110"/>
      <c r="H736" s="106"/>
      <c r="I736" s="110"/>
      <c r="J736" s="106"/>
      <c r="K736" s="106"/>
      <c r="L736" s="106"/>
      <c r="M736" s="106"/>
      <c r="N736" s="106"/>
      <c r="O736" s="106"/>
      <c r="P736" s="106"/>
      <c r="Q736" s="106"/>
      <c r="R736" s="106"/>
      <c r="S736" s="106"/>
      <c r="T736" s="106"/>
      <c r="U736" s="106"/>
      <c r="V736" s="106"/>
      <c r="W736" s="106"/>
      <c r="X736" s="106"/>
      <c r="Y736" s="106"/>
      <c r="Z736" s="106"/>
    </row>
    <row r="737" spans="1:26" ht="13.5" customHeight="1">
      <c r="A737" s="106"/>
      <c r="B737" s="106"/>
      <c r="C737" s="106"/>
      <c r="D737" s="106"/>
      <c r="E737" s="106"/>
      <c r="F737" s="106"/>
      <c r="G737" s="110"/>
      <c r="H737" s="106"/>
      <c r="I737" s="110"/>
      <c r="J737" s="106"/>
      <c r="K737" s="106"/>
      <c r="L737" s="106"/>
      <c r="M737" s="106"/>
      <c r="N737" s="106"/>
      <c r="O737" s="106"/>
      <c r="P737" s="106"/>
      <c r="Q737" s="106"/>
      <c r="R737" s="106"/>
      <c r="S737" s="106"/>
      <c r="T737" s="106"/>
      <c r="U737" s="106"/>
      <c r="V737" s="106"/>
      <c r="W737" s="106"/>
      <c r="X737" s="106"/>
      <c r="Y737" s="106"/>
      <c r="Z737" s="106"/>
    </row>
    <row r="738" spans="1:26" ht="13.5" customHeight="1">
      <c r="A738" s="106"/>
      <c r="B738" s="106"/>
      <c r="C738" s="106"/>
      <c r="D738" s="106"/>
      <c r="E738" s="106"/>
      <c r="F738" s="106"/>
      <c r="G738" s="110"/>
      <c r="H738" s="106"/>
      <c r="I738" s="110"/>
      <c r="J738" s="106"/>
      <c r="K738" s="106"/>
      <c r="L738" s="106"/>
      <c r="M738" s="106"/>
      <c r="N738" s="106"/>
      <c r="O738" s="106"/>
      <c r="P738" s="106"/>
      <c r="Q738" s="106"/>
      <c r="R738" s="106"/>
      <c r="S738" s="106"/>
      <c r="T738" s="106"/>
      <c r="U738" s="106"/>
      <c r="V738" s="106"/>
      <c r="W738" s="106"/>
      <c r="X738" s="106"/>
      <c r="Y738" s="106"/>
      <c r="Z738" s="106"/>
    </row>
    <row r="739" spans="1:26" ht="13.5" customHeight="1">
      <c r="A739" s="106"/>
      <c r="B739" s="106"/>
      <c r="C739" s="106"/>
      <c r="D739" s="106"/>
      <c r="E739" s="106"/>
      <c r="F739" s="106"/>
      <c r="G739" s="110"/>
      <c r="H739" s="106"/>
      <c r="I739" s="110"/>
      <c r="J739" s="106"/>
      <c r="K739" s="106"/>
      <c r="L739" s="106"/>
      <c r="M739" s="106"/>
      <c r="N739" s="106"/>
      <c r="O739" s="106"/>
      <c r="P739" s="106"/>
      <c r="Q739" s="106"/>
      <c r="R739" s="106"/>
      <c r="S739" s="106"/>
      <c r="T739" s="106"/>
      <c r="U739" s="106"/>
      <c r="V739" s="106"/>
      <c r="W739" s="106"/>
      <c r="X739" s="106"/>
      <c r="Y739" s="106"/>
      <c r="Z739" s="106"/>
    </row>
    <row r="740" spans="1:26" ht="13.5" customHeight="1">
      <c r="A740" s="106"/>
      <c r="B740" s="106"/>
      <c r="C740" s="106"/>
      <c r="D740" s="106"/>
      <c r="E740" s="106"/>
      <c r="F740" s="106"/>
      <c r="G740" s="110"/>
      <c r="H740" s="106"/>
      <c r="I740" s="110"/>
      <c r="J740" s="106"/>
      <c r="K740" s="106"/>
      <c r="L740" s="106"/>
      <c r="M740" s="106"/>
      <c r="N740" s="106"/>
      <c r="O740" s="106"/>
      <c r="P740" s="106"/>
      <c r="Q740" s="106"/>
      <c r="R740" s="106"/>
      <c r="S740" s="106"/>
      <c r="T740" s="106"/>
      <c r="U740" s="106"/>
      <c r="V740" s="106"/>
      <c r="W740" s="106"/>
      <c r="X740" s="106"/>
      <c r="Y740" s="106"/>
      <c r="Z740" s="106"/>
    </row>
    <row r="741" spans="1:26" ht="13.5" customHeight="1">
      <c r="A741" s="106"/>
      <c r="B741" s="106"/>
      <c r="C741" s="106"/>
      <c r="D741" s="106"/>
      <c r="E741" s="106"/>
      <c r="F741" s="106"/>
      <c r="G741" s="110"/>
      <c r="H741" s="106"/>
      <c r="I741" s="110"/>
      <c r="J741" s="106"/>
      <c r="K741" s="106"/>
      <c r="L741" s="106"/>
      <c r="M741" s="106"/>
      <c r="N741" s="106"/>
      <c r="O741" s="106"/>
      <c r="P741" s="106"/>
      <c r="Q741" s="106"/>
      <c r="R741" s="106"/>
      <c r="S741" s="106"/>
      <c r="T741" s="106"/>
      <c r="U741" s="106"/>
      <c r="V741" s="106"/>
      <c r="W741" s="106"/>
      <c r="X741" s="106"/>
      <c r="Y741" s="106"/>
      <c r="Z741" s="106"/>
    </row>
    <row r="742" spans="1:26" ht="13.5" customHeight="1">
      <c r="A742" s="106"/>
      <c r="B742" s="106"/>
      <c r="C742" s="106"/>
      <c r="D742" s="106"/>
      <c r="E742" s="106"/>
      <c r="F742" s="106"/>
      <c r="G742" s="110"/>
      <c r="H742" s="106"/>
      <c r="I742" s="110"/>
      <c r="J742" s="106"/>
      <c r="K742" s="106"/>
      <c r="L742" s="106"/>
      <c r="M742" s="106"/>
      <c r="N742" s="106"/>
      <c r="O742" s="106"/>
      <c r="P742" s="106"/>
      <c r="Q742" s="106"/>
      <c r="R742" s="106"/>
      <c r="S742" s="106"/>
      <c r="T742" s="106"/>
      <c r="U742" s="106"/>
      <c r="V742" s="106"/>
      <c r="W742" s="106"/>
      <c r="X742" s="106"/>
      <c r="Y742" s="106"/>
      <c r="Z742" s="106"/>
    </row>
    <row r="743" spans="1:26" ht="13.5" customHeight="1">
      <c r="A743" s="106"/>
      <c r="B743" s="106"/>
      <c r="C743" s="106"/>
      <c r="D743" s="106"/>
      <c r="E743" s="106"/>
      <c r="F743" s="106"/>
      <c r="G743" s="110"/>
      <c r="H743" s="106"/>
      <c r="I743" s="110"/>
      <c r="J743" s="106"/>
      <c r="K743" s="106"/>
      <c r="L743" s="106"/>
      <c r="M743" s="106"/>
      <c r="N743" s="106"/>
      <c r="O743" s="106"/>
      <c r="P743" s="106"/>
      <c r="Q743" s="106"/>
      <c r="R743" s="106"/>
      <c r="S743" s="106"/>
      <c r="T743" s="106"/>
      <c r="U743" s="106"/>
      <c r="V743" s="106"/>
      <c r="W743" s="106"/>
      <c r="X743" s="106"/>
      <c r="Y743" s="106"/>
      <c r="Z743" s="106"/>
    </row>
    <row r="744" spans="1:26" ht="13.5" customHeight="1">
      <c r="A744" s="106"/>
      <c r="B744" s="106"/>
      <c r="C744" s="106"/>
      <c r="D744" s="106"/>
      <c r="E744" s="106"/>
      <c r="F744" s="106"/>
      <c r="G744" s="110"/>
      <c r="H744" s="106"/>
      <c r="I744" s="110"/>
      <c r="J744" s="106"/>
      <c r="K744" s="106"/>
      <c r="L744" s="106"/>
      <c r="M744" s="106"/>
      <c r="N744" s="106"/>
      <c r="O744" s="106"/>
      <c r="P744" s="106"/>
      <c r="Q744" s="106"/>
      <c r="R744" s="106"/>
      <c r="S744" s="106"/>
      <c r="T744" s="106"/>
      <c r="U744" s="106"/>
      <c r="V744" s="106"/>
      <c r="W744" s="106"/>
      <c r="X744" s="106"/>
      <c r="Y744" s="106"/>
      <c r="Z744" s="106"/>
    </row>
    <row r="745" spans="1:26" ht="13.5" customHeight="1">
      <c r="A745" s="106"/>
      <c r="B745" s="106"/>
      <c r="C745" s="106"/>
      <c r="D745" s="106"/>
      <c r="E745" s="106"/>
      <c r="F745" s="106"/>
      <c r="G745" s="110"/>
      <c r="H745" s="106"/>
      <c r="I745" s="110"/>
      <c r="J745" s="106"/>
      <c r="K745" s="106"/>
      <c r="L745" s="106"/>
      <c r="M745" s="106"/>
      <c r="N745" s="106"/>
      <c r="O745" s="106"/>
      <c r="P745" s="106"/>
      <c r="Q745" s="106"/>
      <c r="R745" s="106"/>
      <c r="S745" s="106"/>
      <c r="T745" s="106"/>
      <c r="U745" s="106"/>
      <c r="V745" s="106"/>
      <c r="W745" s="106"/>
      <c r="X745" s="106"/>
      <c r="Y745" s="106"/>
      <c r="Z745" s="106"/>
    </row>
    <row r="746" spans="1:26" ht="13.5" customHeight="1">
      <c r="A746" s="106"/>
      <c r="B746" s="106"/>
      <c r="C746" s="106"/>
      <c r="D746" s="106"/>
      <c r="E746" s="106"/>
      <c r="F746" s="106"/>
      <c r="G746" s="110"/>
      <c r="H746" s="106"/>
      <c r="I746" s="110"/>
      <c r="J746" s="106"/>
      <c r="K746" s="106"/>
      <c r="L746" s="106"/>
      <c r="M746" s="106"/>
      <c r="N746" s="106"/>
      <c r="O746" s="106"/>
      <c r="P746" s="106"/>
      <c r="Q746" s="106"/>
      <c r="R746" s="106"/>
      <c r="S746" s="106"/>
      <c r="T746" s="106"/>
      <c r="U746" s="106"/>
      <c r="V746" s="106"/>
      <c r="W746" s="106"/>
      <c r="X746" s="106"/>
      <c r="Y746" s="106"/>
      <c r="Z746" s="106"/>
    </row>
    <row r="747" spans="1:26" ht="13.5" customHeight="1">
      <c r="A747" s="106"/>
      <c r="B747" s="106"/>
      <c r="C747" s="106"/>
      <c r="D747" s="106"/>
      <c r="E747" s="106"/>
      <c r="F747" s="106"/>
      <c r="G747" s="110"/>
      <c r="H747" s="106"/>
      <c r="I747" s="110"/>
      <c r="J747" s="106"/>
      <c r="K747" s="106"/>
      <c r="L747" s="106"/>
      <c r="M747" s="106"/>
      <c r="N747" s="106"/>
      <c r="O747" s="106"/>
      <c r="P747" s="106"/>
      <c r="Q747" s="106"/>
      <c r="R747" s="106"/>
      <c r="S747" s="106"/>
      <c r="T747" s="106"/>
      <c r="U747" s="106"/>
      <c r="V747" s="106"/>
      <c r="W747" s="106"/>
      <c r="X747" s="106"/>
      <c r="Y747" s="106"/>
      <c r="Z747" s="106"/>
    </row>
    <row r="748" spans="1:26" ht="13.5" customHeight="1">
      <c r="A748" s="106"/>
      <c r="B748" s="106"/>
      <c r="C748" s="106"/>
      <c r="D748" s="106"/>
      <c r="E748" s="106"/>
      <c r="F748" s="106"/>
      <c r="G748" s="110"/>
      <c r="H748" s="106"/>
      <c r="I748" s="110"/>
      <c r="J748" s="106"/>
      <c r="K748" s="106"/>
      <c r="L748" s="106"/>
      <c r="M748" s="106"/>
      <c r="N748" s="106"/>
      <c r="O748" s="106"/>
      <c r="P748" s="106"/>
      <c r="Q748" s="106"/>
      <c r="R748" s="106"/>
      <c r="S748" s="106"/>
      <c r="T748" s="106"/>
      <c r="U748" s="106"/>
      <c r="V748" s="106"/>
      <c r="W748" s="106"/>
      <c r="X748" s="106"/>
      <c r="Y748" s="106"/>
      <c r="Z748" s="106"/>
    </row>
    <row r="749" spans="1:26" ht="13.5" customHeight="1">
      <c r="A749" s="106"/>
      <c r="B749" s="106"/>
      <c r="C749" s="106"/>
      <c r="D749" s="106"/>
      <c r="E749" s="106"/>
      <c r="F749" s="106"/>
      <c r="G749" s="110"/>
      <c r="H749" s="106"/>
      <c r="I749" s="110"/>
      <c r="J749" s="106"/>
      <c r="K749" s="106"/>
      <c r="L749" s="106"/>
      <c r="M749" s="106"/>
      <c r="N749" s="106"/>
      <c r="O749" s="106"/>
      <c r="P749" s="106"/>
      <c r="Q749" s="106"/>
      <c r="R749" s="106"/>
      <c r="S749" s="106"/>
      <c r="T749" s="106"/>
      <c r="U749" s="106"/>
      <c r="V749" s="106"/>
      <c r="W749" s="106"/>
      <c r="X749" s="106"/>
      <c r="Y749" s="106"/>
      <c r="Z749" s="106"/>
    </row>
    <row r="750" spans="1:26" ht="13.5" customHeight="1">
      <c r="A750" s="106"/>
      <c r="B750" s="106"/>
      <c r="C750" s="106"/>
      <c r="D750" s="106"/>
      <c r="E750" s="106"/>
      <c r="F750" s="106"/>
      <c r="G750" s="110"/>
      <c r="H750" s="106"/>
      <c r="I750" s="110"/>
      <c r="J750" s="106"/>
      <c r="K750" s="106"/>
      <c r="L750" s="106"/>
      <c r="M750" s="106"/>
      <c r="N750" s="106"/>
      <c r="O750" s="106"/>
      <c r="P750" s="106"/>
      <c r="Q750" s="106"/>
      <c r="R750" s="106"/>
      <c r="S750" s="106"/>
      <c r="T750" s="106"/>
      <c r="U750" s="106"/>
      <c r="V750" s="106"/>
      <c r="W750" s="106"/>
      <c r="X750" s="106"/>
      <c r="Y750" s="106"/>
      <c r="Z750" s="106"/>
    </row>
    <row r="751" spans="1:26" ht="13.5" customHeight="1">
      <c r="A751" s="106"/>
      <c r="B751" s="106"/>
      <c r="C751" s="106"/>
      <c r="D751" s="106"/>
      <c r="E751" s="106"/>
      <c r="F751" s="106"/>
      <c r="G751" s="110"/>
      <c r="H751" s="106"/>
      <c r="I751" s="110"/>
      <c r="J751" s="106"/>
      <c r="K751" s="106"/>
      <c r="L751" s="106"/>
      <c r="M751" s="106"/>
      <c r="N751" s="106"/>
      <c r="O751" s="106"/>
      <c r="P751" s="106"/>
      <c r="Q751" s="106"/>
      <c r="R751" s="106"/>
      <c r="S751" s="106"/>
      <c r="T751" s="106"/>
      <c r="U751" s="106"/>
      <c r="V751" s="106"/>
      <c r="W751" s="106"/>
      <c r="X751" s="106"/>
      <c r="Y751" s="106"/>
      <c r="Z751" s="106"/>
    </row>
    <row r="752" spans="1:26" ht="13.5" customHeight="1">
      <c r="A752" s="106"/>
      <c r="B752" s="106"/>
      <c r="C752" s="106"/>
      <c r="D752" s="106"/>
      <c r="E752" s="106"/>
      <c r="F752" s="106"/>
      <c r="G752" s="110"/>
      <c r="H752" s="106"/>
      <c r="I752" s="110"/>
      <c r="J752" s="106"/>
      <c r="K752" s="106"/>
      <c r="L752" s="106"/>
      <c r="M752" s="106"/>
      <c r="N752" s="106"/>
      <c r="O752" s="106"/>
      <c r="P752" s="106"/>
      <c r="Q752" s="106"/>
      <c r="R752" s="106"/>
      <c r="S752" s="106"/>
      <c r="T752" s="106"/>
      <c r="U752" s="106"/>
      <c r="V752" s="106"/>
      <c r="W752" s="106"/>
      <c r="X752" s="106"/>
      <c r="Y752" s="106"/>
      <c r="Z752" s="106"/>
    </row>
    <row r="753" spans="1:26" ht="13.5" customHeight="1">
      <c r="A753" s="106"/>
      <c r="B753" s="106"/>
      <c r="C753" s="106"/>
      <c r="D753" s="106"/>
      <c r="E753" s="106"/>
      <c r="F753" s="106"/>
      <c r="G753" s="110"/>
      <c r="H753" s="106"/>
      <c r="I753" s="110"/>
      <c r="J753" s="106"/>
      <c r="K753" s="106"/>
      <c r="L753" s="106"/>
      <c r="M753" s="106"/>
      <c r="N753" s="106"/>
      <c r="O753" s="106"/>
      <c r="P753" s="106"/>
      <c r="Q753" s="106"/>
      <c r="R753" s="106"/>
      <c r="S753" s="106"/>
      <c r="T753" s="106"/>
      <c r="U753" s="106"/>
      <c r="V753" s="106"/>
      <c r="W753" s="106"/>
      <c r="X753" s="106"/>
      <c r="Y753" s="106"/>
      <c r="Z753" s="106"/>
    </row>
    <row r="754" spans="1:26" ht="13.5" customHeight="1">
      <c r="A754" s="106"/>
      <c r="B754" s="106"/>
      <c r="C754" s="106"/>
      <c r="D754" s="106"/>
      <c r="E754" s="106"/>
      <c r="F754" s="106"/>
      <c r="G754" s="110"/>
      <c r="H754" s="106"/>
      <c r="I754" s="110"/>
      <c r="J754" s="106"/>
      <c r="K754" s="106"/>
      <c r="L754" s="106"/>
      <c r="M754" s="106"/>
      <c r="N754" s="106"/>
      <c r="O754" s="106"/>
      <c r="P754" s="106"/>
      <c r="Q754" s="106"/>
      <c r="R754" s="106"/>
      <c r="S754" s="106"/>
      <c r="T754" s="106"/>
      <c r="U754" s="106"/>
      <c r="V754" s="106"/>
      <c r="W754" s="106"/>
      <c r="X754" s="106"/>
      <c r="Y754" s="106"/>
      <c r="Z754" s="106"/>
    </row>
    <row r="755" spans="1:26" ht="13.5" customHeight="1">
      <c r="A755" s="106"/>
      <c r="B755" s="106"/>
      <c r="C755" s="106"/>
      <c r="D755" s="106"/>
      <c r="E755" s="106"/>
      <c r="F755" s="106"/>
      <c r="G755" s="110"/>
      <c r="H755" s="106"/>
      <c r="I755" s="110"/>
      <c r="J755" s="106"/>
      <c r="K755" s="106"/>
      <c r="L755" s="106"/>
      <c r="M755" s="106"/>
      <c r="N755" s="106"/>
      <c r="O755" s="106"/>
      <c r="P755" s="106"/>
      <c r="Q755" s="106"/>
      <c r="R755" s="106"/>
      <c r="S755" s="106"/>
      <c r="T755" s="106"/>
      <c r="U755" s="106"/>
      <c r="V755" s="106"/>
      <c r="W755" s="106"/>
      <c r="X755" s="106"/>
      <c r="Y755" s="106"/>
      <c r="Z755" s="106"/>
    </row>
    <row r="756" spans="1:26" ht="13.5" customHeight="1">
      <c r="A756" s="106"/>
      <c r="B756" s="106"/>
      <c r="C756" s="106"/>
      <c r="D756" s="106"/>
      <c r="E756" s="106"/>
      <c r="F756" s="106"/>
      <c r="G756" s="110"/>
      <c r="H756" s="106"/>
      <c r="I756" s="110"/>
      <c r="J756" s="106"/>
      <c r="K756" s="106"/>
      <c r="L756" s="106"/>
      <c r="M756" s="106"/>
      <c r="N756" s="106"/>
      <c r="O756" s="106"/>
      <c r="P756" s="106"/>
      <c r="Q756" s="106"/>
      <c r="R756" s="106"/>
      <c r="S756" s="106"/>
      <c r="T756" s="106"/>
      <c r="U756" s="106"/>
      <c r="V756" s="106"/>
      <c r="W756" s="106"/>
      <c r="X756" s="106"/>
      <c r="Y756" s="106"/>
      <c r="Z756" s="106"/>
    </row>
    <row r="757" spans="1:26" ht="13.5" customHeight="1">
      <c r="A757" s="106"/>
      <c r="B757" s="106"/>
      <c r="C757" s="106"/>
      <c r="D757" s="106"/>
      <c r="E757" s="106"/>
      <c r="F757" s="106"/>
      <c r="G757" s="110"/>
      <c r="H757" s="106"/>
      <c r="I757" s="110"/>
      <c r="J757" s="106"/>
      <c r="K757" s="106"/>
      <c r="L757" s="106"/>
      <c r="M757" s="106"/>
      <c r="N757" s="106"/>
      <c r="O757" s="106"/>
      <c r="P757" s="106"/>
      <c r="Q757" s="106"/>
      <c r="R757" s="106"/>
      <c r="S757" s="106"/>
      <c r="T757" s="106"/>
      <c r="U757" s="106"/>
      <c r="V757" s="106"/>
      <c r="W757" s="106"/>
      <c r="X757" s="106"/>
      <c r="Y757" s="106"/>
      <c r="Z757" s="106"/>
    </row>
    <row r="758" spans="1:26" ht="13.5" customHeight="1">
      <c r="A758" s="106"/>
      <c r="B758" s="106"/>
      <c r="C758" s="106"/>
      <c r="D758" s="106"/>
      <c r="E758" s="106"/>
      <c r="F758" s="106"/>
      <c r="G758" s="110"/>
      <c r="H758" s="106"/>
      <c r="I758" s="110"/>
      <c r="J758" s="106"/>
      <c r="K758" s="106"/>
      <c r="L758" s="106"/>
      <c r="M758" s="106"/>
      <c r="N758" s="106"/>
      <c r="O758" s="106"/>
      <c r="P758" s="106"/>
      <c r="Q758" s="106"/>
      <c r="R758" s="106"/>
      <c r="S758" s="106"/>
      <c r="T758" s="106"/>
      <c r="U758" s="106"/>
      <c r="V758" s="106"/>
      <c r="W758" s="106"/>
      <c r="X758" s="106"/>
      <c r="Y758" s="106"/>
      <c r="Z758" s="106"/>
    </row>
    <row r="759" spans="1:26" ht="13.5" customHeight="1">
      <c r="A759" s="106"/>
      <c r="B759" s="106"/>
      <c r="C759" s="106"/>
      <c r="D759" s="106"/>
      <c r="E759" s="106"/>
      <c r="F759" s="106"/>
      <c r="G759" s="110"/>
      <c r="H759" s="106"/>
      <c r="I759" s="110"/>
      <c r="J759" s="106"/>
      <c r="K759" s="106"/>
      <c r="L759" s="106"/>
      <c r="M759" s="106"/>
      <c r="N759" s="106"/>
      <c r="O759" s="106"/>
      <c r="P759" s="106"/>
      <c r="Q759" s="106"/>
      <c r="R759" s="106"/>
      <c r="S759" s="106"/>
      <c r="T759" s="106"/>
      <c r="U759" s="106"/>
      <c r="V759" s="106"/>
      <c r="W759" s="106"/>
      <c r="X759" s="106"/>
      <c r="Y759" s="106"/>
      <c r="Z759" s="106"/>
    </row>
    <row r="760" spans="1:26" ht="13.5" customHeight="1">
      <c r="A760" s="106"/>
      <c r="B760" s="106"/>
      <c r="C760" s="106"/>
      <c r="D760" s="106"/>
      <c r="E760" s="106"/>
      <c r="F760" s="106"/>
      <c r="G760" s="110"/>
      <c r="H760" s="106"/>
      <c r="I760" s="110"/>
      <c r="J760" s="106"/>
      <c r="K760" s="106"/>
      <c r="L760" s="106"/>
      <c r="M760" s="106"/>
      <c r="N760" s="106"/>
      <c r="O760" s="106"/>
      <c r="P760" s="106"/>
      <c r="Q760" s="106"/>
      <c r="R760" s="106"/>
      <c r="S760" s="106"/>
      <c r="T760" s="106"/>
      <c r="U760" s="106"/>
      <c r="V760" s="106"/>
      <c r="W760" s="106"/>
      <c r="X760" s="106"/>
      <c r="Y760" s="106"/>
      <c r="Z760" s="106"/>
    </row>
    <row r="761" spans="1:26" ht="13.5" customHeight="1">
      <c r="A761" s="106"/>
      <c r="B761" s="106"/>
      <c r="C761" s="106"/>
      <c r="D761" s="106"/>
      <c r="E761" s="106"/>
      <c r="F761" s="106"/>
      <c r="G761" s="110"/>
      <c r="H761" s="106"/>
      <c r="I761" s="110"/>
      <c r="J761" s="106"/>
      <c r="K761" s="106"/>
      <c r="L761" s="106"/>
      <c r="M761" s="106"/>
      <c r="N761" s="106"/>
      <c r="O761" s="106"/>
      <c r="P761" s="106"/>
      <c r="Q761" s="106"/>
      <c r="R761" s="106"/>
      <c r="S761" s="106"/>
      <c r="T761" s="106"/>
      <c r="U761" s="106"/>
      <c r="V761" s="106"/>
      <c r="W761" s="106"/>
      <c r="X761" s="106"/>
      <c r="Y761" s="106"/>
      <c r="Z761" s="106"/>
    </row>
    <row r="762" spans="1:26" ht="13.5" customHeight="1">
      <c r="A762" s="106"/>
      <c r="B762" s="106"/>
      <c r="C762" s="106"/>
      <c r="D762" s="106"/>
      <c r="E762" s="106"/>
      <c r="F762" s="106"/>
      <c r="G762" s="110"/>
      <c r="H762" s="106"/>
      <c r="I762" s="110"/>
      <c r="J762" s="106"/>
      <c r="K762" s="106"/>
      <c r="L762" s="106"/>
      <c r="M762" s="106"/>
      <c r="N762" s="106"/>
      <c r="O762" s="106"/>
      <c r="P762" s="106"/>
      <c r="Q762" s="106"/>
      <c r="R762" s="106"/>
      <c r="S762" s="106"/>
      <c r="T762" s="106"/>
      <c r="U762" s="106"/>
      <c r="V762" s="106"/>
      <c r="W762" s="106"/>
      <c r="X762" s="106"/>
      <c r="Y762" s="106"/>
      <c r="Z762" s="106"/>
    </row>
    <row r="763" spans="1:26" ht="13.5" customHeight="1">
      <c r="A763" s="106"/>
      <c r="B763" s="106"/>
      <c r="C763" s="106"/>
      <c r="D763" s="106"/>
      <c r="E763" s="106"/>
      <c r="F763" s="106"/>
      <c r="G763" s="110"/>
      <c r="H763" s="106"/>
      <c r="I763" s="110"/>
      <c r="J763" s="106"/>
      <c r="K763" s="106"/>
      <c r="L763" s="106"/>
      <c r="M763" s="106"/>
      <c r="N763" s="106"/>
      <c r="O763" s="106"/>
      <c r="P763" s="106"/>
      <c r="Q763" s="106"/>
      <c r="R763" s="106"/>
      <c r="S763" s="106"/>
      <c r="T763" s="106"/>
      <c r="U763" s="106"/>
      <c r="V763" s="106"/>
      <c r="W763" s="106"/>
      <c r="X763" s="106"/>
      <c r="Y763" s="106"/>
      <c r="Z763" s="106"/>
    </row>
    <row r="764" spans="1:26" ht="13.5" customHeight="1">
      <c r="A764" s="106"/>
      <c r="B764" s="106"/>
      <c r="C764" s="106"/>
      <c r="D764" s="106"/>
      <c r="E764" s="106"/>
      <c r="F764" s="106"/>
      <c r="G764" s="110"/>
      <c r="H764" s="106"/>
      <c r="I764" s="110"/>
      <c r="J764" s="106"/>
      <c r="K764" s="106"/>
      <c r="L764" s="106"/>
      <c r="M764" s="106"/>
      <c r="N764" s="106"/>
      <c r="O764" s="106"/>
      <c r="P764" s="106"/>
      <c r="Q764" s="106"/>
      <c r="R764" s="106"/>
      <c r="S764" s="106"/>
      <c r="T764" s="106"/>
      <c r="U764" s="106"/>
      <c r="V764" s="106"/>
      <c r="W764" s="106"/>
      <c r="X764" s="106"/>
      <c r="Y764" s="106"/>
      <c r="Z764" s="106"/>
    </row>
    <row r="765" spans="1:26" ht="13.5" customHeight="1">
      <c r="A765" s="106"/>
      <c r="B765" s="106"/>
      <c r="C765" s="106"/>
      <c r="D765" s="106"/>
      <c r="E765" s="106"/>
      <c r="F765" s="106"/>
      <c r="G765" s="110"/>
      <c r="H765" s="106"/>
      <c r="I765" s="110"/>
      <c r="J765" s="106"/>
      <c r="K765" s="106"/>
      <c r="L765" s="106"/>
      <c r="M765" s="106"/>
      <c r="N765" s="106"/>
      <c r="O765" s="106"/>
      <c r="P765" s="106"/>
      <c r="Q765" s="106"/>
      <c r="R765" s="106"/>
      <c r="S765" s="106"/>
      <c r="T765" s="106"/>
      <c r="U765" s="106"/>
      <c r="V765" s="106"/>
      <c r="W765" s="106"/>
      <c r="X765" s="106"/>
      <c r="Y765" s="106"/>
      <c r="Z765" s="106"/>
    </row>
    <row r="766" spans="1:26" ht="13.5" customHeight="1">
      <c r="A766" s="106"/>
      <c r="B766" s="106"/>
      <c r="C766" s="106"/>
      <c r="D766" s="106"/>
      <c r="E766" s="106"/>
      <c r="F766" s="106"/>
      <c r="G766" s="110"/>
      <c r="H766" s="106"/>
      <c r="I766" s="110"/>
      <c r="J766" s="106"/>
      <c r="K766" s="106"/>
      <c r="L766" s="106"/>
      <c r="M766" s="106"/>
      <c r="N766" s="106"/>
      <c r="O766" s="106"/>
      <c r="P766" s="106"/>
      <c r="Q766" s="106"/>
      <c r="R766" s="106"/>
      <c r="S766" s="106"/>
      <c r="T766" s="106"/>
      <c r="U766" s="106"/>
      <c r="V766" s="106"/>
      <c r="W766" s="106"/>
      <c r="X766" s="106"/>
      <c r="Y766" s="106"/>
      <c r="Z766" s="106"/>
    </row>
    <row r="767" spans="1:26" ht="13.5" customHeight="1">
      <c r="A767" s="106"/>
      <c r="B767" s="106"/>
      <c r="C767" s="106"/>
      <c r="D767" s="106"/>
      <c r="E767" s="106"/>
      <c r="F767" s="106"/>
      <c r="G767" s="110"/>
      <c r="H767" s="106"/>
      <c r="I767" s="110"/>
      <c r="J767" s="106"/>
      <c r="K767" s="106"/>
      <c r="L767" s="106"/>
      <c r="M767" s="106"/>
      <c r="N767" s="106"/>
      <c r="O767" s="106"/>
      <c r="P767" s="106"/>
      <c r="Q767" s="106"/>
      <c r="R767" s="106"/>
      <c r="S767" s="106"/>
      <c r="T767" s="106"/>
      <c r="U767" s="106"/>
      <c r="V767" s="106"/>
      <c r="W767" s="106"/>
      <c r="X767" s="106"/>
      <c r="Y767" s="106"/>
      <c r="Z767" s="106"/>
    </row>
    <row r="768" spans="1:26" ht="13.5" customHeight="1">
      <c r="A768" s="106"/>
      <c r="B768" s="106"/>
      <c r="C768" s="106"/>
      <c r="D768" s="106"/>
      <c r="E768" s="106"/>
      <c r="F768" s="106"/>
      <c r="G768" s="110"/>
      <c r="H768" s="106"/>
      <c r="I768" s="110"/>
      <c r="J768" s="106"/>
      <c r="K768" s="106"/>
      <c r="L768" s="106"/>
      <c r="M768" s="106"/>
      <c r="N768" s="106"/>
      <c r="O768" s="106"/>
      <c r="P768" s="106"/>
      <c r="Q768" s="106"/>
      <c r="R768" s="106"/>
      <c r="S768" s="106"/>
      <c r="T768" s="106"/>
      <c r="U768" s="106"/>
      <c r="V768" s="106"/>
      <c r="W768" s="106"/>
      <c r="X768" s="106"/>
      <c r="Y768" s="106"/>
      <c r="Z768" s="106"/>
    </row>
    <row r="769" spans="1:26" ht="13.5" customHeight="1">
      <c r="A769" s="106"/>
      <c r="B769" s="106"/>
      <c r="C769" s="106"/>
      <c r="D769" s="106"/>
      <c r="E769" s="106"/>
      <c r="F769" s="106"/>
      <c r="G769" s="110"/>
      <c r="H769" s="106"/>
      <c r="I769" s="110"/>
      <c r="J769" s="106"/>
      <c r="K769" s="106"/>
      <c r="L769" s="106"/>
      <c r="M769" s="106"/>
      <c r="N769" s="106"/>
      <c r="O769" s="106"/>
      <c r="P769" s="106"/>
      <c r="Q769" s="106"/>
      <c r="R769" s="106"/>
      <c r="S769" s="106"/>
      <c r="T769" s="106"/>
      <c r="U769" s="106"/>
      <c r="V769" s="106"/>
      <c r="W769" s="106"/>
      <c r="X769" s="106"/>
      <c r="Y769" s="106"/>
      <c r="Z769" s="106"/>
    </row>
    <row r="770" spans="1:26" ht="13.5" customHeight="1">
      <c r="A770" s="106"/>
      <c r="B770" s="106"/>
      <c r="C770" s="106"/>
      <c r="D770" s="106"/>
      <c r="E770" s="106"/>
      <c r="F770" s="106"/>
      <c r="G770" s="110"/>
      <c r="H770" s="106"/>
      <c r="I770" s="110"/>
      <c r="J770" s="106"/>
      <c r="K770" s="106"/>
      <c r="L770" s="106"/>
      <c r="M770" s="106"/>
      <c r="N770" s="106"/>
      <c r="O770" s="106"/>
      <c r="P770" s="106"/>
      <c r="Q770" s="106"/>
      <c r="R770" s="106"/>
      <c r="S770" s="106"/>
      <c r="T770" s="106"/>
      <c r="U770" s="106"/>
      <c r="V770" s="106"/>
      <c r="W770" s="106"/>
      <c r="X770" s="106"/>
      <c r="Y770" s="106"/>
      <c r="Z770" s="106"/>
    </row>
    <row r="771" spans="1:26" ht="13.5" customHeight="1">
      <c r="A771" s="106"/>
      <c r="B771" s="106"/>
      <c r="C771" s="106"/>
      <c r="D771" s="106"/>
      <c r="E771" s="106"/>
      <c r="F771" s="106"/>
      <c r="G771" s="110"/>
      <c r="H771" s="106"/>
      <c r="I771" s="110"/>
      <c r="J771" s="106"/>
      <c r="K771" s="106"/>
      <c r="L771" s="106"/>
      <c r="M771" s="106"/>
      <c r="N771" s="106"/>
      <c r="O771" s="106"/>
      <c r="P771" s="106"/>
      <c r="Q771" s="106"/>
      <c r="R771" s="106"/>
      <c r="S771" s="106"/>
      <c r="T771" s="106"/>
      <c r="U771" s="106"/>
      <c r="V771" s="106"/>
      <c r="W771" s="106"/>
      <c r="X771" s="106"/>
      <c r="Y771" s="106"/>
      <c r="Z771" s="106"/>
    </row>
    <row r="772" spans="1:26" ht="13.5" customHeight="1">
      <c r="A772" s="106"/>
      <c r="B772" s="106"/>
      <c r="C772" s="106"/>
      <c r="D772" s="106"/>
      <c r="E772" s="106"/>
      <c r="F772" s="106"/>
      <c r="G772" s="110"/>
      <c r="H772" s="106"/>
      <c r="I772" s="110"/>
      <c r="J772" s="106"/>
      <c r="K772" s="106"/>
      <c r="L772" s="106"/>
      <c r="M772" s="106"/>
      <c r="N772" s="106"/>
      <c r="O772" s="106"/>
      <c r="P772" s="106"/>
      <c r="Q772" s="106"/>
      <c r="R772" s="106"/>
      <c r="S772" s="106"/>
      <c r="T772" s="106"/>
      <c r="U772" s="106"/>
      <c r="V772" s="106"/>
      <c r="W772" s="106"/>
      <c r="X772" s="106"/>
      <c r="Y772" s="106"/>
      <c r="Z772" s="106"/>
    </row>
    <row r="773" spans="1:26" ht="13.5" customHeight="1">
      <c r="A773" s="106"/>
      <c r="B773" s="106"/>
      <c r="C773" s="106"/>
      <c r="D773" s="106"/>
      <c r="E773" s="106"/>
      <c r="F773" s="106"/>
      <c r="G773" s="110"/>
      <c r="H773" s="106"/>
      <c r="I773" s="110"/>
      <c r="J773" s="106"/>
      <c r="K773" s="106"/>
      <c r="L773" s="106"/>
      <c r="M773" s="106"/>
      <c r="N773" s="106"/>
      <c r="O773" s="106"/>
      <c r="P773" s="106"/>
      <c r="Q773" s="106"/>
      <c r="R773" s="106"/>
      <c r="S773" s="106"/>
      <c r="T773" s="106"/>
      <c r="U773" s="106"/>
      <c r="V773" s="106"/>
      <c r="W773" s="106"/>
      <c r="X773" s="106"/>
      <c r="Y773" s="106"/>
      <c r="Z773" s="106"/>
    </row>
    <row r="774" spans="1:26" ht="13.5" customHeight="1">
      <c r="A774" s="106"/>
      <c r="B774" s="106"/>
      <c r="C774" s="106"/>
      <c r="D774" s="106"/>
      <c r="E774" s="106"/>
      <c r="F774" s="106"/>
      <c r="G774" s="110"/>
      <c r="H774" s="106"/>
      <c r="I774" s="110"/>
      <c r="J774" s="106"/>
      <c r="K774" s="106"/>
      <c r="L774" s="106"/>
      <c r="M774" s="106"/>
      <c r="N774" s="106"/>
      <c r="O774" s="106"/>
      <c r="P774" s="106"/>
      <c r="Q774" s="106"/>
      <c r="R774" s="106"/>
      <c r="S774" s="106"/>
      <c r="T774" s="106"/>
      <c r="U774" s="106"/>
      <c r="V774" s="106"/>
      <c r="W774" s="106"/>
      <c r="X774" s="106"/>
      <c r="Y774" s="106"/>
      <c r="Z774" s="106"/>
    </row>
    <row r="775" spans="1:26" ht="13.5" customHeight="1">
      <c r="A775" s="106"/>
      <c r="B775" s="106"/>
      <c r="C775" s="106"/>
      <c r="D775" s="106"/>
      <c r="E775" s="106"/>
      <c r="F775" s="106"/>
      <c r="G775" s="110"/>
      <c r="H775" s="106"/>
      <c r="I775" s="110"/>
      <c r="J775" s="106"/>
      <c r="K775" s="106"/>
      <c r="L775" s="106"/>
      <c r="M775" s="106"/>
      <c r="N775" s="106"/>
      <c r="O775" s="106"/>
      <c r="P775" s="106"/>
      <c r="Q775" s="106"/>
      <c r="R775" s="106"/>
      <c r="S775" s="106"/>
      <c r="T775" s="106"/>
      <c r="U775" s="106"/>
      <c r="V775" s="106"/>
      <c r="W775" s="106"/>
      <c r="X775" s="106"/>
      <c r="Y775" s="106"/>
      <c r="Z775" s="106"/>
    </row>
    <row r="776" spans="1:26" ht="13.5" customHeight="1">
      <c r="A776" s="106"/>
      <c r="B776" s="106"/>
      <c r="C776" s="106"/>
      <c r="D776" s="106"/>
      <c r="E776" s="106"/>
      <c r="F776" s="106"/>
      <c r="G776" s="110"/>
      <c r="H776" s="106"/>
      <c r="I776" s="110"/>
      <c r="J776" s="106"/>
      <c r="K776" s="106"/>
      <c r="L776" s="106"/>
      <c r="M776" s="106"/>
      <c r="N776" s="106"/>
      <c r="O776" s="106"/>
      <c r="P776" s="106"/>
      <c r="Q776" s="106"/>
      <c r="R776" s="106"/>
      <c r="S776" s="106"/>
      <c r="T776" s="106"/>
      <c r="U776" s="106"/>
      <c r="V776" s="106"/>
      <c r="W776" s="106"/>
      <c r="X776" s="106"/>
      <c r="Y776" s="106"/>
      <c r="Z776" s="106"/>
    </row>
    <row r="777" spans="1:26" ht="13.5" customHeight="1">
      <c r="A777" s="106"/>
      <c r="B777" s="106"/>
      <c r="C777" s="106"/>
      <c r="D777" s="106"/>
      <c r="E777" s="106"/>
      <c r="F777" s="106"/>
      <c r="G777" s="110"/>
      <c r="H777" s="106"/>
      <c r="I777" s="110"/>
      <c r="J777" s="106"/>
      <c r="K777" s="106"/>
      <c r="L777" s="106"/>
      <c r="M777" s="106"/>
      <c r="N777" s="106"/>
      <c r="O777" s="106"/>
      <c r="P777" s="106"/>
      <c r="Q777" s="106"/>
      <c r="R777" s="106"/>
      <c r="S777" s="106"/>
      <c r="T777" s="106"/>
      <c r="U777" s="106"/>
      <c r="V777" s="106"/>
      <c r="W777" s="106"/>
      <c r="X777" s="106"/>
      <c r="Y777" s="106"/>
      <c r="Z777" s="106"/>
    </row>
    <row r="778" spans="1:26" ht="13.5" customHeight="1">
      <c r="A778" s="106"/>
      <c r="B778" s="106"/>
      <c r="C778" s="106"/>
      <c r="D778" s="106"/>
      <c r="E778" s="106"/>
      <c r="F778" s="106"/>
      <c r="G778" s="110"/>
      <c r="H778" s="106"/>
      <c r="I778" s="110"/>
      <c r="J778" s="106"/>
      <c r="K778" s="106"/>
      <c r="L778" s="106"/>
      <c r="M778" s="106"/>
      <c r="N778" s="106"/>
      <c r="O778" s="106"/>
      <c r="P778" s="106"/>
      <c r="Q778" s="106"/>
      <c r="R778" s="106"/>
      <c r="S778" s="106"/>
      <c r="T778" s="106"/>
      <c r="U778" s="106"/>
      <c r="V778" s="106"/>
      <c r="W778" s="106"/>
      <c r="X778" s="106"/>
      <c r="Y778" s="106"/>
      <c r="Z778" s="106"/>
    </row>
    <row r="779" spans="1:26" ht="13.5" customHeight="1">
      <c r="A779" s="106"/>
      <c r="B779" s="106"/>
      <c r="C779" s="106"/>
      <c r="D779" s="106"/>
      <c r="E779" s="106"/>
      <c r="F779" s="106"/>
      <c r="G779" s="110"/>
      <c r="H779" s="106"/>
      <c r="I779" s="110"/>
      <c r="J779" s="106"/>
      <c r="K779" s="106"/>
      <c r="L779" s="106"/>
      <c r="M779" s="106"/>
      <c r="N779" s="106"/>
      <c r="O779" s="106"/>
      <c r="P779" s="106"/>
      <c r="Q779" s="106"/>
      <c r="R779" s="106"/>
      <c r="S779" s="106"/>
      <c r="T779" s="106"/>
      <c r="U779" s="106"/>
      <c r="V779" s="106"/>
      <c r="W779" s="106"/>
      <c r="X779" s="106"/>
      <c r="Y779" s="106"/>
      <c r="Z779" s="106"/>
    </row>
    <row r="780" spans="1:26" ht="13.5" customHeight="1">
      <c r="A780" s="106"/>
      <c r="B780" s="106"/>
      <c r="C780" s="106"/>
      <c r="D780" s="106"/>
      <c r="E780" s="106"/>
      <c r="F780" s="106"/>
      <c r="G780" s="110"/>
      <c r="H780" s="106"/>
      <c r="I780" s="110"/>
      <c r="J780" s="106"/>
      <c r="K780" s="106"/>
      <c r="L780" s="106"/>
      <c r="M780" s="106"/>
      <c r="N780" s="106"/>
      <c r="O780" s="106"/>
      <c r="P780" s="106"/>
      <c r="Q780" s="106"/>
      <c r="R780" s="106"/>
      <c r="S780" s="106"/>
      <c r="T780" s="106"/>
      <c r="U780" s="106"/>
      <c r="V780" s="106"/>
      <c r="W780" s="106"/>
      <c r="X780" s="106"/>
      <c r="Y780" s="106"/>
      <c r="Z780" s="106"/>
    </row>
    <row r="781" spans="1:26" ht="13.5" customHeight="1">
      <c r="A781" s="106"/>
      <c r="B781" s="106"/>
      <c r="C781" s="106"/>
      <c r="D781" s="106"/>
      <c r="E781" s="106"/>
      <c r="F781" s="106"/>
      <c r="G781" s="110"/>
      <c r="H781" s="106"/>
      <c r="I781" s="110"/>
      <c r="J781" s="106"/>
      <c r="K781" s="106"/>
      <c r="L781" s="106"/>
      <c r="M781" s="106"/>
      <c r="N781" s="106"/>
      <c r="O781" s="106"/>
      <c r="P781" s="106"/>
      <c r="Q781" s="106"/>
      <c r="R781" s="106"/>
      <c r="S781" s="106"/>
      <c r="T781" s="106"/>
      <c r="U781" s="106"/>
      <c r="V781" s="106"/>
      <c r="W781" s="106"/>
      <c r="X781" s="106"/>
      <c r="Y781" s="106"/>
      <c r="Z781" s="106"/>
    </row>
    <row r="782" spans="1:26" ht="13.5" customHeight="1">
      <c r="A782" s="106"/>
      <c r="B782" s="106"/>
      <c r="C782" s="106"/>
      <c r="D782" s="106"/>
      <c r="E782" s="106"/>
      <c r="F782" s="106"/>
      <c r="G782" s="110"/>
      <c r="H782" s="106"/>
      <c r="I782" s="110"/>
      <c r="J782" s="106"/>
      <c r="K782" s="106"/>
      <c r="L782" s="106"/>
      <c r="M782" s="106"/>
      <c r="N782" s="106"/>
      <c r="O782" s="106"/>
      <c r="P782" s="106"/>
      <c r="Q782" s="106"/>
      <c r="R782" s="106"/>
      <c r="S782" s="106"/>
      <c r="T782" s="106"/>
      <c r="U782" s="106"/>
      <c r="V782" s="106"/>
      <c r="W782" s="106"/>
      <c r="X782" s="106"/>
      <c r="Y782" s="106"/>
      <c r="Z782" s="106"/>
    </row>
    <row r="783" spans="1:26" ht="13.5" customHeight="1">
      <c r="A783" s="106"/>
      <c r="B783" s="106"/>
      <c r="C783" s="106"/>
      <c r="D783" s="106"/>
      <c r="E783" s="106"/>
      <c r="F783" s="106"/>
      <c r="G783" s="110"/>
      <c r="H783" s="106"/>
      <c r="I783" s="110"/>
      <c r="J783" s="106"/>
      <c r="K783" s="106"/>
      <c r="L783" s="106"/>
      <c r="M783" s="106"/>
      <c r="N783" s="106"/>
      <c r="O783" s="106"/>
      <c r="P783" s="106"/>
      <c r="Q783" s="106"/>
      <c r="R783" s="106"/>
      <c r="S783" s="106"/>
      <c r="T783" s="106"/>
      <c r="U783" s="106"/>
      <c r="V783" s="106"/>
      <c r="W783" s="106"/>
      <c r="X783" s="106"/>
      <c r="Y783" s="106"/>
      <c r="Z783" s="106"/>
    </row>
    <row r="784" spans="1:26" ht="13.5" customHeight="1">
      <c r="A784" s="106"/>
      <c r="B784" s="106"/>
      <c r="C784" s="106"/>
      <c r="D784" s="106"/>
      <c r="E784" s="106"/>
      <c r="F784" s="106"/>
      <c r="G784" s="110"/>
      <c r="H784" s="106"/>
      <c r="I784" s="110"/>
      <c r="J784" s="106"/>
      <c r="K784" s="106"/>
      <c r="L784" s="106"/>
      <c r="M784" s="106"/>
      <c r="N784" s="106"/>
      <c r="O784" s="106"/>
      <c r="P784" s="106"/>
      <c r="Q784" s="106"/>
      <c r="R784" s="106"/>
      <c r="S784" s="106"/>
      <c r="T784" s="106"/>
      <c r="U784" s="106"/>
      <c r="V784" s="106"/>
      <c r="W784" s="106"/>
      <c r="X784" s="106"/>
      <c r="Y784" s="106"/>
      <c r="Z784" s="106"/>
    </row>
    <row r="785" spans="1:26" ht="13.5" customHeight="1">
      <c r="A785" s="106"/>
      <c r="B785" s="106"/>
      <c r="C785" s="106"/>
      <c r="D785" s="106"/>
      <c r="E785" s="106"/>
      <c r="F785" s="106"/>
      <c r="G785" s="110"/>
      <c r="H785" s="106"/>
      <c r="I785" s="110"/>
      <c r="J785" s="106"/>
      <c r="K785" s="106"/>
      <c r="L785" s="106"/>
      <c r="M785" s="106"/>
      <c r="N785" s="106"/>
      <c r="O785" s="106"/>
      <c r="P785" s="106"/>
      <c r="Q785" s="106"/>
      <c r="R785" s="106"/>
      <c r="S785" s="106"/>
      <c r="T785" s="106"/>
      <c r="U785" s="106"/>
      <c r="V785" s="106"/>
      <c r="W785" s="106"/>
      <c r="X785" s="106"/>
      <c r="Y785" s="106"/>
      <c r="Z785" s="106"/>
    </row>
    <row r="786" spans="1:26" ht="13.5" customHeight="1">
      <c r="A786" s="106"/>
      <c r="B786" s="106"/>
      <c r="C786" s="106"/>
      <c r="D786" s="106"/>
      <c r="E786" s="106"/>
      <c r="F786" s="106"/>
      <c r="G786" s="110"/>
      <c r="H786" s="106"/>
      <c r="I786" s="110"/>
      <c r="J786" s="106"/>
      <c r="K786" s="106"/>
      <c r="L786" s="106"/>
      <c r="M786" s="106"/>
      <c r="N786" s="106"/>
      <c r="O786" s="106"/>
      <c r="P786" s="106"/>
      <c r="Q786" s="106"/>
      <c r="R786" s="106"/>
      <c r="S786" s="106"/>
      <c r="T786" s="106"/>
      <c r="U786" s="106"/>
      <c r="V786" s="106"/>
      <c r="W786" s="106"/>
      <c r="X786" s="106"/>
      <c r="Y786" s="106"/>
      <c r="Z786" s="106"/>
    </row>
    <row r="787" spans="1:26" ht="13.5" customHeight="1">
      <c r="A787" s="106"/>
      <c r="B787" s="106"/>
      <c r="C787" s="106"/>
      <c r="D787" s="106"/>
      <c r="E787" s="106"/>
      <c r="F787" s="106"/>
      <c r="G787" s="110"/>
      <c r="H787" s="106"/>
      <c r="I787" s="110"/>
      <c r="J787" s="106"/>
      <c r="K787" s="106"/>
      <c r="L787" s="106"/>
      <c r="M787" s="106"/>
      <c r="N787" s="106"/>
      <c r="O787" s="106"/>
      <c r="P787" s="106"/>
      <c r="Q787" s="106"/>
      <c r="R787" s="106"/>
      <c r="S787" s="106"/>
      <c r="T787" s="106"/>
      <c r="U787" s="106"/>
      <c r="V787" s="106"/>
      <c r="W787" s="106"/>
      <c r="X787" s="106"/>
      <c r="Y787" s="106"/>
      <c r="Z787" s="106"/>
    </row>
    <row r="788" spans="1:26" ht="13.5" customHeight="1">
      <c r="A788" s="106"/>
      <c r="B788" s="106"/>
      <c r="C788" s="106"/>
      <c r="D788" s="106"/>
      <c r="E788" s="106"/>
      <c r="F788" s="106"/>
      <c r="G788" s="110"/>
      <c r="H788" s="106"/>
      <c r="I788" s="110"/>
      <c r="J788" s="106"/>
      <c r="K788" s="106"/>
      <c r="L788" s="106"/>
      <c r="M788" s="106"/>
      <c r="N788" s="106"/>
      <c r="O788" s="106"/>
      <c r="P788" s="106"/>
      <c r="Q788" s="106"/>
      <c r="R788" s="106"/>
      <c r="S788" s="106"/>
      <c r="T788" s="106"/>
      <c r="U788" s="106"/>
      <c r="V788" s="106"/>
      <c r="W788" s="106"/>
      <c r="X788" s="106"/>
      <c r="Y788" s="106"/>
      <c r="Z788" s="106"/>
    </row>
    <row r="789" spans="1:26" ht="13.5" customHeight="1">
      <c r="A789" s="106"/>
      <c r="B789" s="106"/>
      <c r="C789" s="106"/>
      <c r="D789" s="106"/>
      <c r="E789" s="106"/>
      <c r="F789" s="106"/>
      <c r="G789" s="110"/>
      <c r="H789" s="106"/>
      <c r="I789" s="110"/>
      <c r="J789" s="106"/>
      <c r="K789" s="106"/>
      <c r="L789" s="106"/>
      <c r="M789" s="106"/>
      <c r="N789" s="106"/>
      <c r="O789" s="106"/>
      <c r="P789" s="106"/>
      <c r="Q789" s="106"/>
      <c r="R789" s="106"/>
      <c r="S789" s="106"/>
      <c r="T789" s="106"/>
      <c r="U789" s="106"/>
      <c r="V789" s="106"/>
      <c r="W789" s="106"/>
      <c r="X789" s="106"/>
      <c r="Y789" s="106"/>
      <c r="Z789" s="106"/>
    </row>
    <row r="790" spans="1:26" ht="13.5" customHeight="1">
      <c r="A790" s="106"/>
      <c r="B790" s="106"/>
      <c r="C790" s="106"/>
      <c r="D790" s="106"/>
      <c r="E790" s="106"/>
      <c r="F790" s="106"/>
      <c r="G790" s="110"/>
      <c r="H790" s="106"/>
      <c r="I790" s="110"/>
      <c r="J790" s="106"/>
      <c r="K790" s="106"/>
      <c r="L790" s="106"/>
      <c r="M790" s="106"/>
      <c r="N790" s="106"/>
      <c r="O790" s="106"/>
      <c r="P790" s="106"/>
      <c r="Q790" s="106"/>
      <c r="R790" s="106"/>
      <c r="S790" s="106"/>
      <c r="T790" s="106"/>
      <c r="U790" s="106"/>
      <c r="V790" s="106"/>
      <c r="W790" s="106"/>
      <c r="X790" s="106"/>
      <c r="Y790" s="106"/>
      <c r="Z790" s="106"/>
    </row>
    <row r="791" spans="1:26" ht="13.5" customHeight="1">
      <c r="A791" s="106"/>
      <c r="B791" s="106"/>
      <c r="C791" s="106"/>
      <c r="D791" s="106"/>
      <c r="E791" s="106"/>
      <c r="F791" s="106"/>
      <c r="G791" s="110"/>
      <c r="H791" s="106"/>
      <c r="I791" s="110"/>
      <c r="J791" s="106"/>
      <c r="K791" s="106"/>
      <c r="L791" s="106"/>
      <c r="M791" s="106"/>
      <c r="N791" s="106"/>
      <c r="O791" s="106"/>
      <c r="P791" s="106"/>
      <c r="Q791" s="106"/>
      <c r="R791" s="106"/>
      <c r="S791" s="106"/>
      <c r="T791" s="106"/>
      <c r="U791" s="106"/>
      <c r="V791" s="106"/>
      <c r="W791" s="106"/>
      <c r="X791" s="106"/>
      <c r="Y791" s="106"/>
      <c r="Z791" s="106"/>
    </row>
    <row r="792" spans="1:26" ht="13.5" customHeight="1">
      <c r="A792" s="106"/>
      <c r="B792" s="106"/>
      <c r="C792" s="106"/>
      <c r="D792" s="106"/>
      <c r="E792" s="106"/>
      <c r="F792" s="106"/>
      <c r="G792" s="110"/>
      <c r="H792" s="106"/>
      <c r="I792" s="110"/>
      <c r="J792" s="106"/>
      <c r="K792" s="106"/>
      <c r="L792" s="106"/>
      <c r="M792" s="106"/>
      <c r="N792" s="106"/>
      <c r="O792" s="106"/>
      <c r="P792" s="106"/>
      <c r="Q792" s="106"/>
      <c r="R792" s="106"/>
      <c r="S792" s="106"/>
      <c r="T792" s="106"/>
      <c r="U792" s="106"/>
      <c r="V792" s="106"/>
      <c r="W792" s="106"/>
      <c r="X792" s="106"/>
      <c r="Y792" s="106"/>
      <c r="Z792" s="106"/>
    </row>
    <row r="793" spans="1:26" ht="13.5" customHeight="1">
      <c r="A793" s="106"/>
      <c r="B793" s="106"/>
      <c r="C793" s="106"/>
      <c r="D793" s="106"/>
      <c r="E793" s="106"/>
      <c r="F793" s="106"/>
      <c r="G793" s="110"/>
      <c r="H793" s="106"/>
      <c r="I793" s="110"/>
      <c r="J793" s="106"/>
      <c r="K793" s="106"/>
      <c r="L793" s="106"/>
      <c r="M793" s="106"/>
      <c r="N793" s="106"/>
      <c r="O793" s="106"/>
      <c r="P793" s="106"/>
      <c r="Q793" s="106"/>
      <c r="R793" s="106"/>
      <c r="S793" s="106"/>
      <c r="T793" s="106"/>
      <c r="U793" s="106"/>
      <c r="V793" s="106"/>
      <c r="W793" s="106"/>
      <c r="X793" s="106"/>
      <c r="Y793" s="106"/>
      <c r="Z793" s="106"/>
    </row>
    <row r="794" spans="1:26" ht="13.5" customHeight="1">
      <c r="A794" s="106"/>
      <c r="B794" s="106"/>
      <c r="C794" s="106"/>
      <c r="D794" s="106"/>
      <c r="E794" s="106"/>
      <c r="F794" s="106"/>
      <c r="G794" s="110"/>
      <c r="H794" s="106"/>
      <c r="I794" s="110"/>
      <c r="J794" s="106"/>
      <c r="K794" s="106"/>
      <c r="L794" s="106"/>
      <c r="M794" s="106"/>
      <c r="N794" s="106"/>
      <c r="O794" s="106"/>
      <c r="P794" s="106"/>
      <c r="Q794" s="106"/>
      <c r="R794" s="106"/>
      <c r="S794" s="106"/>
      <c r="T794" s="106"/>
      <c r="U794" s="106"/>
      <c r="V794" s="106"/>
      <c r="W794" s="106"/>
      <c r="X794" s="106"/>
      <c r="Y794" s="106"/>
      <c r="Z794" s="106"/>
    </row>
    <row r="795" spans="1:26" ht="13.5" customHeight="1">
      <c r="A795" s="106"/>
      <c r="B795" s="106"/>
      <c r="C795" s="106"/>
      <c r="D795" s="106"/>
      <c r="E795" s="106"/>
      <c r="F795" s="106"/>
      <c r="G795" s="110"/>
      <c r="H795" s="106"/>
      <c r="I795" s="110"/>
      <c r="J795" s="106"/>
      <c r="K795" s="106"/>
      <c r="L795" s="106"/>
      <c r="M795" s="106"/>
      <c r="N795" s="106"/>
      <c r="O795" s="106"/>
      <c r="P795" s="106"/>
      <c r="Q795" s="106"/>
      <c r="R795" s="106"/>
      <c r="S795" s="106"/>
      <c r="T795" s="106"/>
      <c r="U795" s="106"/>
      <c r="V795" s="106"/>
      <c r="W795" s="106"/>
      <c r="X795" s="106"/>
      <c r="Y795" s="106"/>
      <c r="Z795" s="106"/>
    </row>
    <row r="796" spans="1:26" ht="13.5" customHeight="1">
      <c r="A796" s="106"/>
      <c r="B796" s="106"/>
      <c r="C796" s="106"/>
      <c r="D796" s="106"/>
      <c r="E796" s="106"/>
      <c r="F796" s="106"/>
      <c r="G796" s="110"/>
      <c r="H796" s="106"/>
      <c r="I796" s="110"/>
      <c r="J796" s="106"/>
      <c r="K796" s="106"/>
      <c r="L796" s="106"/>
      <c r="M796" s="106"/>
      <c r="N796" s="106"/>
      <c r="O796" s="106"/>
      <c r="P796" s="106"/>
      <c r="Q796" s="106"/>
      <c r="R796" s="106"/>
      <c r="S796" s="106"/>
      <c r="T796" s="106"/>
      <c r="U796" s="106"/>
      <c r="V796" s="106"/>
      <c r="W796" s="106"/>
      <c r="X796" s="106"/>
      <c r="Y796" s="106"/>
      <c r="Z796" s="106"/>
    </row>
    <row r="797" spans="1:26" ht="13.5" customHeight="1">
      <c r="A797" s="106"/>
      <c r="B797" s="106"/>
      <c r="C797" s="106"/>
      <c r="D797" s="106"/>
      <c r="E797" s="106"/>
      <c r="F797" s="106"/>
      <c r="G797" s="110"/>
      <c r="H797" s="106"/>
      <c r="I797" s="110"/>
      <c r="J797" s="106"/>
      <c r="K797" s="106"/>
      <c r="L797" s="106"/>
      <c r="M797" s="106"/>
      <c r="N797" s="106"/>
      <c r="O797" s="106"/>
      <c r="P797" s="106"/>
      <c r="Q797" s="106"/>
      <c r="R797" s="106"/>
      <c r="S797" s="106"/>
      <c r="T797" s="106"/>
      <c r="U797" s="106"/>
      <c r="V797" s="106"/>
      <c r="W797" s="106"/>
      <c r="X797" s="106"/>
      <c r="Y797" s="106"/>
      <c r="Z797" s="106"/>
    </row>
    <row r="798" spans="1:26" ht="13.5" customHeight="1">
      <c r="A798" s="106"/>
      <c r="B798" s="106"/>
      <c r="C798" s="106"/>
      <c r="D798" s="106"/>
      <c r="E798" s="106"/>
      <c r="F798" s="106"/>
      <c r="G798" s="110"/>
      <c r="H798" s="106"/>
      <c r="I798" s="110"/>
      <c r="J798" s="106"/>
      <c r="K798" s="106"/>
      <c r="L798" s="106"/>
      <c r="M798" s="106"/>
      <c r="N798" s="106"/>
      <c r="O798" s="106"/>
      <c r="P798" s="106"/>
      <c r="Q798" s="106"/>
      <c r="R798" s="106"/>
      <c r="S798" s="106"/>
      <c r="T798" s="106"/>
      <c r="U798" s="106"/>
      <c r="V798" s="106"/>
      <c r="W798" s="106"/>
      <c r="X798" s="106"/>
      <c r="Y798" s="106"/>
      <c r="Z798" s="106"/>
    </row>
    <row r="799" spans="1:26" ht="13.5" customHeight="1">
      <c r="A799" s="106"/>
      <c r="B799" s="106"/>
      <c r="C799" s="106"/>
      <c r="D799" s="106"/>
      <c r="E799" s="106"/>
      <c r="F799" s="106"/>
      <c r="G799" s="110"/>
      <c r="H799" s="106"/>
      <c r="I799" s="110"/>
      <c r="J799" s="106"/>
      <c r="K799" s="106"/>
      <c r="L799" s="106"/>
      <c r="M799" s="106"/>
      <c r="N799" s="106"/>
      <c r="O799" s="106"/>
      <c r="P799" s="106"/>
      <c r="Q799" s="106"/>
      <c r="R799" s="106"/>
      <c r="S799" s="106"/>
      <c r="T799" s="106"/>
      <c r="U799" s="106"/>
      <c r="V799" s="106"/>
      <c r="W799" s="106"/>
      <c r="X799" s="106"/>
      <c r="Y799" s="106"/>
      <c r="Z799" s="106"/>
    </row>
    <row r="800" spans="1:26" ht="13.5" customHeight="1">
      <c r="A800" s="106"/>
      <c r="B800" s="106"/>
      <c r="C800" s="106"/>
      <c r="D800" s="106"/>
      <c r="E800" s="106"/>
      <c r="F800" s="106"/>
      <c r="G800" s="110"/>
      <c r="H800" s="106"/>
      <c r="I800" s="110"/>
      <c r="J800" s="106"/>
      <c r="K800" s="106"/>
      <c r="L800" s="106"/>
      <c r="M800" s="106"/>
      <c r="N800" s="106"/>
      <c r="O800" s="106"/>
      <c r="P800" s="106"/>
      <c r="Q800" s="106"/>
      <c r="R800" s="106"/>
      <c r="S800" s="106"/>
      <c r="T800" s="106"/>
      <c r="U800" s="106"/>
      <c r="V800" s="106"/>
      <c r="W800" s="106"/>
      <c r="X800" s="106"/>
      <c r="Y800" s="106"/>
      <c r="Z800" s="106"/>
    </row>
    <row r="801" spans="1:26" ht="13.5" customHeight="1">
      <c r="A801" s="106"/>
      <c r="B801" s="106"/>
      <c r="C801" s="106"/>
      <c r="D801" s="106"/>
      <c r="E801" s="106"/>
      <c r="F801" s="106"/>
      <c r="G801" s="110"/>
      <c r="H801" s="106"/>
      <c r="I801" s="110"/>
      <c r="J801" s="106"/>
      <c r="K801" s="106"/>
      <c r="L801" s="106"/>
      <c r="M801" s="106"/>
      <c r="N801" s="106"/>
      <c r="O801" s="106"/>
      <c r="P801" s="106"/>
      <c r="Q801" s="106"/>
      <c r="R801" s="106"/>
      <c r="S801" s="106"/>
      <c r="T801" s="106"/>
      <c r="U801" s="106"/>
      <c r="V801" s="106"/>
      <c r="W801" s="106"/>
      <c r="X801" s="106"/>
      <c r="Y801" s="106"/>
      <c r="Z801" s="106"/>
    </row>
    <row r="802" spans="1:26" ht="13.5" customHeight="1">
      <c r="A802" s="106"/>
      <c r="B802" s="106"/>
      <c r="C802" s="106"/>
      <c r="D802" s="106"/>
      <c r="E802" s="106"/>
      <c r="F802" s="106"/>
      <c r="G802" s="110"/>
      <c r="H802" s="106"/>
      <c r="I802" s="110"/>
      <c r="J802" s="106"/>
      <c r="K802" s="106"/>
      <c r="L802" s="106"/>
      <c r="M802" s="106"/>
      <c r="N802" s="106"/>
      <c r="O802" s="106"/>
      <c r="P802" s="106"/>
      <c r="Q802" s="106"/>
      <c r="R802" s="106"/>
      <c r="S802" s="106"/>
      <c r="T802" s="106"/>
      <c r="U802" s="106"/>
      <c r="V802" s="106"/>
      <c r="W802" s="106"/>
      <c r="X802" s="106"/>
      <c r="Y802" s="106"/>
      <c r="Z802" s="106"/>
    </row>
    <row r="803" spans="1:26" ht="13.5" customHeight="1">
      <c r="A803" s="106"/>
      <c r="B803" s="106"/>
      <c r="C803" s="106"/>
      <c r="D803" s="106"/>
      <c r="E803" s="106"/>
      <c r="F803" s="106"/>
      <c r="G803" s="110"/>
      <c r="H803" s="106"/>
      <c r="I803" s="110"/>
      <c r="J803" s="106"/>
      <c r="K803" s="106"/>
      <c r="L803" s="106"/>
      <c r="M803" s="106"/>
      <c r="N803" s="106"/>
      <c r="O803" s="106"/>
      <c r="P803" s="106"/>
      <c r="Q803" s="106"/>
      <c r="R803" s="106"/>
      <c r="S803" s="106"/>
      <c r="T803" s="106"/>
      <c r="U803" s="106"/>
      <c r="V803" s="106"/>
      <c r="W803" s="106"/>
      <c r="X803" s="106"/>
      <c r="Y803" s="106"/>
      <c r="Z803" s="106"/>
    </row>
    <row r="804" spans="1:26" ht="13.5" customHeight="1">
      <c r="A804" s="106"/>
      <c r="B804" s="106"/>
      <c r="C804" s="106"/>
      <c r="D804" s="106"/>
      <c r="E804" s="106"/>
      <c r="F804" s="106"/>
      <c r="G804" s="110"/>
      <c r="H804" s="106"/>
      <c r="I804" s="110"/>
      <c r="J804" s="106"/>
      <c r="K804" s="106"/>
      <c r="L804" s="106"/>
      <c r="M804" s="106"/>
      <c r="N804" s="106"/>
      <c r="O804" s="106"/>
      <c r="P804" s="106"/>
      <c r="Q804" s="106"/>
      <c r="R804" s="106"/>
      <c r="S804" s="106"/>
      <c r="T804" s="106"/>
      <c r="U804" s="106"/>
      <c r="V804" s="106"/>
      <c r="W804" s="106"/>
      <c r="X804" s="106"/>
      <c r="Y804" s="106"/>
      <c r="Z804" s="106"/>
    </row>
    <row r="805" spans="1:26" ht="13.5" customHeight="1">
      <c r="A805" s="106"/>
      <c r="B805" s="106"/>
      <c r="C805" s="106"/>
      <c r="D805" s="106"/>
      <c r="E805" s="106"/>
      <c r="F805" s="106"/>
      <c r="G805" s="110"/>
      <c r="H805" s="106"/>
      <c r="I805" s="110"/>
      <c r="J805" s="106"/>
      <c r="K805" s="106"/>
      <c r="L805" s="106"/>
      <c r="M805" s="106"/>
      <c r="N805" s="106"/>
      <c r="O805" s="106"/>
      <c r="P805" s="106"/>
      <c r="Q805" s="106"/>
      <c r="R805" s="106"/>
      <c r="S805" s="106"/>
      <c r="T805" s="106"/>
      <c r="U805" s="106"/>
      <c r="V805" s="106"/>
      <c r="W805" s="106"/>
      <c r="X805" s="106"/>
      <c r="Y805" s="106"/>
      <c r="Z805" s="106"/>
    </row>
    <row r="806" spans="1:26" ht="13.5" customHeight="1">
      <c r="A806" s="106"/>
      <c r="B806" s="106"/>
      <c r="C806" s="106"/>
      <c r="D806" s="106"/>
      <c r="E806" s="106"/>
      <c r="F806" s="106"/>
      <c r="G806" s="110"/>
      <c r="H806" s="106"/>
      <c r="I806" s="110"/>
      <c r="J806" s="106"/>
      <c r="K806" s="106"/>
      <c r="L806" s="106"/>
      <c r="M806" s="106"/>
      <c r="N806" s="106"/>
      <c r="O806" s="106"/>
      <c r="P806" s="106"/>
      <c r="Q806" s="106"/>
      <c r="R806" s="106"/>
      <c r="S806" s="106"/>
      <c r="T806" s="106"/>
      <c r="U806" s="106"/>
      <c r="V806" s="106"/>
      <c r="W806" s="106"/>
      <c r="X806" s="106"/>
      <c r="Y806" s="106"/>
      <c r="Z806" s="106"/>
    </row>
    <row r="807" spans="1:26" ht="13.5" customHeight="1">
      <c r="A807" s="106"/>
      <c r="B807" s="106"/>
      <c r="C807" s="106"/>
      <c r="D807" s="106"/>
      <c r="E807" s="106"/>
      <c r="F807" s="106"/>
      <c r="G807" s="110"/>
      <c r="H807" s="106"/>
      <c r="I807" s="110"/>
      <c r="J807" s="106"/>
      <c r="K807" s="106"/>
      <c r="L807" s="106"/>
      <c r="M807" s="106"/>
      <c r="N807" s="106"/>
      <c r="O807" s="106"/>
      <c r="P807" s="106"/>
      <c r="Q807" s="106"/>
      <c r="R807" s="106"/>
      <c r="S807" s="106"/>
      <c r="T807" s="106"/>
      <c r="U807" s="106"/>
      <c r="V807" s="106"/>
      <c r="W807" s="106"/>
      <c r="X807" s="106"/>
      <c r="Y807" s="106"/>
      <c r="Z807" s="106"/>
    </row>
    <row r="808" spans="1:26" ht="13.5" customHeight="1">
      <c r="A808" s="106"/>
      <c r="B808" s="106"/>
      <c r="C808" s="106"/>
      <c r="D808" s="106"/>
      <c r="E808" s="106"/>
      <c r="F808" s="106"/>
      <c r="G808" s="110"/>
      <c r="H808" s="106"/>
      <c r="I808" s="110"/>
      <c r="J808" s="106"/>
      <c r="K808" s="106"/>
      <c r="L808" s="106"/>
      <c r="M808" s="106"/>
      <c r="N808" s="106"/>
      <c r="O808" s="106"/>
      <c r="P808" s="106"/>
      <c r="Q808" s="106"/>
      <c r="R808" s="106"/>
      <c r="S808" s="106"/>
      <c r="T808" s="106"/>
      <c r="U808" s="106"/>
      <c r="V808" s="106"/>
      <c r="W808" s="106"/>
      <c r="X808" s="106"/>
      <c r="Y808" s="106"/>
      <c r="Z808" s="106"/>
    </row>
    <row r="809" spans="1:26" ht="13.5" customHeight="1">
      <c r="A809" s="106"/>
      <c r="B809" s="106"/>
      <c r="C809" s="106"/>
      <c r="D809" s="106"/>
      <c r="E809" s="106"/>
      <c r="F809" s="106"/>
      <c r="G809" s="110"/>
      <c r="H809" s="106"/>
      <c r="I809" s="110"/>
      <c r="J809" s="106"/>
      <c r="K809" s="106"/>
      <c r="L809" s="106"/>
      <c r="M809" s="106"/>
      <c r="N809" s="106"/>
      <c r="O809" s="106"/>
      <c r="P809" s="106"/>
      <c r="Q809" s="106"/>
      <c r="R809" s="106"/>
      <c r="S809" s="106"/>
      <c r="T809" s="106"/>
      <c r="U809" s="106"/>
      <c r="V809" s="106"/>
      <c r="W809" s="106"/>
      <c r="X809" s="106"/>
      <c r="Y809" s="106"/>
      <c r="Z809" s="106"/>
    </row>
    <row r="810" spans="1:26" ht="13.5" customHeight="1">
      <c r="A810" s="106"/>
      <c r="B810" s="106"/>
      <c r="C810" s="106"/>
      <c r="D810" s="106"/>
      <c r="E810" s="106"/>
      <c r="F810" s="106"/>
      <c r="G810" s="110"/>
      <c r="H810" s="106"/>
      <c r="I810" s="110"/>
      <c r="J810" s="106"/>
      <c r="K810" s="106"/>
      <c r="L810" s="106"/>
      <c r="M810" s="106"/>
      <c r="N810" s="106"/>
      <c r="O810" s="106"/>
      <c r="P810" s="106"/>
      <c r="Q810" s="106"/>
      <c r="R810" s="106"/>
      <c r="S810" s="106"/>
      <c r="T810" s="106"/>
      <c r="U810" s="106"/>
      <c r="V810" s="106"/>
      <c r="W810" s="106"/>
      <c r="X810" s="106"/>
      <c r="Y810" s="106"/>
      <c r="Z810" s="106"/>
    </row>
    <row r="811" spans="1:26" ht="13.5" customHeight="1">
      <c r="A811" s="106"/>
      <c r="B811" s="106"/>
      <c r="C811" s="106"/>
      <c r="D811" s="106"/>
      <c r="E811" s="106"/>
      <c r="F811" s="106"/>
      <c r="G811" s="110"/>
      <c r="H811" s="106"/>
      <c r="I811" s="110"/>
      <c r="J811" s="106"/>
      <c r="K811" s="106"/>
      <c r="L811" s="106"/>
      <c r="M811" s="106"/>
      <c r="N811" s="106"/>
      <c r="O811" s="106"/>
      <c r="P811" s="106"/>
      <c r="Q811" s="106"/>
      <c r="R811" s="106"/>
      <c r="S811" s="106"/>
      <c r="T811" s="106"/>
      <c r="U811" s="106"/>
      <c r="V811" s="106"/>
      <c r="W811" s="106"/>
      <c r="X811" s="106"/>
      <c r="Y811" s="106"/>
      <c r="Z811" s="106"/>
    </row>
    <row r="812" spans="1:26" ht="13.5" customHeight="1">
      <c r="A812" s="106"/>
      <c r="B812" s="106"/>
      <c r="C812" s="106"/>
      <c r="D812" s="106"/>
      <c r="E812" s="106"/>
      <c r="F812" s="106"/>
      <c r="G812" s="110"/>
      <c r="H812" s="106"/>
      <c r="I812" s="110"/>
      <c r="J812" s="106"/>
      <c r="K812" s="106"/>
      <c r="L812" s="106"/>
      <c r="M812" s="106"/>
      <c r="N812" s="106"/>
      <c r="O812" s="106"/>
      <c r="P812" s="106"/>
      <c r="Q812" s="106"/>
      <c r="R812" s="106"/>
      <c r="S812" s="106"/>
      <c r="T812" s="106"/>
      <c r="U812" s="106"/>
      <c r="V812" s="106"/>
      <c r="W812" s="106"/>
      <c r="X812" s="106"/>
      <c r="Y812" s="106"/>
      <c r="Z812" s="106"/>
    </row>
    <row r="813" spans="1:26" ht="13.5" customHeight="1">
      <c r="A813" s="106"/>
      <c r="B813" s="106"/>
      <c r="C813" s="106"/>
      <c r="D813" s="106"/>
      <c r="E813" s="106"/>
      <c r="F813" s="106"/>
      <c r="G813" s="110"/>
      <c r="H813" s="106"/>
      <c r="I813" s="110"/>
      <c r="J813" s="106"/>
      <c r="K813" s="106"/>
      <c r="L813" s="106"/>
      <c r="M813" s="106"/>
      <c r="N813" s="106"/>
      <c r="O813" s="106"/>
      <c r="P813" s="106"/>
      <c r="Q813" s="106"/>
      <c r="R813" s="106"/>
      <c r="S813" s="106"/>
      <c r="T813" s="106"/>
      <c r="U813" s="106"/>
      <c r="V813" s="106"/>
      <c r="W813" s="106"/>
      <c r="X813" s="106"/>
      <c r="Y813" s="106"/>
      <c r="Z813" s="106"/>
    </row>
    <row r="814" spans="1:26" ht="13.5" customHeight="1">
      <c r="A814" s="106"/>
      <c r="B814" s="106"/>
      <c r="C814" s="106"/>
      <c r="D814" s="106"/>
      <c r="E814" s="106"/>
      <c r="F814" s="106"/>
      <c r="G814" s="110"/>
      <c r="H814" s="106"/>
      <c r="I814" s="110"/>
      <c r="J814" s="106"/>
      <c r="K814" s="106"/>
      <c r="L814" s="106"/>
      <c r="M814" s="106"/>
      <c r="N814" s="106"/>
      <c r="O814" s="106"/>
      <c r="P814" s="106"/>
      <c r="Q814" s="106"/>
      <c r="R814" s="106"/>
      <c r="S814" s="106"/>
      <c r="T814" s="106"/>
      <c r="U814" s="106"/>
      <c r="V814" s="106"/>
      <c r="W814" s="106"/>
      <c r="X814" s="106"/>
      <c r="Y814" s="106"/>
      <c r="Z814" s="106"/>
    </row>
    <row r="815" spans="1:26" ht="13.5" customHeight="1">
      <c r="A815" s="106"/>
      <c r="B815" s="106"/>
      <c r="C815" s="106"/>
      <c r="D815" s="106"/>
      <c r="E815" s="106"/>
      <c r="F815" s="106"/>
      <c r="G815" s="110"/>
      <c r="H815" s="106"/>
      <c r="I815" s="110"/>
      <c r="J815" s="106"/>
      <c r="K815" s="106"/>
      <c r="L815" s="106"/>
      <c r="M815" s="106"/>
      <c r="N815" s="106"/>
      <c r="O815" s="106"/>
      <c r="P815" s="106"/>
      <c r="Q815" s="106"/>
      <c r="R815" s="106"/>
      <c r="S815" s="106"/>
      <c r="T815" s="106"/>
      <c r="U815" s="106"/>
      <c r="V815" s="106"/>
      <c r="W815" s="106"/>
      <c r="X815" s="106"/>
      <c r="Y815" s="106"/>
      <c r="Z815" s="106"/>
    </row>
    <row r="816" spans="1:26" ht="13.5" customHeight="1">
      <c r="A816" s="106"/>
      <c r="B816" s="106"/>
      <c r="C816" s="106"/>
      <c r="D816" s="106"/>
      <c r="E816" s="106"/>
      <c r="F816" s="106"/>
      <c r="G816" s="110"/>
      <c r="H816" s="106"/>
      <c r="I816" s="110"/>
      <c r="J816" s="106"/>
      <c r="K816" s="106"/>
      <c r="L816" s="106"/>
      <c r="M816" s="106"/>
      <c r="N816" s="106"/>
      <c r="O816" s="106"/>
      <c r="P816" s="106"/>
      <c r="Q816" s="106"/>
      <c r="R816" s="106"/>
      <c r="S816" s="106"/>
      <c r="T816" s="106"/>
      <c r="U816" s="106"/>
      <c r="V816" s="106"/>
      <c r="W816" s="106"/>
      <c r="X816" s="106"/>
      <c r="Y816" s="106"/>
      <c r="Z816" s="106"/>
    </row>
    <row r="817" spans="1:26" ht="13.5" customHeight="1">
      <c r="A817" s="106"/>
      <c r="B817" s="106"/>
      <c r="C817" s="106"/>
      <c r="D817" s="106"/>
      <c r="E817" s="106"/>
      <c r="F817" s="106"/>
      <c r="G817" s="110"/>
      <c r="H817" s="106"/>
      <c r="I817" s="110"/>
      <c r="J817" s="106"/>
      <c r="K817" s="106"/>
      <c r="L817" s="106"/>
      <c r="M817" s="106"/>
      <c r="N817" s="106"/>
      <c r="O817" s="106"/>
      <c r="P817" s="106"/>
      <c r="Q817" s="106"/>
      <c r="R817" s="106"/>
      <c r="S817" s="106"/>
      <c r="T817" s="106"/>
      <c r="U817" s="106"/>
      <c r="V817" s="106"/>
      <c r="W817" s="106"/>
      <c r="X817" s="106"/>
      <c r="Y817" s="106"/>
      <c r="Z817" s="106"/>
    </row>
    <row r="818" spans="1:26" ht="13.5" customHeight="1">
      <c r="A818" s="106"/>
      <c r="B818" s="106"/>
      <c r="C818" s="106"/>
      <c r="D818" s="106"/>
      <c r="E818" s="106"/>
      <c r="F818" s="106"/>
      <c r="G818" s="110"/>
      <c r="H818" s="106"/>
      <c r="I818" s="110"/>
      <c r="J818" s="106"/>
      <c r="K818" s="106"/>
      <c r="L818" s="106"/>
      <c r="M818" s="106"/>
      <c r="N818" s="106"/>
      <c r="O818" s="106"/>
      <c r="P818" s="106"/>
      <c r="Q818" s="106"/>
      <c r="R818" s="106"/>
      <c r="S818" s="106"/>
      <c r="T818" s="106"/>
      <c r="U818" s="106"/>
      <c r="V818" s="106"/>
      <c r="W818" s="106"/>
      <c r="X818" s="106"/>
      <c r="Y818" s="106"/>
      <c r="Z818" s="106"/>
    </row>
    <row r="819" spans="1:26" ht="13.5" customHeight="1">
      <c r="A819" s="106"/>
      <c r="B819" s="106"/>
      <c r="C819" s="106"/>
      <c r="D819" s="106"/>
      <c r="E819" s="106"/>
      <c r="F819" s="106"/>
      <c r="G819" s="110"/>
      <c r="H819" s="106"/>
      <c r="I819" s="110"/>
      <c r="J819" s="106"/>
      <c r="K819" s="106"/>
      <c r="L819" s="106"/>
      <c r="M819" s="106"/>
      <c r="N819" s="106"/>
      <c r="O819" s="106"/>
      <c r="P819" s="106"/>
      <c r="Q819" s="106"/>
      <c r="R819" s="106"/>
      <c r="S819" s="106"/>
      <c r="T819" s="106"/>
      <c r="U819" s="106"/>
      <c r="V819" s="106"/>
      <c r="W819" s="106"/>
      <c r="X819" s="106"/>
      <c r="Y819" s="106"/>
      <c r="Z819" s="106"/>
    </row>
    <row r="820" spans="1:26" ht="13.5" customHeight="1">
      <c r="A820" s="106"/>
      <c r="B820" s="106"/>
      <c r="C820" s="106"/>
      <c r="D820" s="106"/>
      <c r="E820" s="106"/>
      <c r="F820" s="106"/>
      <c r="G820" s="110"/>
      <c r="H820" s="106"/>
      <c r="I820" s="110"/>
      <c r="J820" s="106"/>
      <c r="K820" s="106"/>
      <c r="L820" s="106"/>
      <c r="M820" s="106"/>
      <c r="N820" s="106"/>
      <c r="O820" s="106"/>
      <c r="P820" s="106"/>
      <c r="Q820" s="106"/>
      <c r="R820" s="106"/>
      <c r="S820" s="106"/>
      <c r="T820" s="106"/>
      <c r="U820" s="106"/>
      <c r="V820" s="106"/>
      <c r="W820" s="106"/>
      <c r="X820" s="106"/>
      <c r="Y820" s="106"/>
      <c r="Z820" s="106"/>
    </row>
    <row r="821" spans="1:26" ht="13.5" customHeight="1">
      <c r="A821" s="106"/>
      <c r="B821" s="106"/>
      <c r="C821" s="106"/>
      <c r="D821" s="106"/>
      <c r="E821" s="106"/>
      <c r="F821" s="106"/>
      <c r="G821" s="110"/>
      <c r="H821" s="106"/>
      <c r="I821" s="110"/>
      <c r="J821" s="106"/>
      <c r="K821" s="106"/>
      <c r="L821" s="106"/>
      <c r="M821" s="106"/>
      <c r="N821" s="106"/>
      <c r="O821" s="106"/>
      <c r="P821" s="106"/>
      <c r="Q821" s="106"/>
      <c r="R821" s="106"/>
      <c r="S821" s="106"/>
      <c r="T821" s="106"/>
      <c r="U821" s="106"/>
      <c r="V821" s="106"/>
      <c r="W821" s="106"/>
      <c r="X821" s="106"/>
      <c r="Y821" s="106"/>
      <c r="Z821" s="106"/>
    </row>
    <row r="822" spans="1:26" ht="13.5" customHeight="1">
      <c r="A822" s="106"/>
      <c r="B822" s="106"/>
      <c r="C822" s="106"/>
      <c r="D822" s="106"/>
      <c r="E822" s="106"/>
      <c r="F822" s="106"/>
      <c r="G822" s="110"/>
      <c r="H822" s="106"/>
      <c r="I822" s="110"/>
      <c r="J822" s="106"/>
      <c r="K822" s="106"/>
      <c r="L822" s="106"/>
      <c r="M822" s="106"/>
      <c r="N822" s="106"/>
      <c r="O822" s="106"/>
      <c r="P822" s="106"/>
      <c r="Q822" s="106"/>
      <c r="R822" s="106"/>
      <c r="S822" s="106"/>
      <c r="T822" s="106"/>
      <c r="U822" s="106"/>
      <c r="V822" s="106"/>
      <c r="W822" s="106"/>
      <c r="X822" s="106"/>
      <c r="Y822" s="106"/>
      <c r="Z822" s="106"/>
    </row>
    <row r="823" spans="1:26" ht="13.5" customHeight="1">
      <c r="A823" s="106"/>
      <c r="B823" s="106"/>
      <c r="C823" s="106"/>
      <c r="D823" s="106"/>
      <c r="E823" s="106"/>
      <c r="F823" s="106"/>
      <c r="G823" s="110"/>
      <c r="H823" s="106"/>
      <c r="I823" s="110"/>
      <c r="J823" s="106"/>
      <c r="K823" s="106"/>
      <c r="L823" s="106"/>
      <c r="M823" s="106"/>
      <c r="N823" s="106"/>
      <c r="O823" s="106"/>
      <c r="P823" s="106"/>
      <c r="Q823" s="106"/>
      <c r="R823" s="106"/>
      <c r="S823" s="106"/>
      <c r="T823" s="106"/>
      <c r="U823" s="106"/>
      <c r="V823" s="106"/>
      <c r="W823" s="106"/>
      <c r="X823" s="106"/>
      <c r="Y823" s="106"/>
      <c r="Z823" s="106"/>
    </row>
    <row r="824" spans="1:26" ht="13.5" customHeight="1">
      <c r="A824" s="106"/>
      <c r="B824" s="106"/>
      <c r="C824" s="106"/>
      <c r="D824" s="106"/>
      <c r="E824" s="106"/>
      <c r="F824" s="106"/>
      <c r="G824" s="110"/>
      <c r="H824" s="106"/>
      <c r="I824" s="110"/>
      <c r="J824" s="106"/>
      <c r="K824" s="106"/>
      <c r="L824" s="106"/>
      <c r="M824" s="106"/>
      <c r="N824" s="106"/>
      <c r="O824" s="106"/>
      <c r="P824" s="106"/>
      <c r="Q824" s="106"/>
      <c r="R824" s="106"/>
      <c r="S824" s="106"/>
      <c r="T824" s="106"/>
      <c r="U824" s="106"/>
      <c r="V824" s="106"/>
      <c r="W824" s="106"/>
      <c r="X824" s="106"/>
      <c r="Y824" s="106"/>
      <c r="Z824" s="106"/>
    </row>
    <row r="825" spans="1:26" ht="13.5" customHeight="1">
      <c r="A825" s="106"/>
      <c r="B825" s="106"/>
      <c r="C825" s="106"/>
      <c r="D825" s="106"/>
      <c r="E825" s="106"/>
      <c r="F825" s="106"/>
      <c r="G825" s="110"/>
      <c r="H825" s="106"/>
      <c r="I825" s="110"/>
      <c r="J825" s="106"/>
      <c r="K825" s="106"/>
      <c r="L825" s="106"/>
      <c r="M825" s="106"/>
      <c r="N825" s="106"/>
      <c r="O825" s="106"/>
      <c r="P825" s="106"/>
      <c r="Q825" s="106"/>
      <c r="R825" s="106"/>
      <c r="S825" s="106"/>
      <c r="T825" s="106"/>
      <c r="U825" s="106"/>
      <c r="V825" s="106"/>
      <c r="W825" s="106"/>
      <c r="X825" s="106"/>
      <c r="Y825" s="106"/>
      <c r="Z825" s="106"/>
    </row>
    <row r="826" spans="1:26" ht="13.5" customHeight="1">
      <c r="A826" s="106"/>
      <c r="B826" s="106"/>
      <c r="C826" s="106"/>
      <c r="D826" s="106"/>
      <c r="E826" s="106"/>
      <c r="F826" s="106"/>
      <c r="G826" s="110"/>
      <c r="H826" s="106"/>
      <c r="I826" s="110"/>
      <c r="J826" s="106"/>
      <c r="K826" s="106"/>
      <c r="L826" s="106"/>
      <c r="M826" s="106"/>
      <c r="N826" s="106"/>
      <c r="O826" s="106"/>
      <c r="P826" s="106"/>
      <c r="Q826" s="106"/>
      <c r="R826" s="106"/>
      <c r="S826" s="106"/>
      <c r="T826" s="106"/>
      <c r="U826" s="106"/>
      <c r="V826" s="106"/>
      <c r="W826" s="106"/>
      <c r="X826" s="106"/>
      <c r="Y826" s="106"/>
      <c r="Z826" s="106"/>
    </row>
    <row r="827" spans="1:26" ht="13.5" customHeight="1">
      <c r="A827" s="106"/>
      <c r="B827" s="106"/>
      <c r="C827" s="106"/>
      <c r="D827" s="106"/>
      <c r="E827" s="106"/>
      <c r="F827" s="106"/>
      <c r="G827" s="110"/>
      <c r="H827" s="106"/>
      <c r="I827" s="110"/>
      <c r="J827" s="106"/>
      <c r="K827" s="106"/>
      <c r="L827" s="106"/>
      <c r="M827" s="106"/>
      <c r="N827" s="106"/>
      <c r="O827" s="106"/>
      <c r="P827" s="106"/>
      <c r="Q827" s="106"/>
      <c r="R827" s="106"/>
      <c r="S827" s="106"/>
      <c r="T827" s="106"/>
      <c r="U827" s="106"/>
      <c r="V827" s="106"/>
      <c r="W827" s="106"/>
      <c r="X827" s="106"/>
      <c r="Y827" s="106"/>
      <c r="Z827" s="106"/>
    </row>
    <row r="828" spans="1:26" ht="13.5" customHeight="1">
      <c r="A828" s="106"/>
      <c r="B828" s="106"/>
      <c r="C828" s="106"/>
      <c r="D828" s="106"/>
      <c r="E828" s="106"/>
      <c r="F828" s="106"/>
      <c r="G828" s="110"/>
      <c r="H828" s="106"/>
      <c r="I828" s="110"/>
      <c r="J828" s="106"/>
      <c r="K828" s="106"/>
      <c r="L828" s="106"/>
      <c r="M828" s="106"/>
      <c r="N828" s="106"/>
      <c r="O828" s="106"/>
      <c r="P828" s="106"/>
      <c r="Q828" s="106"/>
      <c r="R828" s="106"/>
      <c r="S828" s="106"/>
      <c r="T828" s="106"/>
      <c r="U828" s="106"/>
      <c r="V828" s="106"/>
      <c r="W828" s="106"/>
      <c r="X828" s="106"/>
      <c r="Y828" s="106"/>
      <c r="Z828" s="106"/>
    </row>
    <row r="829" spans="1:26" ht="13.5" customHeight="1">
      <c r="A829" s="106"/>
      <c r="B829" s="106"/>
      <c r="C829" s="106"/>
      <c r="D829" s="106"/>
      <c r="E829" s="106"/>
      <c r="F829" s="106"/>
      <c r="G829" s="110"/>
      <c r="H829" s="106"/>
      <c r="I829" s="110"/>
      <c r="J829" s="106"/>
      <c r="K829" s="106"/>
      <c r="L829" s="106"/>
      <c r="M829" s="106"/>
      <c r="N829" s="106"/>
      <c r="O829" s="106"/>
      <c r="P829" s="106"/>
      <c r="Q829" s="106"/>
      <c r="R829" s="106"/>
      <c r="S829" s="106"/>
      <c r="T829" s="106"/>
      <c r="U829" s="106"/>
      <c r="V829" s="106"/>
      <c r="W829" s="106"/>
      <c r="X829" s="106"/>
      <c r="Y829" s="106"/>
      <c r="Z829" s="106"/>
    </row>
    <row r="830" spans="1:26" ht="13.5" customHeight="1">
      <c r="A830" s="106"/>
      <c r="B830" s="106"/>
      <c r="C830" s="106"/>
      <c r="D830" s="106"/>
      <c r="E830" s="106"/>
      <c r="F830" s="106"/>
      <c r="G830" s="110"/>
      <c r="H830" s="106"/>
      <c r="I830" s="110"/>
      <c r="J830" s="106"/>
      <c r="K830" s="106"/>
      <c r="L830" s="106"/>
      <c r="M830" s="106"/>
      <c r="N830" s="106"/>
      <c r="O830" s="106"/>
      <c r="P830" s="106"/>
      <c r="Q830" s="106"/>
      <c r="R830" s="106"/>
      <c r="S830" s="106"/>
      <c r="T830" s="106"/>
      <c r="U830" s="106"/>
      <c r="V830" s="106"/>
      <c r="W830" s="106"/>
      <c r="X830" s="106"/>
      <c r="Y830" s="106"/>
      <c r="Z830" s="106"/>
    </row>
    <row r="831" spans="1:26" ht="13.5" customHeight="1">
      <c r="A831" s="106"/>
      <c r="B831" s="106"/>
      <c r="C831" s="106"/>
      <c r="D831" s="106"/>
      <c r="E831" s="106"/>
      <c r="F831" s="106"/>
      <c r="G831" s="110"/>
      <c r="H831" s="106"/>
      <c r="I831" s="110"/>
      <c r="J831" s="106"/>
      <c r="K831" s="106"/>
      <c r="L831" s="106"/>
      <c r="M831" s="106"/>
      <c r="N831" s="106"/>
      <c r="O831" s="106"/>
      <c r="P831" s="106"/>
      <c r="Q831" s="106"/>
      <c r="R831" s="106"/>
      <c r="S831" s="106"/>
      <c r="T831" s="106"/>
      <c r="U831" s="106"/>
      <c r="V831" s="106"/>
      <c r="W831" s="106"/>
      <c r="X831" s="106"/>
      <c r="Y831" s="106"/>
      <c r="Z831" s="106"/>
    </row>
    <row r="832" spans="1:26" ht="13.5" customHeight="1">
      <c r="A832" s="106"/>
      <c r="B832" s="106"/>
      <c r="C832" s="106"/>
      <c r="D832" s="106"/>
      <c r="E832" s="106"/>
      <c r="F832" s="106"/>
      <c r="G832" s="110"/>
      <c r="H832" s="106"/>
      <c r="I832" s="110"/>
      <c r="J832" s="106"/>
      <c r="K832" s="106"/>
      <c r="L832" s="106"/>
      <c r="M832" s="106"/>
      <c r="N832" s="106"/>
      <c r="O832" s="106"/>
      <c r="P832" s="106"/>
      <c r="Q832" s="106"/>
      <c r="R832" s="106"/>
      <c r="S832" s="106"/>
      <c r="T832" s="106"/>
      <c r="U832" s="106"/>
      <c r="V832" s="106"/>
      <c r="W832" s="106"/>
      <c r="X832" s="106"/>
      <c r="Y832" s="106"/>
      <c r="Z832" s="106"/>
    </row>
    <row r="833" spans="1:26" ht="13.5" customHeight="1">
      <c r="A833" s="106"/>
      <c r="B833" s="106"/>
      <c r="C833" s="106"/>
      <c r="D833" s="106"/>
      <c r="E833" s="106"/>
      <c r="F833" s="106"/>
      <c r="G833" s="110"/>
      <c r="H833" s="106"/>
      <c r="I833" s="110"/>
      <c r="J833" s="106"/>
      <c r="K833" s="106"/>
      <c r="L833" s="106"/>
      <c r="M833" s="106"/>
      <c r="N833" s="106"/>
      <c r="O833" s="106"/>
      <c r="P833" s="106"/>
      <c r="Q833" s="106"/>
      <c r="R833" s="106"/>
      <c r="S833" s="106"/>
      <c r="T833" s="106"/>
      <c r="U833" s="106"/>
      <c r="V833" s="106"/>
      <c r="W833" s="106"/>
      <c r="X833" s="106"/>
      <c r="Y833" s="106"/>
      <c r="Z833" s="106"/>
    </row>
    <row r="834" spans="1:26" ht="13.5" customHeight="1">
      <c r="A834" s="106"/>
      <c r="B834" s="106"/>
      <c r="C834" s="106"/>
      <c r="D834" s="106"/>
      <c r="E834" s="106"/>
      <c r="F834" s="106"/>
      <c r="G834" s="110"/>
      <c r="H834" s="106"/>
      <c r="I834" s="110"/>
      <c r="J834" s="106"/>
      <c r="K834" s="106"/>
      <c r="L834" s="106"/>
      <c r="M834" s="106"/>
      <c r="N834" s="106"/>
      <c r="O834" s="106"/>
      <c r="P834" s="106"/>
      <c r="Q834" s="106"/>
      <c r="R834" s="106"/>
      <c r="S834" s="106"/>
      <c r="T834" s="106"/>
      <c r="U834" s="106"/>
      <c r="V834" s="106"/>
      <c r="W834" s="106"/>
      <c r="X834" s="106"/>
      <c r="Y834" s="106"/>
      <c r="Z834" s="106"/>
    </row>
    <row r="835" spans="1:26" ht="13.5" customHeight="1">
      <c r="A835" s="106"/>
      <c r="B835" s="106"/>
      <c r="C835" s="106"/>
      <c r="D835" s="106"/>
      <c r="E835" s="106"/>
      <c r="F835" s="106"/>
      <c r="G835" s="110"/>
      <c r="H835" s="106"/>
      <c r="I835" s="110"/>
      <c r="J835" s="106"/>
      <c r="K835" s="106"/>
      <c r="L835" s="106"/>
      <c r="M835" s="106"/>
      <c r="N835" s="106"/>
      <c r="O835" s="106"/>
      <c r="P835" s="106"/>
      <c r="Q835" s="106"/>
      <c r="R835" s="106"/>
      <c r="S835" s="106"/>
      <c r="T835" s="106"/>
      <c r="U835" s="106"/>
      <c r="V835" s="106"/>
      <c r="W835" s="106"/>
      <c r="X835" s="106"/>
      <c r="Y835" s="106"/>
      <c r="Z835" s="106"/>
    </row>
    <row r="836" spans="1:26" ht="13.5" customHeight="1">
      <c r="A836" s="106"/>
      <c r="B836" s="106"/>
      <c r="C836" s="106"/>
      <c r="D836" s="106"/>
      <c r="E836" s="106"/>
      <c r="F836" s="106"/>
      <c r="G836" s="110"/>
      <c r="H836" s="106"/>
      <c r="I836" s="110"/>
      <c r="J836" s="106"/>
      <c r="K836" s="106"/>
      <c r="L836" s="106"/>
      <c r="M836" s="106"/>
      <c r="N836" s="106"/>
      <c r="O836" s="106"/>
      <c r="P836" s="106"/>
      <c r="Q836" s="106"/>
      <c r="R836" s="106"/>
      <c r="S836" s="106"/>
      <c r="T836" s="106"/>
      <c r="U836" s="106"/>
      <c r="V836" s="106"/>
      <c r="W836" s="106"/>
      <c r="X836" s="106"/>
      <c r="Y836" s="106"/>
      <c r="Z836" s="106"/>
    </row>
    <row r="837" spans="1:26" ht="13.5" customHeight="1">
      <c r="A837" s="106"/>
      <c r="B837" s="106"/>
      <c r="C837" s="106"/>
      <c r="D837" s="106"/>
      <c r="E837" s="106"/>
      <c r="F837" s="106"/>
      <c r="G837" s="110"/>
      <c r="H837" s="106"/>
      <c r="I837" s="110"/>
      <c r="J837" s="106"/>
      <c r="K837" s="106"/>
      <c r="L837" s="106"/>
      <c r="M837" s="106"/>
      <c r="N837" s="106"/>
      <c r="O837" s="106"/>
      <c r="P837" s="106"/>
      <c r="Q837" s="106"/>
      <c r="R837" s="106"/>
      <c r="S837" s="106"/>
      <c r="T837" s="106"/>
      <c r="U837" s="106"/>
      <c r="V837" s="106"/>
      <c r="W837" s="106"/>
      <c r="X837" s="106"/>
      <c r="Y837" s="106"/>
      <c r="Z837" s="106"/>
    </row>
    <row r="838" spans="1:26" ht="13.5" customHeight="1">
      <c r="A838" s="106"/>
      <c r="B838" s="106"/>
      <c r="C838" s="106"/>
      <c r="D838" s="106"/>
      <c r="E838" s="106"/>
      <c r="F838" s="106"/>
      <c r="G838" s="110"/>
      <c r="H838" s="106"/>
      <c r="I838" s="110"/>
      <c r="J838" s="106"/>
      <c r="K838" s="106"/>
      <c r="L838" s="106"/>
      <c r="M838" s="106"/>
      <c r="N838" s="106"/>
      <c r="O838" s="106"/>
      <c r="P838" s="106"/>
      <c r="Q838" s="106"/>
      <c r="R838" s="106"/>
      <c r="S838" s="106"/>
      <c r="T838" s="106"/>
      <c r="U838" s="106"/>
      <c r="V838" s="106"/>
      <c r="W838" s="106"/>
      <c r="X838" s="106"/>
      <c r="Y838" s="106"/>
      <c r="Z838" s="106"/>
    </row>
    <row r="839" spans="1:26" ht="13.5" customHeight="1">
      <c r="A839" s="106"/>
      <c r="B839" s="106"/>
      <c r="C839" s="106"/>
      <c r="D839" s="106"/>
      <c r="E839" s="106"/>
      <c r="F839" s="106"/>
      <c r="G839" s="110"/>
      <c r="H839" s="106"/>
      <c r="I839" s="110"/>
      <c r="J839" s="106"/>
      <c r="K839" s="106"/>
      <c r="L839" s="106"/>
      <c r="M839" s="106"/>
      <c r="N839" s="106"/>
      <c r="O839" s="106"/>
      <c r="P839" s="106"/>
      <c r="Q839" s="106"/>
      <c r="R839" s="106"/>
      <c r="S839" s="106"/>
      <c r="T839" s="106"/>
      <c r="U839" s="106"/>
      <c r="V839" s="106"/>
      <c r="W839" s="106"/>
      <c r="X839" s="106"/>
      <c r="Y839" s="106"/>
      <c r="Z839" s="106"/>
    </row>
    <row r="840" spans="1:26" ht="13.5" customHeight="1">
      <c r="A840" s="106"/>
      <c r="B840" s="106"/>
      <c r="C840" s="106"/>
      <c r="D840" s="106"/>
      <c r="E840" s="106"/>
      <c r="F840" s="106"/>
      <c r="G840" s="110"/>
      <c r="H840" s="106"/>
      <c r="I840" s="110"/>
      <c r="J840" s="106"/>
      <c r="K840" s="106"/>
      <c r="L840" s="106"/>
      <c r="M840" s="106"/>
      <c r="N840" s="106"/>
      <c r="O840" s="106"/>
      <c r="P840" s="106"/>
      <c r="Q840" s="106"/>
      <c r="R840" s="106"/>
      <c r="S840" s="106"/>
      <c r="T840" s="106"/>
      <c r="U840" s="106"/>
      <c r="V840" s="106"/>
      <c r="W840" s="106"/>
      <c r="X840" s="106"/>
      <c r="Y840" s="106"/>
      <c r="Z840" s="106"/>
    </row>
    <row r="841" spans="1:26" ht="13.5" customHeight="1">
      <c r="A841" s="106"/>
      <c r="B841" s="106"/>
      <c r="C841" s="106"/>
      <c r="D841" s="106"/>
      <c r="E841" s="106"/>
      <c r="F841" s="106"/>
      <c r="G841" s="110"/>
      <c r="H841" s="106"/>
      <c r="I841" s="110"/>
      <c r="J841" s="106"/>
      <c r="K841" s="106"/>
      <c r="L841" s="106"/>
      <c r="M841" s="106"/>
      <c r="N841" s="106"/>
      <c r="O841" s="106"/>
      <c r="P841" s="106"/>
      <c r="Q841" s="106"/>
      <c r="R841" s="106"/>
      <c r="S841" s="106"/>
      <c r="T841" s="106"/>
      <c r="U841" s="106"/>
      <c r="V841" s="106"/>
      <c r="W841" s="106"/>
      <c r="X841" s="106"/>
      <c r="Y841" s="106"/>
      <c r="Z841" s="106"/>
    </row>
    <row r="842" spans="1:26" ht="13.5" customHeight="1">
      <c r="A842" s="106"/>
      <c r="B842" s="106"/>
      <c r="C842" s="106"/>
      <c r="D842" s="106"/>
      <c r="E842" s="106"/>
      <c r="F842" s="106"/>
      <c r="G842" s="110"/>
      <c r="H842" s="106"/>
      <c r="I842" s="110"/>
      <c r="J842" s="106"/>
      <c r="K842" s="106"/>
      <c r="L842" s="106"/>
      <c r="M842" s="106"/>
      <c r="N842" s="106"/>
      <c r="O842" s="106"/>
      <c r="P842" s="106"/>
      <c r="Q842" s="106"/>
      <c r="R842" s="106"/>
      <c r="S842" s="106"/>
      <c r="T842" s="106"/>
      <c r="U842" s="106"/>
      <c r="V842" s="106"/>
      <c r="W842" s="106"/>
      <c r="X842" s="106"/>
      <c r="Y842" s="106"/>
      <c r="Z842" s="106"/>
    </row>
    <row r="843" spans="1:26" ht="13.5" customHeight="1">
      <c r="A843" s="106"/>
      <c r="B843" s="106"/>
      <c r="C843" s="106"/>
      <c r="D843" s="106"/>
      <c r="E843" s="106"/>
      <c r="F843" s="106"/>
      <c r="G843" s="110"/>
      <c r="H843" s="106"/>
      <c r="I843" s="110"/>
      <c r="J843" s="106"/>
      <c r="K843" s="106"/>
      <c r="L843" s="106"/>
      <c r="M843" s="106"/>
      <c r="N843" s="106"/>
      <c r="O843" s="106"/>
      <c r="P843" s="106"/>
      <c r="Q843" s="106"/>
      <c r="R843" s="106"/>
      <c r="S843" s="106"/>
      <c r="T843" s="106"/>
      <c r="U843" s="106"/>
      <c r="V843" s="106"/>
      <c r="W843" s="106"/>
      <c r="X843" s="106"/>
      <c r="Y843" s="106"/>
      <c r="Z843" s="106"/>
    </row>
    <row r="844" spans="1:26" ht="13.5" customHeight="1">
      <c r="A844" s="106"/>
      <c r="B844" s="106"/>
      <c r="C844" s="106"/>
      <c r="D844" s="106"/>
      <c r="E844" s="106"/>
      <c r="F844" s="106"/>
      <c r="G844" s="110"/>
      <c r="H844" s="106"/>
      <c r="I844" s="110"/>
      <c r="J844" s="106"/>
      <c r="K844" s="106"/>
      <c r="L844" s="106"/>
      <c r="M844" s="106"/>
      <c r="N844" s="106"/>
      <c r="O844" s="106"/>
      <c r="P844" s="106"/>
      <c r="Q844" s="106"/>
      <c r="R844" s="106"/>
      <c r="S844" s="106"/>
      <c r="T844" s="106"/>
      <c r="U844" s="106"/>
      <c r="V844" s="106"/>
      <c r="W844" s="106"/>
      <c r="X844" s="106"/>
      <c r="Y844" s="106"/>
      <c r="Z844" s="106"/>
    </row>
    <row r="845" spans="1:26" ht="13.5" customHeight="1">
      <c r="A845" s="106"/>
      <c r="B845" s="106"/>
      <c r="C845" s="106"/>
      <c r="D845" s="106"/>
      <c r="E845" s="106"/>
      <c r="F845" s="106"/>
      <c r="G845" s="110"/>
      <c r="H845" s="106"/>
      <c r="I845" s="110"/>
      <c r="J845" s="106"/>
      <c r="K845" s="106"/>
      <c r="L845" s="106"/>
      <c r="M845" s="106"/>
      <c r="N845" s="106"/>
      <c r="O845" s="106"/>
      <c r="P845" s="106"/>
      <c r="Q845" s="106"/>
      <c r="R845" s="106"/>
      <c r="S845" s="106"/>
      <c r="T845" s="106"/>
      <c r="U845" s="106"/>
      <c r="V845" s="106"/>
      <c r="W845" s="106"/>
      <c r="X845" s="106"/>
      <c r="Y845" s="106"/>
      <c r="Z845" s="106"/>
    </row>
    <row r="846" spans="1:26" ht="13.5" customHeight="1">
      <c r="A846" s="106"/>
      <c r="B846" s="106"/>
      <c r="C846" s="106"/>
      <c r="D846" s="106"/>
      <c r="E846" s="106"/>
      <c r="F846" s="106"/>
      <c r="G846" s="110"/>
      <c r="H846" s="106"/>
      <c r="I846" s="110"/>
      <c r="J846" s="106"/>
      <c r="K846" s="106"/>
      <c r="L846" s="106"/>
      <c r="M846" s="106"/>
      <c r="N846" s="106"/>
      <c r="O846" s="106"/>
      <c r="P846" s="106"/>
      <c r="Q846" s="106"/>
      <c r="R846" s="106"/>
      <c r="S846" s="106"/>
      <c r="T846" s="106"/>
      <c r="U846" s="106"/>
      <c r="V846" s="106"/>
      <c r="W846" s="106"/>
      <c r="X846" s="106"/>
      <c r="Y846" s="106"/>
      <c r="Z846" s="106"/>
    </row>
    <row r="847" spans="1:26" ht="13.5" customHeight="1">
      <c r="A847" s="106"/>
      <c r="B847" s="106"/>
      <c r="C847" s="106"/>
      <c r="D847" s="106"/>
      <c r="E847" s="106"/>
      <c r="F847" s="106"/>
      <c r="G847" s="110"/>
      <c r="H847" s="106"/>
      <c r="I847" s="110"/>
      <c r="J847" s="106"/>
      <c r="K847" s="106"/>
      <c r="L847" s="106"/>
      <c r="M847" s="106"/>
      <c r="N847" s="106"/>
      <c r="O847" s="106"/>
      <c r="P847" s="106"/>
      <c r="Q847" s="106"/>
      <c r="R847" s="106"/>
      <c r="S847" s="106"/>
      <c r="T847" s="106"/>
      <c r="U847" s="106"/>
      <c r="V847" s="106"/>
      <c r="W847" s="106"/>
      <c r="X847" s="106"/>
      <c r="Y847" s="106"/>
      <c r="Z847" s="106"/>
    </row>
    <row r="848" spans="1:26" ht="13.5" customHeight="1">
      <c r="A848" s="106"/>
      <c r="B848" s="106"/>
      <c r="C848" s="106"/>
      <c r="D848" s="106"/>
      <c r="E848" s="106"/>
      <c r="F848" s="106"/>
      <c r="G848" s="110"/>
      <c r="H848" s="106"/>
      <c r="I848" s="110"/>
      <c r="J848" s="106"/>
      <c r="K848" s="106"/>
      <c r="L848" s="106"/>
      <c r="M848" s="106"/>
      <c r="N848" s="106"/>
      <c r="O848" s="106"/>
      <c r="P848" s="106"/>
      <c r="Q848" s="106"/>
      <c r="R848" s="106"/>
      <c r="S848" s="106"/>
      <c r="T848" s="106"/>
      <c r="U848" s="106"/>
      <c r="V848" s="106"/>
      <c r="W848" s="106"/>
      <c r="X848" s="106"/>
      <c r="Y848" s="106"/>
      <c r="Z848" s="106"/>
    </row>
    <row r="849" spans="1:26" ht="13.5" customHeight="1">
      <c r="A849" s="106"/>
      <c r="B849" s="106"/>
      <c r="C849" s="106"/>
      <c r="D849" s="106"/>
      <c r="E849" s="106"/>
      <c r="F849" s="106"/>
      <c r="G849" s="110"/>
      <c r="H849" s="106"/>
      <c r="I849" s="110"/>
      <c r="J849" s="106"/>
      <c r="K849" s="106"/>
      <c r="L849" s="106"/>
      <c r="M849" s="106"/>
      <c r="N849" s="106"/>
      <c r="O849" s="106"/>
      <c r="P849" s="106"/>
      <c r="Q849" s="106"/>
      <c r="R849" s="106"/>
      <c r="S849" s="106"/>
      <c r="T849" s="106"/>
      <c r="U849" s="106"/>
      <c r="V849" s="106"/>
      <c r="W849" s="106"/>
      <c r="X849" s="106"/>
      <c r="Y849" s="106"/>
      <c r="Z849" s="106"/>
    </row>
    <row r="850" spans="1:26" ht="13.5" customHeight="1">
      <c r="A850" s="106"/>
      <c r="B850" s="106"/>
      <c r="C850" s="106"/>
      <c r="D850" s="106"/>
      <c r="E850" s="106"/>
      <c r="F850" s="106"/>
      <c r="G850" s="110"/>
      <c r="H850" s="106"/>
      <c r="I850" s="110"/>
      <c r="J850" s="106"/>
      <c r="K850" s="106"/>
      <c r="L850" s="106"/>
      <c r="M850" s="106"/>
      <c r="N850" s="106"/>
      <c r="O850" s="106"/>
      <c r="P850" s="106"/>
      <c r="Q850" s="106"/>
      <c r="R850" s="106"/>
      <c r="S850" s="106"/>
      <c r="T850" s="106"/>
      <c r="U850" s="106"/>
      <c r="V850" s="106"/>
      <c r="W850" s="106"/>
      <c r="X850" s="106"/>
      <c r="Y850" s="106"/>
      <c r="Z850" s="106"/>
    </row>
    <row r="851" spans="1:26" ht="13.5" customHeight="1">
      <c r="A851" s="106"/>
      <c r="B851" s="106"/>
      <c r="C851" s="106"/>
      <c r="D851" s="106"/>
      <c r="E851" s="106"/>
      <c r="F851" s="106"/>
      <c r="G851" s="110"/>
      <c r="H851" s="106"/>
      <c r="I851" s="110"/>
      <c r="J851" s="106"/>
      <c r="K851" s="106"/>
      <c r="L851" s="106"/>
      <c r="M851" s="106"/>
      <c r="N851" s="106"/>
      <c r="O851" s="106"/>
      <c r="P851" s="106"/>
      <c r="Q851" s="106"/>
      <c r="R851" s="106"/>
      <c r="S851" s="106"/>
      <c r="T851" s="106"/>
      <c r="U851" s="106"/>
      <c r="V851" s="106"/>
      <c r="W851" s="106"/>
      <c r="X851" s="106"/>
      <c r="Y851" s="106"/>
      <c r="Z851" s="106"/>
    </row>
    <row r="852" spans="1:26" ht="13.5" customHeight="1">
      <c r="A852" s="106"/>
      <c r="B852" s="106"/>
      <c r="C852" s="106"/>
      <c r="D852" s="106"/>
      <c r="E852" s="106"/>
      <c r="F852" s="106"/>
      <c r="G852" s="110"/>
      <c r="H852" s="106"/>
      <c r="I852" s="110"/>
      <c r="J852" s="106"/>
      <c r="K852" s="106"/>
      <c r="L852" s="106"/>
      <c r="M852" s="106"/>
      <c r="N852" s="106"/>
      <c r="O852" s="106"/>
      <c r="P852" s="106"/>
      <c r="Q852" s="106"/>
      <c r="R852" s="106"/>
      <c r="S852" s="106"/>
      <c r="T852" s="106"/>
      <c r="U852" s="106"/>
      <c r="V852" s="106"/>
      <c r="W852" s="106"/>
      <c r="X852" s="106"/>
      <c r="Y852" s="106"/>
      <c r="Z852" s="106"/>
    </row>
    <row r="853" spans="1:26" ht="13.5" customHeight="1">
      <c r="A853" s="106"/>
      <c r="B853" s="106"/>
      <c r="C853" s="106"/>
      <c r="D853" s="106"/>
      <c r="E853" s="106"/>
      <c r="F853" s="106"/>
      <c r="G853" s="110"/>
      <c r="H853" s="106"/>
      <c r="I853" s="110"/>
      <c r="J853" s="106"/>
      <c r="K853" s="106"/>
      <c r="L853" s="106"/>
      <c r="M853" s="106"/>
      <c r="N853" s="106"/>
      <c r="O853" s="106"/>
      <c r="P853" s="106"/>
      <c r="Q853" s="106"/>
      <c r="R853" s="106"/>
      <c r="S853" s="106"/>
      <c r="T853" s="106"/>
      <c r="U853" s="106"/>
      <c r="V853" s="106"/>
      <c r="W853" s="106"/>
      <c r="X853" s="106"/>
      <c r="Y853" s="106"/>
      <c r="Z853" s="106"/>
    </row>
    <row r="854" spans="1:26" ht="13.5" customHeight="1">
      <c r="A854" s="106"/>
      <c r="B854" s="106"/>
      <c r="C854" s="106"/>
      <c r="D854" s="106"/>
      <c r="E854" s="106"/>
      <c r="F854" s="106"/>
      <c r="G854" s="110"/>
      <c r="H854" s="106"/>
      <c r="I854" s="110"/>
      <c r="J854" s="106"/>
      <c r="K854" s="106"/>
      <c r="L854" s="106"/>
      <c r="M854" s="106"/>
      <c r="N854" s="106"/>
      <c r="O854" s="106"/>
      <c r="P854" s="106"/>
      <c r="Q854" s="106"/>
      <c r="R854" s="106"/>
      <c r="S854" s="106"/>
      <c r="T854" s="106"/>
      <c r="U854" s="106"/>
      <c r="V854" s="106"/>
      <c r="W854" s="106"/>
      <c r="X854" s="106"/>
      <c r="Y854" s="106"/>
      <c r="Z854" s="106"/>
    </row>
    <row r="855" spans="1:26" ht="13.5" customHeight="1">
      <c r="A855" s="106"/>
      <c r="B855" s="106"/>
      <c r="C855" s="106"/>
      <c r="D855" s="106"/>
      <c r="E855" s="106"/>
      <c r="F855" s="106"/>
      <c r="G855" s="110"/>
      <c r="H855" s="106"/>
      <c r="I855" s="110"/>
      <c r="J855" s="106"/>
      <c r="K855" s="106"/>
      <c r="L855" s="106"/>
      <c r="M855" s="106"/>
      <c r="N855" s="106"/>
      <c r="O855" s="106"/>
      <c r="P855" s="106"/>
      <c r="Q855" s="106"/>
      <c r="R855" s="106"/>
      <c r="S855" s="106"/>
      <c r="T855" s="106"/>
      <c r="U855" s="106"/>
      <c r="V855" s="106"/>
      <c r="W855" s="106"/>
      <c r="X855" s="106"/>
      <c r="Y855" s="106"/>
      <c r="Z855" s="106"/>
    </row>
    <row r="856" spans="1:26" ht="13.5" customHeight="1">
      <c r="A856" s="106"/>
      <c r="B856" s="106"/>
      <c r="C856" s="106"/>
      <c r="D856" s="106"/>
      <c r="E856" s="106"/>
      <c r="F856" s="106"/>
      <c r="G856" s="110"/>
      <c r="H856" s="106"/>
      <c r="I856" s="110"/>
      <c r="J856" s="106"/>
      <c r="K856" s="106"/>
      <c r="L856" s="106"/>
      <c r="M856" s="106"/>
      <c r="N856" s="106"/>
      <c r="O856" s="106"/>
      <c r="P856" s="106"/>
      <c r="Q856" s="106"/>
      <c r="R856" s="106"/>
      <c r="S856" s="106"/>
      <c r="T856" s="106"/>
      <c r="U856" s="106"/>
      <c r="V856" s="106"/>
      <c r="W856" s="106"/>
      <c r="X856" s="106"/>
      <c r="Y856" s="106"/>
      <c r="Z856" s="106"/>
    </row>
    <row r="857" spans="1:26" ht="13.5" customHeight="1">
      <c r="A857" s="106"/>
      <c r="B857" s="106"/>
      <c r="C857" s="106"/>
      <c r="D857" s="106"/>
      <c r="E857" s="106"/>
      <c r="F857" s="106"/>
      <c r="G857" s="110"/>
      <c r="H857" s="106"/>
      <c r="I857" s="110"/>
      <c r="J857" s="106"/>
      <c r="K857" s="106"/>
      <c r="L857" s="106"/>
      <c r="M857" s="106"/>
      <c r="N857" s="106"/>
      <c r="O857" s="106"/>
      <c r="P857" s="106"/>
      <c r="Q857" s="106"/>
      <c r="R857" s="106"/>
      <c r="S857" s="106"/>
      <c r="T857" s="106"/>
      <c r="U857" s="106"/>
      <c r="V857" s="106"/>
      <c r="W857" s="106"/>
      <c r="X857" s="106"/>
      <c r="Y857" s="106"/>
      <c r="Z857" s="106"/>
    </row>
    <row r="858" spans="1:26" ht="13.5" customHeight="1">
      <c r="A858" s="106"/>
      <c r="B858" s="106"/>
      <c r="C858" s="106"/>
      <c r="D858" s="106"/>
      <c r="E858" s="106"/>
      <c r="F858" s="106"/>
      <c r="G858" s="110"/>
      <c r="H858" s="106"/>
      <c r="I858" s="110"/>
      <c r="J858" s="106"/>
      <c r="K858" s="106"/>
      <c r="L858" s="106"/>
      <c r="M858" s="106"/>
      <c r="N858" s="106"/>
      <c r="O858" s="106"/>
      <c r="P858" s="106"/>
      <c r="Q858" s="106"/>
      <c r="R858" s="106"/>
      <c r="S858" s="106"/>
      <c r="T858" s="106"/>
      <c r="U858" s="106"/>
      <c r="V858" s="106"/>
      <c r="W858" s="106"/>
      <c r="X858" s="106"/>
      <c r="Y858" s="106"/>
      <c r="Z858" s="106"/>
    </row>
    <row r="859" spans="1:26" ht="13.5" customHeight="1">
      <c r="A859" s="106"/>
      <c r="B859" s="106"/>
      <c r="C859" s="106"/>
      <c r="D859" s="106"/>
      <c r="E859" s="106"/>
      <c r="F859" s="106"/>
      <c r="G859" s="110"/>
      <c r="H859" s="106"/>
      <c r="I859" s="110"/>
      <c r="J859" s="106"/>
      <c r="K859" s="106"/>
      <c r="L859" s="106"/>
      <c r="M859" s="106"/>
      <c r="N859" s="106"/>
      <c r="O859" s="106"/>
      <c r="P859" s="106"/>
      <c r="Q859" s="106"/>
      <c r="R859" s="106"/>
      <c r="S859" s="106"/>
      <c r="T859" s="106"/>
      <c r="U859" s="106"/>
      <c r="V859" s="106"/>
      <c r="W859" s="106"/>
      <c r="X859" s="106"/>
      <c r="Y859" s="106"/>
      <c r="Z859" s="106"/>
    </row>
    <row r="860" spans="1:26" ht="13.5" customHeight="1">
      <c r="A860" s="106"/>
      <c r="B860" s="106"/>
      <c r="C860" s="106"/>
      <c r="D860" s="106"/>
      <c r="E860" s="106"/>
      <c r="F860" s="106"/>
      <c r="G860" s="110"/>
      <c r="H860" s="106"/>
      <c r="I860" s="110"/>
      <c r="J860" s="106"/>
      <c r="K860" s="106"/>
      <c r="L860" s="106"/>
      <c r="M860" s="106"/>
      <c r="N860" s="106"/>
      <c r="O860" s="106"/>
      <c r="P860" s="106"/>
      <c r="Q860" s="106"/>
      <c r="R860" s="106"/>
      <c r="S860" s="106"/>
      <c r="T860" s="106"/>
      <c r="U860" s="106"/>
      <c r="V860" s="106"/>
      <c r="W860" s="106"/>
      <c r="X860" s="106"/>
      <c r="Y860" s="106"/>
      <c r="Z860" s="106"/>
    </row>
    <row r="861" spans="1:26" ht="13.5" customHeight="1">
      <c r="A861" s="106"/>
      <c r="B861" s="106"/>
      <c r="C861" s="106"/>
      <c r="D861" s="106"/>
      <c r="E861" s="106"/>
      <c r="F861" s="106"/>
      <c r="G861" s="110"/>
      <c r="H861" s="106"/>
      <c r="I861" s="110"/>
      <c r="J861" s="106"/>
      <c r="K861" s="106"/>
      <c r="L861" s="106"/>
      <c r="M861" s="106"/>
      <c r="N861" s="106"/>
      <c r="O861" s="106"/>
      <c r="P861" s="106"/>
      <c r="Q861" s="106"/>
      <c r="R861" s="106"/>
      <c r="S861" s="106"/>
      <c r="T861" s="106"/>
      <c r="U861" s="106"/>
      <c r="V861" s="106"/>
      <c r="W861" s="106"/>
      <c r="X861" s="106"/>
      <c r="Y861" s="106"/>
      <c r="Z861" s="106"/>
    </row>
    <row r="862" spans="1:26" ht="13.5" customHeight="1">
      <c r="A862" s="106"/>
      <c r="B862" s="106"/>
      <c r="C862" s="106"/>
      <c r="D862" s="106"/>
      <c r="E862" s="106"/>
      <c r="F862" s="106"/>
      <c r="G862" s="110"/>
      <c r="H862" s="106"/>
      <c r="I862" s="110"/>
      <c r="J862" s="106"/>
      <c r="K862" s="106"/>
      <c r="L862" s="106"/>
      <c r="M862" s="106"/>
      <c r="N862" s="106"/>
      <c r="O862" s="106"/>
      <c r="P862" s="106"/>
      <c r="Q862" s="106"/>
      <c r="R862" s="106"/>
      <c r="S862" s="106"/>
      <c r="T862" s="106"/>
      <c r="U862" s="106"/>
      <c r="V862" s="106"/>
      <c r="W862" s="106"/>
      <c r="X862" s="106"/>
      <c r="Y862" s="106"/>
      <c r="Z862" s="106"/>
    </row>
    <row r="863" spans="1:26" ht="13.5" customHeight="1">
      <c r="A863" s="106"/>
      <c r="B863" s="106"/>
      <c r="C863" s="106"/>
      <c r="D863" s="106"/>
      <c r="E863" s="106"/>
      <c r="F863" s="106"/>
      <c r="G863" s="110"/>
      <c r="H863" s="106"/>
      <c r="I863" s="110"/>
      <c r="J863" s="106"/>
      <c r="K863" s="106"/>
      <c r="L863" s="106"/>
      <c r="M863" s="106"/>
      <c r="N863" s="106"/>
      <c r="O863" s="106"/>
      <c r="P863" s="106"/>
      <c r="Q863" s="106"/>
      <c r="R863" s="106"/>
      <c r="S863" s="106"/>
      <c r="T863" s="106"/>
      <c r="U863" s="106"/>
      <c r="V863" s="106"/>
      <c r="W863" s="106"/>
      <c r="X863" s="106"/>
      <c r="Y863" s="106"/>
      <c r="Z863" s="106"/>
    </row>
    <row r="864" spans="1:26" ht="13.5" customHeight="1">
      <c r="A864" s="106"/>
      <c r="B864" s="106"/>
      <c r="C864" s="106"/>
      <c r="D864" s="106"/>
      <c r="E864" s="106"/>
      <c r="F864" s="106"/>
      <c r="G864" s="110"/>
      <c r="H864" s="106"/>
      <c r="I864" s="110"/>
      <c r="J864" s="106"/>
      <c r="K864" s="106"/>
      <c r="L864" s="106"/>
      <c r="M864" s="106"/>
      <c r="N864" s="106"/>
      <c r="O864" s="106"/>
      <c r="P864" s="106"/>
      <c r="Q864" s="106"/>
      <c r="R864" s="106"/>
      <c r="S864" s="106"/>
      <c r="T864" s="106"/>
      <c r="U864" s="106"/>
      <c r="V864" s="106"/>
      <c r="W864" s="106"/>
      <c r="X864" s="106"/>
      <c r="Y864" s="106"/>
      <c r="Z864" s="106"/>
    </row>
    <row r="865" spans="1:26" ht="13.5" customHeight="1">
      <c r="A865" s="106"/>
      <c r="B865" s="106"/>
      <c r="C865" s="106"/>
      <c r="D865" s="106"/>
      <c r="E865" s="106"/>
      <c r="F865" s="106"/>
      <c r="G865" s="110"/>
      <c r="H865" s="106"/>
      <c r="I865" s="110"/>
      <c r="J865" s="106"/>
      <c r="K865" s="106"/>
      <c r="L865" s="106"/>
      <c r="M865" s="106"/>
      <c r="N865" s="106"/>
      <c r="O865" s="106"/>
      <c r="P865" s="106"/>
      <c r="Q865" s="106"/>
      <c r="R865" s="106"/>
      <c r="S865" s="106"/>
      <c r="T865" s="106"/>
      <c r="U865" s="106"/>
      <c r="V865" s="106"/>
      <c r="W865" s="106"/>
      <c r="X865" s="106"/>
      <c r="Y865" s="106"/>
      <c r="Z865" s="106"/>
    </row>
    <row r="866" spans="1:26" ht="13.5" customHeight="1">
      <c r="A866" s="106"/>
      <c r="B866" s="106"/>
      <c r="C866" s="106"/>
      <c r="D866" s="106"/>
      <c r="E866" s="106"/>
      <c r="F866" s="106"/>
      <c r="G866" s="110"/>
      <c r="H866" s="106"/>
      <c r="I866" s="110"/>
      <c r="J866" s="106"/>
      <c r="K866" s="106"/>
      <c r="L866" s="106"/>
      <c r="M866" s="106"/>
      <c r="N866" s="106"/>
      <c r="O866" s="106"/>
      <c r="P866" s="106"/>
      <c r="Q866" s="106"/>
      <c r="R866" s="106"/>
      <c r="S866" s="106"/>
      <c r="T866" s="106"/>
      <c r="U866" s="106"/>
      <c r="V866" s="106"/>
      <c r="W866" s="106"/>
      <c r="X866" s="106"/>
      <c r="Y866" s="106"/>
      <c r="Z866" s="106"/>
    </row>
    <row r="867" spans="1:26" ht="13.5" customHeight="1">
      <c r="A867" s="106"/>
      <c r="B867" s="106"/>
      <c r="C867" s="106"/>
      <c r="D867" s="106"/>
      <c r="E867" s="106"/>
      <c r="F867" s="106"/>
      <c r="G867" s="110"/>
      <c r="H867" s="106"/>
      <c r="I867" s="110"/>
      <c r="J867" s="106"/>
      <c r="K867" s="106"/>
      <c r="L867" s="106"/>
      <c r="M867" s="106"/>
      <c r="N867" s="106"/>
      <c r="O867" s="106"/>
      <c r="P867" s="106"/>
      <c r="Q867" s="106"/>
      <c r="R867" s="106"/>
      <c r="S867" s="106"/>
      <c r="T867" s="106"/>
      <c r="U867" s="106"/>
      <c r="V867" s="106"/>
      <c r="W867" s="106"/>
      <c r="X867" s="106"/>
      <c r="Y867" s="106"/>
      <c r="Z867" s="106"/>
    </row>
    <row r="868" spans="1:26" ht="13.5" customHeight="1">
      <c r="A868" s="106"/>
      <c r="B868" s="106"/>
      <c r="C868" s="106"/>
      <c r="D868" s="106"/>
      <c r="E868" s="106"/>
      <c r="F868" s="106"/>
      <c r="G868" s="110"/>
      <c r="H868" s="106"/>
      <c r="I868" s="110"/>
      <c r="J868" s="106"/>
      <c r="K868" s="106"/>
      <c r="L868" s="106"/>
      <c r="M868" s="106"/>
      <c r="N868" s="106"/>
      <c r="O868" s="106"/>
      <c r="P868" s="106"/>
      <c r="Q868" s="106"/>
      <c r="R868" s="106"/>
      <c r="S868" s="106"/>
      <c r="T868" s="106"/>
      <c r="U868" s="106"/>
      <c r="V868" s="106"/>
      <c r="W868" s="106"/>
      <c r="X868" s="106"/>
      <c r="Y868" s="106"/>
      <c r="Z868" s="106"/>
    </row>
    <row r="869" spans="1:26" ht="13.5" customHeight="1">
      <c r="A869" s="106"/>
      <c r="B869" s="106"/>
      <c r="C869" s="106"/>
      <c r="D869" s="106"/>
      <c r="E869" s="106"/>
      <c r="F869" s="106"/>
      <c r="G869" s="110"/>
      <c r="H869" s="106"/>
      <c r="I869" s="110"/>
      <c r="J869" s="106"/>
      <c r="K869" s="106"/>
      <c r="L869" s="106"/>
      <c r="M869" s="106"/>
      <c r="N869" s="106"/>
      <c r="O869" s="106"/>
      <c r="P869" s="106"/>
      <c r="Q869" s="106"/>
      <c r="R869" s="106"/>
      <c r="S869" s="106"/>
      <c r="T869" s="106"/>
      <c r="U869" s="106"/>
      <c r="V869" s="106"/>
      <c r="W869" s="106"/>
      <c r="X869" s="106"/>
      <c r="Y869" s="106"/>
      <c r="Z869" s="106"/>
    </row>
    <row r="870" spans="1:26" ht="13.5" customHeight="1">
      <c r="A870" s="106"/>
      <c r="B870" s="106"/>
      <c r="C870" s="106"/>
      <c r="D870" s="106"/>
      <c r="E870" s="106"/>
      <c r="F870" s="106"/>
      <c r="G870" s="110"/>
      <c r="H870" s="106"/>
      <c r="I870" s="110"/>
      <c r="J870" s="106"/>
      <c r="K870" s="106"/>
      <c r="L870" s="106"/>
      <c r="M870" s="106"/>
      <c r="N870" s="106"/>
      <c r="O870" s="106"/>
      <c r="P870" s="106"/>
      <c r="Q870" s="106"/>
      <c r="R870" s="106"/>
      <c r="S870" s="106"/>
      <c r="T870" s="106"/>
      <c r="U870" s="106"/>
      <c r="V870" s="106"/>
      <c r="W870" s="106"/>
      <c r="X870" s="106"/>
      <c r="Y870" s="106"/>
      <c r="Z870" s="106"/>
    </row>
    <row r="871" spans="1:26" ht="13.5" customHeight="1">
      <c r="A871" s="106"/>
      <c r="B871" s="106"/>
      <c r="C871" s="106"/>
      <c r="D871" s="106"/>
      <c r="E871" s="106"/>
      <c r="F871" s="106"/>
      <c r="G871" s="110"/>
      <c r="H871" s="106"/>
      <c r="I871" s="110"/>
      <c r="J871" s="106"/>
      <c r="K871" s="106"/>
      <c r="L871" s="106"/>
      <c r="M871" s="106"/>
      <c r="N871" s="106"/>
      <c r="O871" s="106"/>
      <c r="P871" s="106"/>
      <c r="Q871" s="106"/>
      <c r="R871" s="106"/>
      <c r="S871" s="106"/>
      <c r="T871" s="106"/>
      <c r="U871" s="106"/>
      <c r="V871" s="106"/>
      <c r="W871" s="106"/>
      <c r="X871" s="106"/>
      <c r="Y871" s="106"/>
      <c r="Z871" s="106"/>
    </row>
    <row r="872" spans="1:26" ht="13.5" customHeight="1">
      <c r="A872" s="106"/>
      <c r="B872" s="106"/>
      <c r="C872" s="106"/>
      <c r="D872" s="106"/>
      <c r="E872" s="106"/>
      <c r="F872" s="106"/>
      <c r="G872" s="110"/>
      <c r="H872" s="106"/>
      <c r="I872" s="110"/>
      <c r="J872" s="106"/>
      <c r="K872" s="106"/>
      <c r="L872" s="106"/>
      <c r="M872" s="106"/>
      <c r="N872" s="106"/>
      <c r="O872" s="106"/>
      <c r="P872" s="106"/>
      <c r="Q872" s="106"/>
      <c r="R872" s="106"/>
      <c r="S872" s="106"/>
      <c r="T872" s="106"/>
      <c r="U872" s="106"/>
      <c r="V872" s="106"/>
      <c r="W872" s="106"/>
      <c r="X872" s="106"/>
      <c r="Y872" s="106"/>
      <c r="Z872" s="106"/>
    </row>
    <row r="873" spans="1:26" ht="13.5" customHeight="1">
      <c r="A873" s="106"/>
      <c r="B873" s="106"/>
      <c r="C873" s="106"/>
      <c r="D873" s="106"/>
      <c r="E873" s="106"/>
      <c r="F873" s="106"/>
      <c r="G873" s="110"/>
      <c r="H873" s="106"/>
      <c r="I873" s="110"/>
      <c r="J873" s="106"/>
      <c r="K873" s="106"/>
      <c r="L873" s="106"/>
      <c r="M873" s="106"/>
      <c r="N873" s="106"/>
      <c r="O873" s="106"/>
      <c r="P873" s="106"/>
      <c r="Q873" s="106"/>
      <c r="R873" s="106"/>
      <c r="S873" s="106"/>
      <c r="T873" s="106"/>
      <c r="U873" s="106"/>
      <c r="V873" s="106"/>
      <c r="W873" s="106"/>
      <c r="X873" s="106"/>
      <c r="Y873" s="106"/>
      <c r="Z873" s="106"/>
    </row>
    <row r="874" spans="1:26" ht="13.5" customHeight="1">
      <c r="A874" s="106"/>
      <c r="B874" s="106"/>
      <c r="C874" s="106"/>
      <c r="D874" s="106"/>
      <c r="E874" s="106"/>
      <c r="F874" s="106"/>
      <c r="G874" s="110"/>
      <c r="H874" s="106"/>
      <c r="I874" s="110"/>
      <c r="J874" s="106"/>
      <c r="K874" s="106"/>
      <c r="L874" s="106"/>
      <c r="M874" s="106"/>
      <c r="N874" s="106"/>
      <c r="O874" s="106"/>
      <c r="P874" s="106"/>
      <c r="Q874" s="106"/>
      <c r="R874" s="106"/>
      <c r="S874" s="106"/>
      <c r="T874" s="106"/>
      <c r="U874" s="106"/>
      <c r="V874" s="106"/>
      <c r="W874" s="106"/>
      <c r="X874" s="106"/>
      <c r="Y874" s="106"/>
      <c r="Z874" s="106"/>
    </row>
    <row r="875" spans="1:26" ht="13.5" customHeight="1">
      <c r="A875" s="106"/>
      <c r="B875" s="106"/>
      <c r="C875" s="106"/>
      <c r="D875" s="106"/>
      <c r="E875" s="106"/>
      <c r="F875" s="106"/>
      <c r="G875" s="110"/>
      <c r="H875" s="106"/>
      <c r="I875" s="110"/>
      <c r="J875" s="106"/>
      <c r="K875" s="106"/>
      <c r="L875" s="106"/>
      <c r="M875" s="106"/>
      <c r="N875" s="106"/>
      <c r="O875" s="106"/>
      <c r="P875" s="106"/>
      <c r="Q875" s="106"/>
      <c r="R875" s="106"/>
      <c r="S875" s="106"/>
      <c r="T875" s="106"/>
      <c r="U875" s="106"/>
      <c r="V875" s="106"/>
      <c r="W875" s="106"/>
      <c r="X875" s="106"/>
      <c r="Y875" s="106"/>
      <c r="Z875" s="106"/>
    </row>
    <row r="876" spans="1:26" ht="13.5" customHeight="1">
      <c r="A876" s="106"/>
      <c r="B876" s="106"/>
      <c r="C876" s="106"/>
      <c r="D876" s="106"/>
      <c r="E876" s="106"/>
      <c r="F876" s="106"/>
      <c r="G876" s="110"/>
      <c r="H876" s="106"/>
      <c r="I876" s="110"/>
      <c r="J876" s="106"/>
      <c r="K876" s="106"/>
      <c r="L876" s="106"/>
      <c r="M876" s="106"/>
      <c r="N876" s="106"/>
      <c r="O876" s="106"/>
      <c r="P876" s="106"/>
      <c r="Q876" s="106"/>
      <c r="R876" s="106"/>
      <c r="S876" s="106"/>
      <c r="T876" s="106"/>
      <c r="U876" s="106"/>
      <c r="V876" s="106"/>
      <c r="W876" s="106"/>
      <c r="X876" s="106"/>
      <c r="Y876" s="106"/>
      <c r="Z876" s="106"/>
    </row>
    <row r="877" spans="1:26" ht="13.5" customHeight="1">
      <c r="A877" s="106"/>
      <c r="B877" s="106"/>
      <c r="C877" s="106"/>
      <c r="D877" s="106"/>
      <c r="E877" s="106"/>
      <c r="F877" s="106"/>
      <c r="G877" s="110"/>
      <c r="H877" s="106"/>
      <c r="I877" s="110"/>
      <c r="J877" s="106"/>
      <c r="K877" s="106"/>
      <c r="L877" s="106"/>
      <c r="M877" s="106"/>
      <c r="N877" s="106"/>
      <c r="O877" s="106"/>
      <c r="P877" s="106"/>
      <c r="Q877" s="106"/>
      <c r="R877" s="106"/>
      <c r="S877" s="106"/>
      <c r="T877" s="106"/>
      <c r="U877" s="106"/>
      <c r="V877" s="106"/>
      <c r="W877" s="106"/>
      <c r="X877" s="106"/>
      <c r="Y877" s="106"/>
      <c r="Z877" s="106"/>
    </row>
    <row r="878" spans="1:26" ht="13.5" customHeight="1">
      <c r="A878" s="106"/>
      <c r="B878" s="106"/>
      <c r="C878" s="106"/>
      <c r="D878" s="106"/>
      <c r="E878" s="106"/>
      <c r="F878" s="106"/>
      <c r="G878" s="110"/>
      <c r="H878" s="106"/>
      <c r="I878" s="110"/>
      <c r="J878" s="106"/>
      <c r="K878" s="106"/>
      <c r="L878" s="106"/>
      <c r="M878" s="106"/>
      <c r="N878" s="106"/>
      <c r="O878" s="106"/>
      <c r="P878" s="106"/>
      <c r="Q878" s="106"/>
      <c r="R878" s="106"/>
      <c r="S878" s="106"/>
      <c r="T878" s="106"/>
      <c r="U878" s="106"/>
      <c r="V878" s="106"/>
      <c r="W878" s="106"/>
      <c r="X878" s="106"/>
      <c r="Y878" s="106"/>
      <c r="Z878" s="106"/>
    </row>
    <row r="879" spans="1:26" ht="13.5" customHeight="1">
      <c r="A879" s="106"/>
      <c r="B879" s="106"/>
      <c r="C879" s="106"/>
      <c r="D879" s="106"/>
      <c r="E879" s="106"/>
      <c r="F879" s="106"/>
      <c r="G879" s="110"/>
      <c r="H879" s="106"/>
      <c r="I879" s="110"/>
      <c r="J879" s="106"/>
      <c r="K879" s="106"/>
      <c r="L879" s="106"/>
      <c r="M879" s="106"/>
      <c r="N879" s="106"/>
      <c r="O879" s="106"/>
      <c r="P879" s="106"/>
      <c r="Q879" s="106"/>
      <c r="R879" s="106"/>
      <c r="S879" s="106"/>
      <c r="T879" s="106"/>
      <c r="U879" s="106"/>
      <c r="V879" s="106"/>
      <c r="W879" s="106"/>
      <c r="X879" s="106"/>
      <c r="Y879" s="106"/>
      <c r="Z879" s="106"/>
    </row>
    <row r="880" spans="1:26" ht="13.5" customHeight="1">
      <c r="A880" s="106"/>
      <c r="B880" s="106"/>
      <c r="C880" s="106"/>
      <c r="D880" s="106"/>
      <c r="E880" s="106"/>
      <c r="F880" s="106"/>
      <c r="G880" s="110"/>
      <c r="H880" s="106"/>
      <c r="I880" s="110"/>
      <c r="J880" s="106"/>
      <c r="K880" s="106"/>
      <c r="L880" s="106"/>
      <c r="M880" s="106"/>
      <c r="N880" s="106"/>
      <c r="O880" s="106"/>
      <c r="P880" s="106"/>
      <c r="Q880" s="106"/>
      <c r="R880" s="106"/>
      <c r="S880" s="106"/>
      <c r="T880" s="106"/>
      <c r="U880" s="106"/>
      <c r="V880" s="106"/>
      <c r="W880" s="106"/>
      <c r="X880" s="106"/>
      <c r="Y880" s="106"/>
      <c r="Z880" s="106"/>
    </row>
    <row r="881" spans="1:26" ht="13.5" customHeight="1">
      <c r="A881" s="106"/>
      <c r="B881" s="106"/>
      <c r="C881" s="106"/>
      <c r="D881" s="106"/>
      <c r="E881" s="106"/>
      <c r="F881" s="106"/>
      <c r="G881" s="110"/>
      <c r="H881" s="106"/>
      <c r="I881" s="110"/>
      <c r="J881" s="106"/>
      <c r="K881" s="106"/>
      <c r="L881" s="106"/>
      <c r="M881" s="106"/>
      <c r="N881" s="106"/>
      <c r="O881" s="106"/>
      <c r="P881" s="106"/>
      <c r="Q881" s="106"/>
      <c r="R881" s="106"/>
      <c r="S881" s="106"/>
      <c r="T881" s="106"/>
      <c r="U881" s="106"/>
      <c r="V881" s="106"/>
      <c r="W881" s="106"/>
      <c r="X881" s="106"/>
      <c r="Y881" s="106"/>
      <c r="Z881" s="106"/>
    </row>
    <row r="882" spans="1:26" ht="13.5" customHeight="1">
      <c r="A882" s="106"/>
      <c r="B882" s="106"/>
      <c r="C882" s="106"/>
      <c r="D882" s="106"/>
      <c r="E882" s="106"/>
      <c r="F882" s="106"/>
      <c r="G882" s="110"/>
      <c r="H882" s="106"/>
      <c r="I882" s="110"/>
      <c r="J882" s="106"/>
      <c r="K882" s="106"/>
      <c r="L882" s="106"/>
      <c r="M882" s="106"/>
      <c r="N882" s="106"/>
      <c r="O882" s="106"/>
      <c r="P882" s="106"/>
      <c r="Q882" s="106"/>
      <c r="R882" s="106"/>
      <c r="S882" s="106"/>
      <c r="T882" s="106"/>
      <c r="U882" s="106"/>
      <c r="V882" s="106"/>
      <c r="W882" s="106"/>
      <c r="X882" s="106"/>
      <c r="Y882" s="106"/>
      <c r="Z882" s="106"/>
    </row>
    <row r="883" spans="1:26" ht="13.5" customHeight="1">
      <c r="A883" s="106"/>
      <c r="B883" s="106"/>
      <c r="C883" s="106"/>
      <c r="D883" s="106"/>
      <c r="E883" s="106"/>
      <c r="F883" s="106"/>
      <c r="G883" s="110"/>
      <c r="H883" s="106"/>
      <c r="I883" s="110"/>
      <c r="J883" s="106"/>
      <c r="K883" s="106"/>
      <c r="L883" s="106"/>
      <c r="M883" s="106"/>
      <c r="N883" s="106"/>
      <c r="O883" s="106"/>
      <c r="P883" s="106"/>
      <c r="Q883" s="106"/>
      <c r="R883" s="106"/>
      <c r="S883" s="106"/>
      <c r="T883" s="106"/>
      <c r="U883" s="106"/>
      <c r="V883" s="106"/>
      <c r="W883" s="106"/>
      <c r="X883" s="106"/>
      <c r="Y883" s="106"/>
      <c r="Z883" s="106"/>
    </row>
    <row r="884" spans="1:26" ht="13.5" customHeight="1">
      <c r="A884" s="106"/>
      <c r="B884" s="106"/>
      <c r="C884" s="106"/>
      <c r="D884" s="106"/>
      <c r="E884" s="106"/>
      <c r="F884" s="106"/>
      <c r="G884" s="110"/>
      <c r="H884" s="106"/>
      <c r="I884" s="110"/>
      <c r="J884" s="106"/>
      <c r="K884" s="106"/>
      <c r="L884" s="106"/>
      <c r="M884" s="106"/>
      <c r="N884" s="106"/>
      <c r="O884" s="106"/>
      <c r="P884" s="106"/>
      <c r="Q884" s="106"/>
      <c r="R884" s="106"/>
      <c r="S884" s="106"/>
      <c r="T884" s="106"/>
      <c r="U884" s="106"/>
      <c r="V884" s="106"/>
      <c r="W884" s="106"/>
      <c r="X884" s="106"/>
      <c r="Y884" s="106"/>
      <c r="Z884" s="106"/>
    </row>
    <row r="885" spans="1:26" ht="13.5" customHeight="1">
      <c r="A885" s="106"/>
      <c r="B885" s="106"/>
      <c r="C885" s="106"/>
      <c r="D885" s="106"/>
      <c r="E885" s="106"/>
      <c r="F885" s="106"/>
      <c r="G885" s="110"/>
      <c r="H885" s="106"/>
      <c r="I885" s="110"/>
      <c r="J885" s="106"/>
      <c r="K885" s="106"/>
      <c r="L885" s="106"/>
      <c r="M885" s="106"/>
      <c r="N885" s="106"/>
      <c r="O885" s="106"/>
      <c r="P885" s="106"/>
      <c r="Q885" s="106"/>
      <c r="R885" s="106"/>
      <c r="S885" s="106"/>
      <c r="T885" s="106"/>
      <c r="U885" s="106"/>
      <c r="V885" s="106"/>
      <c r="W885" s="106"/>
      <c r="X885" s="106"/>
      <c r="Y885" s="106"/>
      <c r="Z885" s="106"/>
    </row>
    <row r="886" spans="1:26" ht="13.5" customHeight="1">
      <c r="A886" s="106"/>
      <c r="B886" s="106"/>
      <c r="C886" s="106"/>
      <c r="D886" s="106"/>
      <c r="E886" s="106"/>
      <c r="F886" s="106"/>
      <c r="G886" s="110"/>
      <c r="H886" s="106"/>
      <c r="I886" s="110"/>
      <c r="J886" s="106"/>
      <c r="K886" s="106"/>
      <c r="L886" s="106"/>
      <c r="M886" s="106"/>
      <c r="N886" s="106"/>
      <c r="O886" s="106"/>
      <c r="P886" s="106"/>
      <c r="Q886" s="106"/>
      <c r="R886" s="106"/>
      <c r="S886" s="106"/>
      <c r="T886" s="106"/>
      <c r="U886" s="106"/>
      <c r="V886" s="106"/>
      <c r="W886" s="106"/>
      <c r="X886" s="106"/>
      <c r="Y886" s="106"/>
      <c r="Z886" s="106"/>
    </row>
    <row r="887" spans="1:26" ht="13.5" customHeight="1">
      <c r="A887" s="106"/>
      <c r="B887" s="106"/>
      <c r="C887" s="106"/>
      <c r="D887" s="106"/>
      <c r="E887" s="106"/>
      <c r="F887" s="106"/>
      <c r="G887" s="110"/>
      <c r="H887" s="106"/>
      <c r="I887" s="110"/>
      <c r="J887" s="106"/>
      <c r="K887" s="106"/>
      <c r="L887" s="106"/>
      <c r="M887" s="106"/>
      <c r="N887" s="106"/>
      <c r="O887" s="106"/>
      <c r="P887" s="106"/>
      <c r="Q887" s="106"/>
      <c r="R887" s="106"/>
      <c r="S887" s="106"/>
      <c r="T887" s="106"/>
      <c r="U887" s="106"/>
      <c r="V887" s="106"/>
      <c r="W887" s="106"/>
      <c r="X887" s="106"/>
      <c r="Y887" s="106"/>
      <c r="Z887" s="106"/>
    </row>
    <row r="888" spans="1:26" ht="13.5" customHeight="1">
      <c r="A888" s="106"/>
      <c r="B888" s="106"/>
      <c r="C888" s="106"/>
      <c r="D888" s="106"/>
      <c r="E888" s="106"/>
      <c r="F888" s="106"/>
      <c r="G888" s="110"/>
      <c r="H888" s="106"/>
      <c r="I888" s="110"/>
      <c r="J888" s="106"/>
      <c r="K888" s="106"/>
      <c r="L888" s="106"/>
      <c r="M888" s="106"/>
      <c r="N888" s="106"/>
      <c r="O888" s="106"/>
      <c r="P888" s="106"/>
      <c r="Q888" s="106"/>
      <c r="R888" s="106"/>
      <c r="S888" s="106"/>
      <c r="T888" s="106"/>
      <c r="U888" s="106"/>
      <c r="V888" s="106"/>
      <c r="W888" s="106"/>
      <c r="X888" s="106"/>
      <c r="Y888" s="106"/>
      <c r="Z888" s="106"/>
    </row>
    <row r="889" spans="1:26" ht="13.5" customHeight="1">
      <c r="A889" s="106"/>
      <c r="B889" s="106"/>
      <c r="C889" s="106"/>
      <c r="D889" s="106"/>
      <c r="E889" s="106"/>
      <c r="F889" s="106"/>
      <c r="G889" s="110"/>
      <c r="H889" s="106"/>
      <c r="I889" s="110"/>
      <c r="J889" s="106"/>
      <c r="K889" s="106"/>
      <c r="L889" s="106"/>
      <c r="M889" s="106"/>
      <c r="N889" s="106"/>
      <c r="O889" s="106"/>
      <c r="P889" s="106"/>
      <c r="Q889" s="106"/>
      <c r="R889" s="106"/>
      <c r="S889" s="106"/>
      <c r="T889" s="106"/>
      <c r="U889" s="106"/>
      <c r="V889" s="106"/>
      <c r="W889" s="106"/>
      <c r="X889" s="106"/>
      <c r="Y889" s="106"/>
      <c r="Z889" s="106"/>
    </row>
    <row r="890" spans="1:26" ht="13.5" customHeight="1">
      <c r="A890" s="106"/>
      <c r="B890" s="106"/>
      <c r="C890" s="106"/>
      <c r="D890" s="106"/>
      <c r="E890" s="106"/>
      <c r="F890" s="106"/>
      <c r="G890" s="110"/>
      <c r="H890" s="106"/>
      <c r="I890" s="110"/>
      <c r="J890" s="106"/>
      <c r="K890" s="106"/>
      <c r="L890" s="106"/>
      <c r="M890" s="106"/>
      <c r="N890" s="106"/>
      <c r="O890" s="106"/>
      <c r="P890" s="106"/>
      <c r="Q890" s="106"/>
      <c r="R890" s="106"/>
      <c r="S890" s="106"/>
      <c r="T890" s="106"/>
      <c r="U890" s="106"/>
      <c r="V890" s="106"/>
      <c r="W890" s="106"/>
      <c r="X890" s="106"/>
      <c r="Y890" s="106"/>
      <c r="Z890" s="106"/>
    </row>
    <row r="891" spans="1:26" ht="13.5" customHeight="1">
      <c r="A891" s="106"/>
      <c r="B891" s="106"/>
      <c r="C891" s="106"/>
      <c r="D891" s="106"/>
      <c r="E891" s="106"/>
      <c r="F891" s="106"/>
      <c r="G891" s="110"/>
      <c r="H891" s="106"/>
      <c r="I891" s="110"/>
      <c r="J891" s="106"/>
      <c r="K891" s="106"/>
      <c r="L891" s="106"/>
      <c r="M891" s="106"/>
      <c r="N891" s="106"/>
      <c r="O891" s="106"/>
      <c r="P891" s="106"/>
      <c r="Q891" s="106"/>
      <c r="R891" s="106"/>
      <c r="S891" s="106"/>
      <c r="T891" s="106"/>
      <c r="U891" s="106"/>
      <c r="V891" s="106"/>
      <c r="W891" s="106"/>
      <c r="X891" s="106"/>
      <c r="Y891" s="106"/>
      <c r="Z891" s="106"/>
    </row>
    <row r="892" spans="1:26" ht="13.5" customHeight="1">
      <c r="A892" s="106"/>
      <c r="B892" s="106"/>
      <c r="C892" s="106"/>
      <c r="D892" s="106"/>
      <c r="E892" s="106"/>
      <c r="F892" s="106"/>
      <c r="G892" s="110"/>
      <c r="H892" s="106"/>
      <c r="I892" s="110"/>
      <c r="J892" s="106"/>
      <c r="K892" s="106"/>
      <c r="L892" s="106"/>
      <c r="M892" s="106"/>
      <c r="N892" s="106"/>
      <c r="O892" s="106"/>
      <c r="P892" s="106"/>
      <c r="Q892" s="106"/>
      <c r="R892" s="106"/>
      <c r="S892" s="106"/>
      <c r="T892" s="106"/>
      <c r="U892" s="106"/>
      <c r="V892" s="106"/>
      <c r="W892" s="106"/>
      <c r="X892" s="106"/>
      <c r="Y892" s="106"/>
      <c r="Z892" s="106"/>
    </row>
    <row r="893" spans="1:26" ht="13.5" customHeight="1">
      <c r="A893" s="106"/>
      <c r="B893" s="106"/>
      <c r="C893" s="106"/>
      <c r="D893" s="106"/>
      <c r="E893" s="106"/>
      <c r="F893" s="106"/>
      <c r="G893" s="110"/>
      <c r="H893" s="106"/>
      <c r="I893" s="110"/>
      <c r="J893" s="106"/>
      <c r="K893" s="106"/>
      <c r="L893" s="106"/>
      <c r="M893" s="106"/>
      <c r="N893" s="106"/>
      <c r="O893" s="106"/>
      <c r="P893" s="106"/>
      <c r="Q893" s="106"/>
      <c r="R893" s="106"/>
      <c r="S893" s="106"/>
      <c r="T893" s="106"/>
      <c r="U893" s="106"/>
      <c r="V893" s="106"/>
      <c r="W893" s="106"/>
      <c r="X893" s="106"/>
      <c r="Y893" s="106"/>
      <c r="Z893" s="106"/>
    </row>
    <row r="894" spans="1:26" ht="13.5" customHeight="1">
      <c r="A894" s="106"/>
      <c r="B894" s="106"/>
      <c r="C894" s="106"/>
      <c r="D894" s="106"/>
      <c r="E894" s="106"/>
      <c r="F894" s="106"/>
      <c r="G894" s="110"/>
      <c r="H894" s="106"/>
      <c r="I894" s="110"/>
      <c r="J894" s="106"/>
      <c r="K894" s="106"/>
      <c r="L894" s="106"/>
      <c r="M894" s="106"/>
      <c r="N894" s="106"/>
      <c r="O894" s="106"/>
      <c r="P894" s="106"/>
      <c r="Q894" s="106"/>
      <c r="R894" s="106"/>
      <c r="S894" s="106"/>
      <c r="T894" s="106"/>
      <c r="U894" s="106"/>
      <c r="V894" s="106"/>
      <c r="W894" s="106"/>
      <c r="X894" s="106"/>
      <c r="Y894" s="106"/>
      <c r="Z894" s="106"/>
    </row>
    <row r="895" spans="1:26" ht="13.5" customHeight="1">
      <c r="A895" s="106"/>
      <c r="B895" s="106"/>
      <c r="C895" s="106"/>
      <c r="D895" s="106"/>
      <c r="E895" s="106"/>
      <c r="F895" s="106"/>
      <c r="G895" s="110"/>
      <c r="H895" s="106"/>
      <c r="I895" s="110"/>
      <c r="J895" s="106"/>
      <c r="K895" s="106"/>
      <c r="L895" s="106"/>
      <c r="M895" s="106"/>
      <c r="N895" s="106"/>
      <c r="O895" s="106"/>
      <c r="P895" s="106"/>
      <c r="Q895" s="106"/>
      <c r="R895" s="106"/>
      <c r="S895" s="106"/>
      <c r="T895" s="106"/>
      <c r="U895" s="106"/>
      <c r="V895" s="106"/>
      <c r="W895" s="106"/>
      <c r="X895" s="106"/>
      <c r="Y895" s="106"/>
      <c r="Z895" s="106"/>
    </row>
    <row r="896" spans="1:26" ht="13.5" customHeight="1">
      <c r="A896" s="106"/>
      <c r="B896" s="106"/>
      <c r="C896" s="106"/>
      <c r="D896" s="106"/>
      <c r="E896" s="106"/>
      <c r="F896" s="106"/>
      <c r="G896" s="110"/>
      <c r="H896" s="106"/>
      <c r="I896" s="110"/>
      <c r="J896" s="106"/>
      <c r="K896" s="106"/>
      <c r="L896" s="106"/>
      <c r="M896" s="106"/>
      <c r="N896" s="106"/>
      <c r="O896" s="106"/>
      <c r="P896" s="106"/>
      <c r="Q896" s="106"/>
      <c r="R896" s="106"/>
      <c r="S896" s="106"/>
      <c r="T896" s="106"/>
      <c r="U896" s="106"/>
      <c r="V896" s="106"/>
      <c r="W896" s="106"/>
      <c r="X896" s="106"/>
      <c r="Y896" s="106"/>
      <c r="Z896" s="106"/>
    </row>
    <row r="897" spans="1:26" ht="13.5" customHeight="1">
      <c r="A897" s="106"/>
      <c r="B897" s="106"/>
      <c r="C897" s="106"/>
      <c r="D897" s="106"/>
      <c r="E897" s="106"/>
      <c r="F897" s="106"/>
      <c r="G897" s="110"/>
      <c r="H897" s="106"/>
      <c r="I897" s="110"/>
      <c r="J897" s="106"/>
      <c r="K897" s="106"/>
      <c r="L897" s="106"/>
      <c r="M897" s="106"/>
      <c r="N897" s="106"/>
      <c r="O897" s="106"/>
      <c r="P897" s="106"/>
      <c r="Q897" s="106"/>
      <c r="R897" s="106"/>
      <c r="S897" s="106"/>
      <c r="T897" s="106"/>
      <c r="U897" s="106"/>
      <c r="V897" s="106"/>
      <c r="W897" s="106"/>
      <c r="X897" s="106"/>
      <c r="Y897" s="106"/>
      <c r="Z897" s="106"/>
    </row>
    <row r="898" spans="1:26" ht="13.5" customHeight="1">
      <c r="A898" s="106"/>
      <c r="B898" s="106"/>
      <c r="C898" s="106"/>
      <c r="D898" s="106"/>
      <c r="E898" s="106"/>
      <c r="F898" s="106"/>
      <c r="G898" s="110"/>
      <c r="H898" s="106"/>
      <c r="I898" s="110"/>
      <c r="J898" s="106"/>
      <c r="K898" s="106"/>
      <c r="L898" s="106"/>
      <c r="M898" s="106"/>
      <c r="N898" s="106"/>
      <c r="O898" s="106"/>
      <c r="P898" s="106"/>
      <c r="Q898" s="106"/>
      <c r="R898" s="106"/>
      <c r="S898" s="106"/>
      <c r="T898" s="106"/>
      <c r="U898" s="106"/>
      <c r="V898" s="106"/>
      <c r="W898" s="106"/>
      <c r="X898" s="106"/>
      <c r="Y898" s="106"/>
      <c r="Z898" s="106"/>
    </row>
    <row r="899" spans="1:26" ht="13.5" customHeight="1">
      <c r="A899" s="106"/>
      <c r="B899" s="106"/>
      <c r="C899" s="106"/>
      <c r="D899" s="106"/>
      <c r="E899" s="106"/>
      <c r="F899" s="106"/>
      <c r="G899" s="110"/>
      <c r="H899" s="106"/>
      <c r="I899" s="110"/>
      <c r="J899" s="106"/>
      <c r="K899" s="106"/>
      <c r="L899" s="106"/>
      <c r="M899" s="106"/>
      <c r="N899" s="106"/>
      <c r="O899" s="106"/>
      <c r="P899" s="106"/>
      <c r="Q899" s="106"/>
      <c r="R899" s="106"/>
      <c r="S899" s="106"/>
      <c r="T899" s="106"/>
      <c r="U899" s="106"/>
      <c r="V899" s="106"/>
      <c r="W899" s="106"/>
      <c r="X899" s="106"/>
      <c r="Y899" s="106"/>
      <c r="Z899" s="106"/>
    </row>
    <row r="900" spans="1:26" ht="13.5" customHeight="1">
      <c r="A900" s="106"/>
      <c r="B900" s="106"/>
      <c r="C900" s="106"/>
      <c r="D900" s="106"/>
      <c r="E900" s="106"/>
      <c r="F900" s="106"/>
      <c r="G900" s="110"/>
      <c r="H900" s="106"/>
      <c r="I900" s="110"/>
      <c r="J900" s="106"/>
      <c r="K900" s="106"/>
      <c r="L900" s="106"/>
      <c r="M900" s="106"/>
      <c r="N900" s="106"/>
      <c r="O900" s="106"/>
      <c r="P900" s="106"/>
      <c r="Q900" s="106"/>
      <c r="R900" s="106"/>
      <c r="S900" s="106"/>
      <c r="T900" s="106"/>
      <c r="U900" s="106"/>
      <c r="V900" s="106"/>
      <c r="W900" s="106"/>
      <c r="X900" s="106"/>
      <c r="Y900" s="106"/>
      <c r="Z900" s="106"/>
    </row>
    <row r="901" spans="1:26" ht="13.5" customHeight="1">
      <c r="A901" s="106"/>
      <c r="B901" s="106"/>
      <c r="C901" s="106"/>
      <c r="D901" s="106"/>
      <c r="E901" s="106"/>
      <c r="F901" s="106"/>
      <c r="G901" s="110"/>
      <c r="H901" s="106"/>
      <c r="I901" s="110"/>
      <c r="J901" s="106"/>
      <c r="K901" s="106"/>
      <c r="L901" s="106"/>
      <c r="M901" s="106"/>
      <c r="N901" s="106"/>
      <c r="O901" s="106"/>
      <c r="P901" s="106"/>
      <c r="Q901" s="106"/>
      <c r="R901" s="106"/>
      <c r="S901" s="106"/>
      <c r="T901" s="106"/>
      <c r="U901" s="106"/>
      <c r="V901" s="106"/>
      <c r="W901" s="106"/>
      <c r="X901" s="106"/>
      <c r="Y901" s="106"/>
      <c r="Z901" s="106"/>
    </row>
    <row r="902" spans="1:26" ht="13.5" customHeight="1">
      <c r="A902" s="106"/>
      <c r="B902" s="106"/>
      <c r="C902" s="106"/>
      <c r="D902" s="106"/>
      <c r="E902" s="106"/>
      <c r="F902" s="106"/>
      <c r="G902" s="110"/>
      <c r="H902" s="106"/>
      <c r="I902" s="110"/>
      <c r="J902" s="106"/>
      <c r="K902" s="106"/>
      <c r="L902" s="106"/>
      <c r="M902" s="106"/>
      <c r="N902" s="106"/>
      <c r="O902" s="106"/>
      <c r="P902" s="106"/>
      <c r="Q902" s="106"/>
      <c r="R902" s="106"/>
      <c r="S902" s="106"/>
      <c r="T902" s="106"/>
      <c r="U902" s="106"/>
      <c r="V902" s="106"/>
      <c r="W902" s="106"/>
      <c r="X902" s="106"/>
      <c r="Y902" s="106"/>
      <c r="Z902" s="106"/>
    </row>
    <row r="903" spans="1:26" ht="13.5" customHeight="1">
      <c r="A903" s="106"/>
      <c r="B903" s="106"/>
      <c r="C903" s="106"/>
      <c r="D903" s="106"/>
      <c r="E903" s="106"/>
      <c r="F903" s="106"/>
      <c r="G903" s="110"/>
      <c r="H903" s="106"/>
      <c r="I903" s="110"/>
      <c r="J903" s="106"/>
      <c r="K903" s="106"/>
      <c r="L903" s="106"/>
      <c r="M903" s="106"/>
      <c r="N903" s="106"/>
      <c r="O903" s="106"/>
      <c r="P903" s="106"/>
      <c r="Q903" s="106"/>
      <c r="R903" s="106"/>
      <c r="S903" s="106"/>
      <c r="T903" s="106"/>
      <c r="U903" s="106"/>
      <c r="V903" s="106"/>
      <c r="W903" s="106"/>
      <c r="X903" s="106"/>
      <c r="Y903" s="106"/>
      <c r="Z903" s="106"/>
    </row>
    <row r="904" spans="1:26" ht="13.5" customHeight="1">
      <c r="A904" s="106"/>
      <c r="B904" s="106"/>
      <c r="C904" s="106"/>
      <c r="D904" s="106"/>
      <c r="E904" s="106"/>
      <c r="F904" s="106"/>
      <c r="G904" s="110"/>
      <c r="H904" s="106"/>
      <c r="I904" s="110"/>
      <c r="J904" s="106"/>
      <c r="K904" s="106"/>
      <c r="L904" s="106"/>
      <c r="M904" s="106"/>
      <c r="N904" s="106"/>
      <c r="O904" s="106"/>
      <c r="P904" s="106"/>
      <c r="Q904" s="106"/>
      <c r="R904" s="106"/>
      <c r="S904" s="106"/>
      <c r="T904" s="106"/>
      <c r="U904" s="106"/>
      <c r="V904" s="106"/>
      <c r="W904" s="106"/>
      <c r="X904" s="106"/>
      <c r="Y904" s="106"/>
      <c r="Z904" s="106"/>
    </row>
    <row r="905" spans="1:26" ht="13.5" customHeight="1">
      <c r="A905" s="106"/>
      <c r="B905" s="106"/>
      <c r="C905" s="106"/>
      <c r="D905" s="106"/>
      <c r="E905" s="106"/>
      <c r="F905" s="106"/>
      <c r="G905" s="110"/>
      <c r="H905" s="106"/>
      <c r="I905" s="110"/>
      <c r="J905" s="106"/>
      <c r="K905" s="106"/>
      <c r="L905" s="106"/>
      <c r="M905" s="106"/>
      <c r="N905" s="106"/>
      <c r="O905" s="106"/>
      <c r="P905" s="106"/>
      <c r="Q905" s="106"/>
      <c r="R905" s="106"/>
      <c r="S905" s="106"/>
      <c r="T905" s="106"/>
      <c r="U905" s="106"/>
      <c r="V905" s="106"/>
      <c r="W905" s="106"/>
      <c r="X905" s="106"/>
      <c r="Y905" s="106"/>
      <c r="Z905" s="106"/>
    </row>
    <row r="906" spans="1:26" ht="13.5" customHeight="1">
      <c r="A906" s="106"/>
      <c r="B906" s="106"/>
      <c r="C906" s="106"/>
      <c r="D906" s="106"/>
      <c r="E906" s="106"/>
      <c r="F906" s="106"/>
      <c r="G906" s="110"/>
      <c r="H906" s="106"/>
      <c r="I906" s="110"/>
      <c r="J906" s="106"/>
      <c r="K906" s="106"/>
      <c r="L906" s="106"/>
      <c r="M906" s="106"/>
      <c r="N906" s="106"/>
      <c r="O906" s="106"/>
      <c r="P906" s="106"/>
      <c r="Q906" s="106"/>
      <c r="R906" s="106"/>
      <c r="S906" s="106"/>
      <c r="T906" s="106"/>
      <c r="U906" s="106"/>
      <c r="V906" s="106"/>
      <c r="W906" s="106"/>
      <c r="X906" s="106"/>
      <c r="Y906" s="106"/>
      <c r="Z906" s="106"/>
    </row>
    <row r="907" spans="1:26" ht="13.5" customHeight="1">
      <c r="A907" s="106"/>
      <c r="B907" s="106"/>
      <c r="C907" s="106"/>
      <c r="D907" s="106"/>
      <c r="E907" s="106"/>
      <c r="F907" s="106"/>
      <c r="G907" s="110"/>
      <c r="H907" s="106"/>
      <c r="I907" s="110"/>
      <c r="J907" s="106"/>
      <c r="K907" s="106"/>
      <c r="L907" s="106"/>
      <c r="M907" s="106"/>
      <c r="N907" s="106"/>
      <c r="O907" s="106"/>
      <c r="P907" s="106"/>
      <c r="Q907" s="106"/>
      <c r="R907" s="106"/>
      <c r="S907" s="106"/>
      <c r="T907" s="106"/>
      <c r="U907" s="106"/>
      <c r="V907" s="106"/>
      <c r="W907" s="106"/>
      <c r="X907" s="106"/>
      <c r="Y907" s="106"/>
      <c r="Z907" s="106"/>
    </row>
    <row r="908" spans="1:26" ht="13.5" customHeight="1">
      <c r="A908" s="106"/>
      <c r="B908" s="106"/>
      <c r="C908" s="106"/>
      <c r="D908" s="106"/>
      <c r="E908" s="106"/>
      <c r="F908" s="106"/>
      <c r="G908" s="110"/>
      <c r="H908" s="106"/>
      <c r="I908" s="110"/>
      <c r="J908" s="106"/>
      <c r="K908" s="106"/>
      <c r="L908" s="106"/>
      <c r="M908" s="106"/>
      <c r="N908" s="106"/>
      <c r="O908" s="106"/>
      <c r="P908" s="106"/>
      <c r="Q908" s="106"/>
      <c r="R908" s="106"/>
      <c r="S908" s="106"/>
      <c r="T908" s="106"/>
      <c r="U908" s="106"/>
      <c r="V908" s="106"/>
      <c r="W908" s="106"/>
      <c r="X908" s="106"/>
      <c r="Y908" s="106"/>
      <c r="Z908" s="106"/>
    </row>
    <row r="909" spans="1:26" ht="13.5" customHeight="1">
      <c r="A909" s="106"/>
      <c r="B909" s="106"/>
      <c r="C909" s="106"/>
      <c r="D909" s="106"/>
      <c r="E909" s="106"/>
      <c r="F909" s="106"/>
      <c r="G909" s="110"/>
      <c r="H909" s="106"/>
      <c r="I909" s="110"/>
      <c r="J909" s="106"/>
      <c r="K909" s="106"/>
      <c r="L909" s="106"/>
      <c r="M909" s="106"/>
      <c r="N909" s="106"/>
      <c r="O909" s="106"/>
      <c r="P909" s="106"/>
      <c r="Q909" s="106"/>
      <c r="R909" s="106"/>
      <c r="S909" s="106"/>
      <c r="T909" s="106"/>
      <c r="U909" s="106"/>
      <c r="V909" s="106"/>
      <c r="W909" s="106"/>
      <c r="X909" s="106"/>
      <c r="Y909" s="106"/>
      <c r="Z909" s="106"/>
    </row>
    <row r="910" spans="1:26" ht="13.5" customHeight="1">
      <c r="A910" s="106"/>
      <c r="B910" s="106"/>
      <c r="C910" s="106"/>
      <c r="D910" s="106"/>
      <c r="E910" s="106"/>
      <c r="F910" s="106"/>
      <c r="G910" s="110"/>
      <c r="H910" s="106"/>
      <c r="I910" s="110"/>
      <c r="J910" s="106"/>
      <c r="K910" s="106"/>
      <c r="L910" s="106"/>
      <c r="M910" s="106"/>
      <c r="N910" s="106"/>
      <c r="O910" s="106"/>
      <c r="P910" s="106"/>
      <c r="Q910" s="106"/>
      <c r="R910" s="106"/>
      <c r="S910" s="106"/>
      <c r="T910" s="106"/>
      <c r="U910" s="106"/>
      <c r="V910" s="106"/>
      <c r="W910" s="106"/>
      <c r="X910" s="106"/>
      <c r="Y910" s="106"/>
      <c r="Z910" s="106"/>
    </row>
    <row r="911" spans="1:26" ht="13.5" customHeight="1">
      <c r="A911" s="106"/>
      <c r="B911" s="106"/>
      <c r="C911" s="106"/>
      <c r="D911" s="106"/>
      <c r="E911" s="106"/>
      <c r="F911" s="106"/>
      <c r="G911" s="110"/>
      <c r="H911" s="106"/>
      <c r="I911" s="110"/>
      <c r="J911" s="106"/>
      <c r="K911" s="106"/>
      <c r="L911" s="106"/>
      <c r="M911" s="106"/>
      <c r="N911" s="106"/>
      <c r="O911" s="106"/>
      <c r="P911" s="106"/>
      <c r="Q911" s="106"/>
      <c r="R911" s="106"/>
      <c r="S911" s="106"/>
      <c r="T911" s="106"/>
      <c r="U911" s="106"/>
      <c r="V911" s="106"/>
      <c r="W911" s="106"/>
      <c r="X911" s="106"/>
      <c r="Y911" s="106"/>
      <c r="Z911" s="106"/>
    </row>
    <row r="912" spans="1:26" ht="13.5" customHeight="1">
      <c r="A912" s="106"/>
      <c r="B912" s="106"/>
      <c r="C912" s="106"/>
      <c r="D912" s="106"/>
      <c r="E912" s="106"/>
      <c r="F912" s="106"/>
      <c r="G912" s="110"/>
      <c r="H912" s="106"/>
      <c r="I912" s="110"/>
      <c r="J912" s="106"/>
      <c r="K912" s="106"/>
      <c r="L912" s="106"/>
      <c r="M912" s="106"/>
      <c r="N912" s="106"/>
      <c r="O912" s="106"/>
      <c r="P912" s="106"/>
      <c r="Q912" s="106"/>
      <c r="R912" s="106"/>
      <c r="S912" s="106"/>
      <c r="T912" s="106"/>
      <c r="U912" s="106"/>
      <c r="V912" s="106"/>
      <c r="W912" s="106"/>
      <c r="X912" s="106"/>
      <c r="Y912" s="106"/>
      <c r="Z912" s="106"/>
    </row>
    <row r="913" spans="1:26" ht="13.5" customHeight="1">
      <c r="A913" s="106"/>
      <c r="B913" s="106"/>
      <c r="C913" s="106"/>
      <c r="D913" s="106"/>
      <c r="E913" s="106"/>
      <c r="F913" s="106"/>
      <c r="G913" s="110"/>
      <c r="H913" s="106"/>
      <c r="I913" s="110"/>
      <c r="J913" s="106"/>
      <c r="K913" s="106"/>
      <c r="L913" s="106"/>
      <c r="M913" s="106"/>
      <c r="N913" s="106"/>
      <c r="O913" s="106"/>
      <c r="P913" s="106"/>
      <c r="Q913" s="106"/>
      <c r="R913" s="106"/>
      <c r="S913" s="106"/>
      <c r="T913" s="106"/>
      <c r="U913" s="106"/>
      <c r="V913" s="106"/>
      <c r="W913" s="106"/>
      <c r="X913" s="106"/>
      <c r="Y913" s="106"/>
      <c r="Z913" s="106"/>
    </row>
    <row r="914" spans="1:26" ht="13.5" customHeight="1">
      <c r="A914" s="106"/>
      <c r="B914" s="106"/>
      <c r="C914" s="106"/>
      <c r="D914" s="106"/>
      <c r="E914" s="106"/>
      <c r="F914" s="106"/>
      <c r="G914" s="110"/>
      <c r="H914" s="106"/>
      <c r="I914" s="110"/>
      <c r="J914" s="106"/>
      <c r="K914" s="106"/>
      <c r="L914" s="106"/>
      <c r="M914" s="106"/>
      <c r="N914" s="106"/>
      <c r="O914" s="106"/>
      <c r="P914" s="106"/>
      <c r="Q914" s="106"/>
      <c r="R914" s="106"/>
      <c r="S914" s="106"/>
      <c r="T914" s="106"/>
      <c r="U914" s="106"/>
      <c r="V914" s="106"/>
      <c r="W914" s="106"/>
      <c r="X914" s="106"/>
      <c r="Y914" s="106"/>
      <c r="Z914" s="106"/>
    </row>
    <row r="915" spans="1:26" ht="13.5" customHeight="1">
      <c r="A915" s="106"/>
      <c r="B915" s="106"/>
      <c r="C915" s="106"/>
      <c r="D915" s="106"/>
      <c r="E915" s="106"/>
      <c r="F915" s="106"/>
      <c r="G915" s="110"/>
      <c r="H915" s="106"/>
      <c r="I915" s="110"/>
      <c r="J915" s="106"/>
      <c r="K915" s="106"/>
      <c r="L915" s="106"/>
      <c r="M915" s="106"/>
      <c r="N915" s="106"/>
      <c r="O915" s="106"/>
      <c r="P915" s="106"/>
      <c r="Q915" s="106"/>
      <c r="R915" s="106"/>
      <c r="S915" s="106"/>
      <c r="T915" s="106"/>
      <c r="U915" s="106"/>
      <c r="V915" s="106"/>
      <c r="W915" s="106"/>
      <c r="X915" s="106"/>
      <c r="Y915" s="106"/>
      <c r="Z915" s="106"/>
    </row>
    <row r="916" spans="1:26" ht="13.5" customHeight="1">
      <c r="A916" s="106"/>
      <c r="B916" s="106"/>
      <c r="C916" s="106"/>
      <c r="D916" s="106"/>
      <c r="E916" s="106"/>
      <c r="F916" s="106"/>
      <c r="G916" s="110"/>
      <c r="H916" s="106"/>
      <c r="I916" s="110"/>
      <c r="J916" s="106"/>
      <c r="K916" s="106"/>
      <c r="L916" s="106"/>
      <c r="M916" s="106"/>
      <c r="N916" s="106"/>
      <c r="O916" s="106"/>
      <c r="P916" s="106"/>
      <c r="Q916" s="106"/>
      <c r="R916" s="106"/>
      <c r="S916" s="106"/>
      <c r="T916" s="106"/>
      <c r="U916" s="106"/>
      <c r="V916" s="106"/>
      <c r="W916" s="106"/>
      <c r="X916" s="106"/>
      <c r="Y916" s="106"/>
      <c r="Z916" s="106"/>
    </row>
    <row r="917" spans="1:26" ht="13.5" customHeight="1">
      <c r="A917" s="106"/>
      <c r="B917" s="106"/>
      <c r="C917" s="106"/>
      <c r="D917" s="106"/>
      <c r="E917" s="106"/>
      <c r="F917" s="106"/>
      <c r="G917" s="110"/>
      <c r="H917" s="106"/>
      <c r="I917" s="110"/>
      <c r="J917" s="106"/>
      <c r="K917" s="106"/>
      <c r="L917" s="106"/>
      <c r="M917" s="106"/>
      <c r="N917" s="106"/>
      <c r="O917" s="106"/>
      <c r="P917" s="106"/>
      <c r="Q917" s="106"/>
      <c r="R917" s="106"/>
      <c r="S917" s="106"/>
      <c r="T917" s="106"/>
      <c r="U917" s="106"/>
      <c r="V917" s="106"/>
      <c r="W917" s="106"/>
      <c r="X917" s="106"/>
      <c r="Y917" s="106"/>
      <c r="Z917" s="106"/>
    </row>
    <row r="918" spans="1:26" ht="13.5" customHeight="1">
      <c r="A918" s="106"/>
      <c r="B918" s="106"/>
      <c r="C918" s="106"/>
      <c r="D918" s="106"/>
      <c r="E918" s="106"/>
      <c r="F918" s="106"/>
      <c r="G918" s="110"/>
      <c r="H918" s="106"/>
      <c r="I918" s="110"/>
      <c r="J918" s="106"/>
      <c r="K918" s="106"/>
      <c r="L918" s="106"/>
      <c r="M918" s="106"/>
      <c r="N918" s="106"/>
      <c r="O918" s="106"/>
      <c r="P918" s="106"/>
      <c r="Q918" s="106"/>
      <c r="R918" s="106"/>
      <c r="S918" s="106"/>
      <c r="T918" s="106"/>
      <c r="U918" s="106"/>
      <c r="V918" s="106"/>
      <c r="W918" s="106"/>
      <c r="X918" s="106"/>
      <c r="Y918" s="106"/>
      <c r="Z918" s="106"/>
    </row>
    <row r="919" spans="1:26" ht="13.5" customHeight="1">
      <c r="A919" s="106"/>
      <c r="B919" s="106"/>
      <c r="C919" s="106"/>
      <c r="D919" s="106"/>
      <c r="E919" s="106"/>
      <c r="F919" s="106"/>
      <c r="G919" s="110"/>
      <c r="H919" s="106"/>
      <c r="I919" s="110"/>
      <c r="J919" s="106"/>
      <c r="K919" s="106"/>
      <c r="L919" s="106"/>
      <c r="M919" s="106"/>
      <c r="N919" s="106"/>
      <c r="O919" s="106"/>
      <c r="P919" s="106"/>
      <c r="Q919" s="106"/>
      <c r="R919" s="106"/>
      <c r="S919" s="106"/>
      <c r="T919" s="106"/>
      <c r="U919" s="106"/>
      <c r="V919" s="106"/>
      <c r="W919" s="106"/>
      <c r="X919" s="106"/>
      <c r="Y919" s="106"/>
      <c r="Z919" s="106"/>
    </row>
    <row r="920" spans="1:26" ht="13.5" customHeight="1">
      <c r="A920" s="106"/>
      <c r="B920" s="106"/>
      <c r="C920" s="106"/>
      <c r="D920" s="106"/>
      <c r="E920" s="106"/>
      <c r="F920" s="106"/>
      <c r="G920" s="110"/>
      <c r="H920" s="106"/>
      <c r="I920" s="110"/>
      <c r="J920" s="106"/>
      <c r="K920" s="106"/>
      <c r="L920" s="106"/>
      <c r="M920" s="106"/>
      <c r="N920" s="106"/>
      <c r="O920" s="106"/>
      <c r="P920" s="106"/>
      <c r="Q920" s="106"/>
      <c r="R920" s="106"/>
      <c r="S920" s="106"/>
      <c r="T920" s="106"/>
      <c r="U920" s="106"/>
      <c r="V920" s="106"/>
      <c r="W920" s="106"/>
      <c r="X920" s="106"/>
      <c r="Y920" s="106"/>
      <c r="Z920" s="106"/>
    </row>
    <row r="921" spans="1:26" ht="13.5" customHeight="1">
      <c r="A921" s="106"/>
      <c r="B921" s="106"/>
      <c r="C921" s="106"/>
      <c r="D921" s="106"/>
      <c r="E921" s="106"/>
      <c r="F921" s="106"/>
      <c r="G921" s="110"/>
      <c r="H921" s="106"/>
      <c r="I921" s="110"/>
      <c r="J921" s="106"/>
      <c r="K921" s="106"/>
      <c r="L921" s="106"/>
      <c r="M921" s="106"/>
      <c r="N921" s="106"/>
      <c r="O921" s="106"/>
      <c r="P921" s="106"/>
      <c r="Q921" s="106"/>
      <c r="R921" s="106"/>
      <c r="S921" s="106"/>
      <c r="T921" s="106"/>
      <c r="U921" s="106"/>
      <c r="V921" s="106"/>
      <c r="W921" s="106"/>
      <c r="X921" s="106"/>
      <c r="Y921" s="106"/>
      <c r="Z921" s="106"/>
    </row>
    <row r="922" spans="1:26" ht="13.5" customHeight="1">
      <c r="A922" s="106"/>
      <c r="B922" s="106"/>
      <c r="C922" s="106"/>
      <c r="D922" s="106"/>
      <c r="E922" s="106"/>
      <c r="F922" s="106"/>
      <c r="G922" s="110"/>
      <c r="H922" s="106"/>
      <c r="I922" s="110"/>
      <c r="J922" s="106"/>
      <c r="K922" s="106"/>
      <c r="L922" s="106"/>
      <c r="M922" s="106"/>
      <c r="N922" s="106"/>
      <c r="O922" s="106"/>
      <c r="P922" s="106"/>
      <c r="Q922" s="106"/>
      <c r="R922" s="106"/>
      <c r="S922" s="106"/>
      <c r="T922" s="106"/>
      <c r="U922" s="106"/>
      <c r="V922" s="106"/>
      <c r="W922" s="106"/>
      <c r="X922" s="106"/>
      <c r="Y922" s="106"/>
      <c r="Z922" s="106"/>
    </row>
    <row r="923" spans="1:26" ht="13.5" customHeight="1">
      <c r="A923" s="106"/>
      <c r="B923" s="106"/>
      <c r="C923" s="106"/>
      <c r="D923" s="106"/>
      <c r="E923" s="106"/>
      <c r="F923" s="106"/>
      <c r="G923" s="110"/>
      <c r="H923" s="106"/>
      <c r="I923" s="110"/>
      <c r="J923" s="106"/>
      <c r="K923" s="106"/>
      <c r="L923" s="106"/>
      <c r="M923" s="106"/>
      <c r="N923" s="106"/>
      <c r="O923" s="106"/>
      <c r="P923" s="106"/>
      <c r="Q923" s="106"/>
      <c r="R923" s="106"/>
      <c r="S923" s="106"/>
      <c r="T923" s="106"/>
      <c r="U923" s="106"/>
      <c r="V923" s="106"/>
      <c r="W923" s="106"/>
      <c r="X923" s="106"/>
      <c r="Y923" s="106"/>
      <c r="Z923" s="106"/>
    </row>
    <row r="924" spans="1:26" ht="13.5" customHeight="1">
      <c r="A924" s="106"/>
      <c r="B924" s="106"/>
      <c r="C924" s="106"/>
      <c r="D924" s="106"/>
      <c r="E924" s="106"/>
      <c r="F924" s="106"/>
      <c r="G924" s="110"/>
      <c r="H924" s="106"/>
      <c r="I924" s="110"/>
      <c r="J924" s="106"/>
      <c r="K924" s="106"/>
      <c r="L924" s="106"/>
      <c r="M924" s="106"/>
      <c r="N924" s="106"/>
      <c r="O924" s="106"/>
      <c r="P924" s="106"/>
      <c r="Q924" s="106"/>
      <c r="R924" s="106"/>
      <c r="S924" s="106"/>
      <c r="T924" s="106"/>
      <c r="U924" s="106"/>
      <c r="V924" s="106"/>
      <c r="W924" s="106"/>
      <c r="X924" s="106"/>
      <c r="Y924" s="106"/>
      <c r="Z924" s="106"/>
    </row>
    <row r="925" spans="1:26" ht="13.5" customHeight="1">
      <c r="A925" s="106"/>
      <c r="B925" s="106"/>
      <c r="C925" s="106"/>
      <c r="D925" s="106"/>
      <c r="E925" s="106"/>
      <c r="F925" s="106"/>
      <c r="G925" s="110"/>
      <c r="H925" s="106"/>
      <c r="I925" s="110"/>
      <c r="J925" s="106"/>
      <c r="K925" s="106"/>
      <c r="L925" s="106"/>
      <c r="M925" s="106"/>
      <c r="N925" s="106"/>
      <c r="O925" s="106"/>
      <c r="P925" s="106"/>
      <c r="Q925" s="106"/>
      <c r="R925" s="106"/>
      <c r="S925" s="106"/>
      <c r="T925" s="106"/>
      <c r="U925" s="106"/>
      <c r="V925" s="106"/>
      <c r="W925" s="106"/>
      <c r="X925" s="106"/>
      <c r="Y925" s="106"/>
      <c r="Z925" s="106"/>
    </row>
    <row r="926" spans="1:26" ht="13.5" customHeight="1">
      <c r="A926" s="106"/>
      <c r="B926" s="106"/>
      <c r="C926" s="106"/>
      <c r="D926" s="106"/>
      <c r="E926" s="106"/>
      <c r="F926" s="106"/>
      <c r="G926" s="110"/>
      <c r="H926" s="106"/>
      <c r="I926" s="110"/>
      <c r="J926" s="106"/>
      <c r="K926" s="106"/>
      <c r="L926" s="106"/>
      <c r="M926" s="106"/>
      <c r="N926" s="106"/>
      <c r="O926" s="106"/>
      <c r="P926" s="106"/>
      <c r="Q926" s="106"/>
      <c r="R926" s="106"/>
      <c r="S926" s="106"/>
      <c r="T926" s="106"/>
      <c r="U926" s="106"/>
      <c r="V926" s="106"/>
      <c r="W926" s="106"/>
      <c r="X926" s="106"/>
      <c r="Y926" s="106"/>
      <c r="Z926" s="106"/>
    </row>
    <row r="927" spans="1:26" ht="13.5" customHeight="1">
      <c r="A927" s="106"/>
      <c r="B927" s="106"/>
      <c r="C927" s="106"/>
      <c r="D927" s="106"/>
      <c r="E927" s="106"/>
      <c r="F927" s="106"/>
      <c r="G927" s="110"/>
      <c r="H927" s="106"/>
      <c r="I927" s="110"/>
      <c r="J927" s="106"/>
      <c r="K927" s="106"/>
      <c r="L927" s="106"/>
      <c r="M927" s="106"/>
      <c r="N927" s="106"/>
      <c r="O927" s="106"/>
      <c r="P927" s="106"/>
      <c r="Q927" s="106"/>
      <c r="R927" s="106"/>
      <c r="S927" s="106"/>
      <c r="T927" s="106"/>
      <c r="U927" s="106"/>
      <c r="V927" s="106"/>
      <c r="W927" s="106"/>
      <c r="X927" s="106"/>
      <c r="Y927" s="106"/>
      <c r="Z927" s="106"/>
    </row>
    <row r="928" spans="1:26" ht="13.5" customHeight="1">
      <c r="A928" s="106"/>
      <c r="B928" s="106"/>
      <c r="C928" s="106"/>
      <c r="D928" s="106"/>
      <c r="E928" s="106"/>
      <c r="F928" s="106"/>
      <c r="G928" s="110"/>
      <c r="H928" s="106"/>
      <c r="I928" s="110"/>
      <c r="J928" s="106"/>
      <c r="K928" s="106"/>
      <c r="L928" s="106"/>
      <c r="M928" s="106"/>
      <c r="N928" s="106"/>
      <c r="O928" s="106"/>
      <c r="P928" s="106"/>
      <c r="Q928" s="106"/>
      <c r="R928" s="106"/>
      <c r="S928" s="106"/>
      <c r="T928" s="106"/>
      <c r="U928" s="106"/>
      <c r="V928" s="106"/>
      <c r="W928" s="106"/>
      <c r="X928" s="106"/>
      <c r="Y928" s="106"/>
      <c r="Z928" s="106"/>
    </row>
    <row r="929" spans="1:26" ht="13.5" customHeight="1">
      <c r="A929" s="106"/>
      <c r="B929" s="106"/>
      <c r="C929" s="106"/>
      <c r="D929" s="106"/>
      <c r="E929" s="106"/>
      <c r="F929" s="106"/>
      <c r="G929" s="110"/>
      <c r="H929" s="106"/>
      <c r="I929" s="110"/>
      <c r="J929" s="106"/>
      <c r="K929" s="106"/>
      <c r="L929" s="106"/>
      <c r="M929" s="106"/>
      <c r="N929" s="106"/>
      <c r="O929" s="106"/>
      <c r="P929" s="106"/>
      <c r="Q929" s="106"/>
      <c r="R929" s="106"/>
      <c r="S929" s="106"/>
      <c r="T929" s="106"/>
      <c r="U929" s="106"/>
      <c r="V929" s="106"/>
      <c r="W929" s="106"/>
      <c r="X929" s="106"/>
      <c r="Y929" s="106"/>
      <c r="Z929" s="106"/>
    </row>
    <row r="930" spans="1:26" ht="13.5" customHeight="1">
      <c r="A930" s="106"/>
      <c r="B930" s="106"/>
      <c r="C930" s="106"/>
      <c r="D930" s="106"/>
      <c r="E930" s="106"/>
      <c r="F930" s="106"/>
      <c r="G930" s="110"/>
      <c r="H930" s="106"/>
      <c r="I930" s="110"/>
      <c r="J930" s="106"/>
      <c r="K930" s="106"/>
      <c r="L930" s="106"/>
      <c r="M930" s="106"/>
      <c r="N930" s="106"/>
      <c r="O930" s="106"/>
      <c r="P930" s="106"/>
      <c r="Q930" s="106"/>
      <c r="R930" s="106"/>
      <c r="S930" s="106"/>
      <c r="T930" s="106"/>
      <c r="U930" s="106"/>
      <c r="V930" s="106"/>
      <c r="W930" s="106"/>
      <c r="X930" s="106"/>
      <c r="Y930" s="106"/>
      <c r="Z930" s="106"/>
    </row>
    <row r="931" spans="1:26" ht="13.5" customHeight="1">
      <c r="A931" s="106"/>
      <c r="B931" s="106"/>
      <c r="C931" s="106"/>
      <c r="D931" s="106"/>
      <c r="E931" s="106"/>
      <c r="F931" s="106"/>
      <c r="G931" s="110"/>
      <c r="H931" s="106"/>
      <c r="I931" s="110"/>
      <c r="J931" s="106"/>
      <c r="K931" s="106"/>
      <c r="L931" s="106"/>
      <c r="M931" s="106"/>
      <c r="N931" s="106"/>
      <c r="O931" s="106"/>
      <c r="P931" s="106"/>
      <c r="Q931" s="106"/>
      <c r="R931" s="106"/>
      <c r="S931" s="106"/>
      <c r="T931" s="106"/>
      <c r="U931" s="106"/>
      <c r="V931" s="106"/>
      <c r="W931" s="106"/>
      <c r="X931" s="106"/>
      <c r="Y931" s="106"/>
      <c r="Z931" s="106"/>
    </row>
    <row r="932" spans="1:26" ht="13.5" customHeight="1">
      <c r="A932" s="106"/>
      <c r="B932" s="106"/>
      <c r="C932" s="106"/>
      <c r="D932" s="106"/>
      <c r="E932" s="106"/>
      <c r="F932" s="106"/>
      <c r="G932" s="110"/>
      <c r="H932" s="106"/>
      <c r="I932" s="110"/>
      <c r="J932" s="106"/>
      <c r="K932" s="106"/>
      <c r="L932" s="106"/>
      <c r="M932" s="106"/>
      <c r="N932" s="106"/>
      <c r="O932" s="106"/>
      <c r="P932" s="106"/>
      <c r="Q932" s="106"/>
      <c r="R932" s="106"/>
      <c r="S932" s="106"/>
      <c r="T932" s="106"/>
      <c r="U932" s="106"/>
      <c r="V932" s="106"/>
      <c r="W932" s="106"/>
      <c r="X932" s="106"/>
      <c r="Y932" s="106"/>
      <c r="Z932" s="106"/>
    </row>
    <row r="933" spans="1:26" ht="13.5" customHeight="1">
      <c r="A933" s="106"/>
      <c r="B933" s="106"/>
      <c r="C933" s="106"/>
      <c r="D933" s="106"/>
      <c r="E933" s="106"/>
      <c r="F933" s="106"/>
      <c r="G933" s="110"/>
      <c r="H933" s="106"/>
      <c r="I933" s="110"/>
      <c r="J933" s="106"/>
      <c r="K933" s="106"/>
      <c r="L933" s="106"/>
      <c r="M933" s="106"/>
      <c r="N933" s="106"/>
      <c r="O933" s="106"/>
      <c r="P933" s="106"/>
      <c r="Q933" s="106"/>
      <c r="R933" s="106"/>
      <c r="S933" s="106"/>
      <c r="T933" s="106"/>
      <c r="U933" s="106"/>
      <c r="V933" s="106"/>
      <c r="W933" s="106"/>
      <c r="X933" s="106"/>
      <c r="Y933" s="106"/>
      <c r="Z933" s="106"/>
    </row>
    <row r="934" spans="1:26" ht="13.5" customHeight="1">
      <c r="A934" s="106"/>
      <c r="B934" s="106"/>
      <c r="C934" s="106"/>
      <c r="D934" s="106"/>
      <c r="E934" s="106"/>
      <c r="F934" s="106"/>
      <c r="G934" s="110"/>
      <c r="H934" s="106"/>
      <c r="I934" s="110"/>
      <c r="J934" s="106"/>
      <c r="K934" s="106"/>
      <c r="L934" s="106"/>
      <c r="M934" s="106"/>
      <c r="N934" s="106"/>
      <c r="O934" s="106"/>
      <c r="P934" s="106"/>
      <c r="Q934" s="106"/>
      <c r="R934" s="106"/>
      <c r="S934" s="106"/>
      <c r="T934" s="106"/>
      <c r="U934" s="106"/>
      <c r="V934" s="106"/>
      <c r="W934" s="106"/>
      <c r="X934" s="106"/>
      <c r="Y934" s="106"/>
      <c r="Z934" s="106"/>
    </row>
    <row r="935" spans="1:26" ht="13.5" customHeight="1">
      <c r="A935" s="106"/>
      <c r="B935" s="106"/>
      <c r="C935" s="106"/>
      <c r="D935" s="106"/>
      <c r="E935" s="106"/>
      <c r="F935" s="106"/>
      <c r="G935" s="110"/>
      <c r="H935" s="106"/>
      <c r="I935" s="110"/>
      <c r="J935" s="106"/>
      <c r="K935" s="106"/>
      <c r="L935" s="106"/>
      <c r="M935" s="106"/>
      <c r="N935" s="106"/>
      <c r="O935" s="106"/>
      <c r="P935" s="106"/>
      <c r="Q935" s="106"/>
      <c r="R935" s="106"/>
      <c r="S935" s="106"/>
      <c r="T935" s="106"/>
      <c r="U935" s="106"/>
      <c r="V935" s="106"/>
      <c r="W935" s="106"/>
      <c r="X935" s="106"/>
      <c r="Y935" s="106"/>
      <c r="Z935" s="106"/>
    </row>
    <row r="936" spans="1:26" ht="13.5" customHeight="1">
      <c r="A936" s="106"/>
      <c r="B936" s="106"/>
      <c r="C936" s="106"/>
      <c r="D936" s="106"/>
      <c r="E936" s="106"/>
      <c r="F936" s="106"/>
      <c r="G936" s="110"/>
      <c r="H936" s="106"/>
      <c r="I936" s="110"/>
      <c r="J936" s="106"/>
      <c r="K936" s="106"/>
      <c r="L936" s="106"/>
      <c r="M936" s="106"/>
      <c r="N936" s="106"/>
      <c r="O936" s="106"/>
      <c r="P936" s="106"/>
      <c r="Q936" s="106"/>
      <c r="R936" s="106"/>
      <c r="S936" s="106"/>
      <c r="T936" s="106"/>
      <c r="U936" s="106"/>
      <c r="V936" s="106"/>
      <c r="W936" s="106"/>
      <c r="X936" s="106"/>
      <c r="Y936" s="106"/>
      <c r="Z936" s="106"/>
    </row>
    <row r="937" spans="1:26" ht="13.5" customHeight="1">
      <c r="A937" s="106"/>
      <c r="B937" s="106"/>
      <c r="C937" s="106"/>
      <c r="D937" s="106"/>
      <c r="E937" s="106"/>
      <c r="F937" s="106"/>
      <c r="G937" s="110"/>
      <c r="H937" s="106"/>
      <c r="I937" s="110"/>
      <c r="J937" s="106"/>
      <c r="K937" s="106"/>
      <c r="L937" s="106"/>
      <c r="M937" s="106"/>
      <c r="N937" s="106"/>
      <c r="O937" s="106"/>
      <c r="P937" s="106"/>
      <c r="Q937" s="106"/>
      <c r="R937" s="106"/>
      <c r="S937" s="106"/>
      <c r="T937" s="106"/>
      <c r="U937" s="106"/>
      <c r="V937" s="106"/>
      <c r="W937" s="106"/>
      <c r="X937" s="106"/>
      <c r="Y937" s="106"/>
      <c r="Z937" s="106"/>
    </row>
    <row r="938" spans="1:26" ht="13.5" customHeight="1">
      <c r="A938" s="106"/>
      <c r="B938" s="106"/>
      <c r="C938" s="106"/>
      <c r="D938" s="106"/>
      <c r="E938" s="106"/>
      <c r="F938" s="106"/>
      <c r="G938" s="110"/>
      <c r="H938" s="106"/>
      <c r="I938" s="110"/>
      <c r="J938" s="106"/>
      <c r="K938" s="106"/>
      <c r="L938" s="106"/>
      <c r="M938" s="106"/>
      <c r="N938" s="106"/>
      <c r="O938" s="106"/>
      <c r="P938" s="106"/>
      <c r="Q938" s="106"/>
      <c r="R938" s="106"/>
      <c r="S938" s="106"/>
      <c r="T938" s="106"/>
      <c r="U938" s="106"/>
      <c r="V938" s="106"/>
      <c r="W938" s="106"/>
      <c r="X938" s="106"/>
      <c r="Y938" s="106"/>
      <c r="Z938" s="106"/>
    </row>
    <row r="939" spans="1:26" ht="13.5" customHeight="1">
      <c r="A939" s="106"/>
      <c r="B939" s="106"/>
      <c r="C939" s="106"/>
      <c r="D939" s="106"/>
      <c r="E939" s="106"/>
      <c r="F939" s="106"/>
      <c r="G939" s="110"/>
      <c r="H939" s="106"/>
      <c r="I939" s="110"/>
      <c r="J939" s="106"/>
      <c r="K939" s="106"/>
      <c r="L939" s="106"/>
      <c r="M939" s="106"/>
      <c r="N939" s="106"/>
      <c r="O939" s="106"/>
      <c r="P939" s="106"/>
      <c r="Q939" s="106"/>
      <c r="R939" s="106"/>
      <c r="S939" s="106"/>
      <c r="T939" s="106"/>
      <c r="U939" s="106"/>
      <c r="V939" s="106"/>
      <c r="W939" s="106"/>
      <c r="X939" s="106"/>
      <c r="Y939" s="106"/>
      <c r="Z939" s="106"/>
    </row>
    <row r="940" spans="1:26" ht="13.5" customHeight="1">
      <c r="A940" s="106"/>
      <c r="B940" s="106"/>
      <c r="C940" s="106"/>
      <c r="D940" s="106"/>
      <c r="E940" s="106"/>
      <c r="F940" s="106"/>
      <c r="G940" s="110"/>
      <c r="H940" s="106"/>
      <c r="I940" s="110"/>
      <c r="J940" s="106"/>
      <c r="K940" s="106"/>
      <c r="L940" s="106"/>
      <c r="M940" s="106"/>
      <c r="N940" s="106"/>
      <c r="O940" s="106"/>
      <c r="P940" s="106"/>
      <c r="Q940" s="106"/>
      <c r="R940" s="106"/>
      <c r="S940" s="106"/>
      <c r="T940" s="106"/>
      <c r="U940" s="106"/>
      <c r="V940" s="106"/>
      <c r="W940" s="106"/>
      <c r="X940" s="106"/>
      <c r="Y940" s="106"/>
      <c r="Z940" s="106"/>
    </row>
    <row r="941" spans="1:26" ht="13.5" customHeight="1">
      <c r="A941" s="106"/>
      <c r="B941" s="106"/>
      <c r="C941" s="106"/>
      <c r="D941" s="106"/>
      <c r="E941" s="106"/>
      <c r="F941" s="106"/>
      <c r="G941" s="110"/>
      <c r="H941" s="106"/>
      <c r="I941" s="110"/>
      <c r="J941" s="106"/>
      <c r="K941" s="106"/>
      <c r="L941" s="106"/>
      <c r="M941" s="106"/>
      <c r="N941" s="106"/>
      <c r="O941" s="106"/>
      <c r="P941" s="106"/>
      <c r="Q941" s="106"/>
      <c r="R941" s="106"/>
      <c r="S941" s="106"/>
      <c r="T941" s="106"/>
      <c r="U941" s="106"/>
      <c r="V941" s="106"/>
      <c r="W941" s="106"/>
      <c r="X941" s="106"/>
      <c r="Y941" s="106"/>
      <c r="Z941" s="106"/>
    </row>
    <row r="942" spans="1:26" ht="13.5" customHeight="1">
      <c r="A942" s="106"/>
      <c r="B942" s="106"/>
      <c r="C942" s="106"/>
      <c r="D942" s="106"/>
      <c r="E942" s="106"/>
      <c r="F942" s="106"/>
      <c r="G942" s="110"/>
      <c r="H942" s="106"/>
      <c r="I942" s="110"/>
      <c r="J942" s="106"/>
      <c r="K942" s="106"/>
      <c r="L942" s="106"/>
      <c r="M942" s="106"/>
      <c r="N942" s="106"/>
      <c r="O942" s="106"/>
      <c r="P942" s="106"/>
      <c r="Q942" s="106"/>
      <c r="R942" s="106"/>
      <c r="S942" s="106"/>
      <c r="T942" s="106"/>
      <c r="U942" s="106"/>
      <c r="V942" s="106"/>
      <c r="W942" s="106"/>
      <c r="X942" s="106"/>
      <c r="Y942" s="106"/>
      <c r="Z942" s="106"/>
    </row>
    <row r="943" spans="1:26" ht="13.5" customHeight="1">
      <c r="A943" s="106"/>
      <c r="B943" s="106"/>
      <c r="C943" s="106"/>
      <c r="D943" s="106"/>
      <c r="E943" s="106"/>
      <c r="F943" s="106"/>
      <c r="G943" s="110"/>
      <c r="H943" s="106"/>
      <c r="I943" s="110"/>
      <c r="J943" s="106"/>
      <c r="K943" s="106"/>
      <c r="L943" s="106"/>
      <c r="M943" s="106"/>
      <c r="N943" s="106"/>
      <c r="O943" s="106"/>
      <c r="P943" s="106"/>
      <c r="Q943" s="106"/>
      <c r="R943" s="106"/>
      <c r="S943" s="106"/>
      <c r="T943" s="106"/>
      <c r="U943" s="106"/>
      <c r="V943" s="106"/>
      <c r="W943" s="106"/>
      <c r="X943" s="106"/>
      <c r="Y943" s="106"/>
      <c r="Z943" s="106"/>
    </row>
    <row r="944" spans="1:26" ht="13.5" customHeight="1">
      <c r="A944" s="106"/>
      <c r="B944" s="106"/>
      <c r="C944" s="106"/>
      <c r="D944" s="106"/>
      <c r="E944" s="106"/>
      <c r="F944" s="106"/>
      <c r="G944" s="110"/>
      <c r="H944" s="106"/>
      <c r="I944" s="110"/>
      <c r="J944" s="106"/>
      <c r="K944" s="106"/>
      <c r="L944" s="106"/>
      <c r="M944" s="106"/>
      <c r="N944" s="106"/>
      <c r="O944" s="106"/>
      <c r="P944" s="106"/>
      <c r="Q944" s="106"/>
      <c r="R944" s="106"/>
      <c r="S944" s="106"/>
      <c r="T944" s="106"/>
      <c r="U944" s="106"/>
      <c r="V944" s="106"/>
      <c r="W944" s="106"/>
      <c r="X944" s="106"/>
      <c r="Y944" s="106"/>
      <c r="Z944" s="106"/>
    </row>
    <row r="945" spans="1:26" ht="13.5" customHeight="1">
      <c r="A945" s="106"/>
      <c r="B945" s="106"/>
      <c r="C945" s="106"/>
      <c r="D945" s="106"/>
      <c r="E945" s="106"/>
      <c r="F945" s="106"/>
      <c r="G945" s="110"/>
      <c r="H945" s="106"/>
      <c r="I945" s="110"/>
      <c r="J945" s="106"/>
      <c r="K945" s="106"/>
      <c r="L945" s="106"/>
      <c r="M945" s="106"/>
      <c r="N945" s="106"/>
      <c r="O945" s="106"/>
      <c r="P945" s="106"/>
      <c r="Q945" s="106"/>
      <c r="R945" s="106"/>
      <c r="S945" s="106"/>
      <c r="T945" s="106"/>
      <c r="U945" s="106"/>
      <c r="V945" s="106"/>
      <c r="W945" s="106"/>
      <c r="X945" s="106"/>
      <c r="Y945" s="106"/>
      <c r="Z945" s="106"/>
    </row>
    <row r="946" spans="1:26" ht="13.5" customHeight="1">
      <c r="A946" s="106"/>
      <c r="B946" s="106"/>
      <c r="C946" s="106"/>
      <c r="D946" s="106"/>
      <c r="E946" s="106"/>
      <c r="F946" s="106"/>
      <c r="G946" s="110"/>
      <c r="H946" s="106"/>
      <c r="I946" s="110"/>
      <c r="J946" s="106"/>
      <c r="K946" s="106"/>
      <c r="L946" s="106"/>
      <c r="M946" s="106"/>
      <c r="N946" s="106"/>
      <c r="O946" s="106"/>
      <c r="P946" s="106"/>
      <c r="Q946" s="106"/>
      <c r="R946" s="106"/>
      <c r="S946" s="106"/>
      <c r="T946" s="106"/>
      <c r="U946" s="106"/>
      <c r="V946" s="106"/>
      <c r="W946" s="106"/>
      <c r="X946" s="106"/>
      <c r="Y946" s="106"/>
      <c r="Z946" s="106"/>
    </row>
    <row r="947" spans="1:26" ht="13.5" customHeight="1">
      <c r="A947" s="106"/>
      <c r="B947" s="106"/>
      <c r="C947" s="106"/>
      <c r="D947" s="106"/>
      <c r="E947" s="106"/>
      <c r="F947" s="106"/>
      <c r="G947" s="110"/>
      <c r="H947" s="106"/>
      <c r="I947" s="110"/>
      <c r="J947" s="106"/>
      <c r="K947" s="106"/>
      <c r="L947" s="106"/>
      <c r="M947" s="106"/>
      <c r="N947" s="106"/>
      <c r="O947" s="106"/>
      <c r="P947" s="106"/>
      <c r="Q947" s="106"/>
      <c r="R947" s="106"/>
      <c r="S947" s="106"/>
      <c r="T947" s="106"/>
      <c r="U947" s="106"/>
      <c r="V947" s="106"/>
      <c r="W947" s="106"/>
      <c r="X947" s="106"/>
      <c r="Y947" s="106"/>
      <c r="Z947" s="106"/>
    </row>
    <row r="948" spans="1:26" ht="13.5" customHeight="1">
      <c r="A948" s="106"/>
      <c r="B948" s="106"/>
      <c r="C948" s="106"/>
      <c r="D948" s="106"/>
      <c r="E948" s="106"/>
      <c r="F948" s="106"/>
      <c r="G948" s="110"/>
      <c r="H948" s="106"/>
      <c r="I948" s="110"/>
      <c r="J948" s="106"/>
      <c r="K948" s="106"/>
      <c r="L948" s="106"/>
      <c r="M948" s="106"/>
      <c r="N948" s="106"/>
      <c r="O948" s="106"/>
      <c r="P948" s="106"/>
      <c r="Q948" s="106"/>
      <c r="R948" s="106"/>
      <c r="S948" s="106"/>
      <c r="T948" s="106"/>
      <c r="U948" s="106"/>
      <c r="V948" s="106"/>
      <c r="W948" s="106"/>
      <c r="X948" s="106"/>
      <c r="Y948" s="106"/>
      <c r="Z948" s="106"/>
    </row>
    <row r="949" spans="1:26" ht="13.5" customHeight="1">
      <c r="A949" s="106"/>
      <c r="B949" s="106"/>
      <c r="C949" s="106"/>
      <c r="D949" s="106"/>
      <c r="E949" s="106"/>
      <c r="F949" s="106"/>
      <c r="G949" s="110"/>
      <c r="H949" s="106"/>
      <c r="I949" s="110"/>
      <c r="J949" s="106"/>
      <c r="K949" s="106"/>
      <c r="L949" s="106"/>
      <c r="M949" s="106"/>
      <c r="N949" s="106"/>
      <c r="O949" s="106"/>
      <c r="P949" s="106"/>
      <c r="Q949" s="106"/>
      <c r="R949" s="106"/>
      <c r="S949" s="106"/>
      <c r="T949" s="106"/>
      <c r="U949" s="106"/>
      <c r="V949" s="106"/>
      <c r="W949" s="106"/>
      <c r="X949" s="106"/>
      <c r="Y949" s="106"/>
      <c r="Z949" s="106"/>
    </row>
    <row r="950" spans="1:26" ht="13.5" customHeight="1">
      <c r="A950" s="106"/>
      <c r="B950" s="106"/>
      <c r="C950" s="106"/>
      <c r="D950" s="106"/>
      <c r="E950" s="106"/>
      <c r="F950" s="106"/>
      <c r="G950" s="110"/>
      <c r="H950" s="106"/>
      <c r="I950" s="110"/>
      <c r="J950" s="106"/>
      <c r="K950" s="106"/>
      <c r="L950" s="106"/>
      <c r="M950" s="106"/>
      <c r="N950" s="106"/>
      <c r="O950" s="106"/>
      <c r="P950" s="106"/>
      <c r="Q950" s="106"/>
      <c r="R950" s="106"/>
      <c r="S950" s="106"/>
      <c r="T950" s="106"/>
      <c r="U950" s="106"/>
      <c r="V950" s="106"/>
      <c r="W950" s="106"/>
      <c r="X950" s="106"/>
      <c r="Y950" s="106"/>
      <c r="Z950" s="106"/>
    </row>
    <row r="951" spans="1:26" ht="13.5" customHeight="1">
      <c r="A951" s="106"/>
      <c r="B951" s="106"/>
      <c r="C951" s="106"/>
      <c r="D951" s="106"/>
      <c r="E951" s="106"/>
      <c r="F951" s="106"/>
      <c r="G951" s="110"/>
      <c r="H951" s="106"/>
      <c r="I951" s="110"/>
      <c r="J951" s="106"/>
      <c r="K951" s="106"/>
      <c r="L951" s="106"/>
      <c r="M951" s="106"/>
      <c r="N951" s="106"/>
      <c r="O951" s="106"/>
      <c r="P951" s="106"/>
      <c r="Q951" s="106"/>
      <c r="R951" s="106"/>
      <c r="S951" s="106"/>
      <c r="T951" s="106"/>
      <c r="U951" s="106"/>
      <c r="V951" s="106"/>
      <c r="W951" s="106"/>
      <c r="X951" s="106"/>
      <c r="Y951" s="106"/>
      <c r="Z951" s="106"/>
    </row>
    <row r="952" spans="1:26" ht="13.5" customHeight="1">
      <c r="A952" s="106"/>
      <c r="B952" s="106"/>
      <c r="C952" s="106"/>
      <c r="D952" s="106"/>
      <c r="E952" s="106"/>
      <c r="F952" s="106"/>
      <c r="G952" s="110"/>
      <c r="H952" s="106"/>
      <c r="I952" s="110"/>
      <c r="J952" s="106"/>
      <c r="K952" s="106"/>
      <c r="L952" s="106"/>
      <c r="M952" s="106"/>
      <c r="N952" s="106"/>
      <c r="O952" s="106"/>
      <c r="P952" s="106"/>
      <c r="Q952" s="106"/>
      <c r="R952" s="106"/>
      <c r="S952" s="106"/>
      <c r="T952" s="106"/>
      <c r="U952" s="106"/>
      <c r="V952" s="106"/>
      <c r="W952" s="106"/>
      <c r="X952" s="106"/>
      <c r="Y952" s="106"/>
      <c r="Z952" s="106"/>
    </row>
    <row r="953" spans="1:26" ht="13.5" customHeight="1">
      <c r="A953" s="106"/>
      <c r="B953" s="106"/>
      <c r="C953" s="106"/>
      <c r="D953" s="106"/>
      <c r="E953" s="106"/>
      <c r="F953" s="106"/>
      <c r="G953" s="110"/>
      <c r="H953" s="106"/>
      <c r="I953" s="110"/>
      <c r="J953" s="106"/>
      <c r="K953" s="106"/>
      <c r="L953" s="106"/>
      <c r="M953" s="106"/>
      <c r="N953" s="106"/>
      <c r="O953" s="106"/>
      <c r="P953" s="106"/>
      <c r="Q953" s="106"/>
      <c r="R953" s="106"/>
      <c r="S953" s="106"/>
      <c r="T953" s="106"/>
      <c r="U953" s="106"/>
      <c r="V953" s="106"/>
      <c r="W953" s="106"/>
      <c r="X953" s="106"/>
      <c r="Y953" s="106"/>
      <c r="Z953" s="106"/>
    </row>
    <row r="954" spans="1:26" ht="13.5" customHeight="1">
      <c r="A954" s="106"/>
      <c r="B954" s="106"/>
      <c r="C954" s="106"/>
      <c r="D954" s="106"/>
      <c r="E954" s="106"/>
      <c r="F954" s="106"/>
      <c r="G954" s="110"/>
      <c r="H954" s="106"/>
      <c r="I954" s="110"/>
      <c r="J954" s="106"/>
      <c r="K954" s="106"/>
      <c r="L954" s="106"/>
      <c r="M954" s="106"/>
      <c r="N954" s="106"/>
      <c r="O954" s="106"/>
      <c r="P954" s="106"/>
      <c r="Q954" s="106"/>
      <c r="R954" s="106"/>
      <c r="S954" s="106"/>
      <c r="T954" s="106"/>
      <c r="U954" s="106"/>
      <c r="V954" s="106"/>
      <c r="W954" s="106"/>
      <c r="X954" s="106"/>
      <c r="Y954" s="106"/>
      <c r="Z954" s="106"/>
    </row>
    <row r="955" spans="1:26" ht="13.5" customHeight="1">
      <c r="A955" s="106"/>
      <c r="B955" s="106"/>
      <c r="C955" s="106"/>
      <c r="D955" s="106"/>
      <c r="E955" s="106"/>
      <c r="F955" s="106"/>
      <c r="G955" s="110"/>
      <c r="H955" s="106"/>
      <c r="I955" s="110"/>
      <c r="J955" s="106"/>
      <c r="K955" s="106"/>
      <c r="L955" s="106"/>
      <c r="M955" s="106"/>
      <c r="N955" s="106"/>
      <c r="O955" s="106"/>
      <c r="P955" s="106"/>
      <c r="Q955" s="106"/>
      <c r="R955" s="106"/>
      <c r="S955" s="106"/>
      <c r="T955" s="106"/>
      <c r="U955" s="106"/>
      <c r="V955" s="106"/>
      <c r="W955" s="106"/>
      <c r="X955" s="106"/>
      <c r="Y955" s="106"/>
      <c r="Z955" s="106"/>
    </row>
    <row r="956" spans="1:26" ht="13.5" customHeight="1">
      <c r="A956" s="106"/>
      <c r="B956" s="106"/>
      <c r="C956" s="106"/>
      <c r="D956" s="106"/>
      <c r="E956" s="106"/>
      <c r="F956" s="106"/>
      <c r="G956" s="110"/>
      <c r="H956" s="106"/>
      <c r="I956" s="110"/>
      <c r="J956" s="106"/>
      <c r="K956" s="106"/>
      <c r="L956" s="106"/>
      <c r="M956" s="106"/>
      <c r="N956" s="106"/>
      <c r="O956" s="106"/>
      <c r="P956" s="106"/>
      <c r="Q956" s="106"/>
      <c r="R956" s="106"/>
      <c r="S956" s="106"/>
      <c r="T956" s="106"/>
      <c r="U956" s="106"/>
      <c r="V956" s="106"/>
      <c r="W956" s="106"/>
      <c r="X956" s="106"/>
      <c r="Y956" s="106"/>
      <c r="Z956" s="106"/>
    </row>
    <row r="957" spans="1:26" ht="13.5" customHeight="1">
      <c r="A957" s="106"/>
      <c r="B957" s="106"/>
      <c r="C957" s="106"/>
      <c r="D957" s="106"/>
      <c r="E957" s="106"/>
      <c r="F957" s="106"/>
      <c r="G957" s="110"/>
      <c r="H957" s="106"/>
      <c r="I957" s="110"/>
      <c r="J957" s="106"/>
      <c r="K957" s="106"/>
      <c r="L957" s="106"/>
      <c r="M957" s="106"/>
      <c r="N957" s="106"/>
      <c r="O957" s="106"/>
      <c r="P957" s="106"/>
      <c r="Q957" s="106"/>
      <c r="R957" s="106"/>
      <c r="S957" s="106"/>
      <c r="T957" s="106"/>
      <c r="U957" s="106"/>
      <c r="V957" s="106"/>
      <c r="W957" s="106"/>
      <c r="X957" s="106"/>
      <c r="Y957" s="106"/>
      <c r="Z957" s="106"/>
    </row>
    <row r="958" spans="1:26" ht="13.5" customHeight="1">
      <c r="A958" s="106"/>
      <c r="B958" s="106"/>
      <c r="C958" s="106"/>
      <c r="D958" s="106"/>
      <c r="E958" s="106"/>
      <c r="F958" s="106"/>
      <c r="G958" s="110"/>
      <c r="H958" s="106"/>
      <c r="I958" s="110"/>
      <c r="J958" s="106"/>
      <c r="K958" s="106"/>
      <c r="L958" s="106"/>
      <c r="M958" s="106"/>
      <c r="N958" s="106"/>
      <c r="O958" s="106"/>
      <c r="P958" s="106"/>
      <c r="Q958" s="106"/>
      <c r="R958" s="106"/>
      <c r="S958" s="106"/>
      <c r="T958" s="106"/>
      <c r="U958" s="106"/>
      <c r="V958" s="106"/>
      <c r="W958" s="106"/>
      <c r="X958" s="106"/>
      <c r="Y958" s="106"/>
      <c r="Z958" s="106"/>
    </row>
    <row r="959" spans="1:26" ht="13.5" customHeight="1">
      <c r="A959" s="106"/>
      <c r="B959" s="106"/>
      <c r="C959" s="106"/>
      <c r="D959" s="106"/>
      <c r="E959" s="106"/>
      <c r="F959" s="106"/>
      <c r="G959" s="110"/>
      <c r="H959" s="106"/>
      <c r="I959" s="110"/>
      <c r="J959" s="106"/>
      <c r="K959" s="106"/>
      <c r="L959" s="106"/>
      <c r="M959" s="106"/>
      <c r="N959" s="106"/>
      <c r="O959" s="106"/>
      <c r="P959" s="106"/>
      <c r="Q959" s="106"/>
      <c r="R959" s="106"/>
      <c r="S959" s="106"/>
      <c r="T959" s="106"/>
      <c r="U959" s="106"/>
      <c r="V959" s="106"/>
      <c r="W959" s="106"/>
      <c r="X959" s="106"/>
      <c r="Y959" s="106"/>
      <c r="Z959" s="106"/>
    </row>
    <row r="960" spans="1:26" ht="13.5" customHeight="1">
      <c r="A960" s="106"/>
      <c r="B960" s="106"/>
      <c r="C960" s="106"/>
      <c r="D960" s="106"/>
      <c r="E960" s="106"/>
      <c r="F960" s="106"/>
      <c r="G960" s="110"/>
      <c r="H960" s="106"/>
      <c r="I960" s="110"/>
      <c r="J960" s="106"/>
      <c r="K960" s="106"/>
      <c r="L960" s="106"/>
      <c r="M960" s="106"/>
      <c r="N960" s="106"/>
      <c r="O960" s="106"/>
      <c r="P960" s="106"/>
      <c r="Q960" s="106"/>
      <c r="R960" s="106"/>
      <c r="S960" s="106"/>
      <c r="T960" s="106"/>
      <c r="U960" s="106"/>
      <c r="V960" s="106"/>
      <c r="W960" s="106"/>
      <c r="X960" s="106"/>
      <c r="Y960" s="106"/>
      <c r="Z960" s="106"/>
    </row>
    <row r="961" spans="1:26" ht="13.5" customHeight="1">
      <c r="A961" s="106"/>
      <c r="B961" s="106"/>
      <c r="C961" s="106"/>
      <c r="D961" s="106"/>
      <c r="E961" s="106"/>
      <c r="F961" s="106"/>
      <c r="G961" s="110"/>
      <c r="H961" s="106"/>
      <c r="I961" s="110"/>
      <c r="J961" s="106"/>
      <c r="K961" s="106"/>
      <c r="L961" s="106"/>
      <c r="M961" s="106"/>
      <c r="N961" s="106"/>
      <c r="O961" s="106"/>
      <c r="P961" s="106"/>
      <c r="Q961" s="106"/>
      <c r="R961" s="106"/>
      <c r="S961" s="106"/>
      <c r="T961" s="106"/>
      <c r="U961" s="106"/>
      <c r="V961" s="106"/>
      <c r="W961" s="106"/>
      <c r="X961" s="106"/>
      <c r="Y961" s="106"/>
      <c r="Z961" s="106"/>
    </row>
    <row r="962" spans="1:26" ht="13.5" customHeight="1">
      <c r="A962" s="106"/>
      <c r="B962" s="106"/>
      <c r="C962" s="106"/>
      <c r="D962" s="106"/>
      <c r="E962" s="106"/>
      <c r="F962" s="106"/>
      <c r="G962" s="110"/>
      <c r="H962" s="106"/>
      <c r="I962" s="110"/>
      <c r="J962" s="106"/>
      <c r="K962" s="106"/>
      <c r="L962" s="106"/>
      <c r="M962" s="106"/>
      <c r="N962" s="106"/>
      <c r="O962" s="106"/>
      <c r="P962" s="106"/>
      <c r="Q962" s="106"/>
      <c r="R962" s="106"/>
      <c r="S962" s="106"/>
      <c r="T962" s="106"/>
      <c r="U962" s="106"/>
      <c r="V962" s="106"/>
      <c r="W962" s="106"/>
      <c r="X962" s="106"/>
      <c r="Y962" s="106"/>
      <c r="Z962" s="106"/>
    </row>
    <row r="963" spans="1:26" ht="13.5" customHeight="1">
      <c r="A963" s="106"/>
      <c r="B963" s="106"/>
      <c r="C963" s="106"/>
      <c r="D963" s="106"/>
      <c r="E963" s="106"/>
      <c r="F963" s="106"/>
      <c r="G963" s="110"/>
      <c r="H963" s="106"/>
      <c r="I963" s="110"/>
      <c r="J963" s="106"/>
      <c r="K963" s="106"/>
      <c r="L963" s="106"/>
      <c r="M963" s="106"/>
      <c r="N963" s="106"/>
      <c r="O963" s="106"/>
      <c r="P963" s="106"/>
      <c r="Q963" s="106"/>
      <c r="R963" s="106"/>
      <c r="S963" s="106"/>
      <c r="T963" s="106"/>
      <c r="U963" s="106"/>
      <c r="V963" s="106"/>
      <c r="W963" s="106"/>
      <c r="X963" s="106"/>
      <c r="Y963" s="106"/>
      <c r="Z963" s="106"/>
    </row>
    <row r="964" spans="1:26" ht="13.5" customHeight="1">
      <c r="A964" s="106"/>
      <c r="B964" s="106"/>
      <c r="C964" s="106"/>
      <c r="D964" s="106"/>
      <c r="E964" s="106"/>
      <c r="F964" s="106"/>
      <c r="G964" s="110"/>
      <c r="H964" s="106"/>
      <c r="I964" s="110"/>
      <c r="J964" s="106"/>
      <c r="K964" s="106"/>
      <c r="L964" s="106"/>
      <c r="M964" s="106"/>
      <c r="N964" s="106"/>
      <c r="O964" s="106"/>
      <c r="P964" s="106"/>
      <c r="Q964" s="106"/>
      <c r="R964" s="106"/>
      <c r="S964" s="106"/>
      <c r="T964" s="106"/>
      <c r="U964" s="106"/>
      <c r="V964" s="106"/>
      <c r="W964" s="106"/>
      <c r="X964" s="106"/>
      <c r="Y964" s="106"/>
      <c r="Z964" s="106"/>
    </row>
    <row r="965" spans="1:26" ht="13.5" customHeight="1">
      <c r="A965" s="106"/>
      <c r="B965" s="106"/>
      <c r="C965" s="106"/>
      <c r="D965" s="106"/>
      <c r="E965" s="106"/>
      <c r="F965" s="106"/>
      <c r="G965" s="110"/>
      <c r="H965" s="106"/>
      <c r="I965" s="110"/>
      <c r="J965" s="106"/>
      <c r="K965" s="106"/>
      <c r="L965" s="106"/>
      <c r="M965" s="106"/>
      <c r="N965" s="106"/>
      <c r="O965" s="106"/>
      <c r="P965" s="106"/>
      <c r="Q965" s="106"/>
      <c r="R965" s="106"/>
      <c r="S965" s="106"/>
      <c r="T965" s="106"/>
      <c r="U965" s="106"/>
      <c r="V965" s="106"/>
      <c r="W965" s="106"/>
      <c r="X965" s="106"/>
      <c r="Y965" s="106"/>
      <c r="Z965" s="106"/>
    </row>
    <row r="966" spans="1:26" ht="13.5" customHeight="1">
      <c r="A966" s="106"/>
      <c r="B966" s="106"/>
      <c r="C966" s="106"/>
      <c r="D966" s="106"/>
      <c r="E966" s="106"/>
      <c r="F966" s="106"/>
      <c r="G966" s="110"/>
      <c r="H966" s="106"/>
      <c r="I966" s="110"/>
      <c r="J966" s="106"/>
      <c r="K966" s="106"/>
      <c r="L966" s="106"/>
      <c r="M966" s="106"/>
      <c r="N966" s="106"/>
      <c r="O966" s="106"/>
      <c r="P966" s="106"/>
      <c r="Q966" s="106"/>
      <c r="R966" s="106"/>
      <c r="S966" s="106"/>
      <c r="T966" s="106"/>
      <c r="U966" s="106"/>
      <c r="V966" s="106"/>
      <c r="W966" s="106"/>
      <c r="X966" s="106"/>
      <c r="Y966" s="106"/>
      <c r="Z966" s="106"/>
    </row>
    <row r="967" spans="1:26" ht="13.5" customHeight="1">
      <c r="A967" s="106"/>
      <c r="B967" s="106"/>
      <c r="C967" s="106"/>
      <c r="D967" s="106"/>
      <c r="E967" s="106"/>
      <c r="F967" s="106"/>
      <c r="G967" s="110"/>
      <c r="H967" s="106"/>
      <c r="I967" s="110"/>
      <c r="J967" s="106"/>
      <c r="K967" s="106"/>
      <c r="L967" s="106"/>
      <c r="M967" s="106"/>
      <c r="N967" s="106"/>
      <c r="O967" s="106"/>
      <c r="P967" s="106"/>
      <c r="Q967" s="106"/>
      <c r="R967" s="106"/>
      <c r="S967" s="106"/>
      <c r="T967" s="106"/>
      <c r="U967" s="106"/>
      <c r="V967" s="106"/>
      <c r="W967" s="106"/>
      <c r="X967" s="106"/>
      <c r="Y967" s="106"/>
      <c r="Z967" s="106"/>
    </row>
    <row r="968" spans="1:26" ht="13.5" customHeight="1">
      <c r="A968" s="106"/>
      <c r="B968" s="106"/>
      <c r="C968" s="106"/>
      <c r="D968" s="106"/>
      <c r="E968" s="106"/>
      <c r="F968" s="106"/>
      <c r="G968" s="110"/>
      <c r="H968" s="106"/>
      <c r="I968" s="110"/>
      <c r="J968" s="106"/>
      <c r="K968" s="106"/>
      <c r="L968" s="106"/>
      <c r="M968" s="106"/>
      <c r="N968" s="106"/>
      <c r="O968" s="106"/>
      <c r="P968" s="106"/>
      <c r="Q968" s="106"/>
      <c r="R968" s="106"/>
      <c r="S968" s="106"/>
      <c r="T968" s="106"/>
      <c r="U968" s="106"/>
      <c r="V968" s="106"/>
      <c r="W968" s="106"/>
      <c r="X968" s="106"/>
      <c r="Y968" s="106"/>
      <c r="Z968" s="106"/>
    </row>
    <row r="969" spans="1:26" ht="13.5" customHeight="1">
      <c r="A969" s="106"/>
      <c r="B969" s="106"/>
      <c r="C969" s="106"/>
      <c r="D969" s="106"/>
      <c r="E969" s="106"/>
      <c r="F969" s="106"/>
      <c r="G969" s="110"/>
      <c r="H969" s="106"/>
      <c r="I969" s="110"/>
      <c r="J969" s="106"/>
      <c r="K969" s="106"/>
      <c r="L969" s="106"/>
      <c r="M969" s="106"/>
      <c r="N969" s="106"/>
      <c r="O969" s="106"/>
      <c r="P969" s="106"/>
      <c r="Q969" s="106"/>
      <c r="R969" s="106"/>
      <c r="S969" s="106"/>
      <c r="T969" s="106"/>
      <c r="U969" s="106"/>
      <c r="V969" s="106"/>
      <c r="W969" s="106"/>
      <c r="X969" s="106"/>
      <c r="Y969" s="106"/>
      <c r="Z969" s="106"/>
    </row>
    <row r="970" spans="1:26" ht="13.5" customHeight="1">
      <c r="A970" s="106"/>
      <c r="B970" s="106"/>
      <c r="C970" s="106"/>
      <c r="D970" s="106"/>
      <c r="E970" s="106"/>
      <c r="F970" s="106"/>
      <c r="G970" s="110"/>
      <c r="H970" s="106"/>
      <c r="I970" s="110"/>
      <c r="J970" s="106"/>
      <c r="K970" s="106"/>
      <c r="L970" s="106"/>
      <c r="M970" s="106"/>
      <c r="N970" s="106"/>
      <c r="O970" s="106"/>
      <c r="P970" s="106"/>
      <c r="Q970" s="106"/>
      <c r="R970" s="106"/>
      <c r="S970" s="106"/>
      <c r="T970" s="106"/>
      <c r="U970" s="106"/>
      <c r="V970" s="106"/>
      <c r="W970" s="106"/>
      <c r="X970" s="106"/>
      <c r="Y970" s="106"/>
      <c r="Z970" s="106"/>
    </row>
    <row r="971" spans="1:26" ht="13.5" customHeight="1">
      <c r="A971" s="106"/>
      <c r="B971" s="106"/>
      <c r="C971" s="106"/>
      <c r="D971" s="106"/>
      <c r="E971" s="106"/>
      <c r="F971" s="106"/>
      <c r="G971" s="110"/>
      <c r="H971" s="106"/>
      <c r="I971" s="110"/>
      <c r="J971" s="106"/>
      <c r="K971" s="106"/>
      <c r="L971" s="106"/>
      <c r="M971" s="106"/>
      <c r="N971" s="106"/>
      <c r="O971" s="106"/>
      <c r="P971" s="106"/>
      <c r="Q971" s="106"/>
      <c r="R971" s="106"/>
      <c r="S971" s="106"/>
      <c r="T971" s="106"/>
      <c r="U971" s="106"/>
      <c r="V971" s="106"/>
      <c r="W971" s="106"/>
      <c r="X971" s="106"/>
      <c r="Y971" s="106"/>
      <c r="Z971" s="106"/>
    </row>
    <row r="972" spans="1:26" ht="13.5" customHeight="1">
      <c r="A972" s="106"/>
      <c r="B972" s="106"/>
      <c r="C972" s="106"/>
      <c r="D972" s="106"/>
      <c r="E972" s="106"/>
      <c r="F972" s="106"/>
      <c r="G972" s="110"/>
      <c r="H972" s="106"/>
      <c r="I972" s="110"/>
      <c r="J972" s="106"/>
      <c r="K972" s="106"/>
      <c r="L972" s="106"/>
      <c r="M972" s="106"/>
      <c r="N972" s="106"/>
      <c r="O972" s="106"/>
      <c r="P972" s="106"/>
      <c r="Q972" s="106"/>
      <c r="R972" s="106"/>
      <c r="S972" s="106"/>
      <c r="T972" s="106"/>
      <c r="U972" s="106"/>
      <c r="V972" s="106"/>
      <c r="W972" s="106"/>
      <c r="X972" s="106"/>
      <c r="Y972" s="106"/>
      <c r="Z972" s="106"/>
    </row>
    <row r="973" spans="1:26" ht="13.5" customHeight="1">
      <c r="A973" s="106"/>
      <c r="B973" s="106"/>
      <c r="C973" s="106"/>
      <c r="D973" s="106"/>
      <c r="E973" s="106"/>
      <c r="F973" s="106"/>
      <c r="G973" s="110"/>
      <c r="H973" s="106"/>
      <c r="I973" s="110"/>
      <c r="J973" s="106"/>
      <c r="K973" s="106"/>
      <c r="L973" s="106"/>
      <c r="M973" s="106"/>
      <c r="N973" s="106"/>
      <c r="O973" s="106"/>
      <c r="P973" s="106"/>
      <c r="Q973" s="106"/>
      <c r="R973" s="106"/>
      <c r="S973" s="106"/>
      <c r="T973" s="106"/>
      <c r="U973" s="106"/>
      <c r="V973" s="106"/>
      <c r="W973" s="106"/>
      <c r="X973" s="106"/>
      <c r="Y973" s="106"/>
      <c r="Z973" s="106"/>
    </row>
    <row r="974" spans="1:26" ht="13.5" customHeight="1">
      <c r="A974" s="106"/>
      <c r="B974" s="106"/>
      <c r="C974" s="106"/>
      <c r="D974" s="106"/>
      <c r="E974" s="106"/>
      <c r="F974" s="106"/>
      <c r="G974" s="110"/>
      <c r="H974" s="106"/>
      <c r="I974" s="110"/>
      <c r="J974" s="106"/>
      <c r="K974" s="106"/>
      <c r="L974" s="106"/>
      <c r="M974" s="106"/>
      <c r="N974" s="106"/>
      <c r="O974" s="106"/>
      <c r="P974" s="106"/>
      <c r="Q974" s="106"/>
      <c r="R974" s="106"/>
      <c r="S974" s="106"/>
      <c r="T974" s="106"/>
      <c r="U974" s="106"/>
      <c r="V974" s="106"/>
      <c r="W974" s="106"/>
      <c r="X974" s="106"/>
      <c r="Y974" s="106"/>
      <c r="Z974" s="106"/>
    </row>
    <row r="975" spans="1:26" ht="13.5" customHeight="1">
      <c r="A975" s="106"/>
      <c r="B975" s="106"/>
      <c r="C975" s="106"/>
      <c r="D975" s="106"/>
      <c r="E975" s="106"/>
      <c r="F975" s="106"/>
      <c r="G975" s="110"/>
      <c r="H975" s="106"/>
      <c r="I975" s="110"/>
      <c r="J975" s="106"/>
      <c r="K975" s="106"/>
      <c r="L975" s="106"/>
      <c r="M975" s="106"/>
      <c r="N975" s="106"/>
      <c r="O975" s="106"/>
      <c r="P975" s="106"/>
      <c r="Q975" s="106"/>
      <c r="R975" s="106"/>
      <c r="S975" s="106"/>
      <c r="T975" s="106"/>
      <c r="U975" s="106"/>
      <c r="V975" s="106"/>
      <c r="W975" s="106"/>
      <c r="X975" s="106"/>
      <c r="Y975" s="106"/>
      <c r="Z975" s="106"/>
    </row>
    <row r="976" spans="1:26" ht="13.5" customHeight="1">
      <c r="A976" s="106"/>
      <c r="B976" s="106"/>
      <c r="C976" s="106"/>
      <c r="D976" s="106"/>
      <c r="E976" s="106"/>
      <c r="F976" s="106"/>
      <c r="G976" s="110"/>
      <c r="H976" s="106"/>
      <c r="I976" s="110"/>
      <c r="J976" s="106"/>
      <c r="K976" s="106"/>
      <c r="L976" s="106"/>
      <c r="M976" s="106"/>
      <c r="N976" s="106"/>
      <c r="O976" s="106"/>
      <c r="P976" s="106"/>
      <c r="Q976" s="106"/>
      <c r="R976" s="106"/>
      <c r="S976" s="106"/>
      <c r="T976" s="106"/>
      <c r="U976" s="106"/>
      <c r="V976" s="106"/>
      <c r="W976" s="106"/>
      <c r="X976" s="106"/>
      <c r="Y976" s="106"/>
      <c r="Z976" s="106"/>
    </row>
    <row r="977" spans="1:26" ht="13.5" customHeight="1">
      <c r="A977" s="106"/>
      <c r="B977" s="106"/>
      <c r="C977" s="106"/>
      <c r="D977" s="106"/>
      <c r="E977" s="106"/>
      <c r="F977" s="106"/>
      <c r="G977" s="110"/>
      <c r="H977" s="106"/>
      <c r="I977" s="110"/>
      <c r="J977" s="106"/>
      <c r="K977" s="106"/>
      <c r="L977" s="106"/>
      <c r="M977" s="106"/>
      <c r="N977" s="106"/>
      <c r="O977" s="106"/>
      <c r="P977" s="106"/>
      <c r="Q977" s="106"/>
      <c r="R977" s="106"/>
      <c r="S977" s="106"/>
      <c r="T977" s="106"/>
      <c r="U977" s="106"/>
      <c r="V977" s="106"/>
      <c r="W977" s="106"/>
      <c r="X977" s="106"/>
      <c r="Y977" s="106"/>
      <c r="Z977" s="106"/>
    </row>
    <row r="978" spans="1:26" ht="13.5" customHeight="1">
      <c r="A978" s="106"/>
      <c r="B978" s="106"/>
      <c r="C978" s="106"/>
      <c r="D978" s="106"/>
      <c r="E978" s="106"/>
      <c r="F978" s="106"/>
      <c r="G978" s="110"/>
      <c r="H978" s="106"/>
      <c r="I978" s="110"/>
      <c r="J978" s="106"/>
      <c r="K978" s="106"/>
      <c r="L978" s="106"/>
      <c r="M978" s="106"/>
      <c r="N978" s="106"/>
      <c r="O978" s="106"/>
      <c r="P978" s="106"/>
      <c r="Q978" s="106"/>
      <c r="R978" s="106"/>
      <c r="S978" s="106"/>
      <c r="T978" s="106"/>
      <c r="U978" s="106"/>
      <c r="V978" s="106"/>
      <c r="W978" s="106"/>
      <c r="X978" s="106"/>
      <c r="Y978" s="106"/>
      <c r="Z978" s="106"/>
    </row>
    <row r="979" spans="1:26" ht="13.5" customHeight="1">
      <c r="A979" s="106"/>
      <c r="B979" s="106"/>
      <c r="C979" s="106"/>
      <c r="D979" s="106"/>
      <c r="E979" s="106"/>
      <c r="F979" s="106"/>
      <c r="G979" s="110"/>
      <c r="H979" s="106"/>
      <c r="I979" s="110"/>
      <c r="J979" s="106"/>
      <c r="K979" s="106"/>
      <c r="L979" s="106"/>
      <c r="M979" s="106"/>
      <c r="N979" s="106"/>
      <c r="O979" s="106"/>
      <c r="P979" s="106"/>
      <c r="Q979" s="106"/>
      <c r="R979" s="106"/>
      <c r="S979" s="106"/>
      <c r="T979" s="106"/>
      <c r="U979" s="106"/>
      <c r="V979" s="106"/>
      <c r="W979" s="106"/>
      <c r="X979" s="106"/>
      <c r="Y979" s="106"/>
      <c r="Z979" s="106"/>
    </row>
    <row r="980" spans="1:26" ht="13.5" customHeight="1">
      <c r="A980" s="106"/>
      <c r="B980" s="106"/>
      <c r="C980" s="106"/>
      <c r="D980" s="106"/>
      <c r="E980" s="106"/>
      <c r="F980" s="106"/>
      <c r="G980" s="110"/>
      <c r="H980" s="106"/>
      <c r="I980" s="110"/>
      <c r="J980" s="106"/>
      <c r="K980" s="106"/>
      <c r="L980" s="106"/>
      <c r="M980" s="106"/>
      <c r="N980" s="106"/>
      <c r="O980" s="106"/>
      <c r="P980" s="106"/>
      <c r="Q980" s="106"/>
      <c r="R980" s="106"/>
      <c r="S980" s="106"/>
      <c r="T980" s="106"/>
      <c r="U980" s="106"/>
      <c r="V980" s="106"/>
      <c r="W980" s="106"/>
      <c r="X980" s="106"/>
      <c r="Y980" s="106"/>
      <c r="Z980" s="106"/>
    </row>
    <row r="981" spans="1:26" ht="13.5" customHeight="1">
      <c r="A981" s="106"/>
      <c r="B981" s="106"/>
      <c r="C981" s="106"/>
      <c r="D981" s="106"/>
      <c r="E981" s="106"/>
      <c r="F981" s="106"/>
      <c r="G981" s="110"/>
      <c r="H981" s="106"/>
      <c r="I981" s="110"/>
      <c r="J981" s="106"/>
      <c r="K981" s="106"/>
      <c r="L981" s="106"/>
      <c r="M981" s="106"/>
      <c r="N981" s="106"/>
      <c r="O981" s="106"/>
      <c r="P981" s="106"/>
      <c r="Q981" s="106"/>
      <c r="R981" s="106"/>
      <c r="S981" s="106"/>
      <c r="T981" s="106"/>
      <c r="U981" s="106"/>
      <c r="V981" s="106"/>
      <c r="W981" s="106"/>
      <c r="X981" s="106"/>
      <c r="Y981" s="106"/>
      <c r="Z981" s="106"/>
    </row>
    <row r="982" spans="1:26" ht="13.5" customHeight="1">
      <c r="A982" s="106"/>
      <c r="B982" s="106"/>
      <c r="C982" s="106"/>
      <c r="D982" s="106"/>
      <c r="E982" s="106"/>
      <c r="F982" s="106"/>
      <c r="G982" s="110"/>
      <c r="H982" s="106"/>
      <c r="I982" s="110"/>
      <c r="J982" s="106"/>
      <c r="K982" s="106"/>
      <c r="L982" s="106"/>
      <c r="M982" s="106"/>
      <c r="N982" s="106"/>
      <c r="O982" s="106"/>
      <c r="P982" s="106"/>
      <c r="Q982" s="106"/>
      <c r="R982" s="106"/>
      <c r="S982" s="106"/>
      <c r="T982" s="106"/>
      <c r="U982" s="106"/>
      <c r="V982" s="106"/>
      <c r="W982" s="106"/>
      <c r="X982" s="106"/>
      <c r="Y982" s="106"/>
      <c r="Z982" s="106"/>
    </row>
    <row r="983" spans="1:26" ht="13.5" customHeight="1">
      <c r="A983" s="106"/>
      <c r="B983" s="106"/>
      <c r="C983" s="106"/>
      <c r="D983" s="106"/>
      <c r="E983" s="106"/>
      <c r="F983" s="106"/>
      <c r="G983" s="110"/>
      <c r="H983" s="106"/>
      <c r="I983" s="110"/>
      <c r="J983" s="106"/>
      <c r="K983" s="106"/>
      <c r="L983" s="106"/>
      <c r="M983" s="106"/>
      <c r="N983" s="106"/>
      <c r="O983" s="106"/>
      <c r="P983" s="106"/>
      <c r="Q983" s="106"/>
      <c r="R983" s="106"/>
      <c r="S983" s="106"/>
      <c r="T983" s="106"/>
      <c r="U983" s="106"/>
      <c r="V983" s="106"/>
      <c r="W983" s="106"/>
      <c r="X983" s="106"/>
      <c r="Y983" s="106"/>
      <c r="Z983" s="106"/>
    </row>
    <row r="984" spans="1:26" ht="13.5" customHeight="1">
      <c r="A984" s="106"/>
      <c r="B984" s="106"/>
      <c r="C984" s="106"/>
      <c r="D984" s="106"/>
      <c r="E984" s="106"/>
      <c r="F984" s="106"/>
      <c r="G984" s="110"/>
      <c r="H984" s="106"/>
      <c r="I984" s="110"/>
      <c r="J984" s="106"/>
      <c r="K984" s="106"/>
      <c r="L984" s="106"/>
      <c r="M984" s="106"/>
      <c r="N984" s="106"/>
      <c r="O984" s="106"/>
      <c r="P984" s="106"/>
      <c r="Q984" s="106"/>
      <c r="R984" s="106"/>
      <c r="S984" s="106"/>
      <c r="T984" s="106"/>
      <c r="U984" s="106"/>
      <c r="V984" s="106"/>
      <c r="W984" s="106"/>
      <c r="X984" s="106"/>
      <c r="Y984" s="106"/>
      <c r="Z984" s="106"/>
    </row>
    <row r="985" spans="1:26" ht="13.5" customHeight="1">
      <c r="A985" s="106"/>
      <c r="B985" s="106"/>
      <c r="C985" s="106"/>
      <c r="D985" s="106"/>
      <c r="E985" s="106"/>
      <c r="F985" s="106"/>
      <c r="G985" s="110"/>
      <c r="H985" s="106"/>
      <c r="I985" s="110"/>
      <c r="J985" s="106"/>
      <c r="K985" s="106"/>
      <c r="L985" s="106"/>
      <c r="M985" s="106"/>
      <c r="N985" s="106"/>
      <c r="O985" s="106"/>
      <c r="P985" s="106"/>
      <c r="Q985" s="106"/>
      <c r="R985" s="106"/>
      <c r="S985" s="106"/>
      <c r="T985" s="106"/>
      <c r="U985" s="106"/>
      <c r="V985" s="106"/>
      <c r="W985" s="106"/>
      <c r="X985" s="106"/>
      <c r="Y985" s="106"/>
      <c r="Z985" s="106"/>
    </row>
    <row r="986" spans="1:26" ht="13.5" customHeight="1">
      <c r="A986" s="106"/>
      <c r="B986" s="106"/>
      <c r="C986" s="106"/>
      <c r="D986" s="106"/>
      <c r="E986" s="106"/>
      <c r="F986" s="106"/>
      <c r="G986" s="110"/>
      <c r="H986" s="106"/>
      <c r="I986" s="110"/>
      <c r="J986" s="106"/>
      <c r="K986" s="106"/>
      <c r="L986" s="106"/>
      <c r="M986" s="106"/>
      <c r="N986" s="106"/>
      <c r="O986" s="106"/>
      <c r="P986" s="106"/>
      <c r="Q986" s="106"/>
      <c r="R986" s="106"/>
      <c r="S986" s="106"/>
      <c r="T986" s="106"/>
      <c r="U986" s="106"/>
      <c r="V986" s="106"/>
      <c r="W986" s="106"/>
      <c r="X986" s="106"/>
      <c r="Y986" s="106"/>
      <c r="Z986" s="106"/>
    </row>
    <row r="987" spans="1:26" ht="13.5" customHeight="1">
      <c r="A987" s="106"/>
      <c r="B987" s="106"/>
      <c r="C987" s="106"/>
      <c r="D987" s="106"/>
      <c r="E987" s="106"/>
      <c r="F987" s="106"/>
      <c r="G987" s="110"/>
      <c r="H987" s="106"/>
      <c r="I987" s="110"/>
      <c r="J987" s="106"/>
      <c r="K987" s="106"/>
      <c r="L987" s="106"/>
      <c r="M987" s="106"/>
      <c r="N987" s="106"/>
      <c r="O987" s="106"/>
      <c r="P987" s="106"/>
      <c r="Q987" s="106"/>
      <c r="R987" s="106"/>
      <c r="S987" s="106"/>
      <c r="T987" s="106"/>
      <c r="U987" s="106"/>
      <c r="V987" s="106"/>
      <c r="W987" s="106"/>
      <c r="X987" s="106"/>
      <c r="Y987" s="106"/>
      <c r="Z987" s="106"/>
    </row>
    <row r="988" spans="1:26" ht="13.5" customHeight="1">
      <c r="A988" s="106"/>
      <c r="B988" s="106"/>
      <c r="C988" s="106"/>
      <c r="D988" s="106"/>
      <c r="E988" s="106"/>
      <c r="F988" s="106"/>
      <c r="G988" s="110"/>
      <c r="H988" s="106"/>
      <c r="I988" s="110"/>
      <c r="J988" s="106"/>
      <c r="K988" s="106"/>
      <c r="L988" s="106"/>
      <c r="M988" s="106"/>
      <c r="N988" s="106"/>
      <c r="O988" s="106"/>
      <c r="P988" s="106"/>
      <c r="Q988" s="106"/>
      <c r="R988" s="106"/>
      <c r="S988" s="106"/>
      <c r="T988" s="106"/>
      <c r="U988" s="106"/>
      <c r="V988" s="106"/>
      <c r="W988" s="106"/>
      <c r="X988" s="106"/>
      <c r="Y988" s="106"/>
      <c r="Z988" s="106"/>
    </row>
    <row r="989" spans="1:26" ht="13.5" customHeight="1">
      <c r="A989" s="106"/>
      <c r="B989" s="106"/>
      <c r="C989" s="106"/>
      <c r="D989" s="106"/>
      <c r="E989" s="106"/>
      <c r="F989" s="106"/>
      <c r="G989" s="110"/>
      <c r="H989" s="106"/>
      <c r="I989" s="110"/>
      <c r="J989" s="106"/>
      <c r="K989" s="106"/>
      <c r="L989" s="106"/>
      <c r="M989" s="106"/>
      <c r="N989" s="106"/>
      <c r="O989" s="106"/>
      <c r="P989" s="106"/>
      <c r="Q989" s="106"/>
      <c r="R989" s="106"/>
      <c r="S989" s="106"/>
      <c r="T989" s="106"/>
      <c r="U989" s="106"/>
      <c r="V989" s="106"/>
      <c r="W989" s="106"/>
      <c r="X989" s="106"/>
      <c r="Y989" s="106"/>
      <c r="Z989" s="106"/>
    </row>
    <row r="990" spans="1:26" ht="13.5" customHeight="1">
      <c r="A990" s="106"/>
      <c r="B990" s="106"/>
      <c r="C990" s="106"/>
      <c r="D990" s="106"/>
      <c r="E990" s="106"/>
      <c r="F990" s="106"/>
      <c r="G990" s="110"/>
      <c r="H990" s="106"/>
      <c r="I990" s="110"/>
      <c r="J990" s="106"/>
      <c r="K990" s="106"/>
      <c r="L990" s="106"/>
      <c r="M990" s="106"/>
      <c r="N990" s="106"/>
      <c r="O990" s="106"/>
      <c r="P990" s="106"/>
      <c r="Q990" s="106"/>
      <c r="R990" s="106"/>
      <c r="S990" s="106"/>
      <c r="T990" s="106"/>
      <c r="U990" s="106"/>
      <c r="V990" s="106"/>
      <c r="W990" s="106"/>
      <c r="X990" s="106"/>
      <c r="Y990" s="106"/>
      <c r="Z990" s="106"/>
    </row>
    <row r="991" spans="1:26" ht="13.5" customHeight="1">
      <c r="A991" s="106"/>
      <c r="B991" s="106"/>
      <c r="C991" s="106"/>
      <c r="D991" s="106"/>
      <c r="E991" s="106"/>
      <c r="F991" s="106"/>
      <c r="G991" s="110"/>
      <c r="H991" s="106"/>
      <c r="I991" s="110"/>
      <c r="J991" s="106"/>
      <c r="K991" s="106"/>
      <c r="L991" s="106"/>
      <c r="M991" s="106"/>
      <c r="N991" s="106"/>
      <c r="O991" s="106"/>
      <c r="P991" s="106"/>
      <c r="Q991" s="106"/>
      <c r="R991" s="106"/>
      <c r="S991" s="106"/>
      <c r="T991" s="106"/>
      <c r="U991" s="106"/>
      <c r="V991" s="106"/>
      <c r="W991" s="106"/>
      <c r="X991" s="106"/>
      <c r="Y991" s="106"/>
      <c r="Z991" s="106"/>
    </row>
    <row r="992" spans="1:26" ht="13.5" customHeight="1">
      <c r="A992" s="106"/>
      <c r="B992" s="106"/>
      <c r="C992" s="106"/>
      <c r="D992" s="106"/>
      <c r="E992" s="106"/>
      <c r="F992" s="106"/>
      <c r="G992" s="110"/>
      <c r="H992" s="106"/>
      <c r="I992" s="110"/>
      <c r="J992" s="106"/>
      <c r="K992" s="106"/>
      <c r="L992" s="106"/>
      <c r="M992" s="106"/>
      <c r="N992" s="106"/>
      <c r="O992" s="106"/>
      <c r="P992" s="106"/>
      <c r="Q992" s="106"/>
      <c r="R992" s="106"/>
      <c r="S992" s="106"/>
      <c r="T992" s="106"/>
      <c r="U992" s="106"/>
      <c r="V992" s="106"/>
      <c r="W992" s="106"/>
      <c r="X992" s="106"/>
      <c r="Y992" s="106"/>
      <c r="Z992" s="106"/>
    </row>
    <row r="993" spans="1:26" ht="13.5" customHeight="1">
      <c r="A993" s="106"/>
      <c r="B993" s="106"/>
      <c r="C993" s="106"/>
      <c r="D993" s="106"/>
      <c r="E993" s="106"/>
      <c r="F993" s="106"/>
      <c r="G993" s="110"/>
      <c r="H993" s="106"/>
      <c r="I993" s="110"/>
      <c r="J993" s="106"/>
      <c r="K993" s="106"/>
      <c r="L993" s="106"/>
      <c r="M993" s="106"/>
      <c r="N993" s="106"/>
      <c r="O993" s="106"/>
      <c r="P993" s="106"/>
      <c r="Q993" s="106"/>
      <c r="R993" s="106"/>
      <c r="S993" s="106"/>
      <c r="T993" s="106"/>
      <c r="U993" s="106"/>
      <c r="V993" s="106"/>
      <c r="W993" s="106"/>
      <c r="X993" s="106"/>
      <c r="Y993" s="106"/>
      <c r="Z993" s="106"/>
    </row>
    <row r="994" spans="1:26" ht="13.5" customHeight="1">
      <c r="A994" s="106"/>
      <c r="B994" s="106"/>
      <c r="C994" s="106"/>
      <c r="D994" s="106"/>
      <c r="E994" s="106"/>
      <c r="F994" s="106"/>
      <c r="G994" s="110"/>
      <c r="H994" s="106"/>
      <c r="I994" s="110"/>
      <c r="J994" s="106"/>
      <c r="K994" s="106"/>
      <c r="L994" s="106"/>
      <c r="M994" s="106"/>
      <c r="N994" s="106"/>
      <c r="O994" s="106"/>
      <c r="P994" s="106"/>
      <c r="Q994" s="106"/>
      <c r="R994" s="106"/>
      <c r="S994" s="106"/>
      <c r="T994" s="106"/>
      <c r="U994" s="106"/>
      <c r="V994" s="106"/>
      <c r="W994" s="106"/>
      <c r="X994" s="106"/>
      <c r="Y994" s="106"/>
      <c r="Z994" s="106"/>
    </row>
    <row r="995" spans="1:26" ht="13.5" customHeight="1">
      <c r="A995" s="106"/>
      <c r="B995" s="106"/>
      <c r="C995" s="106"/>
      <c r="D995" s="106"/>
      <c r="E995" s="106"/>
      <c r="F995" s="106"/>
      <c r="G995" s="110"/>
      <c r="H995" s="106"/>
      <c r="I995" s="110"/>
      <c r="J995" s="106"/>
      <c r="K995" s="106"/>
      <c r="L995" s="106"/>
      <c r="M995" s="106"/>
      <c r="N995" s="106"/>
      <c r="O995" s="106"/>
      <c r="P995" s="106"/>
      <c r="Q995" s="106"/>
      <c r="R995" s="106"/>
      <c r="S995" s="106"/>
      <c r="T995" s="106"/>
      <c r="U995" s="106"/>
      <c r="V995" s="106"/>
      <c r="W995" s="106"/>
      <c r="X995" s="106"/>
      <c r="Y995" s="106"/>
      <c r="Z995" s="106"/>
    </row>
    <row r="996" spans="1:26" ht="13.5" customHeight="1">
      <c r="A996" s="106"/>
      <c r="B996" s="106"/>
      <c r="C996" s="106"/>
      <c r="D996" s="106"/>
      <c r="E996" s="106"/>
      <c r="F996" s="106"/>
      <c r="G996" s="110"/>
      <c r="H996" s="106"/>
      <c r="I996" s="110"/>
      <c r="J996" s="106"/>
      <c r="K996" s="106"/>
      <c r="L996" s="106"/>
      <c r="M996" s="106"/>
      <c r="N996" s="106"/>
      <c r="O996" s="106"/>
      <c r="P996" s="106"/>
      <c r="Q996" s="106"/>
      <c r="R996" s="106"/>
      <c r="S996" s="106"/>
      <c r="T996" s="106"/>
      <c r="U996" s="106"/>
      <c r="V996" s="106"/>
      <c r="W996" s="106"/>
      <c r="X996" s="106"/>
      <c r="Y996" s="106"/>
      <c r="Z996" s="106"/>
    </row>
    <row r="997" spans="1:26" ht="13.5" customHeight="1">
      <c r="A997" s="106"/>
      <c r="B997" s="106"/>
      <c r="C997" s="106"/>
      <c r="D997" s="106"/>
      <c r="E997" s="106"/>
      <c r="F997" s="106"/>
      <c r="G997" s="110"/>
      <c r="H997" s="106"/>
      <c r="I997" s="110"/>
      <c r="J997" s="106"/>
      <c r="K997" s="106"/>
      <c r="L997" s="106"/>
      <c r="M997" s="106"/>
      <c r="N997" s="106"/>
      <c r="O997" s="106"/>
      <c r="P997" s="106"/>
      <c r="Q997" s="106"/>
      <c r="R997" s="106"/>
      <c r="S997" s="106"/>
      <c r="T997" s="106"/>
      <c r="U997" s="106"/>
      <c r="V997" s="106"/>
      <c r="W997" s="106"/>
      <c r="X997" s="106"/>
      <c r="Y997" s="106"/>
      <c r="Z997" s="106"/>
    </row>
    <row r="998" spans="1:26" ht="13.5" customHeight="1">
      <c r="A998" s="106"/>
      <c r="B998" s="106"/>
      <c r="C998" s="106"/>
      <c r="D998" s="106"/>
      <c r="E998" s="106"/>
      <c r="F998" s="106"/>
      <c r="G998" s="110"/>
      <c r="H998" s="106"/>
      <c r="I998" s="110"/>
      <c r="J998" s="106"/>
      <c r="K998" s="106"/>
      <c r="L998" s="106"/>
      <c r="M998" s="106"/>
      <c r="N998" s="106"/>
      <c r="O998" s="106"/>
      <c r="P998" s="106"/>
      <c r="Q998" s="106"/>
      <c r="R998" s="106"/>
      <c r="S998" s="106"/>
      <c r="T998" s="106"/>
      <c r="U998" s="106"/>
      <c r="V998" s="106"/>
      <c r="W998" s="106"/>
      <c r="X998" s="106"/>
      <c r="Y998" s="106"/>
      <c r="Z998" s="106"/>
    </row>
    <row r="999" spans="1:26" ht="13.5" customHeight="1">
      <c r="A999" s="106"/>
      <c r="B999" s="106"/>
      <c r="C999" s="106"/>
      <c r="D999" s="106"/>
      <c r="E999" s="106"/>
      <c r="F999" s="106"/>
      <c r="G999" s="110"/>
      <c r="H999" s="106"/>
      <c r="I999" s="110"/>
      <c r="J999" s="106"/>
      <c r="K999" s="106"/>
      <c r="L999" s="106"/>
      <c r="M999" s="106"/>
      <c r="N999" s="106"/>
      <c r="O999" s="106"/>
      <c r="P999" s="106"/>
      <c r="Q999" s="106"/>
      <c r="R999" s="106"/>
      <c r="S999" s="106"/>
      <c r="T999" s="106"/>
      <c r="U999" s="106"/>
      <c r="V999" s="106"/>
      <c r="W999" s="106"/>
      <c r="X999" s="106"/>
      <c r="Y999" s="106"/>
      <c r="Z999" s="106"/>
    </row>
    <row r="1000" spans="1:26" ht="13.5" customHeight="1">
      <c r="A1000" s="106"/>
      <c r="B1000" s="106"/>
      <c r="C1000" s="106"/>
      <c r="D1000" s="106"/>
      <c r="E1000" s="106"/>
      <c r="F1000" s="106"/>
      <c r="G1000" s="110"/>
      <c r="H1000" s="106"/>
      <c r="I1000" s="110"/>
      <c r="J1000" s="106"/>
      <c r="K1000" s="106"/>
      <c r="L1000" s="106"/>
      <c r="M1000" s="106"/>
      <c r="N1000" s="106"/>
      <c r="O1000" s="106"/>
      <c r="P1000" s="106"/>
      <c r="Q1000" s="106"/>
      <c r="R1000" s="106"/>
      <c r="S1000" s="106"/>
      <c r="T1000" s="106"/>
      <c r="U1000" s="106"/>
      <c r="V1000" s="106"/>
      <c r="W1000" s="106"/>
      <c r="X1000" s="106"/>
      <c r="Y1000" s="106"/>
      <c r="Z1000" s="106"/>
    </row>
    <row r="1001" spans="1:26" ht="13.5" customHeight="1">
      <c r="A1001" s="106"/>
      <c r="B1001" s="106"/>
      <c r="C1001" s="106"/>
      <c r="D1001" s="106"/>
      <c r="E1001" s="106"/>
      <c r="F1001" s="106"/>
      <c r="G1001" s="110"/>
      <c r="H1001" s="106"/>
      <c r="I1001" s="110"/>
      <c r="J1001" s="106"/>
      <c r="K1001" s="106"/>
      <c r="L1001" s="106"/>
      <c r="M1001" s="106"/>
      <c r="N1001" s="106"/>
      <c r="O1001" s="106"/>
      <c r="P1001" s="106"/>
      <c r="Q1001" s="106"/>
      <c r="R1001" s="106"/>
      <c r="S1001" s="106"/>
      <c r="T1001" s="106"/>
      <c r="U1001" s="106"/>
      <c r="V1001" s="106"/>
      <c r="W1001" s="106"/>
      <c r="X1001" s="106"/>
      <c r="Y1001" s="106"/>
      <c r="Z1001" s="106"/>
    </row>
  </sheetData>
  <pageMargins left="0.75" right="0.75" top="1" bottom="1" header="0" footer="0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D4CB7-8DEF-4953-ACDB-4495575350F3}">
  <sheetPr>
    <tabColor rgb="FFCCCC00"/>
    <pageSetUpPr autoPageBreaks="0" fitToPage="1"/>
  </sheetPr>
  <dimension ref="A1:N301"/>
  <sheetViews>
    <sheetView workbookViewId="0">
      <selection activeCell="L314" sqref="L314"/>
    </sheetView>
  </sheetViews>
  <sheetFormatPr defaultColWidth="3.796875" defaultRowHeight="12.75" customHeight="1"/>
  <cols>
    <col min="1" max="1" width="18.796875" style="198" bestFit="1" customWidth="1"/>
    <col min="2" max="2" width="28.796875" style="198" bestFit="1" customWidth="1"/>
    <col min="3" max="3" width="27" style="198" bestFit="1" customWidth="1"/>
    <col min="4" max="4" width="28.19921875" style="198" bestFit="1" customWidth="1"/>
    <col min="5" max="5" width="25.796875" style="198" customWidth="1"/>
    <col min="6" max="6" width="28.69921875" style="198" bestFit="1" customWidth="1"/>
    <col min="7" max="7" width="4.296875" style="198" bestFit="1" customWidth="1"/>
    <col min="8" max="8" width="30.19921875" style="198" bestFit="1" customWidth="1"/>
    <col min="9" max="9" width="4.296875" style="198" bestFit="1" customWidth="1"/>
    <col min="10" max="10" width="5.796875" style="198" bestFit="1" customWidth="1"/>
    <col min="11" max="11" width="5.296875" style="198" bestFit="1" customWidth="1"/>
    <col min="12" max="12" width="8.296875" style="198" customWidth="1"/>
    <col min="13" max="13" width="5.296875" style="198" customWidth="1"/>
    <col min="14" max="14" width="24.5" style="198" bestFit="1" customWidth="1"/>
    <col min="15" max="15" width="7" style="198" customWidth="1"/>
    <col min="16" max="16" width="5.19921875" style="198" bestFit="1" customWidth="1"/>
    <col min="17" max="17" width="6.69921875" style="198" bestFit="1" customWidth="1"/>
    <col min="18" max="18" width="22.5" style="198" bestFit="1" customWidth="1"/>
    <col min="19" max="19" width="10.796875" style="198" bestFit="1" customWidth="1"/>
    <col min="20" max="20" width="10.296875" style="198" bestFit="1" customWidth="1"/>
    <col min="21" max="21" width="7.5" style="198" bestFit="1" customWidth="1"/>
    <col min="22" max="22" width="20.69921875" style="198" bestFit="1" customWidth="1"/>
    <col min="23" max="23" width="2" style="198" bestFit="1" customWidth="1"/>
    <col min="24" max="24" width="10.796875" style="198" bestFit="1" customWidth="1"/>
    <col min="25" max="25" width="2" style="198" bestFit="1" customWidth="1"/>
    <col min="26" max="26" width="11.69921875" style="198" bestFit="1" customWidth="1"/>
    <col min="27" max="28" width="3.796875" style="198"/>
    <col min="29" max="29" width="16" style="198" customWidth="1"/>
    <col min="30" max="16384" width="3.796875" style="198"/>
  </cols>
  <sheetData>
    <row r="1" spans="1:8" ht="12.75" customHeight="1" thickTop="1">
      <c r="B1" s="2" t="s">
        <v>62</v>
      </c>
      <c r="C1" s="2" t="s">
        <v>63</v>
      </c>
      <c r="D1" s="147" t="s">
        <v>64</v>
      </c>
    </row>
    <row r="2" spans="1:8" ht="12.75" customHeight="1" thickBot="1">
      <c r="B2" s="106"/>
      <c r="C2" s="109"/>
      <c r="D2" s="149" t="s">
        <v>1241</v>
      </c>
    </row>
    <row r="3" spans="1:8" ht="12.75" customHeight="1" thickTop="1" thickBot="1">
      <c r="A3" s="1" t="s">
        <v>61</v>
      </c>
      <c r="B3" s="26" t="s">
        <v>1402</v>
      </c>
      <c r="C3" s="16">
        <v>24</v>
      </c>
      <c r="D3" s="26" t="s">
        <v>1403</v>
      </c>
      <c r="E3" s="26">
        <v>24</v>
      </c>
    </row>
    <row r="4" spans="1:8" ht="12.75" customHeight="1" thickTop="1" thickBot="1">
      <c r="A4" s="3">
        <v>45498</v>
      </c>
      <c r="B4" s="199" t="s">
        <v>64</v>
      </c>
      <c r="C4" s="16">
        <v>15</v>
      </c>
      <c r="D4" s="26" t="s">
        <v>1404</v>
      </c>
      <c r="E4" s="200">
        <v>15</v>
      </c>
    </row>
    <row r="5" spans="1:8" ht="12.75" customHeight="1" thickBot="1">
      <c r="A5" s="18"/>
      <c r="B5" s="201" t="s">
        <v>598</v>
      </c>
      <c r="C5" s="2"/>
      <c r="D5" s="4" t="s">
        <v>72</v>
      </c>
      <c r="E5" s="2"/>
      <c r="F5" s="202"/>
    </row>
    <row r="6" spans="1:8" ht="12.75" customHeight="1">
      <c r="A6" s="277" t="s">
        <v>85</v>
      </c>
      <c r="B6" s="277" t="s">
        <v>86</v>
      </c>
      <c r="C6" s="277" t="s">
        <v>87</v>
      </c>
      <c r="D6" s="277" t="s">
        <v>88</v>
      </c>
      <c r="E6" s="277" t="s">
        <v>89</v>
      </c>
      <c r="F6" s="277" t="s">
        <v>90</v>
      </c>
      <c r="H6" s="202"/>
    </row>
    <row r="7" spans="1:8" ht="12.75" customHeight="1">
      <c r="A7" s="203" t="s">
        <v>1405</v>
      </c>
      <c r="B7" s="203" t="s">
        <v>1406</v>
      </c>
      <c r="C7" s="203" t="s">
        <v>1407</v>
      </c>
      <c r="D7" s="203" t="s">
        <v>1408</v>
      </c>
      <c r="E7" s="203" t="s">
        <v>1409</v>
      </c>
      <c r="F7" s="203" t="s">
        <v>1410</v>
      </c>
    </row>
    <row r="8" spans="1:8" ht="12.75" customHeight="1">
      <c r="A8" s="203" t="s">
        <v>1411</v>
      </c>
      <c r="B8" s="203" t="s">
        <v>1412</v>
      </c>
      <c r="C8" s="203" t="s">
        <v>1413</v>
      </c>
      <c r="D8" s="203" t="s">
        <v>1414</v>
      </c>
      <c r="E8" s="203" t="s">
        <v>1415</v>
      </c>
      <c r="F8" s="203" t="s">
        <v>1416</v>
      </c>
    </row>
    <row r="9" spans="1:8" ht="12.75" customHeight="1">
      <c r="A9" s="203" t="s">
        <v>1417</v>
      </c>
      <c r="B9" s="203" t="s">
        <v>1418</v>
      </c>
      <c r="C9" s="203" t="s">
        <v>1419</v>
      </c>
      <c r="D9" s="203" t="s">
        <v>1420</v>
      </c>
      <c r="E9" s="203" t="s">
        <v>1421</v>
      </c>
      <c r="F9" s="203" t="s">
        <v>1422</v>
      </c>
    </row>
    <row r="10" spans="1:8" ht="12.75" customHeight="1">
      <c r="F10" s="203" t="s">
        <v>1423</v>
      </c>
    </row>
    <row r="12" spans="1:8" ht="12.75" customHeight="1">
      <c r="A12" s="277" t="s">
        <v>246</v>
      </c>
      <c r="B12" s="277" t="s">
        <v>247</v>
      </c>
      <c r="C12" s="277" t="s">
        <v>248</v>
      </c>
      <c r="D12" s="277" t="s">
        <v>249</v>
      </c>
      <c r="E12" s="277" t="s">
        <v>250</v>
      </c>
      <c r="F12" s="277" t="s">
        <v>251</v>
      </c>
    </row>
    <row r="13" spans="1:8" ht="12.75" customHeight="1">
      <c r="A13" s="203" t="s">
        <v>1424</v>
      </c>
      <c r="B13" s="203" t="s">
        <v>1425</v>
      </c>
      <c r="C13" s="203" t="s">
        <v>1426</v>
      </c>
      <c r="D13" s="203" t="s">
        <v>1427</v>
      </c>
      <c r="E13" s="203" t="s">
        <v>1428</v>
      </c>
      <c r="F13" s="203" t="s">
        <v>1429</v>
      </c>
    </row>
    <row r="14" spans="1:8" ht="12.75" customHeight="1">
      <c r="A14" s="203" t="s">
        <v>1430</v>
      </c>
      <c r="B14" s="203" t="s">
        <v>1431</v>
      </c>
      <c r="C14" s="203" t="s">
        <v>1432</v>
      </c>
      <c r="D14" s="203" t="s">
        <v>1433</v>
      </c>
      <c r="E14" s="203" t="s">
        <v>1434</v>
      </c>
      <c r="F14" s="203" t="s">
        <v>1435</v>
      </c>
    </row>
    <row r="15" spans="1:8" ht="12.75" customHeight="1">
      <c r="A15" s="203" t="s">
        <v>1436</v>
      </c>
      <c r="B15" s="203" t="s">
        <v>1437</v>
      </c>
      <c r="C15" s="203" t="s">
        <v>1438</v>
      </c>
      <c r="D15" s="276" t="s">
        <v>1439</v>
      </c>
      <c r="E15" s="203" t="s">
        <v>1440</v>
      </c>
      <c r="F15" s="203" t="s">
        <v>1441</v>
      </c>
      <c r="H15" s="205"/>
    </row>
    <row r="16" spans="1:8" ht="12.75" customHeight="1">
      <c r="B16" s="203" t="s">
        <v>1442</v>
      </c>
      <c r="F16" s="203" t="s">
        <v>1443</v>
      </c>
      <c r="H16" s="206" t="s">
        <v>227</v>
      </c>
    </row>
    <row r="17" spans="1:12" ht="12.75" customHeight="1" thickBot="1"/>
    <row r="18" spans="1:12" s="202" customFormat="1" ht="12.75" customHeight="1" thickTop="1" thickBot="1">
      <c r="A18" s="1" t="s">
        <v>646</v>
      </c>
      <c r="B18" s="207"/>
      <c r="C18" s="207"/>
      <c r="D18" s="207"/>
      <c r="E18" s="207"/>
      <c r="F18" s="207"/>
      <c r="G18" s="208"/>
      <c r="H18" s="207"/>
      <c r="I18" s="208"/>
      <c r="J18" s="209"/>
      <c r="K18" s="209"/>
      <c r="L18" s="209"/>
    </row>
    <row r="19" spans="1:12" s="202" customFormat="1" ht="12.75" customHeight="1" thickBot="1">
      <c r="A19" s="3">
        <v>46221</v>
      </c>
      <c r="B19" s="198" t="s">
        <v>1444</v>
      </c>
      <c r="L19" s="210" t="s">
        <v>1445</v>
      </c>
    </row>
    <row r="20" spans="1:12" s="202" customFormat="1" ht="12.75" customHeight="1" thickBot="1">
      <c r="A20" s="211"/>
      <c r="D20" s="212" t="str">
        <f>'CHICLETS MASTER S1'!$AA$3</f>
        <v>GARDEN GROVE HS</v>
      </c>
      <c r="L20" s="210"/>
    </row>
    <row r="21" spans="1:12" ht="12.75" customHeight="1">
      <c r="A21" s="277" t="s">
        <v>110</v>
      </c>
      <c r="B21" s="277" t="s">
        <v>111</v>
      </c>
      <c r="C21" s="277" t="s">
        <v>112</v>
      </c>
      <c r="D21" s="277" t="s">
        <v>113</v>
      </c>
      <c r="E21" s="277" t="s">
        <v>114</v>
      </c>
      <c r="F21" s="277" t="s">
        <v>115</v>
      </c>
      <c r="G21" s="277" t="s">
        <v>116</v>
      </c>
      <c r="H21" s="277" t="s">
        <v>117</v>
      </c>
      <c r="I21" s="277" t="s">
        <v>116</v>
      </c>
      <c r="J21" s="277" t="s">
        <v>118</v>
      </c>
      <c r="K21" s="277" t="s">
        <v>119</v>
      </c>
      <c r="L21" s="277" t="s">
        <v>120</v>
      </c>
    </row>
    <row r="22" spans="1:12" ht="12.75" customHeight="1">
      <c r="A22" s="213">
        <f t="shared" ref="A22:A27" si="0">$A$19</f>
        <v>46221</v>
      </c>
      <c r="B22" s="214">
        <f>'CHICLETS MASTER S1'!U4</f>
        <v>0.29166666666666669</v>
      </c>
      <c r="C22" s="8" t="s">
        <v>163</v>
      </c>
      <c r="D22" s="215" t="str">
        <f t="shared" ref="D22:D27" si="1">$D$20</f>
        <v>GARDEN GROVE HS</v>
      </c>
      <c r="E22" s="215">
        <v>3</v>
      </c>
      <c r="F22" s="214" t="str">
        <f>A13</f>
        <v>G1(7)-SEASIDE</v>
      </c>
      <c r="G22" s="216"/>
      <c r="H22" s="214" t="str">
        <f>A15</f>
        <v>G3(31)-TURAL</v>
      </c>
      <c r="I22" s="216"/>
      <c r="J22" s="216" t="s">
        <v>1446</v>
      </c>
      <c r="K22" s="216"/>
      <c r="L22" s="216" t="str">
        <f t="shared" ref="L22:L27" si="2">IF(E22="","",$L$19&amp;"-"&amp;TEXT(E22,"000"))</f>
        <v>14GX-003</v>
      </c>
    </row>
    <row r="23" spans="1:12" ht="12.75" customHeight="1">
      <c r="A23" s="213">
        <f t="shared" si="0"/>
        <v>46221</v>
      </c>
      <c r="B23" s="214">
        <f>'CHICLETS MASTER S1'!U5</f>
        <v>0.3263888888888889</v>
      </c>
      <c r="C23" s="8" t="s">
        <v>163</v>
      </c>
      <c r="D23" s="215" t="str">
        <f t="shared" si="1"/>
        <v>GARDEN GROVE HS</v>
      </c>
      <c r="E23" s="215">
        <v>7</v>
      </c>
      <c r="F23" s="214" t="str">
        <f>C13</f>
        <v>I1(9)-SANTA BARBARA WPC B</v>
      </c>
      <c r="G23" s="216"/>
      <c r="H23" s="214" t="str">
        <f>C15</f>
        <v>I3(33)-CT PREMIER</v>
      </c>
      <c r="I23" s="216"/>
      <c r="J23" s="216" t="s">
        <v>1446</v>
      </c>
      <c r="K23" s="216"/>
      <c r="L23" s="216" t="str">
        <f t="shared" si="2"/>
        <v>14GX-007</v>
      </c>
    </row>
    <row r="24" spans="1:12" ht="12.75" customHeight="1">
      <c r="A24" s="213">
        <f t="shared" si="0"/>
        <v>46221</v>
      </c>
      <c r="B24" s="214">
        <f>'CHICLETS MASTER S1'!U6</f>
        <v>0.36111111111111099</v>
      </c>
      <c r="C24" s="8" t="s">
        <v>163</v>
      </c>
      <c r="D24" s="215" t="str">
        <f t="shared" si="1"/>
        <v>GARDEN GROVE HS</v>
      </c>
      <c r="E24" s="215">
        <v>11</v>
      </c>
      <c r="F24" s="214" t="str">
        <f>B13</f>
        <v>8-VIKING</v>
      </c>
      <c r="G24" s="216"/>
      <c r="H24" s="214" t="str">
        <f>B16</f>
        <v>38-CHAWP BLUE</v>
      </c>
      <c r="I24" s="216"/>
      <c r="J24" s="216">
        <v>31</v>
      </c>
      <c r="K24" s="216">
        <v>43</v>
      </c>
      <c r="L24" s="216" t="str">
        <f t="shared" si="2"/>
        <v>14GX-011</v>
      </c>
    </row>
    <row r="25" spans="1:12" ht="12.75" customHeight="1">
      <c r="A25" s="213">
        <f t="shared" si="0"/>
        <v>46221</v>
      </c>
      <c r="B25" s="214">
        <f>'CHICLETS MASTER S1'!U7</f>
        <v>0.39583333333333398</v>
      </c>
      <c r="C25" s="8" t="s">
        <v>163</v>
      </c>
      <c r="D25" s="215" t="str">
        <f t="shared" si="1"/>
        <v>GARDEN GROVE HS</v>
      </c>
      <c r="E25" s="215">
        <v>15</v>
      </c>
      <c r="F25" s="214" t="str">
        <f>B14</f>
        <v>17-NEWPORT BEACH WHITE</v>
      </c>
      <c r="G25" s="216"/>
      <c r="H25" s="214" t="str">
        <f>B15</f>
        <v>32-TROJAN</v>
      </c>
      <c r="I25" s="216"/>
      <c r="J25" s="216">
        <v>31</v>
      </c>
      <c r="K25" s="216">
        <v>43</v>
      </c>
      <c r="L25" s="216" t="str">
        <f t="shared" si="2"/>
        <v>14GX-015</v>
      </c>
    </row>
    <row r="26" spans="1:12" ht="12.75" customHeight="1">
      <c r="A26" s="213">
        <f t="shared" si="0"/>
        <v>46221</v>
      </c>
      <c r="B26" s="214">
        <f>'CHICLETS MASTER S1'!U8</f>
        <v>0.43055555555555602</v>
      </c>
      <c r="C26" s="8" t="s">
        <v>163</v>
      </c>
      <c r="D26" s="215" t="str">
        <f t="shared" si="1"/>
        <v>GARDEN GROVE HS</v>
      </c>
      <c r="E26" s="215">
        <v>19</v>
      </c>
      <c r="F26" s="214" t="str">
        <f>A14</f>
        <v>G2(18)-GOLD COAST</v>
      </c>
      <c r="G26" s="216"/>
      <c r="H26" s="214" t="str">
        <f>A15</f>
        <v>G3(31)-TURAL</v>
      </c>
      <c r="I26" s="216"/>
      <c r="J26" s="216" t="s">
        <v>1446</v>
      </c>
      <c r="K26" s="216"/>
      <c r="L26" s="216" t="str">
        <f t="shared" si="2"/>
        <v>14GX-019</v>
      </c>
    </row>
    <row r="27" spans="1:12" ht="12.75" customHeight="1">
      <c r="A27" s="213">
        <f t="shared" si="0"/>
        <v>46221</v>
      </c>
      <c r="B27" s="214">
        <f>'CHICLETS MASTER S1'!U9</f>
        <v>0.46527777777777801</v>
      </c>
      <c r="C27" s="8" t="s">
        <v>163</v>
      </c>
      <c r="D27" s="215" t="str">
        <f t="shared" si="1"/>
        <v>GARDEN GROVE HS</v>
      </c>
      <c r="E27" s="215">
        <v>23</v>
      </c>
      <c r="F27" s="214" t="str">
        <f>C14</f>
        <v>I2(16)-SD SHORES WHITE</v>
      </c>
      <c r="G27" s="216"/>
      <c r="H27" s="214" t="str">
        <f>C15</f>
        <v>I3(33)-CT PREMIER</v>
      </c>
      <c r="I27" s="216"/>
      <c r="J27" s="216" t="s">
        <v>1446</v>
      </c>
      <c r="K27" s="216"/>
      <c r="L27" s="216" t="str">
        <f t="shared" si="2"/>
        <v>14GX-023</v>
      </c>
    </row>
    <row r="28" spans="1:12" ht="12.75" customHeight="1">
      <c r="A28" s="217"/>
      <c r="B28" s="214"/>
      <c r="C28" s="217"/>
      <c r="D28" s="217"/>
      <c r="E28" s="217"/>
      <c r="F28" s="217"/>
      <c r="G28" s="217"/>
      <c r="H28" s="217"/>
      <c r="I28" s="217"/>
      <c r="J28" s="217"/>
      <c r="K28" s="217"/>
      <c r="L28" s="217"/>
    </row>
    <row r="29" spans="1:12" ht="12.75" customHeight="1">
      <c r="A29" s="213">
        <f>$A$19</f>
        <v>46221</v>
      </c>
      <c r="B29" s="214">
        <f>'CHICLETS MASTER S1'!U11</f>
        <v>0.53472222222222199</v>
      </c>
      <c r="C29" s="8" t="s">
        <v>163</v>
      </c>
      <c r="D29" s="215" t="str">
        <f>$D$20</f>
        <v>GARDEN GROVE HS</v>
      </c>
      <c r="E29" s="215">
        <v>31</v>
      </c>
      <c r="F29" s="218" t="str">
        <f>IF(G24="","W11",IF(G24&gt;I24,_xlfn.CONCAT("W11-",RIGHT(F24,LEN(F24) - FIND("-",F24))), _xlfn.CONCAT("W11-",RIGHT(H24,LEN(H24) - FIND("-",H24)))))</f>
        <v>W11</v>
      </c>
      <c r="G29" s="216"/>
      <c r="H29" s="218" t="str">
        <f>IF(G25="","W15",IF(G25&gt;I25,_xlfn.CONCAT("W15-",RIGHT(F25,LEN(F25) - FIND("-",F25))), _xlfn.CONCAT("W15-",RIGHT(H25,LEN(H25) - FIND("-",H25)))))</f>
        <v>W15</v>
      </c>
      <c r="I29" s="216"/>
      <c r="J29" s="216" t="s">
        <v>1447</v>
      </c>
      <c r="K29" s="216">
        <v>51</v>
      </c>
      <c r="L29" s="216" t="str">
        <f>IF(E29="","",$L$19&amp;"-"&amp;TEXT(E29,"000"))</f>
        <v>14GX-031</v>
      </c>
    </row>
    <row r="30" spans="1:12" ht="12.75" customHeight="1">
      <c r="A30" s="213">
        <f>$A$19</f>
        <v>46221</v>
      </c>
      <c r="B30" s="214">
        <f>'CHICLETS MASTER S1'!U12</f>
        <v>0.56944444444444497</v>
      </c>
      <c r="C30" s="8" t="s">
        <v>163</v>
      </c>
      <c r="D30" s="215" t="str">
        <f>$D$20</f>
        <v>GARDEN GROVE HS</v>
      </c>
      <c r="E30" s="215">
        <v>35</v>
      </c>
      <c r="F30" s="218" t="str">
        <f>A13</f>
        <v>G1(7)-SEASIDE</v>
      </c>
      <c r="G30" s="216"/>
      <c r="H30" s="218" t="str">
        <f>A14</f>
        <v>G2(18)-GOLD COAST</v>
      </c>
      <c r="I30" s="216"/>
      <c r="J30" s="216" t="s">
        <v>1446</v>
      </c>
      <c r="K30" s="216"/>
      <c r="L30" s="216" t="str">
        <f>IF(E30="","",$L$19&amp;"-"&amp;TEXT(E30,"000"))</f>
        <v>14GX-035</v>
      </c>
    </row>
    <row r="31" spans="1:12" ht="12.75" customHeight="1">
      <c r="A31" s="213">
        <f>$A$19</f>
        <v>46221</v>
      </c>
      <c r="B31" s="214">
        <f>'CHICLETS MASTER S1'!U13</f>
        <v>0.60416666666666696</v>
      </c>
      <c r="C31" s="8" t="s">
        <v>163</v>
      </c>
      <c r="D31" s="215" t="str">
        <f>$D$20</f>
        <v>GARDEN GROVE HS</v>
      </c>
      <c r="E31" s="215">
        <v>39</v>
      </c>
      <c r="F31" s="218" t="str">
        <f>C13</f>
        <v>I1(9)-SANTA BARBARA WPC B</v>
      </c>
      <c r="G31" s="216"/>
      <c r="H31" s="218" t="str">
        <f>C14</f>
        <v>I2(16)-SD SHORES WHITE</v>
      </c>
      <c r="I31" s="216"/>
      <c r="J31" s="216" t="s">
        <v>1446</v>
      </c>
      <c r="K31" s="216"/>
      <c r="L31" s="216" t="str">
        <f>IF(E31="","",$L$19&amp;"-"&amp;TEXT(E31,"000"))</f>
        <v>14GX-039</v>
      </c>
    </row>
    <row r="32" spans="1:12" ht="12.75" customHeight="1">
      <c r="A32" s="213">
        <f>$A$19</f>
        <v>46221</v>
      </c>
      <c r="B32" s="214">
        <f>'CHICLETS MASTER S1'!U14</f>
        <v>0.63888888888888895</v>
      </c>
      <c r="C32" s="8" t="s">
        <v>163</v>
      </c>
      <c r="D32" s="215" t="str">
        <f>$D$20</f>
        <v>GARDEN GROVE HS</v>
      </c>
      <c r="E32" s="215">
        <v>43</v>
      </c>
      <c r="F32" s="218" t="str">
        <f>IF(G24="","L11",IF(G24&lt;I24,_xlfn.CONCAT("L11-",RIGHT(F24,LEN(F24) - FIND("-",F24))), _xlfn.CONCAT("L11-",RIGHT(H24,LEN(H24) - FIND("-",H24)))))</f>
        <v>L11</v>
      </c>
      <c r="G32" s="216"/>
      <c r="H32" s="218" t="str">
        <f>IF(G25="","L15",IF(G25&lt;I25,_xlfn.CONCAT("L15-",RIGHT(F25,LEN(F25) - FIND("-",F25))), _xlfn.CONCAT("L15-",RIGHT(H25,LEN(H25) - FIND("-",H25)))))</f>
        <v>L15</v>
      </c>
      <c r="I32" s="216"/>
      <c r="J32" s="219">
        <v>59</v>
      </c>
      <c r="K32" s="216" t="s">
        <v>1448</v>
      </c>
      <c r="L32" s="216" t="str">
        <f>IF(E32="","",$L$19&amp;"-"&amp;TEXT(E32,"000"))</f>
        <v>14GX-043</v>
      </c>
    </row>
    <row r="34" spans="1:14" ht="12.75" customHeight="1">
      <c r="A34" s="213">
        <f>$A$19</f>
        <v>46221</v>
      </c>
      <c r="B34" s="214">
        <f>'CHICLETS MASTER S1'!U16</f>
        <v>0.70833333333333404</v>
      </c>
      <c r="C34" s="8" t="s">
        <v>275</v>
      </c>
      <c r="D34" s="215" t="str">
        <f>$D$20</f>
        <v>GARDEN GROVE HS</v>
      </c>
      <c r="E34" s="215">
        <v>51</v>
      </c>
      <c r="F34" s="218" t="str">
        <f>IF(G29="","L31",IF(G29&lt;I29,_xlfn.CONCAT("L31-",RIGHT(F29,LEN(F29) - FIND("-",F29))), _xlfn.CONCAT("L31-",RIGHT(H29,LEN(H29) - FIND("-",H29)))))</f>
        <v>L31</v>
      </c>
      <c r="G34" s="216"/>
      <c r="H34" s="218" t="s">
        <v>1449</v>
      </c>
      <c r="I34" s="216"/>
      <c r="J34" s="219" t="s">
        <v>1450</v>
      </c>
      <c r="K34" s="216" t="s">
        <v>1451</v>
      </c>
      <c r="L34" s="216" t="str">
        <f>IF(E34="","",$L$19&amp;"-"&amp;TEXT(E34,"000"))</f>
        <v>14GX-051</v>
      </c>
    </row>
    <row r="35" spans="1:14" s="217" customFormat="1" ht="12.75" customHeight="1">
      <c r="A35" s="213">
        <f>$A$19</f>
        <v>46221</v>
      </c>
      <c r="B35" s="214">
        <f>'CHICLETS MASTER S1'!U17</f>
        <v>0.74305555555555602</v>
      </c>
      <c r="C35" s="8" t="s">
        <v>275</v>
      </c>
      <c r="D35" s="215" t="str">
        <f>$D$20</f>
        <v>GARDEN GROVE HS</v>
      </c>
      <c r="E35" s="217">
        <v>55</v>
      </c>
      <c r="F35" s="220" t="s">
        <v>1452</v>
      </c>
      <c r="G35" s="216"/>
      <c r="H35" s="218" t="s">
        <v>1453</v>
      </c>
      <c r="I35" s="216"/>
      <c r="J35" s="216" t="s">
        <v>1454</v>
      </c>
      <c r="K35" s="216" t="s">
        <v>1455</v>
      </c>
      <c r="L35" s="216" t="str">
        <f>IF(E35="","",$L$19&amp;"-"&amp;TEXT(E35,"000"))</f>
        <v>14GX-055</v>
      </c>
    </row>
    <row r="36" spans="1:14" ht="12.75" customHeight="1">
      <c r="A36" s="213">
        <f>$A$19</f>
        <v>46221</v>
      </c>
      <c r="B36" s="214">
        <f>'CHICLETS MASTER S1'!U18</f>
        <v>0.77777777777777801</v>
      </c>
      <c r="C36" s="8" t="s">
        <v>275</v>
      </c>
      <c r="D36" s="215" t="str">
        <f>$D$20</f>
        <v>GARDEN GROVE HS</v>
      </c>
      <c r="E36" s="215">
        <v>59</v>
      </c>
      <c r="F36" s="218" t="s">
        <v>1456</v>
      </c>
      <c r="G36" s="216"/>
      <c r="H36" s="218" t="str">
        <f>IF(G32="","W43",IF(G32&gt;I32,_xlfn.CONCAT("W43-",RIGHT(F32,LEN(F32) - FIND("-",F32))), _xlfn.CONCAT("W43-",RIGHT(H32,LEN(H32) - FIND("-",H32)))))</f>
        <v>W43</v>
      </c>
      <c r="I36" s="216"/>
      <c r="J36" s="219" t="s">
        <v>1457</v>
      </c>
      <c r="K36" s="216" t="s">
        <v>1458</v>
      </c>
      <c r="L36" s="216" t="str">
        <f>IF(E36="","",$L$19&amp;"-"&amp;TEXT(E36,"000"))</f>
        <v>14GX-059</v>
      </c>
    </row>
    <row r="37" spans="1:14" s="217" customFormat="1" ht="12.75" customHeight="1" thickBot="1"/>
    <row r="38" spans="1:14" s="202" customFormat="1" ht="12.75" customHeight="1" thickBot="1">
      <c r="A38" s="221"/>
      <c r="B38" s="222"/>
      <c r="D38" s="212" t="str">
        <f>'CHICLETS MASTER S1'!$W$3</f>
        <v>BECKMAN HS 1</v>
      </c>
      <c r="E38" s="217"/>
      <c r="F38" s="217"/>
      <c r="G38" s="217"/>
      <c r="H38" s="217"/>
      <c r="I38" s="217"/>
      <c r="J38" s="217"/>
      <c r="K38" s="217"/>
      <c r="L38" s="217"/>
    </row>
    <row r="39" spans="1:14" ht="12.75" customHeight="1">
      <c r="A39" s="277" t="s">
        <v>110</v>
      </c>
      <c r="B39" s="277" t="s">
        <v>111</v>
      </c>
      <c r="C39" s="277" t="s">
        <v>112</v>
      </c>
      <c r="D39" s="277" t="s">
        <v>113</v>
      </c>
      <c r="E39" s="277" t="s">
        <v>114</v>
      </c>
      <c r="F39" s="277" t="s">
        <v>115</v>
      </c>
      <c r="G39" s="277" t="s">
        <v>116</v>
      </c>
      <c r="H39" s="277" t="s">
        <v>117</v>
      </c>
      <c r="I39" s="277" t="s">
        <v>116</v>
      </c>
      <c r="J39" s="277" t="s">
        <v>118</v>
      </c>
      <c r="K39" s="277" t="s">
        <v>119</v>
      </c>
      <c r="L39" s="277" t="s">
        <v>120</v>
      </c>
    </row>
    <row r="40" spans="1:14" ht="12.75" customHeight="1">
      <c r="A40" s="213">
        <f t="shared" ref="A40:A45" si="3">$A$19</f>
        <v>46221</v>
      </c>
      <c r="B40" s="214">
        <f>'CHICLETS MASTER S1'!U4</f>
        <v>0.29166666666666669</v>
      </c>
      <c r="C40" s="8" t="s">
        <v>163</v>
      </c>
      <c r="D40" s="215" t="str">
        <f t="shared" ref="D40:D45" si="4">$D$38</f>
        <v>BECKMAN HS 1</v>
      </c>
      <c r="E40" s="215">
        <v>4</v>
      </c>
      <c r="F40" s="214" t="str">
        <f>E13</f>
        <v>K1(11)-680 BLUE</v>
      </c>
      <c r="G40" s="216"/>
      <c r="H40" s="214" t="str">
        <f>E15</f>
        <v>K3(35)-HONOLULU</v>
      </c>
      <c r="I40" s="216"/>
      <c r="J40" s="215" t="s">
        <v>1446</v>
      </c>
      <c r="K40" s="215"/>
      <c r="L40" s="216" t="str">
        <f t="shared" ref="L40:L45" si="5">IF(E40="","",$L$19&amp;"-"&amp;TEXT(E40,"000"))</f>
        <v>14GX-004</v>
      </c>
    </row>
    <row r="41" spans="1:14" ht="12.75" customHeight="1">
      <c r="A41" s="213">
        <f t="shared" si="3"/>
        <v>46221</v>
      </c>
      <c r="B41" s="214">
        <f>'CHICLETS MASTER S1'!U5</f>
        <v>0.3263888888888889</v>
      </c>
      <c r="C41" s="8" t="s">
        <v>163</v>
      </c>
      <c r="D41" s="215" t="str">
        <f t="shared" si="4"/>
        <v>BECKMAN HS 1</v>
      </c>
      <c r="E41" s="215">
        <v>8</v>
      </c>
      <c r="F41" s="214" t="str">
        <f>D13</f>
        <v>J1(10)-PAC PREMIER</v>
      </c>
      <c r="G41" s="216"/>
      <c r="H41" s="214" t="str">
        <f>D15</f>
        <v>J3(34)-SAN JOSE EXPRESS GOLD</v>
      </c>
      <c r="I41" s="216"/>
      <c r="J41" s="215" t="s">
        <v>1446</v>
      </c>
      <c r="K41" s="215"/>
      <c r="L41" s="216" t="str">
        <f t="shared" si="5"/>
        <v>14GX-008</v>
      </c>
      <c r="M41" s="224"/>
    </row>
    <row r="42" spans="1:14" ht="12.75" customHeight="1">
      <c r="A42" s="213">
        <f t="shared" si="3"/>
        <v>46221</v>
      </c>
      <c r="B42" s="214">
        <f>'CHICLETS MASTER S1'!U6</f>
        <v>0.36111111111111099</v>
      </c>
      <c r="C42" s="8" t="s">
        <v>163</v>
      </c>
      <c r="D42" s="215" t="str">
        <f t="shared" si="4"/>
        <v>BECKMAN HS 1</v>
      </c>
      <c r="E42" s="215">
        <v>12</v>
      </c>
      <c r="F42" s="225" t="str">
        <f>F13</f>
        <v>12-PATRIOT RED</v>
      </c>
      <c r="G42" s="226"/>
      <c r="H42" s="225" t="str">
        <f>F16</f>
        <v>37-WCAC UNITED</v>
      </c>
      <c r="I42" s="226"/>
      <c r="J42" s="227">
        <v>32</v>
      </c>
      <c r="K42" s="227">
        <v>44</v>
      </c>
      <c r="L42" s="226" t="str">
        <f t="shared" si="5"/>
        <v>14GX-012</v>
      </c>
    </row>
    <row r="43" spans="1:14" s="217" customFormat="1" ht="12.75" customHeight="1">
      <c r="A43" s="213">
        <f t="shared" si="3"/>
        <v>46221</v>
      </c>
      <c r="B43" s="214">
        <f>'CHICLETS MASTER S1'!U7</f>
        <v>0.39583333333333398</v>
      </c>
      <c r="C43" s="8" t="s">
        <v>163</v>
      </c>
      <c r="D43" s="215" t="str">
        <f t="shared" si="4"/>
        <v>BECKMAN HS 1</v>
      </c>
      <c r="E43" s="228">
        <v>16</v>
      </c>
      <c r="F43" s="229" t="str">
        <f>F14</f>
        <v>13-SHARKS</v>
      </c>
      <c r="G43" s="229"/>
      <c r="H43" s="229" t="str">
        <f>F15</f>
        <v>36-FOOTHILL BLACK</v>
      </c>
      <c r="I43" s="229"/>
      <c r="J43" s="230">
        <v>32</v>
      </c>
      <c r="K43" s="231">
        <v>44</v>
      </c>
      <c r="L43" s="226" t="str">
        <f t="shared" si="5"/>
        <v>14GX-016</v>
      </c>
    </row>
    <row r="44" spans="1:14" ht="12.75" customHeight="1">
      <c r="A44" s="213">
        <f t="shared" si="3"/>
        <v>46221</v>
      </c>
      <c r="B44" s="214">
        <f>'CHICLETS MASTER S1'!U8</f>
        <v>0.43055555555555602</v>
      </c>
      <c r="C44" s="8" t="s">
        <v>163</v>
      </c>
      <c r="D44" s="215" t="str">
        <f t="shared" si="4"/>
        <v>BECKMAN HS 1</v>
      </c>
      <c r="E44" s="215">
        <v>20</v>
      </c>
      <c r="F44" s="232" t="str">
        <f>E14</f>
        <v>K2(14)-ASPHALT GREEN</v>
      </c>
      <c r="G44" s="233"/>
      <c r="H44" s="232" t="str">
        <f>E15</f>
        <v>K3(35)-HONOLULU</v>
      </c>
      <c r="I44" s="234"/>
      <c r="J44" s="235" t="s">
        <v>1446</v>
      </c>
      <c r="K44" s="235"/>
      <c r="L44" s="236" t="str">
        <f t="shared" si="5"/>
        <v>14GX-020</v>
      </c>
      <c r="N44" s="217"/>
    </row>
    <row r="45" spans="1:14" ht="12.75" customHeight="1">
      <c r="A45" s="213">
        <f t="shared" si="3"/>
        <v>46221</v>
      </c>
      <c r="B45" s="214">
        <f>'CHICLETS MASTER S1'!U9</f>
        <v>0.46527777777777801</v>
      </c>
      <c r="C45" s="8" t="s">
        <v>163</v>
      </c>
      <c r="D45" s="215" t="str">
        <f t="shared" si="4"/>
        <v>BECKMAN HS 1</v>
      </c>
      <c r="E45" s="215">
        <v>24</v>
      </c>
      <c r="F45" s="214" t="str">
        <f>D14</f>
        <v>J2(15)-NORCAL</v>
      </c>
      <c r="G45" s="216"/>
      <c r="H45" s="214" t="str">
        <f>D15</f>
        <v>J3(34)-SAN JOSE EXPRESS GOLD</v>
      </c>
      <c r="I45" s="237"/>
      <c r="J45" s="235" t="s">
        <v>1446</v>
      </c>
      <c r="K45" s="235"/>
      <c r="L45" s="238" t="str">
        <f t="shared" si="5"/>
        <v>14GX-024</v>
      </c>
      <c r="M45" s="224"/>
      <c r="N45" s="217"/>
    </row>
    <row r="46" spans="1:14" ht="12.75" customHeight="1">
      <c r="A46" s="217"/>
      <c r="B46" s="214"/>
      <c r="C46" s="217"/>
      <c r="D46" s="217"/>
      <c r="E46" s="217"/>
      <c r="F46" s="217"/>
      <c r="G46" s="217"/>
      <c r="H46" s="217"/>
      <c r="I46" s="217"/>
      <c r="J46" s="217"/>
      <c r="K46" s="217"/>
      <c r="L46" s="217"/>
      <c r="N46" s="217"/>
    </row>
    <row r="47" spans="1:14" ht="12.75" customHeight="1">
      <c r="A47" s="213">
        <f>$A$19</f>
        <v>46221</v>
      </c>
      <c r="B47" s="214">
        <f>'CHICLETS MASTER S1'!U11</f>
        <v>0.53472222222222199</v>
      </c>
      <c r="C47" s="8" t="s">
        <v>163</v>
      </c>
      <c r="D47" s="215" t="str">
        <f>$D$38</f>
        <v>BECKMAN HS 1</v>
      </c>
      <c r="E47" s="215">
        <v>32</v>
      </c>
      <c r="F47" s="218" t="str">
        <f>IF(G42="","W12",IF(G42&gt;I42,_xlfn.CONCAT("W12-",RIGHT(F42,LEN(F42) - FIND("-",F42))), _xlfn.CONCAT("W12-",RIGHT(H42,LEN(H42) - FIND("-",H42)))))</f>
        <v>W12</v>
      </c>
      <c r="G47" s="216"/>
      <c r="H47" s="218" t="str">
        <f>IF(G43="","W16",IF(G43&gt;I43,_xlfn.CONCAT("W16-",RIGHT(F43,LEN(F43) - FIND("-",F43))), _xlfn.CONCAT("W16-",RIGHT(H43,LEN(H43) - FIND("-",H43)))))</f>
        <v>W16</v>
      </c>
      <c r="I47" s="216"/>
      <c r="J47" s="215" t="s">
        <v>1459</v>
      </c>
      <c r="K47" s="215">
        <v>52</v>
      </c>
      <c r="L47" s="216" t="str">
        <f>IF(E47="","",$L$19&amp;"-"&amp;TEXT(E47,"000"))</f>
        <v>14GX-032</v>
      </c>
      <c r="N47" s="217"/>
    </row>
    <row r="48" spans="1:14" ht="12.75" customHeight="1">
      <c r="A48" s="213">
        <f>$A$19</f>
        <v>46221</v>
      </c>
      <c r="B48" s="214">
        <f>'CHICLETS MASTER S1'!U12</f>
        <v>0.56944444444444497</v>
      </c>
      <c r="C48" s="8" t="s">
        <v>163</v>
      </c>
      <c r="D48" s="215" t="str">
        <f>$D$38</f>
        <v>BECKMAN HS 1</v>
      </c>
      <c r="E48" s="215">
        <v>36</v>
      </c>
      <c r="F48" s="218" t="str">
        <f>E13</f>
        <v>K1(11)-680 BLUE</v>
      </c>
      <c r="G48" s="216"/>
      <c r="H48" s="218" t="str">
        <f>E14</f>
        <v>K2(14)-ASPHALT GREEN</v>
      </c>
      <c r="I48" s="216"/>
      <c r="J48" s="215" t="s">
        <v>1446</v>
      </c>
      <c r="K48" s="215"/>
      <c r="L48" s="216" t="str">
        <f>IF(E48="","",$L$19&amp;"-"&amp;TEXT(E48,"000"))</f>
        <v>14GX-036</v>
      </c>
      <c r="N48" s="217"/>
    </row>
    <row r="49" spans="1:14" ht="12.75" customHeight="1">
      <c r="A49" s="213">
        <f>$A$19</f>
        <v>46221</v>
      </c>
      <c r="B49" s="214">
        <f>'CHICLETS MASTER S1'!U13</f>
        <v>0.60416666666666696</v>
      </c>
      <c r="C49" s="8" t="s">
        <v>163</v>
      </c>
      <c r="D49" s="215" t="str">
        <f>$D$38</f>
        <v>BECKMAN HS 1</v>
      </c>
      <c r="E49" s="215">
        <v>40</v>
      </c>
      <c r="F49" s="218" t="str">
        <f>D13</f>
        <v>J1(10)-PAC PREMIER</v>
      </c>
      <c r="G49" s="216"/>
      <c r="H49" s="218" t="str">
        <f>D14</f>
        <v>J2(15)-NORCAL</v>
      </c>
      <c r="I49" s="216"/>
      <c r="J49" s="215" t="s">
        <v>1446</v>
      </c>
      <c r="K49" s="215"/>
      <c r="L49" s="216" t="str">
        <f>IF(E49="","",$L$19&amp;"-"&amp;TEXT(E49,"000"))</f>
        <v>14GX-040</v>
      </c>
      <c r="N49" s="217"/>
    </row>
    <row r="50" spans="1:14" ht="12.75" customHeight="1">
      <c r="A50" s="213">
        <f>$A$19</f>
        <v>46221</v>
      </c>
      <c r="B50" s="214">
        <f>'CHICLETS MASTER S1'!U14</f>
        <v>0.63888888888888895</v>
      </c>
      <c r="C50" s="8" t="s">
        <v>163</v>
      </c>
      <c r="D50" s="215" t="str">
        <f>$D$38</f>
        <v>BECKMAN HS 1</v>
      </c>
      <c r="E50" s="215">
        <v>44</v>
      </c>
      <c r="F50" s="218" t="str">
        <f>IF(G42="","L12",IF(G42&lt;I42,_xlfn.CONCAT("L12-",RIGHT(F42,LEN(F42) - FIND("-",F42))), _xlfn.CONCAT("L12-",RIGHT(H42,LEN(H42) - FIND("-",H42)))))</f>
        <v>L12</v>
      </c>
      <c r="G50" s="216"/>
      <c r="H50" s="218" t="str">
        <f>IF(G43="","L16",IF(G43&lt;I43,_xlfn.CONCAT("L16-",RIGHT(F43,LEN(F43) - FIND("-",F43))), _xlfn.CONCAT("L16-",RIGHT(H43,LEN(H43) - FIND("-",H43)))))</f>
        <v>L16</v>
      </c>
      <c r="I50" s="216"/>
      <c r="J50" s="215">
        <v>60</v>
      </c>
      <c r="K50" s="215" t="s">
        <v>1460</v>
      </c>
      <c r="L50" s="216" t="str">
        <f>IF(E50="","",$L$19&amp;"-"&amp;TEXT(E50,"000"))</f>
        <v>14GX-044</v>
      </c>
      <c r="N50" s="217"/>
    </row>
    <row r="51" spans="1:14" ht="12.75" customHeight="1">
      <c r="A51" s="217"/>
      <c r="B51" s="214"/>
      <c r="C51" s="217"/>
      <c r="D51" s="217"/>
      <c r="E51" s="217"/>
      <c r="F51" s="217"/>
      <c r="G51" s="217"/>
      <c r="H51" s="217"/>
      <c r="I51" s="217"/>
      <c r="J51" s="217"/>
      <c r="K51" s="217"/>
      <c r="L51" s="217"/>
      <c r="N51" s="217"/>
    </row>
    <row r="52" spans="1:14" ht="12.75" customHeight="1">
      <c r="A52" s="213">
        <f>$A$19</f>
        <v>46221</v>
      </c>
      <c r="B52" s="214">
        <f>'CHICLETS MASTER S1'!U16</f>
        <v>0.70833333333333404</v>
      </c>
      <c r="C52" s="8" t="s">
        <v>275</v>
      </c>
      <c r="D52" s="215" t="str">
        <f>$D$38</f>
        <v>BECKMAN HS 1</v>
      </c>
      <c r="E52" s="215">
        <v>52</v>
      </c>
      <c r="F52" s="218" t="str">
        <f>IF(G47="","L32",IF(G47&lt;I47,_xlfn.CONCAT("L32-",RIGHT(F47,LEN(F47) - FIND("-",F47))), _xlfn.CONCAT("L32-",RIGHT(H47,LEN(H47) - FIND("-",H47)))))</f>
        <v>L32</v>
      </c>
      <c r="G52" s="216"/>
      <c r="H52" s="218" t="s">
        <v>1461</v>
      </c>
      <c r="I52" s="216"/>
      <c r="J52" s="215" t="s">
        <v>1462</v>
      </c>
      <c r="K52" s="215" t="s">
        <v>1463</v>
      </c>
      <c r="L52" s="216" t="str">
        <f>IF(E52="","",$L$19&amp;"-"&amp;TEXT(E52,"000"))</f>
        <v>14GX-052</v>
      </c>
      <c r="N52" s="217"/>
    </row>
    <row r="53" spans="1:14" ht="12.75" customHeight="1">
      <c r="A53" s="213">
        <f>$A$19</f>
        <v>46221</v>
      </c>
      <c r="B53" s="214">
        <f>'CHICLETS MASTER S1'!U17</f>
        <v>0.74305555555555602</v>
      </c>
      <c r="C53" s="8" t="s">
        <v>275</v>
      </c>
      <c r="D53" s="215" t="str">
        <f>$D$38</f>
        <v>BECKMAN HS 1</v>
      </c>
      <c r="E53" s="215">
        <v>56</v>
      </c>
      <c r="F53" s="239" t="s">
        <v>1464</v>
      </c>
      <c r="G53" s="216"/>
      <c r="H53" s="223" t="s">
        <v>1465</v>
      </c>
      <c r="I53" s="216"/>
      <c r="J53" s="215" t="s">
        <v>1466</v>
      </c>
      <c r="K53" s="457" t="s">
        <v>1467</v>
      </c>
      <c r="L53" s="216" t="str">
        <f>IF(E53="","",$L$19&amp;"-"&amp;TEXT(E53,"000"))</f>
        <v>14GX-056</v>
      </c>
      <c r="N53" s="217"/>
    </row>
    <row r="54" spans="1:14" ht="12.75" customHeight="1">
      <c r="A54" s="213">
        <f>$A$19</f>
        <v>46221</v>
      </c>
      <c r="B54" s="214">
        <f>'CHICLETS MASTER S1'!U18</f>
        <v>0.77777777777777801</v>
      </c>
      <c r="C54" s="8" t="s">
        <v>275</v>
      </c>
      <c r="D54" s="215" t="str">
        <f>$D$38</f>
        <v>BECKMAN HS 1</v>
      </c>
      <c r="E54" s="215">
        <v>60</v>
      </c>
      <c r="F54" s="218" t="s">
        <v>1468</v>
      </c>
      <c r="G54" s="216"/>
      <c r="H54" s="218" t="str">
        <f>IF(G50="","W44",IF(G50&gt;I50,_xlfn.CONCAT("W44-",RIGHT(F50,LEN(F50) - FIND("-",F50))), _xlfn.CONCAT("W44-",RIGHT(H50,LEN(H50) - FIND("-",H50)))))</f>
        <v>W44</v>
      </c>
      <c r="I54" s="216"/>
      <c r="J54" s="215" t="s">
        <v>1469</v>
      </c>
      <c r="K54" s="215" t="s">
        <v>1470</v>
      </c>
      <c r="L54" s="216" t="str">
        <f>IF(E54="","",$L$19&amp;"-"&amp;TEXT(E54,"000"))</f>
        <v>14GX-060</v>
      </c>
    </row>
    <row r="55" spans="1:14" ht="12.75" customHeight="1" thickBot="1">
      <c r="A55" s="240"/>
      <c r="B55" s="205"/>
      <c r="C55" s="205"/>
      <c r="D55" s="241"/>
      <c r="E55" s="205"/>
      <c r="F55" s="205"/>
      <c r="G55" s="242"/>
      <c r="H55" s="205"/>
      <c r="I55" s="242"/>
      <c r="J55" s="241"/>
      <c r="K55" s="241"/>
      <c r="L55" s="241"/>
    </row>
    <row r="56" spans="1:14" s="202" customFormat="1" ht="12.75" customHeight="1" thickBot="1">
      <c r="A56" s="221"/>
      <c r="B56" s="222"/>
      <c r="D56" s="212" t="str">
        <f>'CHICLETS MASTER S1'!$X$3</f>
        <v>VILLA PARK HS</v>
      </c>
      <c r="E56" s="217"/>
      <c r="F56" s="217"/>
      <c r="G56" s="217"/>
      <c r="H56" s="217"/>
      <c r="I56" s="217"/>
      <c r="J56" s="217"/>
      <c r="K56" s="217"/>
      <c r="L56" s="217"/>
    </row>
    <row r="57" spans="1:14" ht="12.75" customHeight="1">
      <c r="A57" s="277" t="s">
        <v>110</v>
      </c>
      <c r="B57" s="277" t="s">
        <v>111</v>
      </c>
      <c r="C57" s="277" t="s">
        <v>112</v>
      </c>
      <c r="D57" s="277" t="s">
        <v>113</v>
      </c>
      <c r="E57" s="277" t="s">
        <v>114</v>
      </c>
      <c r="F57" s="277" t="s">
        <v>115</v>
      </c>
      <c r="G57" s="277" t="s">
        <v>116</v>
      </c>
      <c r="H57" s="277" t="s">
        <v>117</v>
      </c>
      <c r="I57" s="277" t="s">
        <v>116</v>
      </c>
      <c r="J57" s="277" t="s">
        <v>118</v>
      </c>
      <c r="K57" s="277" t="s">
        <v>119</v>
      </c>
      <c r="L57" s="277" t="s">
        <v>120</v>
      </c>
    </row>
    <row r="58" spans="1:14" ht="12.75" customHeight="1">
      <c r="A58" s="213">
        <f t="shared" ref="A58:A63" si="6">$A$19</f>
        <v>46221</v>
      </c>
      <c r="B58" s="214">
        <f>'CHICLETS MASTER S1'!U4</f>
        <v>0.29166666666666669</v>
      </c>
      <c r="C58" s="8" t="s">
        <v>163</v>
      </c>
      <c r="D58" s="215" t="str">
        <f t="shared" ref="D58:D63" si="7">$D$56</f>
        <v>VILLA PARK HS</v>
      </c>
      <c r="E58" s="215">
        <v>2</v>
      </c>
      <c r="F58" s="214" t="str">
        <f>D7</f>
        <v>D1(4)-SET</v>
      </c>
      <c r="G58" s="216"/>
      <c r="H58" s="214" t="str">
        <f>D9</f>
        <v>D3(28)-STANFORD C</v>
      </c>
      <c r="I58" s="216"/>
      <c r="J58" s="216" t="s">
        <v>649</v>
      </c>
      <c r="K58" s="216"/>
      <c r="L58" s="216" t="str">
        <f t="shared" ref="L58:L63" si="8">IF(E58="","",$L$19&amp;"-"&amp;TEXT(E58,"000"))</f>
        <v>14GX-002</v>
      </c>
    </row>
    <row r="59" spans="1:14" ht="12.75" customHeight="1">
      <c r="A59" s="213">
        <f t="shared" si="6"/>
        <v>46221</v>
      </c>
      <c r="B59" s="214">
        <f>'CHICLETS MASTER S1'!U5</f>
        <v>0.3263888888888889</v>
      </c>
      <c r="C59" s="8" t="s">
        <v>163</v>
      </c>
      <c r="D59" s="215" t="str">
        <f t="shared" si="7"/>
        <v>VILLA PARK HS</v>
      </c>
      <c r="E59" s="215">
        <v>6</v>
      </c>
      <c r="F59" s="214" t="str">
        <f>E7</f>
        <v>E1(5)-LOS ALAMITOS</v>
      </c>
      <c r="G59" s="216"/>
      <c r="H59" s="214" t="str">
        <f>E9</f>
        <v>E3(29)-MID VALLEY</v>
      </c>
      <c r="I59" s="216"/>
      <c r="J59" s="216" t="s">
        <v>1446</v>
      </c>
      <c r="K59" s="216"/>
      <c r="L59" s="216" t="str">
        <f t="shared" si="8"/>
        <v>14GX-006</v>
      </c>
    </row>
    <row r="60" spans="1:14" ht="12.75" customHeight="1">
      <c r="A60" s="213">
        <f t="shared" si="6"/>
        <v>46221</v>
      </c>
      <c r="B60" s="214">
        <f>'CHICLETS MASTER S1'!U6</f>
        <v>0.36111111111111099</v>
      </c>
      <c r="C60" s="8" t="s">
        <v>163</v>
      </c>
      <c r="D60" s="215" t="str">
        <f t="shared" si="7"/>
        <v>VILLA PARK HS</v>
      </c>
      <c r="E60" s="215">
        <v>10</v>
      </c>
      <c r="F60" s="214" t="str">
        <f>F7</f>
        <v>6-SAN JOSE EXPRESS BLUE</v>
      </c>
      <c r="G60" s="216"/>
      <c r="H60" s="214" t="str">
        <f>F10</f>
        <v>39-CHULA VISTA PREMIER</v>
      </c>
      <c r="I60" s="216"/>
      <c r="J60" s="216">
        <v>26</v>
      </c>
      <c r="K60" s="216">
        <v>34</v>
      </c>
      <c r="L60" s="216" t="str">
        <f t="shared" si="8"/>
        <v>14GX-010</v>
      </c>
    </row>
    <row r="61" spans="1:14" ht="12.75" customHeight="1">
      <c r="A61" s="213">
        <f t="shared" si="6"/>
        <v>46221</v>
      </c>
      <c r="B61" s="214">
        <f>'CHICLETS MASTER S1'!U7</f>
        <v>0.39583333333333398</v>
      </c>
      <c r="C61" s="8" t="s">
        <v>163</v>
      </c>
      <c r="D61" s="215" t="str">
        <f t="shared" si="7"/>
        <v>VILLA PARK HS</v>
      </c>
      <c r="E61" s="215">
        <v>14</v>
      </c>
      <c r="F61" s="214" t="str">
        <f>F8</f>
        <v>19-FOOTHILL RED</v>
      </c>
      <c r="G61" s="216"/>
      <c r="H61" s="214" t="str">
        <f>F9</f>
        <v>30-CLOVIS B</v>
      </c>
      <c r="I61" s="216"/>
      <c r="J61" s="216">
        <v>26</v>
      </c>
      <c r="K61" s="216">
        <v>34</v>
      </c>
      <c r="L61" s="216" t="str">
        <f t="shared" si="8"/>
        <v>14GX-014</v>
      </c>
    </row>
    <row r="62" spans="1:14" ht="12.75" customHeight="1">
      <c r="A62" s="213">
        <f t="shared" si="6"/>
        <v>46221</v>
      </c>
      <c r="B62" s="214">
        <f>'CHICLETS MASTER S1'!U8</f>
        <v>0.43055555555555602</v>
      </c>
      <c r="C62" s="8" t="s">
        <v>163</v>
      </c>
      <c r="D62" s="215" t="str">
        <f t="shared" si="7"/>
        <v>VILLA PARK HS</v>
      </c>
      <c r="E62" s="215">
        <v>18</v>
      </c>
      <c r="F62" s="214" t="str">
        <f>D8</f>
        <v>D2(21)-ECA</v>
      </c>
      <c r="G62" s="216"/>
      <c r="H62" s="214" t="str">
        <f>D9</f>
        <v>D3(28)-STANFORD C</v>
      </c>
      <c r="I62" s="216"/>
      <c r="J62" s="216" t="s">
        <v>649</v>
      </c>
      <c r="K62" s="216"/>
      <c r="L62" s="216" t="str">
        <f t="shared" si="8"/>
        <v>14GX-018</v>
      </c>
    </row>
    <row r="63" spans="1:14" ht="12.75" customHeight="1">
      <c r="A63" s="213">
        <f t="shared" si="6"/>
        <v>46221</v>
      </c>
      <c r="B63" s="214">
        <f>'CHICLETS MASTER S1'!U9</f>
        <v>0.46527777777777801</v>
      </c>
      <c r="C63" s="8" t="s">
        <v>163</v>
      </c>
      <c r="D63" s="215" t="str">
        <f t="shared" si="7"/>
        <v>VILLA PARK HS</v>
      </c>
      <c r="E63" s="215">
        <v>22</v>
      </c>
      <c r="F63" s="214" t="str">
        <f>E8</f>
        <v>E2(20)-BULLDOG</v>
      </c>
      <c r="G63" s="216"/>
      <c r="H63" s="214" t="str">
        <f>E9</f>
        <v>E3(29)-MID VALLEY</v>
      </c>
      <c r="I63" s="216"/>
      <c r="J63" s="216" t="s">
        <v>1446</v>
      </c>
      <c r="K63" s="216"/>
      <c r="L63" s="216" t="str">
        <f t="shared" si="8"/>
        <v>14GX-022</v>
      </c>
    </row>
    <row r="65" spans="1:12" ht="12.75" customHeight="1">
      <c r="A65" s="213">
        <f>$A$19</f>
        <v>46221</v>
      </c>
      <c r="B65" s="214">
        <f>'CHICLETS MASTER S1'!U11</f>
        <v>0.53472222222222199</v>
      </c>
      <c r="C65" s="8" t="s">
        <v>163</v>
      </c>
      <c r="D65" s="215" t="str">
        <f>$D$56</f>
        <v>VILLA PARK HS</v>
      </c>
      <c r="E65" s="215">
        <v>26</v>
      </c>
      <c r="F65" s="214" t="str">
        <f>IF(G60="","W10",IF(G60&gt;I60,_xlfn.CONCAT("W10-",RIGHT(F60,LEN(F60) - FIND("-",F60))), _xlfn.CONCAT("W10-",RIGHT(H60,LEN(H60) - FIND("-",H60)))))</f>
        <v>W10</v>
      </c>
      <c r="G65" s="216"/>
      <c r="H65" s="214" t="str">
        <f>IF(G61="","W14",IF(G61&gt;I61,_xlfn.CONCAT("W14-",RIGHT(F61,LEN(F61) - FIND("-",F61))), _xlfn.CONCAT("W14-",RIGHT(H61,LEN(H61) - FIND("-",H61)))))</f>
        <v>W14</v>
      </c>
      <c r="I65" s="216"/>
      <c r="J65" s="216" t="s">
        <v>1471</v>
      </c>
      <c r="K65" s="216">
        <v>54</v>
      </c>
      <c r="L65" s="216" t="str">
        <f>IF(E65="","",$L$19&amp;"-"&amp;TEXT(E65,"000"))</f>
        <v>14GX-026</v>
      </c>
    </row>
    <row r="66" spans="1:12" s="217" customFormat="1" ht="12.75" customHeight="1">
      <c r="A66" s="213">
        <f>$A$19</f>
        <v>46221</v>
      </c>
      <c r="B66" s="214">
        <f>'CHICLETS MASTER S1'!U12</f>
        <v>0.56944444444444497</v>
      </c>
      <c r="C66" s="8" t="s">
        <v>163</v>
      </c>
      <c r="D66" s="215" t="str">
        <f>$D$56</f>
        <v>VILLA PARK HS</v>
      </c>
      <c r="E66" s="215">
        <v>30</v>
      </c>
      <c r="F66" s="214" t="str">
        <f>D7</f>
        <v>D1(4)-SET</v>
      </c>
      <c r="G66" s="216"/>
      <c r="H66" s="214" t="str">
        <f>D8</f>
        <v>D2(21)-ECA</v>
      </c>
      <c r="I66" s="216"/>
      <c r="J66" s="219" t="s">
        <v>1446</v>
      </c>
      <c r="K66" s="216"/>
      <c r="L66" s="216" t="str">
        <f>IF(E66="","",$L$19&amp;"-"&amp;TEXT(E66,"000"))</f>
        <v>14GX-030</v>
      </c>
    </row>
    <row r="67" spans="1:12" ht="12.75" customHeight="1">
      <c r="A67" s="213">
        <f>$A$19</f>
        <v>46221</v>
      </c>
      <c r="B67" s="214">
        <f>'CHICLETS MASTER S1'!U13</f>
        <v>0.60416666666666696</v>
      </c>
      <c r="C67" s="8" t="s">
        <v>163</v>
      </c>
      <c r="D67" s="215" t="str">
        <f>$D$56</f>
        <v>VILLA PARK HS</v>
      </c>
      <c r="E67" s="215">
        <v>34</v>
      </c>
      <c r="F67" s="214" t="str">
        <f>IF(G60="","L10",IF(G60&lt;I60,_xlfn.CONCAT("L10-",RIGHT(F60,LEN(F60) - FIND("-",F60))), _xlfn.CONCAT("L10-",RIGHT(H60,LEN(H60) - FIND("-",H60)))))</f>
        <v>L10</v>
      </c>
      <c r="G67" s="216"/>
      <c r="H67" s="214" t="str">
        <f>IF(G61="","L14",IF(G61&lt;I61,_xlfn.CONCAT("L14-",RIGHT(F61,LEN(F61) - FIND("-",F61))), _xlfn.CONCAT("L14-",RIGHT(H61,LEN(H61) - FIND("-",H61)))))</f>
        <v>L14</v>
      </c>
      <c r="I67" s="216"/>
      <c r="J67" s="219">
        <v>58</v>
      </c>
      <c r="K67" s="216" t="s">
        <v>1472</v>
      </c>
      <c r="L67" s="216" t="str">
        <f>IF(E67="","",$L$19&amp;"-"&amp;TEXT(E67,"000"))</f>
        <v>14GX-034</v>
      </c>
    </row>
    <row r="68" spans="1:12" ht="12.75" customHeight="1">
      <c r="A68" s="213">
        <f>$A$19</f>
        <v>46221</v>
      </c>
      <c r="B68" s="214">
        <f>'CHICLETS MASTER S1'!U14</f>
        <v>0.63888888888888895</v>
      </c>
      <c r="C68" s="8" t="s">
        <v>163</v>
      </c>
      <c r="D68" s="215" t="str">
        <f>$D$56</f>
        <v>VILLA PARK HS</v>
      </c>
      <c r="E68" s="215">
        <v>38</v>
      </c>
      <c r="F68" s="214" t="str">
        <f>E7</f>
        <v>E1(5)-LOS ALAMITOS</v>
      </c>
      <c r="G68" s="216"/>
      <c r="H68" s="214" t="str">
        <f>E8</f>
        <v>E2(20)-BULLDOG</v>
      </c>
      <c r="I68" s="216"/>
      <c r="J68" s="216" t="s">
        <v>1446</v>
      </c>
      <c r="K68" s="216"/>
      <c r="L68" s="216" t="str">
        <f>IF(E68="","",$L$19&amp;"-"&amp;TEXT(E68,"000"))</f>
        <v>14GX-038</v>
      </c>
    </row>
    <row r="69" spans="1:12" s="217" customFormat="1" ht="12.75" customHeight="1">
      <c r="B69" s="243"/>
    </row>
    <row r="70" spans="1:12" s="217" customFormat="1" ht="12.75" customHeight="1">
      <c r="A70" s="213">
        <f>$A$19</f>
        <v>46221</v>
      </c>
      <c r="B70" s="214">
        <f>'CHICLETS MASTER S1'!U16</f>
        <v>0.70833333333333404</v>
      </c>
      <c r="C70" s="8" t="s">
        <v>275</v>
      </c>
      <c r="D70" s="215" t="str">
        <f>$D$56</f>
        <v>VILLA PARK HS</v>
      </c>
      <c r="E70" s="215">
        <v>50</v>
      </c>
      <c r="F70" s="239" t="s">
        <v>1473</v>
      </c>
      <c r="G70" s="216"/>
      <c r="H70" s="214" t="s">
        <v>1474</v>
      </c>
      <c r="I70" s="216"/>
      <c r="J70" s="216" t="s">
        <v>1475</v>
      </c>
      <c r="K70" s="216" t="s">
        <v>1476</v>
      </c>
      <c r="L70" s="216" t="str">
        <f>IF(E70="","",$L$19&amp;"-"&amp;TEXT(E70,"000"))</f>
        <v>14GX-050</v>
      </c>
    </row>
    <row r="71" spans="1:12" ht="12.75" customHeight="1">
      <c r="A71" s="213">
        <f>$A$19</f>
        <v>46221</v>
      </c>
      <c r="B71" s="214">
        <f>'CHICLETS MASTER S1'!U17</f>
        <v>0.74305555555555602</v>
      </c>
      <c r="C71" s="8" t="s">
        <v>275</v>
      </c>
      <c r="D71" s="215" t="str">
        <f>$D$56</f>
        <v>VILLA PARK HS</v>
      </c>
      <c r="E71" s="215">
        <v>54</v>
      </c>
      <c r="F71" s="218" t="str">
        <f>IF(G65="","L26",IF(G65&lt;I65,_xlfn.CONCAT("L26-",RIGHT(F65,LEN(F65) - FIND("-",F65))), _xlfn.CONCAT("L26-",RIGHT(H65,LEN(H65) - FIND("-",H65)))))</f>
        <v>L26</v>
      </c>
      <c r="G71" s="216"/>
      <c r="H71" s="214" t="s">
        <v>1477</v>
      </c>
      <c r="I71" s="216"/>
      <c r="J71" s="216" t="s">
        <v>1478</v>
      </c>
      <c r="K71" s="216" t="s">
        <v>1479</v>
      </c>
      <c r="L71" s="216" t="str">
        <f>IF(E71="","",$L$19&amp;"-"&amp;TEXT(E71,"000"))</f>
        <v>14GX-054</v>
      </c>
    </row>
    <row r="72" spans="1:12" ht="12.75" customHeight="1">
      <c r="A72" s="213">
        <f>$A$19</f>
        <v>46221</v>
      </c>
      <c r="B72" s="214">
        <f>'CHICLETS MASTER S1'!U18</f>
        <v>0.77777777777777801</v>
      </c>
      <c r="C72" s="8" t="s">
        <v>275</v>
      </c>
      <c r="D72" s="215" t="str">
        <f>$D$56</f>
        <v>VILLA PARK HS</v>
      </c>
      <c r="E72" s="215">
        <v>58</v>
      </c>
      <c r="F72" s="214" t="s">
        <v>1480</v>
      </c>
      <c r="G72" s="216"/>
      <c r="H72" s="218" t="str">
        <f>IF(G67="","W34",IF(G67&gt;I67,_xlfn.CONCAT("W34-",RIGHT(F67,LEN(F67) - FIND("-",F67))), _xlfn.CONCAT("W34-",RIGHT(H67,LEN(H67) - FIND("-",H67)))))</f>
        <v>W34</v>
      </c>
      <c r="I72" s="216"/>
      <c r="J72" s="216" t="s">
        <v>1481</v>
      </c>
      <c r="K72" s="216" t="s">
        <v>1482</v>
      </c>
      <c r="L72" s="216" t="str">
        <f>IF(E72="","",$L$19&amp;"-"&amp;TEXT(E72,"000"))</f>
        <v>14GX-058</v>
      </c>
    </row>
    <row r="73" spans="1:12" ht="12.75" customHeight="1" thickBot="1"/>
    <row r="74" spans="1:12" s="202" customFormat="1" ht="12.75" customHeight="1" thickBot="1">
      <c r="A74" s="221"/>
      <c r="B74" s="222"/>
      <c r="D74" s="212" t="str">
        <f>'CHICLETS MASTER S1'!$Y$27</f>
        <v>ORANGE HS</v>
      </c>
      <c r="E74" s="217"/>
      <c r="F74" s="217"/>
      <c r="G74" s="217"/>
      <c r="H74" s="217"/>
      <c r="I74" s="217"/>
      <c r="J74" s="217"/>
      <c r="K74" s="217"/>
      <c r="L74" s="217"/>
    </row>
    <row r="75" spans="1:12" ht="12.75" customHeight="1">
      <c r="A75" s="277" t="s">
        <v>110</v>
      </c>
      <c r="B75" s="277" t="s">
        <v>111</v>
      </c>
      <c r="C75" s="277" t="s">
        <v>112</v>
      </c>
      <c r="D75" s="277" t="s">
        <v>113</v>
      </c>
      <c r="E75" s="277" t="s">
        <v>114</v>
      </c>
      <c r="F75" s="277" t="s">
        <v>115</v>
      </c>
      <c r="G75" s="277" t="s">
        <v>116</v>
      </c>
      <c r="H75" s="277" t="s">
        <v>117</v>
      </c>
      <c r="I75" s="277" t="s">
        <v>116</v>
      </c>
      <c r="J75" s="277" t="s">
        <v>118</v>
      </c>
      <c r="K75" s="277" t="s">
        <v>119</v>
      </c>
      <c r="L75" s="277" t="s">
        <v>120</v>
      </c>
    </row>
    <row r="76" spans="1:12" ht="12.75" customHeight="1">
      <c r="A76" s="213">
        <f t="shared" ref="A76:A81" si="9">$A$19</f>
        <v>46221</v>
      </c>
      <c r="B76" s="214">
        <f>'CHICLETS MASTER S1'!U4</f>
        <v>0.29166666666666669</v>
      </c>
      <c r="C76" s="8" t="s">
        <v>163</v>
      </c>
      <c r="D76" s="215" t="str">
        <f t="shared" ref="D76:D81" si="10">$D$74</f>
        <v>ORANGE HS</v>
      </c>
      <c r="E76" s="215">
        <v>1</v>
      </c>
      <c r="F76" s="214" t="str">
        <f>C7</f>
        <v>C1(3)-PALOS VERDES</v>
      </c>
      <c r="G76" s="216"/>
      <c r="H76" s="214" t="str">
        <f>C9</f>
        <v>C3(27)-NORTH IRVINE</v>
      </c>
      <c r="I76" s="216"/>
      <c r="J76" s="216" t="s">
        <v>1446</v>
      </c>
      <c r="K76" s="275"/>
      <c r="L76" s="216" t="str">
        <f t="shared" ref="L76:L85" si="11">IF(E76="","",$L$19&amp;"-"&amp;TEXT(E76,"000"))</f>
        <v>14GX-001</v>
      </c>
    </row>
    <row r="77" spans="1:12" ht="12.75" customHeight="1">
      <c r="A77" s="213">
        <f t="shared" si="9"/>
        <v>46221</v>
      </c>
      <c r="B77" s="214">
        <f>'CHICLETS MASTER S1'!U5</f>
        <v>0.3263888888888889</v>
      </c>
      <c r="C77" s="8" t="s">
        <v>163</v>
      </c>
      <c r="D77" s="215" t="str">
        <f t="shared" si="10"/>
        <v>ORANGE HS</v>
      </c>
      <c r="E77" s="215">
        <v>5</v>
      </c>
      <c r="F77" s="214" t="str">
        <f>B7</f>
        <v>B1(2)-ROSE BOWL</v>
      </c>
      <c r="G77" s="216"/>
      <c r="H77" s="214" t="str">
        <f>B9</f>
        <v>B3(26)-PLACER</v>
      </c>
      <c r="I77" s="216"/>
      <c r="J77" s="216" t="s">
        <v>1446</v>
      </c>
      <c r="K77" s="216"/>
      <c r="L77" s="216" t="str">
        <f t="shared" si="11"/>
        <v>14GX-005</v>
      </c>
    </row>
    <row r="78" spans="1:12" ht="12.75" customHeight="1">
      <c r="A78" s="213">
        <f t="shared" si="9"/>
        <v>46221</v>
      </c>
      <c r="B78" s="214">
        <f>'CHICLETS MASTER S1'!U6</f>
        <v>0.36111111111111099</v>
      </c>
      <c r="C78" s="8" t="s">
        <v>163</v>
      </c>
      <c r="D78" s="215" t="str">
        <f t="shared" si="10"/>
        <v>ORANGE HS</v>
      </c>
      <c r="E78" s="215">
        <v>9</v>
      </c>
      <c r="F78" s="214" t="str">
        <f>A7</f>
        <v>A1(1)-SOCAL</v>
      </c>
      <c r="G78" s="216"/>
      <c r="H78" s="214" t="str">
        <f>A9</f>
        <v>A3(25)-BACK BAY</v>
      </c>
      <c r="I78" s="216"/>
      <c r="J78" s="216" t="s">
        <v>1446</v>
      </c>
      <c r="K78" s="216"/>
      <c r="L78" s="216" t="str">
        <f t="shared" si="11"/>
        <v>14GX-009</v>
      </c>
    </row>
    <row r="79" spans="1:12" ht="12.75" customHeight="1">
      <c r="A79" s="213">
        <f t="shared" si="9"/>
        <v>46221</v>
      </c>
      <c r="B79" s="214">
        <f>'CHICLETS MASTER S1'!U7</f>
        <v>0.39583333333333398</v>
      </c>
      <c r="C79" s="8" t="s">
        <v>163</v>
      </c>
      <c r="D79" s="215" t="str">
        <f t="shared" si="10"/>
        <v>ORANGE HS</v>
      </c>
      <c r="E79" s="215">
        <v>13</v>
      </c>
      <c r="F79" s="214" t="str">
        <f>C8</f>
        <v>C2(22)-PRAETORIAN</v>
      </c>
      <c r="G79" s="216"/>
      <c r="H79" s="214" t="str">
        <f>C9</f>
        <v>C3(27)-NORTH IRVINE</v>
      </c>
      <c r="I79" s="216"/>
      <c r="J79" s="216" t="s">
        <v>1446</v>
      </c>
      <c r="K79" s="275"/>
      <c r="L79" s="216" t="str">
        <f t="shared" si="11"/>
        <v>14GX-013</v>
      </c>
    </row>
    <row r="80" spans="1:12" ht="12.75" customHeight="1">
      <c r="A80" s="213">
        <f t="shared" si="9"/>
        <v>46221</v>
      </c>
      <c r="B80" s="214">
        <f>'CHICLETS MASTER S1'!U8</f>
        <v>0.43055555555555602</v>
      </c>
      <c r="C80" s="8" t="s">
        <v>163</v>
      </c>
      <c r="D80" s="215" t="str">
        <f t="shared" si="10"/>
        <v>ORANGE HS</v>
      </c>
      <c r="E80" s="215">
        <v>17</v>
      </c>
      <c r="F80" s="214" t="str">
        <f>B8</f>
        <v>B2(23)-SOUTH COAST WHITE</v>
      </c>
      <c r="G80" s="216"/>
      <c r="H80" s="214" t="str">
        <f>B9</f>
        <v>B3(26)-PLACER</v>
      </c>
      <c r="I80" s="216"/>
      <c r="J80" s="216" t="s">
        <v>1446</v>
      </c>
      <c r="K80" s="216"/>
      <c r="L80" s="216" t="str">
        <f t="shared" si="11"/>
        <v>14GX-017</v>
      </c>
    </row>
    <row r="81" spans="1:12" ht="12.75" customHeight="1">
      <c r="A81" s="213">
        <f t="shared" si="9"/>
        <v>46221</v>
      </c>
      <c r="B81" s="214">
        <f>'CHICLETS MASTER S1'!U9</f>
        <v>0.46527777777777801</v>
      </c>
      <c r="C81" s="8" t="s">
        <v>163</v>
      </c>
      <c r="D81" s="215" t="str">
        <f t="shared" si="10"/>
        <v>ORANGE HS</v>
      </c>
      <c r="E81" s="215">
        <v>21</v>
      </c>
      <c r="F81" s="214" t="str">
        <f>A8</f>
        <v>A2(24)-ALAMEDA</v>
      </c>
      <c r="G81" s="216"/>
      <c r="H81" s="214" t="str">
        <f>A9</f>
        <v>A3(25)-BACK BAY</v>
      </c>
      <c r="I81" s="216"/>
      <c r="J81" s="216" t="s">
        <v>1446</v>
      </c>
      <c r="K81" s="216"/>
      <c r="L81" s="216" t="str">
        <f t="shared" si="11"/>
        <v>14GX-021</v>
      </c>
    </row>
    <row r="83" spans="1:12" ht="12.75" customHeight="1">
      <c r="A83" s="213">
        <f>$A$19</f>
        <v>46221</v>
      </c>
      <c r="B83" s="214">
        <f>'CHICLETS MASTER S1'!U11</f>
        <v>0.53472222222222199</v>
      </c>
      <c r="C83" s="8" t="s">
        <v>163</v>
      </c>
      <c r="D83" s="215" t="str">
        <f>$D$74</f>
        <v>ORANGE HS</v>
      </c>
      <c r="E83" s="215">
        <v>25</v>
      </c>
      <c r="F83" s="218" t="str">
        <f>C7</f>
        <v>C1(3)-PALOS VERDES</v>
      </c>
      <c r="G83" s="216"/>
      <c r="H83" s="218" t="str">
        <f>C8</f>
        <v>C2(22)-PRAETORIAN</v>
      </c>
      <c r="I83" s="216"/>
      <c r="J83" s="216" t="s">
        <v>1446</v>
      </c>
      <c r="K83" s="216"/>
      <c r="L83" s="216" t="str">
        <f t="shared" si="11"/>
        <v>14GX-025</v>
      </c>
    </row>
    <row r="84" spans="1:12" ht="12.75" customHeight="1">
      <c r="A84" s="213">
        <f>$A$19</f>
        <v>46221</v>
      </c>
      <c r="B84" s="214">
        <f>'CHICLETS MASTER S1'!U12</f>
        <v>0.56944444444444497</v>
      </c>
      <c r="C84" s="8" t="s">
        <v>163</v>
      </c>
      <c r="D84" s="215" t="str">
        <f>$D$74</f>
        <v>ORANGE HS</v>
      </c>
      <c r="E84" s="215">
        <v>33</v>
      </c>
      <c r="F84" s="218" t="str">
        <f>B7</f>
        <v>B1(2)-ROSE BOWL</v>
      </c>
      <c r="G84" s="216"/>
      <c r="H84" s="218" t="str">
        <f>B8</f>
        <v>B2(23)-SOUTH COAST WHITE</v>
      </c>
      <c r="I84" s="216"/>
      <c r="J84" s="216" t="s">
        <v>1446</v>
      </c>
      <c r="K84" s="216"/>
      <c r="L84" s="216" t="str">
        <f t="shared" si="11"/>
        <v>14GX-033</v>
      </c>
    </row>
    <row r="85" spans="1:12" ht="12.75" customHeight="1">
      <c r="A85" s="213">
        <f>$A$19</f>
        <v>46221</v>
      </c>
      <c r="B85" s="214">
        <f>'CHICLETS MASTER S1'!U13</f>
        <v>0.60416666666666696</v>
      </c>
      <c r="C85" s="8" t="s">
        <v>163</v>
      </c>
      <c r="D85" s="215" t="str">
        <f>$D$74</f>
        <v>ORANGE HS</v>
      </c>
      <c r="E85" s="215">
        <v>37</v>
      </c>
      <c r="F85" s="218" t="str">
        <f>A7</f>
        <v>A1(1)-SOCAL</v>
      </c>
      <c r="G85" s="216"/>
      <c r="H85" s="218" t="str">
        <f>A8</f>
        <v>A2(24)-ALAMEDA</v>
      </c>
      <c r="I85" s="216"/>
      <c r="J85" s="216" t="s">
        <v>1446</v>
      </c>
      <c r="K85" s="216"/>
      <c r="L85" s="216" t="str">
        <f t="shared" si="11"/>
        <v>14GX-037</v>
      </c>
    </row>
    <row r="86" spans="1:12" s="217" customFormat="1" ht="12.75" customHeight="1"/>
    <row r="87" spans="1:12" s="217" customFormat="1" ht="12.75" customHeight="1"/>
    <row r="88" spans="1:12" ht="12.75" customHeight="1">
      <c r="A88" s="213">
        <f>$A$19</f>
        <v>46221</v>
      </c>
      <c r="B88" s="214">
        <f>'CHICLETS MASTER S1'!U16</f>
        <v>0.70833333333333404</v>
      </c>
      <c r="C88" s="8" t="s">
        <v>275</v>
      </c>
      <c r="D88" s="215" t="str">
        <f>$D$74</f>
        <v>ORANGE HS</v>
      </c>
      <c r="E88" s="215">
        <v>49</v>
      </c>
      <c r="F88" s="239" t="s">
        <v>1483</v>
      </c>
      <c r="G88" s="216"/>
      <c r="H88" s="218" t="s">
        <v>144</v>
      </c>
      <c r="I88" s="216"/>
      <c r="J88" s="216" t="s">
        <v>1484</v>
      </c>
      <c r="K88" s="216" t="s">
        <v>1485</v>
      </c>
      <c r="L88" s="216" t="str">
        <f>IF(E88="","",$L$19&amp;"-"&amp;TEXT(E88,"000"))</f>
        <v>14GX-049</v>
      </c>
    </row>
    <row r="89" spans="1:12" ht="12.75" customHeight="1">
      <c r="A89" s="213">
        <f>$A$19</f>
        <v>46221</v>
      </c>
      <c r="B89" s="214">
        <f>'CHICLETS MASTER S1'!U17</f>
        <v>0.74305555555555602</v>
      </c>
      <c r="C89" s="8" t="s">
        <v>275</v>
      </c>
      <c r="D89" s="215" t="str">
        <f>$D$74</f>
        <v>ORANGE HS</v>
      </c>
      <c r="E89" s="215">
        <v>53</v>
      </c>
      <c r="F89" s="218" t="s">
        <v>1486</v>
      </c>
      <c r="G89" s="216"/>
      <c r="H89" s="218" t="s">
        <v>1487</v>
      </c>
      <c r="I89" s="216"/>
      <c r="J89" s="216" t="s">
        <v>1488</v>
      </c>
      <c r="K89" s="216" t="s">
        <v>1489</v>
      </c>
      <c r="L89" s="216" t="str">
        <f>IF(E89="","",$L$19&amp;"-"&amp;TEXT(E89,"000"))</f>
        <v>14GX-053</v>
      </c>
    </row>
    <row r="90" spans="1:12" ht="12.75" customHeight="1">
      <c r="A90" s="213">
        <f>$A$19</f>
        <v>46221</v>
      </c>
      <c r="B90" s="214">
        <f>'CHICLETS MASTER S1'!U18</f>
        <v>0.77777777777777801</v>
      </c>
      <c r="C90" s="8" t="s">
        <v>275</v>
      </c>
      <c r="D90" s="215" t="str">
        <f>$D$74</f>
        <v>ORANGE HS</v>
      </c>
      <c r="E90" s="215">
        <v>57</v>
      </c>
      <c r="F90" s="218" t="s">
        <v>1490</v>
      </c>
      <c r="G90" s="216"/>
      <c r="H90" s="218" t="s">
        <v>1491</v>
      </c>
      <c r="I90" s="216"/>
      <c r="J90" s="216" t="s">
        <v>1492</v>
      </c>
      <c r="K90" s="216" t="s">
        <v>1493</v>
      </c>
      <c r="L90" s="216" t="str">
        <f>IF(E90="","",$L$19&amp;"-"&amp;TEXT(E90,"000"))</f>
        <v>14GX-057</v>
      </c>
    </row>
    <row r="91" spans="1:12" ht="12.75" customHeight="1" thickBot="1">
      <c r="B91" s="214"/>
    </row>
    <row r="92" spans="1:12" s="205" customFormat="1" ht="12.75" customHeight="1" thickTop="1" thickBot="1">
      <c r="A92" s="244" t="s">
        <v>326</v>
      </c>
      <c r="B92" s="209"/>
      <c r="C92" s="209"/>
      <c r="D92" s="207"/>
      <c r="E92" s="209"/>
      <c r="F92" s="209"/>
      <c r="G92" s="208"/>
      <c r="H92" s="209"/>
      <c r="I92" s="208"/>
      <c r="J92" s="209"/>
      <c r="K92" s="209"/>
      <c r="L92" s="209"/>
    </row>
    <row r="93" spans="1:12" s="205" customFormat="1" ht="12.75" customHeight="1">
      <c r="A93" s="211">
        <v>46222</v>
      </c>
      <c r="B93" s="198" t="s">
        <v>1444</v>
      </c>
      <c r="G93" s="242"/>
      <c r="I93" s="242"/>
    </row>
    <row r="94" spans="1:12" s="205" customFormat="1" ht="12.75" customHeight="1">
      <c r="G94" s="242"/>
      <c r="I94" s="242"/>
    </row>
    <row r="95" spans="1:12" ht="12.75" customHeight="1">
      <c r="A95" s="245" t="s">
        <v>148</v>
      </c>
      <c r="B95" s="246" t="s">
        <v>1494</v>
      </c>
      <c r="C95" s="246" t="s">
        <v>1495</v>
      </c>
      <c r="D95" s="247" t="s">
        <v>1496</v>
      </c>
      <c r="E95" s="246" t="s">
        <v>1497</v>
      </c>
      <c r="F95" s="241"/>
      <c r="G95" s="242"/>
      <c r="H95" s="241"/>
      <c r="I95" s="242"/>
      <c r="J95" s="241"/>
    </row>
    <row r="96" spans="1:12" ht="12.75" customHeight="1">
      <c r="A96" s="240"/>
      <c r="B96" s="203" t="s">
        <v>1498</v>
      </c>
      <c r="C96" s="203" t="s">
        <v>1499</v>
      </c>
      <c r="D96" s="204" t="s">
        <v>1500</v>
      </c>
      <c r="E96" s="203" t="s">
        <v>1501</v>
      </c>
      <c r="F96" s="241"/>
      <c r="G96" s="242"/>
      <c r="H96" s="241"/>
      <c r="I96" s="242"/>
      <c r="J96" s="241"/>
    </row>
    <row r="97" spans="1:12" ht="12.75" customHeight="1">
      <c r="A97" s="240"/>
      <c r="B97" s="203" t="str">
        <f>IF(G29="","W31",IF(G29&gt;I29,_xlfn.CONCAT("W31-",RIGHT(F29,LEN(F29) - FIND("-",F29))), _xlfn.CONCAT("W31-",RIGHT(H29,LEN(H29) - FIND("-",H29)))))</f>
        <v>W31</v>
      </c>
      <c r="C97" s="203" t="s">
        <v>1502</v>
      </c>
      <c r="D97" s="203" t="str">
        <f>IF(G65="","W26",IF(G65&gt;I65,_xlfn.CONCAT("W26-",RIGHT(F65,LEN(F65) - FIND("-",F65))), _xlfn.CONCAT("W26-",RIGHT(H65,LEN(H65) - FIND("-",H65)))))</f>
        <v>W26</v>
      </c>
      <c r="E97" s="203" t="s">
        <v>1503</v>
      </c>
      <c r="F97" s="241"/>
      <c r="G97" s="242"/>
      <c r="H97" s="241"/>
      <c r="I97" s="242"/>
      <c r="J97" s="241"/>
    </row>
    <row r="98" spans="1:12" ht="12.75" customHeight="1">
      <c r="A98" s="240"/>
      <c r="B98" s="203" t="s">
        <v>1504</v>
      </c>
      <c r="C98" s="203" t="s">
        <v>1505</v>
      </c>
      <c r="D98" s="203" t="s">
        <v>1506</v>
      </c>
      <c r="E98" s="203" t="str">
        <f>IF(G47="","W32",IF(G47&gt;I47,_xlfn.CONCAT("W32-",RIGHT(F47,LEN(F47) - FIND("-",F47))), _xlfn.CONCAT("W32-",RIGHT(H47,LEN(H47) - FIND("-",H47)))))</f>
        <v>W32</v>
      </c>
      <c r="F98" s="241"/>
      <c r="G98" s="242"/>
      <c r="H98" s="241"/>
      <c r="I98" s="242"/>
      <c r="J98" s="241"/>
    </row>
    <row r="99" spans="1:12" ht="12.75" customHeight="1">
      <c r="A99" s="240"/>
      <c r="B99" s="205"/>
      <c r="C99" s="205"/>
      <c r="D99" s="241"/>
      <c r="E99" s="205"/>
      <c r="F99" s="205"/>
      <c r="G99" s="242"/>
      <c r="H99" s="205"/>
      <c r="I99" s="242"/>
      <c r="J99" s="241"/>
    </row>
    <row r="100" spans="1:12" ht="12.75" customHeight="1">
      <c r="A100" s="245" t="s">
        <v>148</v>
      </c>
      <c r="B100" s="246" t="s">
        <v>1507</v>
      </c>
      <c r="C100" s="246" t="s">
        <v>1508</v>
      </c>
      <c r="D100" s="247" t="s">
        <v>1509</v>
      </c>
      <c r="E100" s="246" t="s">
        <v>1510</v>
      </c>
      <c r="F100" s="205"/>
      <c r="G100" s="242"/>
      <c r="H100" s="205"/>
      <c r="I100" s="242"/>
      <c r="J100" s="241"/>
    </row>
    <row r="101" spans="1:12" ht="12.75" customHeight="1">
      <c r="A101" s="240"/>
      <c r="B101" s="203" t="str">
        <f>IF(G52="","W52",IF(G52&gt;I52,_xlfn.CONCAT("W52-",RIGHT(F52,LEN(F52) - FIND("-",F52))), _xlfn.CONCAT("W52-",RIGHT(H52,LEN(H52) - FIND("-",H52)))))</f>
        <v>W52</v>
      </c>
      <c r="C101" s="203" t="str">
        <f>IF(G54="","W60",IF(G54&gt;I54,_xlfn.CONCAT("W60-",RIGHT(F54,LEN(F54) - FIND("-",F54))), _xlfn.CONCAT("W60-",RIGHT(H54,LEN(H54) - FIND("-",H54)))))</f>
        <v>W60</v>
      </c>
      <c r="D101" s="203" t="str">
        <f>IF(G35="","W55",IF(G35&gt;I35,_xlfn.CONCAT("W55-",RIGHT(F35,LEN(F35) - FIND("-",F35))), _xlfn.CONCAT("W55-",RIGHT(H35,LEN(H35) - FIND("-",H35)))))</f>
        <v>W55</v>
      </c>
      <c r="E101" s="203" t="str">
        <f>IF(G53="","W56",IF(G53&gt;I53,_xlfn.CONCAT("W56-",RIGHT(F53,LEN(F53) - FIND("-",F53))), _xlfn.CONCAT("W56-",RIGHT(H53,LEN(H53) - FIND("-",H53)))))</f>
        <v>W56</v>
      </c>
      <c r="F101" s="205"/>
      <c r="G101" s="242"/>
      <c r="H101" s="205"/>
      <c r="I101" s="242"/>
      <c r="J101" s="241"/>
    </row>
    <row r="102" spans="1:12" ht="12.75" customHeight="1">
      <c r="A102" s="240"/>
      <c r="B102" s="203" t="str">
        <f>IF(G72="","W58",IF(G72&gt;I72,_xlfn.CONCAT("W58-",RIGHT(F72,LEN(F72) - FIND("-",F72))), _xlfn.CONCAT("W58-",RIGHT(H72,LEN(H72) - FIND("-",H72)))))</f>
        <v>W58</v>
      </c>
      <c r="C102" s="203" t="str">
        <f>IF(G71="","W54",IF(G71&gt;I71,_xlfn.CONCAT("W54-",RIGHT(F71,LEN(F71) - FIND("-",F71))), _xlfn.CONCAT("W54-",RIGHT(H71,LEN(H71) - FIND("-",H71)))))</f>
        <v>W54</v>
      </c>
      <c r="D102" s="203" t="str">
        <f>IF(G36="","W59",IF(G36&gt;I36,_xlfn.CONCAT("W59-",RIGHT(F36,LEN(F36) - FIND("-",F36))), _xlfn.CONCAT("W59-",RIGHT(H36,LEN(H36) - FIND("-",H36)))))</f>
        <v>W59</v>
      </c>
      <c r="E102" s="203" t="str">
        <f>IF(G34="","W51",IF(G34&gt;I34,_xlfn.CONCAT("W51-",RIGHT(F34,LEN(F34) - FIND("-",F34))), _xlfn.CONCAT("W51-",RIGHT(H34,LEN(H34) - FIND("-",H34)))))</f>
        <v>W51</v>
      </c>
      <c r="F102" s="205"/>
      <c r="G102" s="242"/>
      <c r="H102" s="205"/>
      <c r="I102" s="242"/>
      <c r="J102" s="241"/>
    </row>
    <row r="103" spans="1:12" ht="12.75" customHeight="1">
      <c r="A103" s="240"/>
      <c r="B103" s="203" t="str">
        <f>IF(G88="","W49",IF(G88&gt;I88,_xlfn.CONCAT("W49-",RIGHT(F88,LEN(F88) - FIND("-",F88))), _xlfn.CONCAT("W49-",RIGHT(H88,LEN(H88) - FIND("-",H88)))))</f>
        <v>W49</v>
      </c>
      <c r="C103" s="203" t="str">
        <f>IF(G70="","W50",IF(G70&gt;I70,_xlfn.CONCAT("W50-",RIGHT(F70,LEN(F70) - FIND("-",F70))), _xlfn.CONCAT("W50-",RIGHT(H70,LEN(H70) - FIND("-",H70)))))</f>
        <v>W50</v>
      </c>
      <c r="D103" s="203" t="str">
        <f>IF(G89="","W53",IF(G89&gt;I89,_xlfn.CONCAT("W53-",RIGHT(F89,LEN(F89) - FIND("-",F89))), _xlfn.CONCAT("W53-",RIGHT(H89,LEN(H89) - FIND("-",H89)))))</f>
        <v>W53</v>
      </c>
      <c r="E103" s="203" t="str">
        <f>IF(G90="","W57",IF(G90&gt;I90,_xlfn.CONCAT("W57-",RIGHT(F90,LEN(F90) - FIND("-",F90))), _xlfn.CONCAT("W57-",RIGHT(H90,LEN(H90) - FIND("-",H90)))))</f>
        <v>W57</v>
      </c>
      <c r="F103" s="205"/>
      <c r="G103" s="242"/>
      <c r="H103" s="205"/>
      <c r="I103" s="242"/>
      <c r="J103" s="241"/>
    </row>
    <row r="104" spans="1:12" ht="12.75" customHeight="1">
      <c r="A104" s="240"/>
      <c r="B104" s="205"/>
      <c r="C104" s="205"/>
      <c r="D104" s="241"/>
      <c r="E104" s="205"/>
      <c r="F104" s="205"/>
      <c r="G104" s="242"/>
      <c r="H104" s="205"/>
      <c r="I104" s="242"/>
      <c r="J104" s="241"/>
    </row>
    <row r="105" spans="1:12" ht="12.75" customHeight="1">
      <c r="A105" s="245" t="s">
        <v>368</v>
      </c>
      <c r="B105" s="278" t="s">
        <v>1511</v>
      </c>
      <c r="C105" s="278" t="s">
        <v>1512</v>
      </c>
      <c r="D105" s="278" t="s">
        <v>1513</v>
      </c>
      <c r="E105" s="278" t="s">
        <v>1514</v>
      </c>
      <c r="F105" s="205"/>
      <c r="G105" s="242"/>
      <c r="H105" s="241"/>
      <c r="I105" s="242"/>
      <c r="J105" s="241"/>
    </row>
    <row r="106" spans="1:12" ht="12.75" customHeight="1">
      <c r="A106" s="240"/>
      <c r="B106" s="203" t="str">
        <f>IF(G89="","L53",IF(G89&lt;I89,_xlfn.CONCAT("L53-",RIGHT(F89,LEN(F89) - FIND("-",F89))), _xlfn.CONCAT("L53-",RIGHT(H89,LEN(H89) - FIND("-",H89)))))</f>
        <v>L53</v>
      </c>
      <c r="C106" s="203" t="str">
        <f>IF(G90="","L57",IF(G90&lt;I90,_xlfn.CONCAT("L57-",RIGHT(F90,LEN(F90) - FIND("-",F90))), _xlfn.CONCAT("L57-",RIGHT(H90,LEN(H90) - FIND("-",H90)))))</f>
        <v>L57</v>
      </c>
      <c r="D106" s="203" t="str">
        <f>IF(G88="","L49",IF(G88&lt;I88,_xlfn.CONCAT("L49-",RIGHT(F88,LEN(F88) - FIND("-",F88))), _xlfn.CONCAT("L49-",RIGHT(H88,LEN(H88) - FIND("-",H88)))))</f>
        <v>L49</v>
      </c>
      <c r="E106" s="203" t="str">
        <f>IF(G70="","L50",IF(G70&lt;I70,_xlfn.CONCAT("L50-",RIGHT(F70,LEN(F70) - FIND("-",F70))), _xlfn.CONCAT("L50-",RIGHT(H70,LEN(H70) - FIND("-",H70)))))</f>
        <v>L50</v>
      </c>
      <c r="F106" s="205"/>
      <c r="G106" s="242"/>
      <c r="H106" s="241"/>
      <c r="I106" s="242"/>
      <c r="J106" s="241"/>
    </row>
    <row r="107" spans="1:12" ht="12.75" customHeight="1">
      <c r="A107" s="240"/>
      <c r="B107" s="203" t="str">
        <f>IF(G36="","L59",IF(G36&lt;I36,_xlfn.CONCAT("L59-",RIGHT(F36,LEN(F36) - FIND("-",F36))), _xlfn.CONCAT("L59-",RIGHT(H36,LEN(H36) - FIND("-",H36)))))</f>
        <v>L59</v>
      </c>
      <c r="C107" s="203" t="str">
        <f>IF(G34="","L51",IF(G34&lt;I34,_xlfn.CONCAT("L51-",RIGHT(F34,LEN(F34) - FIND("-",F34))), _xlfn.CONCAT("L51-",RIGHT(H34,LEN(H34) - FIND("-",H34)))))</f>
        <v>L51</v>
      </c>
      <c r="D107" s="203" t="str">
        <f>IF(G72="","L58",IF(G72&lt;I72,_xlfn.CONCAT("L58-",RIGHT(F72,LEN(F72) - FIND("-",F72))), _xlfn.CONCAT("L58-",RIGHT(H72,LEN(H72) - FIND("-",H72)))))</f>
        <v>L58</v>
      </c>
      <c r="E107" s="203" t="str">
        <f>IF(G71="","L54",IF(G71&lt;I71,_xlfn.CONCAT("L54-",RIGHT(F71,LEN(F71) - FIND("-",F71))), _xlfn.CONCAT("L54-",RIGHT(H71,LEN(H71) - FIND("-",H71)))))</f>
        <v>L54</v>
      </c>
      <c r="F107" s="205"/>
      <c r="G107" s="242"/>
      <c r="H107" s="241"/>
      <c r="I107" s="242"/>
      <c r="J107" s="241"/>
    </row>
    <row r="108" spans="1:12" ht="12.75" customHeight="1">
      <c r="A108" s="240"/>
      <c r="B108" s="203" t="str">
        <f>IF(G35="","L55",IF(G35&lt;I35,_xlfn.CONCAT("L55-",RIGHT(F35,LEN(F35) - FIND("-",F35))), _xlfn.CONCAT("L55-",RIGHT(H35,LEN(H35) - FIND("-",H35)))))</f>
        <v>L55</v>
      </c>
      <c r="C108" s="203" t="str">
        <f>IF(G52="","L52",IF(G52&lt;I52,_xlfn.CONCAT("L52-",RIGHT(F52,LEN(F52) - FIND("-",F52))), _xlfn.CONCAT("L52-",RIGHT(H52,LEN(H52) - FIND("-",H52)))))</f>
        <v>L52</v>
      </c>
      <c r="D108" s="249" t="str">
        <f>IF(G50="","L44",IF(G50&lt;I50,_xlfn.CONCAT("L44-",RIGHT(F50,LEN(F50) - FIND("-",F50))), _xlfn.CONCAT("L44-",RIGHT(H50,LEN(H50) - FIND("-",H50)))))</f>
        <v>L44</v>
      </c>
      <c r="E108" s="203" t="str">
        <f>IF(G54="","L60",IF(G54&lt;I54,_xlfn.CONCAT("L60-",RIGHT(F54,LEN(F54) - FIND("-",F54))), _xlfn.CONCAT("L60-",RIGHT(H54,LEN(H54) - FIND("-",H54)))))</f>
        <v>L60</v>
      </c>
      <c r="F108" s="205"/>
      <c r="G108" s="242"/>
      <c r="H108" s="241"/>
      <c r="I108" s="242"/>
      <c r="J108" s="241"/>
    </row>
    <row r="109" spans="1:12" ht="12.75" customHeight="1">
      <c r="A109" s="240"/>
      <c r="B109" s="203" t="str">
        <f>IF(G82="","L29",IF(G82&lt;I82,_xlfn.CONCAT("L29-",RIGHT(F82,LEN(F82) - FIND("-",F82))), _xlfn.CONCAT("L29-",RIGHT(H82,LEN(H82) - FIND("-",H82)))))</f>
        <v>L29</v>
      </c>
      <c r="C109" s="203" t="str">
        <f>IF(G67="","L34",IF(G67&lt;I67,_xlfn.CONCAT("L34-",RIGHT(F67,LEN(F67) - FIND("-",F67))), _xlfn.CONCAT("L34-",RIGHT(H67,LEN(H67) - FIND("-",H67)))))</f>
        <v>L34</v>
      </c>
      <c r="D109" s="203"/>
      <c r="E109" s="203" t="str">
        <f>IF(G32="","L43",IF(G32&lt;I32,_xlfn.CONCAT("L43-",RIGHT(F32,LEN(F32) - FIND("-",F32))), _xlfn.CONCAT("L43-",RIGHT(H32,LEN(H32) - FIND("-",H32)))))</f>
        <v>L43</v>
      </c>
      <c r="F109" s="205"/>
      <c r="G109" s="242"/>
      <c r="H109" s="205"/>
      <c r="I109" s="242"/>
      <c r="J109" s="241"/>
    </row>
    <row r="110" spans="1:12" ht="12.75" customHeight="1">
      <c r="A110" s="221"/>
      <c r="B110" s="222"/>
      <c r="C110" s="202"/>
      <c r="D110" s="202"/>
      <c r="E110" s="240"/>
      <c r="F110" s="240"/>
      <c r="G110" s="242"/>
      <c r="H110" s="240"/>
      <c r="I110" s="242"/>
      <c r="J110" s="240"/>
      <c r="L110" s="198" t="s">
        <v>516</v>
      </c>
    </row>
    <row r="111" spans="1:12" ht="12.75" customHeight="1" thickBot="1">
      <c r="A111" s="221"/>
      <c r="B111" s="222"/>
      <c r="C111" s="202"/>
      <c r="D111" s="202"/>
      <c r="E111" s="240"/>
      <c r="F111" s="240"/>
      <c r="G111" s="242"/>
      <c r="H111" s="240"/>
      <c r="I111" s="242"/>
      <c r="J111" s="240"/>
      <c r="L111" s="198" t="s">
        <v>517</v>
      </c>
    </row>
    <row r="112" spans="1:12" s="202" customFormat="1" ht="12.75" customHeight="1" thickBot="1">
      <c r="A112" s="221"/>
      <c r="B112" s="222"/>
      <c r="D112" s="212" t="str">
        <f>'CHICLETS MASTER S1'!$Q$27</f>
        <v>ALISO NIGUEL HS</v>
      </c>
      <c r="E112" s="217"/>
      <c r="F112" s="217"/>
      <c r="G112" s="217"/>
      <c r="H112" s="217"/>
      <c r="I112" s="217"/>
      <c r="J112" s="217"/>
      <c r="K112" s="217"/>
      <c r="L112" s="217"/>
    </row>
    <row r="113" spans="1:14" ht="12.75" customHeight="1">
      <c r="A113" s="277" t="s">
        <v>110</v>
      </c>
      <c r="B113" s="277" t="s">
        <v>111</v>
      </c>
      <c r="C113" s="277" t="s">
        <v>112</v>
      </c>
      <c r="D113" s="277" t="s">
        <v>113</v>
      </c>
      <c r="E113" s="277" t="s">
        <v>114</v>
      </c>
      <c r="F113" s="277" t="s">
        <v>115</v>
      </c>
      <c r="G113" s="277" t="s">
        <v>116</v>
      </c>
      <c r="H113" s="277" t="s">
        <v>117</v>
      </c>
      <c r="I113" s="277" t="s">
        <v>116</v>
      </c>
      <c r="J113" s="277" t="s">
        <v>118</v>
      </c>
      <c r="K113" s="277" t="s">
        <v>119</v>
      </c>
      <c r="L113" s="277" t="s">
        <v>120</v>
      </c>
    </row>
    <row r="114" spans="1:14" ht="12.75" customHeight="1">
      <c r="A114" s="250">
        <f>$A$93</f>
        <v>46222</v>
      </c>
      <c r="B114" s="214">
        <f>'CHICLETS MASTER S1'!O28</f>
        <v>0.29166666666666669</v>
      </c>
      <c r="C114" s="251" t="s">
        <v>163</v>
      </c>
      <c r="D114" s="251" t="str">
        <f>$D$112</f>
        <v>ALISO NIGUEL HS</v>
      </c>
      <c r="E114" s="252">
        <v>61</v>
      </c>
      <c r="F114" s="43" t="str">
        <f>IF(G29="","ag_M2",IF(G29&gt;I29,_xlfn.CONCAT("ag_M2-",RIGHT(F29,LEN(F29) - FIND("-",F29))), _xlfn.CONCAT("ag_M2-",RIGHT(H29,LEN(H29) - FIND("-",H29)))))</f>
        <v>ag_M2</v>
      </c>
      <c r="G114" s="22"/>
      <c r="H114" s="43" t="s">
        <v>1515</v>
      </c>
      <c r="I114" s="22"/>
      <c r="J114" s="22"/>
      <c r="K114" s="22"/>
      <c r="L114" s="22" t="str">
        <f>IF(E114="","",$L$19&amp;"-"&amp;TEXT(E114,"000"))</f>
        <v>14GX-061</v>
      </c>
      <c r="N114" s="198" t="str">
        <f>$L$110&amp;C114</f>
        <v>ag_Group</v>
      </c>
    </row>
    <row r="115" spans="1:14" ht="12.75" customHeight="1">
      <c r="A115" s="250">
        <f>$A$93</f>
        <v>46222</v>
      </c>
      <c r="B115" s="214">
        <f>'CHICLETS MASTER S1'!O29</f>
        <v>0.3263888888888889</v>
      </c>
      <c r="C115" s="251" t="s">
        <v>163</v>
      </c>
      <c r="D115" s="251" t="str">
        <f>$D$112</f>
        <v>ALISO NIGUEL HS</v>
      </c>
      <c r="E115" s="251">
        <v>65</v>
      </c>
      <c r="F115" s="95" t="str">
        <f>IF(G89="","bz_M1",IF(G89&lt;I89,_xlfn.CONCAT("bz_M1-",RIGHT(F89,LEN(F89) - FIND("-",F89))), _xlfn.CONCAT("bz_M1-",RIGHT(H89,LEN(H89) - FIND("-",H89)))))</f>
        <v>bz_M1</v>
      </c>
      <c r="G115" s="95"/>
      <c r="H115" s="95" t="str">
        <f>IF(G82="","bz_M4",IF(G82&lt;I82,_xlfn.CONCAT("bz_M4-",RIGHT(F82,LEN(F82) - FIND("-",F82))), _xlfn.CONCAT("bz_M4-",RIGHT(H82,LEN(H82) - FIND("-",H82)))))</f>
        <v>bz_M4</v>
      </c>
      <c r="I115" s="95"/>
      <c r="J115" s="95">
        <v>89</v>
      </c>
      <c r="K115" s="95">
        <v>97</v>
      </c>
      <c r="L115" s="95" t="str">
        <f>IF(E115="","",$L$19&amp;"-"&amp;TEXT(E115,"000"))</f>
        <v>14GX-065</v>
      </c>
      <c r="N115" s="198" t="str">
        <f>$L$111&amp;C115</f>
        <v>bz_Group</v>
      </c>
    </row>
    <row r="116" spans="1:14" ht="12.75" customHeight="1">
      <c r="A116" s="250">
        <f>$A$93</f>
        <v>46222</v>
      </c>
      <c r="B116" s="214">
        <f>'CHICLETS MASTER S1'!O30</f>
        <v>0.36111111111111099</v>
      </c>
      <c r="C116" s="251" t="s">
        <v>163</v>
      </c>
      <c r="D116" s="251" t="str">
        <f>$D$112</f>
        <v>ALISO NIGUEL HS</v>
      </c>
      <c r="E116" s="252">
        <v>69</v>
      </c>
      <c r="F116" s="43" t="str">
        <f>IF(G54="","ag_S1",IF(G54&gt;I54,_xlfn.CONCAT("ag_S1-",RIGHT(F54,LEN(F54) - FIND("-",F54))), _xlfn.CONCAT("ag_S1-",RIGHT(H54,LEN(H54) - FIND("-",H54)))))</f>
        <v>ag_S1</v>
      </c>
      <c r="G116" s="22"/>
      <c r="H116" s="43" t="str">
        <f>IF(G71="","ag_S2",IF(G71&gt;I71,_xlfn.CONCAT("ag_S2-",RIGHT(F71,LEN(F71) - FIND("-",F71))), _xlfn.CONCAT("ag_S2-",RIGHT(H71,LEN(H71) - FIND("-",H71)))))</f>
        <v>ag_S2</v>
      </c>
      <c r="I116" s="65"/>
      <c r="J116" s="22"/>
      <c r="K116" s="22"/>
      <c r="L116" s="22" t="str">
        <f>IF(E116="","",$L$19&amp;"-"&amp;TEXT(E116,"000"))</f>
        <v>14GX-069</v>
      </c>
      <c r="N116" s="198" t="str">
        <f>$L$110&amp;C116</f>
        <v>ag_Group</v>
      </c>
    </row>
    <row r="117" spans="1:14" ht="12.75" customHeight="1">
      <c r="A117" s="250">
        <f>$A$93</f>
        <v>46222</v>
      </c>
      <c r="B117" s="214">
        <f>'CHICLETS MASTER S1'!O31</f>
        <v>0.39583333333333398</v>
      </c>
      <c r="C117" s="251" t="s">
        <v>163</v>
      </c>
      <c r="D117" s="251" t="str">
        <f>$D$112</f>
        <v>ALISO NIGUEL HS</v>
      </c>
      <c r="E117" s="251">
        <v>73</v>
      </c>
      <c r="F117" s="95" t="str">
        <f>IF(G36="","bz_M2",IF(G36&lt;I36,_xlfn.CONCAT("bz_M2-",RIGHT(F36,LEN(F36) - FIND("-",F36))), _xlfn.CONCAT("bz_M2-",RIGHT(H36,LEN(H36) - FIND("-",H36)))))</f>
        <v>bz_M2</v>
      </c>
      <c r="G117" s="95"/>
      <c r="H117" s="95" t="str">
        <f>IF(G35="","bz_M3",IF(G35&lt;I35,_xlfn.CONCAT("bz_M3-",RIGHT(F35,LEN(F35) - FIND("-",F35))), _xlfn.CONCAT("bz_M3-",RIGHT(H35,LEN(H35) - FIND("-",H35)))))</f>
        <v>bz_M3</v>
      </c>
      <c r="I117" s="95"/>
      <c r="J117" s="95">
        <v>89</v>
      </c>
      <c r="K117" s="95">
        <v>97</v>
      </c>
      <c r="L117" s="95" t="str">
        <f>IF(E117="","",$L$19&amp;"-"&amp;TEXT(E117,"000"))</f>
        <v>14GX-073</v>
      </c>
      <c r="N117" s="198" t="str">
        <f>$L$111&amp;C117</f>
        <v>bz_Group</v>
      </c>
    </row>
    <row r="118" spans="1:14" ht="12.75" customHeight="1">
      <c r="A118" s="250">
        <f>$A$93</f>
        <v>46222</v>
      </c>
      <c r="B118" s="214">
        <f>'CHICLETS MASTER S1'!O32</f>
        <v>0.43055555555555602</v>
      </c>
      <c r="C118" s="251" t="s">
        <v>163</v>
      </c>
      <c r="D118" s="251" t="str">
        <f>$D$112</f>
        <v>ALISO NIGUEL HS</v>
      </c>
      <c r="E118" s="252">
        <v>77</v>
      </c>
      <c r="F118" s="43" t="s">
        <v>1516</v>
      </c>
      <c r="G118" s="22"/>
      <c r="H118" s="43" t="s">
        <v>1515</v>
      </c>
      <c r="I118" s="22"/>
      <c r="J118" s="22"/>
      <c r="K118" s="22"/>
      <c r="L118" s="22" t="str">
        <f>IF(E118="","",$L$19&amp;"-"&amp;TEXT(E118,"000"))</f>
        <v>14GX-077</v>
      </c>
      <c r="N118" s="198" t="str">
        <f>$L$110&amp;C118</f>
        <v>ag_Group</v>
      </c>
    </row>
    <row r="119" spans="1:14" ht="12.75" customHeight="1">
      <c r="A119" s="217"/>
      <c r="B119" s="217"/>
      <c r="C119" s="217"/>
      <c r="D119" s="217"/>
      <c r="E119" s="217"/>
      <c r="F119" s="217"/>
      <c r="G119" s="217"/>
      <c r="H119" s="217"/>
      <c r="I119" s="217"/>
      <c r="J119" s="217"/>
      <c r="K119" s="217"/>
      <c r="L119" s="217"/>
    </row>
    <row r="120" spans="1:14" ht="12.75" customHeight="1">
      <c r="A120" s="250">
        <f>$A$93</f>
        <v>46222</v>
      </c>
      <c r="B120" s="214">
        <f>'CHICLETS MASTER S1'!O34</f>
        <v>0.5</v>
      </c>
      <c r="C120" s="251" t="s">
        <v>163</v>
      </c>
      <c r="D120" s="251" t="str">
        <f>$D$112</f>
        <v>ALISO NIGUEL HS</v>
      </c>
      <c r="E120" s="252">
        <v>85</v>
      </c>
      <c r="F120" s="43" t="str">
        <f>IF(G54="","ag_S1",IF(G54&gt;I54,_xlfn.CONCAT("ag_S1-",RIGHT(F54,LEN(F54) - FIND("-",F54))), _xlfn.CONCAT("ag_S1-",RIGHT(H54,LEN(H54) - FIND("-",H54)))))</f>
        <v>ag_S1</v>
      </c>
      <c r="G120" s="22"/>
      <c r="H120" s="43" t="str">
        <f>IF(G70="","ag_S3",IF(G70&gt;I70,_xlfn.CONCAT("ag_S3-",RIGHT(F70,LEN(F70) - FIND("-",F70))), _xlfn.CONCAT("ag_S3-",RIGHT(H70,LEN(H70) - FIND("-",H70)))))</f>
        <v>ag_S3</v>
      </c>
      <c r="I120" s="22"/>
      <c r="J120" s="22"/>
      <c r="K120" s="22"/>
      <c r="L120" s="22" t="str">
        <f>IF(E120="","",$L$19&amp;"-"&amp;TEXT(E120,"000"))</f>
        <v>14GX-085</v>
      </c>
      <c r="N120" s="198" t="str">
        <f>$L$110&amp;C120</f>
        <v>ag_Group</v>
      </c>
    </row>
    <row r="121" spans="1:14" ht="12.75" customHeight="1">
      <c r="A121" s="250">
        <f>$A$93</f>
        <v>46222</v>
      </c>
      <c r="B121" s="214">
        <f>'CHICLETS MASTER S1'!O35</f>
        <v>0.53472222222222199</v>
      </c>
      <c r="C121" s="251" t="s">
        <v>163</v>
      </c>
      <c r="D121" s="251" t="str">
        <f>$D$112</f>
        <v>ALISO NIGUEL HS</v>
      </c>
      <c r="E121" s="251">
        <v>89</v>
      </c>
      <c r="F121" s="95" t="str">
        <f>IF(G115="","W65",IF(G115&gt;I115,_xlfn.CONCAT("W65-",RIGHT(F115,LEN(F115) - FIND("-",F115))), _xlfn.CONCAT("W65-",RIGHT(H115,LEN(H115) - FIND("-",H115)))))</f>
        <v>W65</v>
      </c>
      <c r="G121" s="95"/>
      <c r="H121" s="95" t="str">
        <f>IF(G117="","W73",IF(G117&gt;I117,_xlfn.CONCAT("W73-",RIGHT(F117,LEN(F117) - FIND("-",F117))), _xlfn.CONCAT("W73-",RIGHT(H117,LEN(H117) - FIND("-",H117)))))</f>
        <v>W73</v>
      </c>
      <c r="I121" s="95"/>
      <c r="J121" s="95">
        <v>123</v>
      </c>
      <c r="K121" s="95">
        <v>128</v>
      </c>
      <c r="L121" s="95" t="str">
        <f>IF(E121="","",$L$19&amp;"-"&amp;TEXT(E121,"000"))</f>
        <v>14GX-089</v>
      </c>
      <c r="N121" s="198" t="str">
        <f>$L$111&amp;C121</f>
        <v>bz_Group</v>
      </c>
    </row>
    <row r="122" spans="1:14" ht="12.75" customHeight="1">
      <c r="A122" s="250">
        <f>$A$93</f>
        <v>46222</v>
      </c>
      <c r="B122" s="214">
        <f>'CHICLETS MASTER S1'!O36</f>
        <v>0.56944444444444497</v>
      </c>
      <c r="C122" s="251" t="s">
        <v>163</v>
      </c>
      <c r="D122" s="251" t="str">
        <f>$D$112</f>
        <v>ALISO NIGUEL HS</v>
      </c>
      <c r="E122" s="252">
        <v>93</v>
      </c>
      <c r="F122" s="43" t="s">
        <v>1516</v>
      </c>
      <c r="G122" s="65"/>
      <c r="H122" s="43" t="str">
        <f>IF(G29="","ag_M2",IF(G29&gt;I29,_xlfn.CONCAT("ag_M2-",RIGHT(F29,LEN(F29) - FIND("-",F29))), _xlfn.CONCAT("ag_M2-",RIGHT(H29,LEN(H29) - FIND("-",H29)))))</f>
        <v>ag_M2</v>
      </c>
      <c r="I122" s="65"/>
      <c r="J122" s="22"/>
      <c r="K122" s="22"/>
      <c r="L122" s="22" t="str">
        <f>IF(E122="","",$L$19&amp;"-"&amp;TEXT(E122,"000"))</f>
        <v>14GX-093</v>
      </c>
      <c r="N122" s="198" t="str">
        <f>$L$110&amp;C122</f>
        <v>ag_Group</v>
      </c>
    </row>
    <row r="123" spans="1:14" ht="12.75" customHeight="1">
      <c r="A123" s="250">
        <f>$A$93</f>
        <v>46222</v>
      </c>
      <c r="B123" s="214">
        <f>'CHICLETS MASTER S1'!O37</f>
        <v>0.60416666666666696</v>
      </c>
      <c r="C123" s="251" t="s">
        <v>163</v>
      </c>
      <c r="D123" s="251" t="str">
        <f>$D$112</f>
        <v>ALISO NIGUEL HS</v>
      </c>
      <c r="E123" s="251">
        <v>97</v>
      </c>
      <c r="F123" s="95" t="str">
        <f>IF(G115="","L65",IF(G115&lt;I115,_xlfn.CONCAT("L65-",RIGHT(F115,LEN(F115) - FIND("-",F115))), _xlfn.CONCAT("L65-",RIGHT(H115,LEN(H115) - FIND("-",H115)))))</f>
        <v>L65</v>
      </c>
      <c r="G123" s="95"/>
      <c r="H123" s="95" t="str">
        <f>IF(G117="","L73",IF(G117&lt;I117,_xlfn.CONCAT("L73-",RIGHT(F117,LEN(F117) - FIND("-",F117))), _xlfn.CONCAT("L73-",RIGHT(H117,LEN(H117) - FIND("-",H117)))))</f>
        <v>L73</v>
      </c>
      <c r="I123" s="95"/>
      <c r="J123" s="95">
        <v>127</v>
      </c>
      <c r="K123" s="95" t="s">
        <v>1517</v>
      </c>
      <c r="L123" s="95" t="str">
        <f>IF(E123="","",$L$19&amp;"-"&amp;TEXT(E123,"000"))</f>
        <v>14GX-097</v>
      </c>
      <c r="N123" s="198" t="str">
        <f>$L$111&amp;C123</f>
        <v>bz_Group</v>
      </c>
    </row>
    <row r="124" spans="1:14" ht="12.75" customHeight="1">
      <c r="A124" s="250">
        <f>$A$93</f>
        <v>46222</v>
      </c>
      <c r="B124" s="214">
        <f>'CHICLETS MASTER S1'!O38</f>
        <v>0.63888888888888895</v>
      </c>
      <c r="C124" s="251" t="s">
        <v>163</v>
      </c>
      <c r="D124" s="251" t="str">
        <f>$D$112</f>
        <v>ALISO NIGUEL HS</v>
      </c>
      <c r="E124" s="252">
        <v>101</v>
      </c>
      <c r="F124" s="43" t="str">
        <f>IF(G71="","ag_S2",IF(G71&gt;I71,_xlfn.CONCAT("ag_S2-",RIGHT(F71,LEN(F71) - FIND("-",F71))), _xlfn.CONCAT("ag_S2-",RIGHT(H71,LEN(H71) - FIND("-",H71)))))</f>
        <v>ag_S2</v>
      </c>
      <c r="G124" s="22"/>
      <c r="H124" s="43" t="str">
        <f>IF(G70="","ag_S3",IF(G70&gt;I70,_xlfn.CONCAT("ag_S3-",RIGHT(F70,LEN(F70) - FIND("-",F70))), _xlfn.CONCAT("ag_S3-",RIGHT(H70,LEN(H70) - FIND("-",H70)))))</f>
        <v>ag_S3</v>
      </c>
      <c r="I124" s="22"/>
      <c r="J124" s="22"/>
      <c r="K124" s="22"/>
      <c r="L124" s="22" t="str">
        <f>IF(E124="","",$L$19&amp;"-"&amp;TEXT(E124,"000"))</f>
        <v>14GX-101</v>
      </c>
      <c r="N124" s="198" t="str">
        <f>$L$110&amp;C124</f>
        <v>ag_Group</v>
      </c>
    </row>
    <row r="125" spans="1:14" s="217" customFormat="1" ht="12.75" customHeight="1"/>
    <row r="126" spans="1:14" s="217" customFormat="1" ht="12.75" customHeight="1"/>
    <row r="127" spans="1:14" ht="12.75" customHeight="1">
      <c r="A127" s="250">
        <f>$A$93</f>
        <v>46222</v>
      </c>
      <c r="B127" s="214">
        <f>'CHICLETS MASTER S1'!O41</f>
        <v>0.74305555555555602</v>
      </c>
      <c r="C127" s="252" t="s">
        <v>758</v>
      </c>
      <c r="D127" s="251" t="str">
        <f>$D$112</f>
        <v>ALISO NIGUEL HS</v>
      </c>
      <c r="E127" s="252">
        <v>109</v>
      </c>
      <c r="F127" s="43" t="s">
        <v>1518</v>
      </c>
      <c r="G127" s="22"/>
      <c r="H127" s="43" t="s">
        <v>1519</v>
      </c>
      <c r="I127" s="22"/>
      <c r="J127" s="22">
        <v>130</v>
      </c>
      <c r="K127" s="22">
        <v>134</v>
      </c>
      <c r="L127" s="22" t="str">
        <f>IF(E127="","",$L$19&amp;"-"&amp;TEXT(E127,"000"))</f>
        <v>14GX-109</v>
      </c>
      <c r="N127" s="198" t="str">
        <f>$L$110&amp;C127</f>
        <v>ag_play-in</v>
      </c>
    </row>
    <row r="128" spans="1:14" ht="12.75" customHeight="1" thickBot="1"/>
    <row r="129" spans="1:14" s="202" customFormat="1" ht="12.75" customHeight="1" thickBot="1">
      <c r="A129" s="221"/>
      <c r="B129" s="222"/>
      <c r="D129" s="212" t="str">
        <f>'CHICLETS MASTER S1'!$X$27</f>
        <v>VILLA PARK HS</v>
      </c>
      <c r="E129" s="217"/>
      <c r="F129" s="217"/>
      <c r="G129" s="217"/>
      <c r="H129" s="217"/>
      <c r="I129" s="217"/>
      <c r="J129" s="217"/>
      <c r="K129" s="217"/>
      <c r="L129" s="217"/>
    </row>
    <row r="130" spans="1:14" ht="12.75" customHeight="1">
      <c r="A130" s="277" t="s">
        <v>110</v>
      </c>
      <c r="B130" s="277" t="s">
        <v>111</v>
      </c>
      <c r="C130" s="277" t="s">
        <v>112</v>
      </c>
      <c r="D130" s="277" t="s">
        <v>113</v>
      </c>
      <c r="E130" s="277" t="s">
        <v>114</v>
      </c>
      <c r="F130" s="277" t="s">
        <v>115</v>
      </c>
      <c r="G130" s="277" t="s">
        <v>116</v>
      </c>
      <c r="H130" s="277" t="s">
        <v>117</v>
      </c>
      <c r="I130" s="277" t="s">
        <v>116</v>
      </c>
      <c r="J130" s="277" t="s">
        <v>118</v>
      </c>
      <c r="K130" s="277" t="s">
        <v>119</v>
      </c>
      <c r="L130" s="277" t="s">
        <v>120</v>
      </c>
    </row>
    <row r="131" spans="1:14" ht="12.75" customHeight="1">
      <c r="A131" s="250">
        <f>$A$93</f>
        <v>46222</v>
      </c>
      <c r="B131" s="253">
        <f>'CHICLETS MASTER S1'!O28</f>
        <v>0.29166666666666669</v>
      </c>
      <c r="C131" s="251" t="s">
        <v>163</v>
      </c>
      <c r="D131" s="251" t="str">
        <f>$D$129</f>
        <v>VILLA PARK HS</v>
      </c>
      <c r="E131" s="252">
        <v>62</v>
      </c>
      <c r="F131" s="43" t="s">
        <v>1520</v>
      </c>
      <c r="G131" s="22"/>
      <c r="H131" s="43" t="s">
        <v>1521</v>
      </c>
      <c r="I131" s="22"/>
      <c r="J131" s="22"/>
      <c r="K131" s="22"/>
      <c r="L131" s="22" t="str">
        <f>IF(E131="","",$L$19&amp;"-"&amp;TEXT(E131,"000"))</f>
        <v>14GX-062</v>
      </c>
      <c r="N131" s="198" t="str">
        <f>$L$110&amp;C131</f>
        <v>ag_Group</v>
      </c>
    </row>
    <row r="132" spans="1:14" ht="12.75" customHeight="1">
      <c r="A132" s="250">
        <f>$A$93</f>
        <v>46222</v>
      </c>
      <c r="B132" s="253">
        <f>'CHICLETS MASTER S1'!O29</f>
        <v>0.3263888888888889</v>
      </c>
      <c r="C132" s="251" t="s">
        <v>163</v>
      </c>
      <c r="D132" s="251" t="str">
        <f>$D$129</f>
        <v>VILLA PARK HS</v>
      </c>
      <c r="E132" s="251">
        <v>66</v>
      </c>
      <c r="F132" s="95" t="str">
        <f>IF(G90="","bz_N1",IF(G90&lt;I90,_xlfn.CONCAT("bz_N1-",RIGHT(F90,LEN(F90) - FIND("-",F90))), _xlfn.CONCAT("bz_N1-",RIGHT(H90,LEN(H90) - FIND("-",H90)))))</f>
        <v>bz_N1</v>
      </c>
      <c r="G132" s="95"/>
      <c r="H132" s="95" t="str">
        <f>IF(G67="","bz_N4",IF(G67&lt;I67,_xlfn.CONCAT("bz_N4-",RIGHT(F67,LEN(F67) - FIND("-",F67))), _xlfn.CONCAT("bz_N4-",RIGHT(H67,LEN(H67) - FIND("-",H67)))))</f>
        <v>bz_N4</v>
      </c>
      <c r="I132" s="95"/>
      <c r="J132" s="95">
        <v>90</v>
      </c>
      <c r="K132" s="95">
        <v>98</v>
      </c>
      <c r="L132" s="95" t="str">
        <f>IF(E132="","",$L$19&amp;"-"&amp;TEXT(E132,"000"))</f>
        <v>14GX-066</v>
      </c>
      <c r="N132" s="198" t="str">
        <f>$L$111&amp;C132</f>
        <v>bz_Group</v>
      </c>
    </row>
    <row r="133" spans="1:14" ht="12.75" customHeight="1">
      <c r="A133" s="250">
        <f>$A$93</f>
        <v>46222</v>
      </c>
      <c r="B133" s="253">
        <f>'CHICLETS MASTER S1'!O30</f>
        <v>0.36111111111111099</v>
      </c>
      <c r="C133" s="251" t="s">
        <v>163</v>
      </c>
      <c r="D133" s="251" t="str">
        <f>$D$129</f>
        <v>VILLA PARK HS</v>
      </c>
      <c r="E133" s="252">
        <v>70</v>
      </c>
      <c r="F133" s="43" t="str">
        <f>IF(G52="","ag_R1",IF(G52&gt;I52,_xlfn.CONCAT("ag_R1-",RIGHT(F52,LEN(F52) - FIND("-",F52))), _xlfn.CONCAT("ag_R1-",RIGHT(H52,LEN(H52) - FIND("-",H52)))))</f>
        <v>ag_R1</v>
      </c>
      <c r="G133" s="22"/>
      <c r="H133" s="43" t="str">
        <f>IF(G72="","ag_R2",IF(G72&gt;I72,_xlfn.CONCAT("ag_R2-",RIGHT(F72,LEN(F72) - FIND("-",F72))), _xlfn.CONCAT("ag_R2-",RIGHT(H72,LEN(H72) - FIND("-",H72)))))</f>
        <v>ag_R2</v>
      </c>
      <c r="I133" s="22"/>
      <c r="J133" s="22"/>
      <c r="K133" s="22"/>
      <c r="L133" s="22" t="str">
        <f>IF(E133="","",$L$19&amp;"-"&amp;TEXT(E133,"000"))</f>
        <v>14GX-070</v>
      </c>
      <c r="N133" s="198" t="str">
        <f>$L$110&amp;C133</f>
        <v>ag_Group</v>
      </c>
    </row>
    <row r="134" spans="1:14" ht="12.75" customHeight="1">
      <c r="A134" s="250">
        <f>$A$93</f>
        <v>46222</v>
      </c>
      <c r="B134" s="253">
        <f>'CHICLETS MASTER S1'!O31</f>
        <v>0.39583333333333398</v>
      </c>
      <c r="C134" s="251" t="s">
        <v>163</v>
      </c>
      <c r="D134" s="251" t="str">
        <f>$D$129</f>
        <v>VILLA PARK HS</v>
      </c>
      <c r="E134" s="251">
        <v>74</v>
      </c>
      <c r="F134" s="95" t="str">
        <f>IF(G34="","bz_N2",IF(G34&lt;I34,_xlfn.CONCAT("bz_N2-",RIGHT(F34,LEN(F34) - FIND("-",F34))), _xlfn.CONCAT("bz_N2-",RIGHT(H34,LEN(H34) - FIND("-",H34)))))</f>
        <v>bz_N2</v>
      </c>
      <c r="G134" s="95"/>
      <c r="H134" s="95" t="str">
        <f>IF(G52="","bz_N3",IF(G52&lt;I52,_xlfn.CONCAT("bz_N3-",RIGHT(F52,LEN(F52) - FIND("-",F52))), _xlfn.CONCAT("bz_N3-",RIGHT(H52,LEN(H52) - FIND("-",H52)))))</f>
        <v>bz_N3</v>
      </c>
      <c r="I134" s="95"/>
      <c r="J134" s="95">
        <v>90</v>
      </c>
      <c r="K134" s="95">
        <v>98</v>
      </c>
      <c r="L134" s="95" t="str">
        <f>IF(E134="","",$L$19&amp;"-"&amp;TEXT(E134,"000"))</f>
        <v>14GX-074</v>
      </c>
      <c r="N134" s="198" t="str">
        <f>$L$111&amp;C134</f>
        <v>bz_Group</v>
      </c>
    </row>
    <row r="135" spans="1:14" ht="12.75" customHeight="1">
      <c r="A135" s="250">
        <f>$A$93</f>
        <v>46222</v>
      </c>
      <c r="B135" s="253">
        <f>'CHICLETS MASTER S1'!O32</f>
        <v>0.43055555555555602</v>
      </c>
      <c r="C135" s="251" t="s">
        <v>163</v>
      </c>
      <c r="D135" s="251" t="str">
        <f>$D$129</f>
        <v>VILLA PARK HS</v>
      </c>
      <c r="E135" s="252">
        <v>78</v>
      </c>
      <c r="F135" s="43" t="s">
        <v>1522</v>
      </c>
      <c r="G135" s="22"/>
      <c r="H135" s="43" t="s">
        <v>1521</v>
      </c>
      <c r="I135" s="22"/>
      <c r="J135" s="22"/>
      <c r="K135" s="22"/>
      <c r="L135" s="22" t="str">
        <f>IF(E135="","",$L$19&amp;"-"&amp;TEXT(E135,"000"))</f>
        <v>14GX-078</v>
      </c>
      <c r="N135" s="198" t="str">
        <f>$L$110&amp;C135</f>
        <v>ag_Group</v>
      </c>
    </row>
    <row r="136" spans="1:14" ht="12.75" customHeight="1">
      <c r="A136" s="217"/>
      <c r="B136" s="217"/>
      <c r="C136" s="217"/>
      <c r="D136" s="217"/>
      <c r="E136" s="217"/>
      <c r="F136" s="217"/>
      <c r="G136" s="217"/>
      <c r="H136" s="217"/>
      <c r="I136" s="217"/>
      <c r="J136" s="217"/>
      <c r="K136" s="217"/>
      <c r="L136" s="217"/>
    </row>
    <row r="137" spans="1:14" ht="12.75" customHeight="1">
      <c r="A137" s="250">
        <f>$A$93</f>
        <v>46222</v>
      </c>
      <c r="B137" s="253">
        <f>'CHICLETS MASTER S1'!O34</f>
        <v>0.5</v>
      </c>
      <c r="C137" s="251" t="s">
        <v>163</v>
      </c>
      <c r="D137" s="251" t="str">
        <f>$D$129</f>
        <v>VILLA PARK HS</v>
      </c>
      <c r="E137" s="252">
        <v>86</v>
      </c>
      <c r="F137" s="43" t="str">
        <f>IF(G52="","ag_R1",IF(G52&gt;I52,_xlfn.CONCAT("ag_R1-",RIGHT(F52,LEN(F52) - FIND("-",F52))), _xlfn.CONCAT("ag_R1-",RIGHT(H52,LEN(H52) - FIND("-",H52)))))</f>
        <v>ag_R1</v>
      </c>
      <c r="G137" s="22"/>
      <c r="H137" s="43" t="str">
        <f>IF(G88="","ag_R3",IF(G88&gt;I88,_xlfn.CONCAT("ag_R3-",RIGHT(F88,LEN(F88) - FIND("-",F88))), _xlfn.CONCAT("ag_R3-",RIGHT(H88,LEN(H88) - FIND("-",H88)))))</f>
        <v>ag_R3</v>
      </c>
      <c r="I137" s="22"/>
      <c r="J137" s="22"/>
      <c r="K137" s="22"/>
      <c r="L137" s="22" t="str">
        <f>IF(E137="","",$L$19&amp;"-"&amp;TEXT(E137,"000"))</f>
        <v>14GX-086</v>
      </c>
      <c r="N137" s="198" t="str">
        <f>$L$110&amp;C137</f>
        <v>ag_Group</v>
      </c>
    </row>
    <row r="138" spans="1:14" ht="12.75" customHeight="1">
      <c r="A138" s="250">
        <f>$A$93</f>
        <v>46222</v>
      </c>
      <c r="B138" s="253">
        <f>'CHICLETS MASTER S1'!O35</f>
        <v>0.53472222222222199</v>
      </c>
      <c r="C138" s="251" t="s">
        <v>163</v>
      </c>
      <c r="D138" s="251" t="str">
        <f>$D$129</f>
        <v>VILLA PARK HS</v>
      </c>
      <c r="E138" s="251">
        <v>90</v>
      </c>
      <c r="F138" s="95" t="str">
        <f>IF(G132="","W66",IF(G132&gt;I132,_xlfn.CONCAT("W66-",RIGHT(F132,LEN(F132) - FIND("-",F132))), _xlfn.CONCAT("W66-",RIGHT(H132,LEN(H132) - FIND("-",H132)))))</f>
        <v>W66</v>
      </c>
      <c r="G138" s="95"/>
      <c r="H138" s="95" t="str">
        <f>IF(G134="","W74",IF(G134&gt;I134,_xlfn.CONCAT("W74-",RIGHT(F134,LEN(F134) - FIND("-",F134))), _xlfn.CONCAT("W74-",RIGHT(H134,LEN(H134) - FIND("-",H134)))))</f>
        <v>W74</v>
      </c>
      <c r="I138" s="95"/>
      <c r="J138" s="95">
        <v>124</v>
      </c>
      <c r="K138" s="95">
        <v>127</v>
      </c>
      <c r="L138" s="95" t="str">
        <f>IF(E138="","",$L$19&amp;"-"&amp;TEXT(E138,"000"))</f>
        <v>14GX-090</v>
      </c>
      <c r="N138" s="198" t="str">
        <f>$L$111&amp;C138</f>
        <v>bz_Group</v>
      </c>
    </row>
    <row r="139" spans="1:14" ht="12.75" customHeight="1">
      <c r="A139" s="250">
        <f>$A$93</f>
        <v>46222</v>
      </c>
      <c r="B139" s="253">
        <f>'CHICLETS MASTER S1'!O36</f>
        <v>0.56944444444444497</v>
      </c>
      <c r="C139" s="251" t="s">
        <v>163</v>
      </c>
      <c r="D139" s="251" t="str">
        <f>$D$129</f>
        <v>VILLA PARK HS</v>
      </c>
      <c r="E139" s="252">
        <v>94</v>
      </c>
      <c r="F139" s="43" t="s">
        <v>1522</v>
      </c>
      <c r="G139" s="22"/>
      <c r="H139" s="43" t="s">
        <v>1520</v>
      </c>
      <c r="I139" s="22"/>
      <c r="J139" s="22"/>
      <c r="K139" s="22"/>
      <c r="L139" s="22" t="str">
        <f>IF(E139="","",$L$19&amp;"-"&amp;TEXT(E139,"000"))</f>
        <v>14GX-094</v>
      </c>
      <c r="N139" s="198" t="str">
        <f>$L$110&amp;C139</f>
        <v>ag_Group</v>
      </c>
    </row>
    <row r="140" spans="1:14" ht="12.75" customHeight="1">
      <c r="A140" s="250">
        <f>$A$93</f>
        <v>46222</v>
      </c>
      <c r="B140" s="253">
        <f>'CHICLETS MASTER S1'!O37</f>
        <v>0.60416666666666696</v>
      </c>
      <c r="C140" s="251" t="s">
        <v>163</v>
      </c>
      <c r="D140" s="251" t="str">
        <f>$D$129</f>
        <v>VILLA PARK HS</v>
      </c>
      <c r="E140" s="251">
        <v>98</v>
      </c>
      <c r="F140" s="95" t="str">
        <f>IF(G132="","L66",IF(G132&lt;I132,_xlfn.CONCAT("L66-",RIGHT(F132,LEN(F132) - FIND("-",F132))), _xlfn.CONCAT("L66-",RIGHT(H132,LEN(H132) - FIND("-",H132)))))</f>
        <v>L66</v>
      </c>
      <c r="G140" s="95"/>
      <c r="H140" s="95" t="str">
        <f>IF(G134="","L74",IF(G134&lt;I134,_xlfn.CONCAT("L74-",RIGHT(F134,LEN(F134) - FIND("-",F134))), _xlfn.CONCAT("L74-",RIGHT(H134,LEN(H134) - FIND("-",H134)))))</f>
        <v>L74</v>
      </c>
      <c r="I140" s="95"/>
      <c r="J140" s="95">
        <v>128</v>
      </c>
      <c r="K140" s="95" t="s">
        <v>1523</v>
      </c>
      <c r="L140" s="95" t="str">
        <f>IF(E140="","",$L$19&amp;"-"&amp;TEXT(E140,"000"))</f>
        <v>14GX-098</v>
      </c>
      <c r="N140" s="198" t="str">
        <f>$L$111&amp;C140</f>
        <v>bz_Group</v>
      </c>
    </row>
    <row r="141" spans="1:14" ht="12.75" customHeight="1">
      <c r="A141" s="250">
        <f>$A$93</f>
        <v>46222</v>
      </c>
      <c r="B141" s="253">
        <f>'CHICLETS MASTER S1'!O38</f>
        <v>0.63888888888888895</v>
      </c>
      <c r="C141" s="251" t="s">
        <v>163</v>
      </c>
      <c r="D141" s="251" t="str">
        <f>$D$129</f>
        <v>VILLA PARK HS</v>
      </c>
      <c r="E141" s="252">
        <v>102</v>
      </c>
      <c r="F141" s="43" t="str">
        <f>IF(G72="","ag_R2",IF(G72&gt;I72,_xlfn.CONCAT("ag_R2-",RIGHT(F72,LEN(F72) - FIND("-",F72))), _xlfn.CONCAT("ag_R2-",RIGHT(H72,LEN(H72) - FIND("-",H72)))))</f>
        <v>ag_R2</v>
      </c>
      <c r="G141" s="22"/>
      <c r="H141" s="43" t="str">
        <f>IF(G88="","ag_R3",IF(G88&gt;I88,_xlfn.CONCAT("ag_R3-",RIGHT(F88,LEN(F88) - FIND("-",F88))), _xlfn.CONCAT("ag_R3-",RIGHT(H88,LEN(H88) - FIND("-",H88)))))</f>
        <v>ag_R3</v>
      </c>
      <c r="I141" s="22"/>
      <c r="J141" s="22"/>
      <c r="K141" s="22"/>
      <c r="L141" s="22" t="str">
        <f>IF(E141="","",$L$19&amp;"-"&amp;TEXT(E141,"000"))</f>
        <v>14GX-102</v>
      </c>
      <c r="N141" s="198" t="str">
        <f>$L$110&amp;C141</f>
        <v>ag_Group</v>
      </c>
    </row>
    <row r="142" spans="1:14" ht="12.75" customHeight="1">
      <c r="A142" s="217"/>
      <c r="B142" s="217"/>
      <c r="C142" s="217"/>
      <c r="D142" s="217"/>
      <c r="E142" s="217"/>
      <c r="F142" s="217"/>
      <c r="G142" s="217"/>
      <c r="H142" s="217"/>
      <c r="I142" s="217"/>
      <c r="J142" s="217"/>
      <c r="K142" s="217"/>
      <c r="L142" s="217"/>
    </row>
    <row r="143" spans="1:14" ht="12.75" customHeight="1">
      <c r="A143" s="217"/>
      <c r="B143" s="217"/>
      <c r="C143" s="217"/>
      <c r="D143" s="217"/>
      <c r="E143" s="217"/>
      <c r="F143" s="217"/>
      <c r="G143" s="217"/>
      <c r="H143" s="217"/>
      <c r="I143" s="217"/>
      <c r="J143" s="217"/>
      <c r="K143" s="217"/>
      <c r="L143" s="217"/>
    </row>
    <row r="144" spans="1:14" ht="12.75" customHeight="1">
      <c r="A144" s="250">
        <f>$A$93</f>
        <v>46222</v>
      </c>
      <c r="B144" s="253">
        <f>'CHICLETS MASTER S1'!O41</f>
        <v>0.74305555555555602</v>
      </c>
      <c r="C144" s="252" t="s">
        <v>758</v>
      </c>
      <c r="D144" s="251" t="str">
        <f>$D$129</f>
        <v>VILLA PARK HS</v>
      </c>
      <c r="E144" s="252">
        <v>110</v>
      </c>
      <c r="F144" s="43" t="s">
        <v>1524</v>
      </c>
      <c r="G144" s="22"/>
      <c r="H144" s="43" t="s">
        <v>1525</v>
      </c>
      <c r="I144" s="22"/>
      <c r="J144" s="22">
        <v>129</v>
      </c>
      <c r="K144" s="22">
        <v>133</v>
      </c>
      <c r="L144" s="22" t="str">
        <f>IF(E144="","",$L$19&amp;"-"&amp;TEXT(E144,"000"))</f>
        <v>14GX-110</v>
      </c>
      <c r="N144" s="198" t="str">
        <f>$L$110&amp;C144</f>
        <v>ag_play-in</v>
      </c>
    </row>
    <row r="145" spans="1:14" ht="12.75" customHeight="1" thickBot="1"/>
    <row r="146" spans="1:14" s="202" customFormat="1" ht="12.75" customHeight="1" thickBot="1">
      <c r="A146" s="221"/>
      <c r="B146" s="222"/>
      <c r="D146" s="212" t="str">
        <f>'CHICLETS MASTER S1'!$Y$27</f>
        <v>ORANGE HS</v>
      </c>
      <c r="E146" s="217"/>
      <c r="F146" s="217"/>
      <c r="G146" s="217"/>
      <c r="H146" s="217"/>
      <c r="I146" s="217"/>
      <c r="J146" s="217"/>
      <c r="K146" s="217"/>
      <c r="L146" s="217"/>
    </row>
    <row r="147" spans="1:14" ht="12.75" customHeight="1">
      <c r="A147" s="277" t="s">
        <v>110</v>
      </c>
      <c r="B147" s="277" t="s">
        <v>111</v>
      </c>
      <c r="C147" s="277" t="s">
        <v>112</v>
      </c>
      <c r="D147" s="277" t="s">
        <v>113</v>
      </c>
      <c r="E147" s="277" t="s">
        <v>114</v>
      </c>
      <c r="F147" s="277" t="s">
        <v>115</v>
      </c>
      <c r="G147" s="277" t="s">
        <v>116</v>
      </c>
      <c r="H147" s="277" t="s">
        <v>117</v>
      </c>
      <c r="I147" s="277" t="s">
        <v>116</v>
      </c>
      <c r="J147" s="277" t="s">
        <v>118</v>
      </c>
      <c r="K147" s="277" t="s">
        <v>119</v>
      </c>
      <c r="L147" s="277" t="s">
        <v>120</v>
      </c>
    </row>
    <row r="148" spans="1:14" ht="12.75" customHeight="1">
      <c r="A148" s="250">
        <f>$A$93</f>
        <v>46222</v>
      </c>
      <c r="B148" s="253">
        <f>'CHICLETS MASTER S1'!O28</f>
        <v>0.29166666666666669</v>
      </c>
      <c r="C148" s="251" t="s">
        <v>163</v>
      </c>
      <c r="D148" s="251" t="str">
        <f>$D$146</f>
        <v>ORANGE HS</v>
      </c>
      <c r="E148" s="252">
        <v>63</v>
      </c>
      <c r="F148" s="43" t="str">
        <f>IF(G65="","ag_O2",IF(G65&gt;I65,_xlfn.CONCAT("ag_O2-",RIGHT(F65,LEN(F65) - FIND("-",F65))), _xlfn.CONCAT("ag_O2-",RIGHT(H65,LEN(H65) - FIND("-",H65)))))</f>
        <v>ag_O2</v>
      </c>
      <c r="G148" s="22"/>
      <c r="H148" s="43" t="s">
        <v>1526</v>
      </c>
      <c r="I148" s="22"/>
      <c r="J148" s="22"/>
      <c r="K148" s="22"/>
      <c r="L148" s="22" t="str">
        <f>IF(E148="","",$L$19&amp;"-"&amp;TEXT(E148,"000"))</f>
        <v>14GX-063</v>
      </c>
      <c r="N148" s="198" t="str">
        <f>$L$110&amp;C148</f>
        <v>ag_Group</v>
      </c>
    </row>
    <row r="149" spans="1:14" ht="12.75" customHeight="1">
      <c r="A149" s="250">
        <f>$A$93</f>
        <v>46222</v>
      </c>
      <c r="B149" s="253">
        <f>'CHICLETS MASTER S1'!O29</f>
        <v>0.3263888888888889</v>
      </c>
      <c r="C149" s="251" t="s">
        <v>163</v>
      </c>
      <c r="D149" s="251" t="str">
        <f>$D$146</f>
        <v>ORANGE HS</v>
      </c>
      <c r="E149" s="255">
        <v>67</v>
      </c>
      <c r="F149" s="95" t="str">
        <f>IF(G88="","bz_O1",IF(G88&lt;I88,_xlfn.CONCAT("bz_O1-",RIGHT(F88,LEN(F88) - FIND("-",F88))), _xlfn.CONCAT("bz_O1-",RIGHT(H88,LEN(H88) - FIND("-",H88)))))</f>
        <v>bz_O1</v>
      </c>
      <c r="G149" s="95"/>
      <c r="H149" s="95" t="str">
        <f>IF(G50="","bz_O3",IF(G50&lt;I50,_xlfn.CONCAT("bz_O3-",RIGHT(F50,LEN(F50) - FIND("-",F50))), _xlfn.CONCAT("bz_O3-",RIGHT(H50,LEN(H50) - FIND("-",H50)))))</f>
        <v>bz_O3</v>
      </c>
      <c r="I149" s="95"/>
      <c r="J149" s="95"/>
      <c r="K149" s="95"/>
      <c r="L149" s="95" t="str">
        <f>IF(E149="","",$L$19&amp;"-"&amp;TEXT(E149,"000"))</f>
        <v>14GX-067</v>
      </c>
      <c r="N149" s="198" t="str">
        <f>$L$111&amp;C149</f>
        <v>bz_Group</v>
      </c>
    </row>
    <row r="150" spans="1:14" ht="12.75" customHeight="1">
      <c r="A150" s="250">
        <f>$A$93</f>
        <v>46222</v>
      </c>
      <c r="B150" s="253">
        <f>'CHICLETS MASTER S1'!O30</f>
        <v>0.36111111111111099</v>
      </c>
      <c r="C150" s="251" t="s">
        <v>163</v>
      </c>
      <c r="D150" s="251" t="str">
        <f>$D$146</f>
        <v>ORANGE HS</v>
      </c>
      <c r="E150" s="252">
        <v>71</v>
      </c>
      <c r="F150" s="43" t="str">
        <f>IF(G53="","ag_U1",IF(G53&gt;I53,_xlfn.CONCAT("ag_U1-",RIGHT(F53,LEN(F53) - FIND("-",F53))), _xlfn.CONCAT("ag_U1-",RIGHT(H53,LEN(H53) - FIND("-",H53)))))</f>
        <v>ag_U1</v>
      </c>
      <c r="G150" s="22"/>
      <c r="H150" s="43" t="str">
        <f>IF(G34="","ag_U2",IF(G34&gt;I34,_xlfn.CONCAT("ag_U2-",RIGHT(F34,LEN(F34) - FIND("-",F34))), _xlfn.CONCAT("ag_U2-",RIGHT(H34,LEN(H34) - FIND("-",H34)))))</f>
        <v>ag_U2</v>
      </c>
      <c r="I150" s="22"/>
      <c r="J150" s="22"/>
      <c r="K150" s="22"/>
      <c r="L150" s="22" t="str">
        <f>IF(E150="","",$L$19&amp;"-"&amp;TEXT(E150,"000"))</f>
        <v>14GX-071</v>
      </c>
      <c r="N150" s="198" t="str">
        <f>$L$110&amp;C150</f>
        <v>ag_Group</v>
      </c>
    </row>
    <row r="151" spans="1:14" ht="12.75" customHeight="1">
      <c r="A151" s="250">
        <f>$A$93</f>
        <v>46222</v>
      </c>
      <c r="B151" s="253">
        <f>'CHICLETS MASTER S1'!O31</f>
        <v>0.39583333333333398</v>
      </c>
      <c r="C151" s="251" t="s">
        <v>163</v>
      </c>
      <c r="D151" s="251" t="str">
        <f>$D$146</f>
        <v>ORANGE HS</v>
      </c>
      <c r="E151" s="252">
        <v>79</v>
      </c>
      <c r="F151" s="43" t="str">
        <f>IF(G83="","ag_O1",IF(G83&gt;I83,_xlfn.CONCAT("ag_O1-",RIGHT(F83,LEN(F83) - FIND("-",F83))), _xlfn.CONCAT("ag_O1-",RIGHT(H83,LEN(H83) - FIND("-",H83)))))</f>
        <v>ag_O1</v>
      </c>
      <c r="G151" s="22"/>
      <c r="H151" s="43" t="s">
        <v>1526</v>
      </c>
      <c r="I151" s="22"/>
      <c r="J151" s="22"/>
      <c r="K151" s="22"/>
      <c r="L151" s="22" t="str">
        <f>IF(E151="","",$L$19&amp;"-"&amp;TEXT(E151,"000"))</f>
        <v>14GX-079</v>
      </c>
      <c r="N151" s="198" t="str">
        <f>$L$110&amp;C151</f>
        <v>ag_Group</v>
      </c>
    </row>
    <row r="152" spans="1:14" ht="12.75" customHeight="1">
      <c r="A152" s="250">
        <f>$A$93</f>
        <v>46222</v>
      </c>
      <c r="B152" s="253">
        <f>'CHICLETS MASTER S1'!O32</f>
        <v>0.43055555555555602</v>
      </c>
      <c r="C152" s="251" t="s">
        <v>163</v>
      </c>
      <c r="D152" s="251" t="str">
        <f>$D$146</f>
        <v>ORANGE HS</v>
      </c>
      <c r="E152" s="255">
        <v>75</v>
      </c>
      <c r="F152" s="95" t="str">
        <f>IF(G72="","bz_O2",IF(G72&lt;I72,_xlfn.CONCAT("bz_O2-",RIGHT(F72,LEN(F72) - FIND("-",F72))), _xlfn.CONCAT("bz_O2-",RIGHT(H72,LEN(H72) - FIND("-",H72)))))</f>
        <v>bz_O2</v>
      </c>
      <c r="G152" s="95"/>
      <c r="H152" s="95" t="str">
        <f>IF(G50="","bz_O3",IF(G50&lt;I50,_xlfn.CONCAT("bz_O3-",RIGHT(F50,LEN(F50) - FIND("-",F50))), _xlfn.CONCAT("bz_O3-",RIGHT(H50,LEN(H50) - FIND("-",H50)))))</f>
        <v>bz_O3</v>
      </c>
      <c r="I152" s="95"/>
      <c r="J152" s="95"/>
      <c r="K152" s="95"/>
      <c r="L152" s="95" t="str">
        <f>IF(E152="","",$L$19&amp;"-"&amp;TEXT(E152,"000"))</f>
        <v>14GX-075</v>
      </c>
      <c r="N152" s="198" t="str">
        <f>$L$111&amp;C152</f>
        <v>bz_Group</v>
      </c>
    </row>
    <row r="154" spans="1:14" ht="12.75" customHeight="1">
      <c r="A154" s="250">
        <f>$A$93</f>
        <v>46222</v>
      </c>
      <c r="B154" s="253">
        <f>'CHICLETS MASTER S1'!O34</f>
        <v>0.5</v>
      </c>
      <c r="C154" s="251" t="s">
        <v>163</v>
      </c>
      <c r="D154" s="251" t="str">
        <f>$D$146</f>
        <v>ORANGE HS</v>
      </c>
      <c r="E154" s="252">
        <v>87</v>
      </c>
      <c r="F154" s="43" t="str">
        <f>IF(G53="","ag_U1",IF(G53&gt;I53,_xlfn.CONCAT("ag_U1-",RIGHT(F53,LEN(F53) - FIND("-",F53))), _xlfn.CONCAT("ag_U1-",RIGHT(H53,LEN(H53) - FIND("-",H53)))))</f>
        <v>ag_U1</v>
      </c>
      <c r="G154" s="22"/>
      <c r="H154" s="43" t="str">
        <f>IF(G90="","ag_U3",IF(G90&gt;I90,_xlfn.CONCAT("ag_U3-",RIGHT(F90,LEN(F90) - FIND("-",F90))), _xlfn.CONCAT("ag_U3-",RIGHT(H90,LEN(H90) - FIND("-",H90)))))</f>
        <v>ag_U3</v>
      </c>
      <c r="I154" s="22"/>
      <c r="J154" s="22"/>
      <c r="K154" s="22"/>
      <c r="L154" s="22" t="str">
        <f>IF(E154="","",$L$19&amp;"-"&amp;TEXT(E154,"000"))</f>
        <v>14GX-087</v>
      </c>
      <c r="N154" s="198" t="str">
        <f>$L$110&amp;C154</f>
        <v>ag_Group</v>
      </c>
    </row>
    <row r="155" spans="1:14" ht="12.75" customHeight="1">
      <c r="A155" s="250">
        <f>$A$93</f>
        <v>46222</v>
      </c>
      <c r="B155" s="253">
        <f>'CHICLETS MASTER S1'!O35</f>
        <v>0.53472222222222199</v>
      </c>
      <c r="C155" s="251" t="s">
        <v>163</v>
      </c>
      <c r="D155" s="251" t="str">
        <f>$D$146</f>
        <v>ORANGE HS</v>
      </c>
      <c r="E155" s="252">
        <v>95</v>
      </c>
      <c r="F155" s="43" t="str">
        <f>IF(G83="","ag_O1",IF(G83&gt;I83,_xlfn.CONCAT("ag_O1-",RIGHT(F83,LEN(F83) - FIND("-",F83))), _xlfn.CONCAT("ag_O1-",RIGHT(H83,LEN(H83) - FIND("-",H83)))))</f>
        <v>ag_O1</v>
      </c>
      <c r="G155" s="22"/>
      <c r="H155" s="43" t="str">
        <f>IF(G65="","ag_O2",IF(G65&gt;I65,_xlfn.CONCAT("ag_O2-",RIGHT(F65,LEN(F65) - FIND("-",F65))), _xlfn.CONCAT("ag_O2-",RIGHT(H65,LEN(H65) - FIND("-",H65)))))</f>
        <v>ag_O2</v>
      </c>
      <c r="I155" s="22"/>
      <c r="J155" s="22"/>
      <c r="K155" s="22"/>
      <c r="L155" s="22" t="str">
        <f>IF(E155="","",$L$19&amp;"-"&amp;TEXT(E155,"000"))</f>
        <v>14GX-095</v>
      </c>
      <c r="N155" s="198" t="str">
        <f>$L$110&amp;C155</f>
        <v>ag_Group</v>
      </c>
    </row>
    <row r="156" spans="1:14" ht="12.75" customHeight="1">
      <c r="A156" s="250">
        <f>$A$93</f>
        <v>46222</v>
      </c>
      <c r="B156" s="253">
        <f>'CHICLETS MASTER S1'!O36</f>
        <v>0.56944444444444497</v>
      </c>
      <c r="C156" s="251" t="s">
        <v>163</v>
      </c>
      <c r="D156" s="251" t="str">
        <f>$D$146</f>
        <v>ORANGE HS</v>
      </c>
      <c r="E156" s="255">
        <v>99</v>
      </c>
      <c r="F156" s="95" t="str">
        <f>IF(G88="","bz_O1",IF(G88&lt;I88,_xlfn.CONCAT("bz_O1-",RIGHT(F88,LEN(F88) - FIND("-",F88))), _xlfn.CONCAT("bz_O1-",RIGHT(H88,LEN(H88) - FIND("-",H88)))))</f>
        <v>bz_O1</v>
      </c>
      <c r="G156" s="95"/>
      <c r="H156" s="95" t="str">
        <f>IF(G72="","bz_O2",IF(G72&lt;I72,_xlfn.CONCAT("bz_O2-",RIGHT(F72,LEN(F72) - FIND("-",F72))), _xlfn.CONCAT("bz_O2-",RIGHT(H72,LEN(H72) - FIND("-",H72)))))</f>
        <v>bz_O2</v>
      </c>
      <c r="I156" s="95"/>
      <c r="J156" s="95"/>
      <c r="K156" s="95"/>
      <c r="L156" s="95" t="str">
        <f>IF(E156="","",$L$19&amp;"-"&amp;TEXT(E156,"000"))</f>
        <v>14GX-099</v>
      </c>
      <c r="N156" s="198" t="str">
        <f>$L$111&amp;C156</f>
        <v>bz_Group</v>
      </c>
    </row>
    <row r="157" spans="1:14" ht="12.75" customHeight="1">
      <c r="A157" s="250">
        <f>$A$93</f>
        <v>46222</v>
      </c>
      <c r="B157" s="253">
        <f>'CHICLETS MASTER S1'!O37</f>
        <v>0.60416666666666696</v>
      </c>
      <c r="C157" s="251" t="s">
        <v>163</v>
      </c>
      <c r="D157" s="251" t="str">
        <f>$D$146</f>
        <v>ORANGE HS</v>
      </c>
      <c r="E157" s="252">
        <v>103</v>
      </c>
      <c r="F157" s="43" t="str">
        <f>IF(G34="","ag_U2",IF(G34&gt;I34,_xlfn.CONCAT("ag_U2-",RIGHT(F34,LEN(F34) - FIND("-",F34))), _xlfn.CONCAT("ag_U2-",RIGHT(H34,LEN(H34) - FIND("-",H34)))))</f>
        <v>ag_U2</v>
      </c>
      <c r="G157" s="22"/>
      <c r="H157" s="43" t="str">
        <f>IF(G90="","ag_U3",IF(G90&gt;I90,_xlfn.CONCAT("ag_U3-",RIGHT(F90,LEN(F90) - FIND("-",F90))), _xlfn.CONCAT("ag_U3-",RIGHT(H90,LEN(H90) - FIND("-",H90)))))</f>
        <v>ag_U3</v>
      </c>
      <c r="I157" s="22"/>
      <c r="J157" s="22"/>
      <c r="K157" s="22"/>
      <c r="L157" s="22" t="str">
        <f>IF(E157="","",$L$19&amp;"-"&amp;TEXT(E157,"000"))</f>
        <v>14GX-103</v>
      </c>
      <c r="N157" s="198" t="str">
        <f>$L$110&amp;C157</f>
        <v>ag_Group</v>
      </c>
    </row>
    <row r="160" spans="1:14" ht="12.75" customHeight="1">
      <c r="A160" s="250">
        <f>$A$93</f>
        <v>46222</v>
      </c>
      <c r="B160" s="253">
        <f>'CHICLETS MASTER S1'!O40</f>
        <v>0.70833333333333404</v>
      </c>
      <c r="C160" s="252" t="s">
        <v>758</v>
      </c>
      <c r="D160" s="251" t="str">
        <f>$D$146</f>
        <v>ORANGE HS</v>
      </c>
      <c r="E160" s="252">
        <v>111</v>
      </c>
      <c r="F160" s="43" t="s">
        <v>1527</v>
      </c>
      <c r="G160" s="22"/>
      <c r="H160" s="43" t="s">
        <v>1528</v>
      </c>
      <c r="I160" s="22"/>
      <c r="J160" s="22">
        <v>125</v>
      </c>
      <c r="K160" s="22">
        <v>138</v>
      </c>
      <c r="L160" s="22" t="str">
        <f>IF(E160="","",$L$19&amp;"-"&amp;TEXT(E160,"000"))</f>
        <v>14GX-111</v>
      </c>
      <c r="N160" s="198" t="str">
        <f>$L$110&amp;C160</f>
        <v>ag_play-in</v>
      </c>
    </row>
    <row r="161" spans="1:14" ht="12.75" customHeight="1" thickBot="1"/>
    <row r="162" spans="1:14" s="202" customFormat="1" ht="12.75" customHeight="1" thickBot="1">
      <c r="A162" s="221"/>
      <c r="B162" s="222"/>
      <c r="D162" s="212" t="str">
        <f>'CHICLETS MASTER S1'!$W$27</f>
        <v>BECKMAN HS 1</v>
      </c>
      <c r="E162" s="217"/>
      <c r="F162" s="217"/>
      <c r="G162" s="217"/>
      <c r="H162" s="217"/>
      <c r="I162" s="217"/>
      <c r="J162" s="217"/>
      <c r="K162" s="217"/>
      <c r="L162" s="217"/>
    </row>
    <row r="163" spans="1:14" ht="12.75" customHeight="1">
      <c r="A163" s="277" t="s">
        <v>110</v>
      </c>
      <c r="B163" s="277" t="s">
        <v>111</v>
      </c>
      <c r="C163" s="277" t="s">
        <v>112</v>
      </c>
      <c r="D163" s="277" t="s">
        <v>113</v>
      </c>
      <c r="E163" s="277" t="s">
        <v>114</v>
      </c>
      <c r="F163" s="277" t="s">
        <v>115</v>
      </c>
      <c r="G163" s="277" t="s">
        <v>116</v>
      </c>
      <c r="H163" s="277" t="s">
        <v>117</v>
      </c>
      <c r="I163" s="277" t="s">
        <v>116</v>
      </c>
      <c r="J163" s="277" t="s">
        <v>118</v>
      </c>
      <c r="K163" s="277" t="s">
        <v>119</v>
      </c>
      <c r="L163" s="277" t="s">
        <v>120</v>
      </c>
    </row>
    <row r="164" spans="1:14" ht="12.75" customHeight="1">
      <c r="A164" s="250">
        <f>$A$93</f>
        <v>46222</v>
      </c>
      <c r="B164" s="253">
        <f>'CHICLETS MASTER S1'!O28</f>
        <v>0.29166666666666669</v>
      </c>
      <c r="C164" s="251" t="s">
        <v>163</v>
      </c>
      <c r="D164" s="251" t="str">
        <f>$D$162</f>
        <v>BECKMAN HS 1</v>
      </c>
      <c r="E164" s="252">
        <v>64</v>
      </c>
      <c r="F164" s="43" t="s">
        <v>1529</v>
      </c>
      <c r="G164" s="22"/>
      <c r="H164" s="43" t="str">
        <f>IF(G47="","ag_P3",IF(G47&gt;I47,_xlfn.CONCAT("ag_P3-",RIGHT(F47,LEN(F47) - FIND("-",F47))), _xlfn.CONCAT("ag_P3-",RIGHT(H47,LEN(H47) - FIND("-",H47)))))</f>
        <v>ag_P3</v>
      </c>
      <c r="I164" s="22"/>
      <c r="J164" s="22"/>
      <c r="K164" s="22"/>
      <c r="L164" s="22" t="str">
        <f>IF(E164="","",$L$19&amp;"-"&amp;TEXT(E164,"000"))</f>
        <v>14GX-064</v>
      </c>
      <c r="N164" s="198" t="str">
        <f>$L$110&amp;C164</f>
        <v>ag_Group</v>
      </c>
    </row>
    <row r="165" spans="1:14" ht="12.75" customHeight="1">
      <c r="A165" s="250">
        <f>$A$93</f>
        <v>46222</v>
      </c>
      <c r="B165" s="253">
        <f>'CHICLETS MASTER S1'!O29</f>
        <v>0.3263888888888889</v>
      </c>
      <c r="C165" s="251" t="s">
        <v>163</v>
      </c>
      <c r="D165" s="251" t="str">
        <f>$D$162</f>
        <v>BECKMAN HS 1</v>
      </c>
      <c r="E165" s="251">
        <v>68</v>
      </c>
      <c r="F165" s="95" t="str">
        <f>IF(G70="","bz_P1",IF(G70&lt;I70,_xlfn.CONCAT("bz_P1-",RIGHT(F70,LEN(F70) - FIND("-",F70))), _xlfn.CONCAT("bz_P1-",RIGHT(H70,LEN(H70) - FIND("-",H70)))))</f>
        <v>bz_P1</v>
      </c>
      <c r="G165" s="95"/>
      <c r="H165" s="95" t="str">
        <f>IF(G32="","bz_P4",IF(G32&lt;I32,_xlfn.CONCAT("bz_P4-",RIGHT(F32,LEN(F32) - FIND("-",F32))), _xlfn.CONCAT("bz_P4-",RIGHT(H32,LEN(H32) - FIND("-",H32)))))</f>
        <v>bz_P4</v>
      </c>
      <c r="I165" s="95"/>
      <c r="J165" s="95">
        <v>92</v>
      </c>
      <c r="K165" s="95">
        <v>100</v>
      </c>
      <c r="L165" s="95" t="str">
        <f>IF(E165="","",$L$19&amp;"-"&amp;TEXT(E165,"000"))</f>
        <v>14GX-068</v>
      </c>
      <c r="N165" s="198" t="str">
        <f>$L$111&amp;C165</f>
        <v>bz_Group</v>
      </c>
    </row>
    <row r="166" spans="1:14" ht="12.75" customHeight="1">
      <c r="A166" s="250">
        <f>$A$93</f>
        <v>46222</v>
      </c>
      <c r="B166" s="253">
        <f>'CHICLETS MASTER S1'!O30</f>
        <v>0.36111111111111099</v>
      </c>
      <c r="C166" s="251" t="s">
        <v>163</v>
      </c>
      <c r="D166" s="251" t="str">
        <f>$D$162</f>
        <v>BECKMAN HS 1</v>
      </c>
      <c r="E166" s="252">
        <v>72</v>
      </c>
      <c r="F166" s="43" t="str">
        <f>IF(G35="","ag_T1",IF(G35&gt;I35,_xlfn.CONCAT("ag_T1-",RIGHT(F35,LEN(F35) - FIND("-",F35))), _xlfn.CONCAT("ag_T1-",RIGHT(H35,LEN(H35) - FIND("-",H35)))))</f>
        <v>ag_T1</v>
      </c>
      <c r="G166" s="65"/>
      <c r="H166" s="43" t="str">
        <f>IF(G36="","ag_T2",IF(G36&gt;I36,_xlfn.CONCAT("ag_T2-",RIGHT(F36,LEN(F36) - FIND("-",F36))), _xlfn.CONCAT("ag_T2-",RIGHT(H36,LEN(H36) - FIND("-",H36)))))</f>
        <v>ag_T2</v>
      </c>
      <c r="I166" s="65"/>
      <c r="J166" s="22"/>
      <c r="K166" s="22"/>
      <c r="L166" s="22" t="str">
        <f>IF(E166="","",$L$19&amp;"-"&amp;TEXT(E166,"000"))</f>
        <v>14GX-072</v>
      </c>
      <c r="N166" s="198" t="str">
        <f>$L$110&amp;C166</f>
        <v>ag_Group</v>
      </c>
    </row>
    <row r="167" spans="1:14" ht="12.75" customHeight="1">
      <c r="A167" s="250">
        <f>$A$93</f>
        <v>46222</v>
      </c>
      <c r="B167" s="253">
        <f>'CHICLETS MASTER S1'!O31</f>
        <v>0.39583333333333398</v>
      </c>
      <c r="C167" s="251" t="s">
        <v>163</v>
      </c>
      <c r="D167" s="251" t="str">
        <f>$D$162</f>
        <v>BECKMAN HS 1</v>
      </c>
      <c r="E167" s="251">
        <v>76</v>
      </c>
      <c r="F167" s="95" t="str">
        <f>IF(G71="","bz_P2",IF(G71&lt;I71,_xlfn.CONCAT("bz_P2-",RIGHT(F71,LEN(F71) - FIND("-",F71))), _xlfn.CONCAT("bz_P2-",RIGHT(H71,LEN(H71) - FIND("-",H71)))))</f>
        <v>bz_P2</v>
      </c>
      <c r="G167" s="95"/>
      <c r="H167" s="95" t="str">
        <f>IF(G54="","bz_P3",IF(G54&lt;I54,_xlfn.CONCAT("bz_P3-",RIGHT(F54,LEN(F54) - FIND("-",F54))), _xlfn.CONCAT("bz_P3-",RIGHT(H54,LEN(H54) - FIND("-",H54)))))</f>
        <v>bz_P3</v>
      </c>
      <c r="I167" s="95"/>
      <c r="J167" s="95">
        <v>92</v>
      </c>
      <c r="K167" s="95">
        <v>100</v>
      </c>
      <c r="L167" s="95" t="str">
        <f>IF(E167="","",$L$19&amp;"-"&amp;TEXT(E167,"000"))</f>
        <v>14GX-076</v>
      </c>
      <c r="N167" s="198" t="str">
        <f>$L$111&amp;C167</f>
        <v>bz_Group</v>
      </c>
    </row>
    <row r="168" spans="1:14" ht="12.75" customHeight="1">
      <c r="A168" s="250">
        <f>$A$93</f>
        <v>46222</v>
      </c>
      <c r="B168" s="253">
        <f>'CHICLETS MASTER S1'!O32</f>
        <v>0.43055555555555602</v>
      </c>
      <c r="C168" s="251" t="s">
        <v>163</v>
      </c>
      <c r="D168" s="251" t="str">
        <f>$D$162</f>
        <v>BECKMAN HS 1</v>
      </c>
      <c r="E168" s="252">
        <v>80</v>
      </c>
      <c r="F168" s="43" t="s">
        <v>1530</v>
      </c>
      <c r="G168" s="22"/>
      <c r="H168" s="43" t="str">
        <f>IF(G47="","ag_P3",IF(G47&gt;I47,_xlfn.CONCAT("ag_P3-",RIGHT(F47,LEN(F47) - FIND("-",F47))), _xlfn.CONCAT("ag_P3-",RIGHT(H47,LEN(H47) - FIND("-",H47)))))</f>
        <v>ag_P3</v>
      </c>
      <c r="I168" s="22"/>
      <c r="J168" s="22"/>
      <c r="K168" s="22"/>
      <c r="L168" s="22" t="str">
        <f>IF(E168="","",$L$19&amp;"-"&amp;TEXT(E168,"000"))</f>
        <v>14GX-080</v>
      </c>
      <c r="N168" s="198" t="str">
        <f>$L$110&amp;C168</f>
        <v>ag_Group</v>
      </c>
    </row>
    <row r="169" spans="1:14" s="217" customFormat="1" ht="12.75" customHeight="1"/>
    <row r="170" spans="1:14" ht="12.75" customHeight="1">
      <c r="A170" s="250">
        <f>$A$93</f>
        <v>46222</v>
      </c>
      <c r="B170" s="253">
        <f>'CHICLETS MASTER S1'!O34</f>
        <v>0.5</v>
      </c>
      <c r="C170" s="251" t="s">
        <v>163</v>
      </c>
      <c r="D170" s="251" t="str">
        <f>$D$162</f>
        <v>BECKMAN HS 1</v>
      </c>
      <c r="E170" s="252">
        <v>88</v>
      </c>
      <c r="F170" s="43" t="str">
        <f>IF(G35="","ag_T1",IF(G35&gt;I35,_xlfn.CONCAT("ag_T1-",RIGHT(F35,LEN(F35) - FIND("-",F35))), _xlfn.CONCAT("ag_T1-",RIGHT(H35,LEN(H35) - FIND("-",H35)))))</f>
        <v>ag_T1</v>
      </c>
      <c r="G170" s="22"/>
      <c r="H170" s="43" t="str">
        <f>IF(G89="","ag_T3",IF(G89&gt;I89,_xlfn.CONCAT("ag_T3-",RIGHT(F89,LEN(F89) - FIND("-",F89))), _xlfn.CONCAT("ag_T3-",RIGHT(H89,LEN(H89) - FIND("-",H89)))))</f>
        <v>ag_T3</v>
      </c>
      <c r="I170" s="22"/>
      <c r="J170" s="22"/>
      <c r="K170" s="22"/>
      <c r="L170" s="22" t="str">
        <f>IF(E170="","",$L$19&amp;"-"&amp;TEXT(E170,"000"))</f>
        <v>14GX-088</v>
      </c>
      <c r="N170" s="198" t="str">
        <f>$L$110&amp;C170</f>
        <v>ag_Group</v>
      </c>
    </row>
    <row r="171" spans="1:14" ht="12.75" customHeight="1">
      <c r="A171" s="250">
        <f>$A$93</f>
        <v>46222</v>
      </c>
      <c r="B171" s="253">
        <f>'CHICLETS MASTER S1'!O35</f>
        <v>0.53472222222222199</v>
      </c>
      <c r="C171" s="251" t="s">
        <v>163</v>
      </c>
      <c r="D171" s="251" t="str">
        <f>$D$162</f>
        <v>BECKMAN HS 1</v>
      </c>
      <c r="E171" s="251">
        <v>92</v>
      </c>
      <c r="F171" s="95" t="str">
        <f>IF(G165="","W68",IF(G165&gt;I165,_xlfn.CONCAT("W68-",RIGHT(F165,LEN(F165) - FIND("-",F165))), _xlfn.CONCAT("W68-",RIGHT(H165,LEN(H165) - FIND("-",H165)))))</f>
        <v>W68</v>
      </c>
      <c r="G171" s="95"/>
      <c r="H171" s="95" t="str">
        <f>IF(G167="","W76",IF(G167&gt;I167,_xlfn.CONCAT("W76-",RIGHT(F167,LEN(F167) - FIND("-",F167))), _xlfn.CONCAT("W76-",RIGHT(H167,LEN(H167) - FIND("-",H167)))))</f>
        <v>W76</v>
      </c>
      <c r="I171" s="95"/>
      <c r="J171" s="95">
        <v>123</v>
      </c>
      <c r="K171" s="95">
        <v>132</v>
      </c>
      <c r="L171" s="95" t="str">
        <f>IF(E171="","",$L$19&amp;"-"&amp;TEXT(E171,"000"))</f>
        <v>14GX-092</v>
      </c>
      <c r="N171" s="198" t="str">
        <f>$L$111&amp;C171</f>
        <v>bz_Group</v>
      </c>
    </row>
    <row r="172" spans="1:14" ht="12.75" customHeight="1">
      <c r="A172" s="250">
        <f>$A$93</f>
        <v>46222</v>
      </c>
      <c r="B172" s="253">
        <f>'CHICLETS MASTER S1'!O36</f>
        <v>0.56944444444444497</v>
      </c>
      <c r="C172" s="251" t="s">
        <v>163</v>
      </c>
      <c r="D172" s="251" t="str">
        <f>$D$162</f>
        <v>BECKMAN HS 1</v>
      </c>
      <c r="E172" s="252">
        <v>96</v>
      </c>
      <c r="F172" s="43" t="s">
        <v>1530</v>
      </c>
      <c r="G172" s="22"/>
      <c r="H172" s="43" t="s">
        <v>1529</v>
      </c>
      <c r="I172" s="22"/>
      <c r="J172" s="22"/>
      <c r="K172" s="22"/>
      <c r="L172" s="22" t="str">
        <f>IF(E172="","",$L$19&amp;"-"&amp;TEXT(E172,"000"))</f>
        <v>14GX-096</v>
      </c>
      <c r="N172" s="198" t="str">
        <f>$L$110&amp;C172</f>
        <v>ag_Group</v>
      </c>
    </row>
    <row r="173" spans="1:14" ht="12.75" customHeight="1">
      <c r="A173" s="250">
        <f>$A$93</f>
        <v>46222</v>
      </c>
      <c r="B173" s="253">
        <f>'CHICLETS MASTER S1'!O37</f>
        <v>0.60416666666666696</v>
      </c>
      <c r="C173" s="251" t="s">
        <v>163</v>
      </c>
      <c r="D173" s="251" t="str">
        <f>$D$162</f>
        <v>BECKMAN HS 1</v>
      </c>
      <c r="E173" s="251">
        <v>100</v>
      </c>
      <c r="F173" s="95" t="str">
        <f>IF(G165="","L68",IF(G165&lt;I165,_xlfn.CONCAT("L68-",RIGHT(F165,LEN(F165) - FIND("-",F165))), _xlfn.CONCAT("L68-",RIGHT(H165,LEN(H165) - FIND("-",H165)))))</f>
        <v>L68</v>
      </c>
      <c r="G173" s="95"/>
      <c r="H173" s="95" t="str">
        <f>IF(G167="","L76",IF(G167&lt;I167,_xlfn.CONCAT("L76-",RIGHT(F167,LEN(F167) - FIND("-",F167))), _xlfn.CONCAT("L76-",RIGHT(H167,LEN(H167) - FIND("-",H167)))))</f>
        <v>L76</v>
      </c>
      <c r="I173" s="95"/>
      <c r="J173" s="95">
        <v>131</v>
      </c>
      <c r="K173" s="95" t="s">
        <v>1531</v>
      </c>
      <c r="L173" s="95" t="str">
        <f>IF(E173="","",$L$19&amp;"-"&amp;TEXT(E173,"000"))</f>
        <v>14GX-100</v>
      </c>
      <c r="N173" s="198" t="str">
        <f>$L$111&amp;C173</f>
        <v>bz_Group</v>
      </c>
    </row>
    <row r="174" spans="1:14" ht="12.75" customHeight="1">
      <c r="A174" s="250">
        <f>$A$93</f>
        <v>46222</v>
      </c>
      <c r="B174" s="253">
        <f>'CHICLETS MASTER S1'!O38</f>
        <v>0.63888888888888895</v>
      </c>
      <c r="C174" s="251" t="s">
        <v>163</v>
      </c>
      <c r="D174" s="251" t="str">
        <f>$D$162</f>
        <v>BECKMAN HS 1</v>
      </c>
      <c r="E174" s="252">
        <v>104</v>
      </c>
      <c r="F174" s="43" t="str">
        <f>IF(G36="","ag_T2",IF(G36&gt;I36,_xlfn.CONCAT("ag_T2-",RIGHT(F36,LEN(F36) - FIND("-",F36))), _xlfn.CONCAT("ag_T2-",RIGHT(H36,LEN(H36) - FIND("-",H36)))))</f>
        <v>ag_T2</v>
      </c>
      <c r="G174" s="22"/>
      <c r="H174" s="43" t="str">
        <f>IF(G89="","ag_T3",IF(G89&gt;I89,_xlfn.CONCAT("ag_T3-",RIGHT(F89,LEN(F89) - FIND("-",F89))), _xlfn.CONCAT("ag_T3-",RIGHT(H89,LEN(H89) - FIND("-",H89)))))</f>
        <v>ag_T3</v>
      </c>
      <c r="I174" s="22"/>
      <c r="J174" s="22"/>
      <c r="K174" s="22"/>
      <c r="L174" s="22" t="str">
        <f>IF(E174="","",$L$19&amp;"-"&amp;TEXT(E174,"000"))</f>
        <v>14GX-104</v>
      </c>
      <c r="N174" s="198" t="str">
        <f>$L$110&amp;C174</f>
        <v>ag_Group</v>
      </c>
    </row>
    <row r="177" spans="1:14" ht="12.75" customHeight="1">
      <c r="A177" s="250">
        <f>$A$93</f>
        <v>46222</v>
      </c>
      <c r="B177" s="253">
        <f>'CHICLETS MASTER S1'!O41</f>
        <v>0.74305555555555602</v>
      </c>
      <c r="C177" s="252" t="s">
        <v>758</v>
      </c>
      <c r="D177" s="251" t="str">
        <f>$D$162</f>
        <v>BECKMAN HS 1</v>
      </c>
      <c r="E177" s="252">
        <v>112</v>
      </c>
      <c r="F177" s="239" t="s">
        <v>1532</v>
      </c>
      <c r="G177" s="22"/>
      <c r="H177" s="239" t="s">
        <v>1533</v>
      </c>
      <c r="I177" s="22"/>
      <c r="J177" s="22">
        <v>126</v>
      </c>
      <c r="K177" s="22">
        <v>137</v>
      </c>
      <c r="L177" s="22" t="str">
        <f>IF(E177="","",$L$19&amp;"-"&amp;TEXT(E177,"000"))</f>
        <v>14GX-112</v>
      </c>
      <c r="N177" s="198" t="str">
        <f>$L$110&amp;C177</f>
        <v>ag_play-in</v>
      </c>
    </row>
    <row r="178" spans="1:14" ht="12.75" customHeight="1">
      <c r="A178" s="240"/>
      <c r="B178" s="205"/>
      <c r="C178" s="205"/>
      <c r="D178" s="241"/>
      <c r="E178" s="205"/>
      <c r="F178" s="205"/>
      <c r="G178" s="242"/>
      <c r="H178" s="205"/>
      <c r="I178" s="242"/>
      <c r="J178" s="241"/>
      <c r="K178" s="241"/>
    </row>
    <row r="179" spans="1:14" ht="12.75" customHeight="1">
      <c r="A179" s="256"/>
      <c r="B179" s="256"/>
      <c r="C179" s="256" t="s">
        <v>1534</v>
      </c>
      <c r="D179" s="241"/>
      <c r="E179" s="205"/>
      <c r="F179" s="205"/>
      <c r="G179" s="242"/>
      <c r="H179" s="205"/>
      <c r="I179" s="242"/>
      <c r="J179" s="241"/>
      <c r="K179" s="241"/>
    </row>
    <row r="180" spans="1:14" ht="12.75" customHeight="1">
      <c r="A180" s="205"/>
      <c r="B180" s="205"/>
      <c r="C180" s="248" t="s">
        <v>1535</v>
      </c>
      <c r="D180" s="241"/>
      <c r="E180" s="205"/>
      <c r="F180" s="205"/>
      <c r="G180" s="242"/>
      <c r="H180" s="205"/>
      <c r="I180" s="242"/>
      <c r="J180" s="241"/>
      <c r="K180" s="241"/>
    </row>
    <row r="181" spans="1:14" ht="12.75" customHeight="1">
      <c r="A181" s="205"/>
      <c r="B181" s="205"/>
      <c r="C181" s="257" t="str">
        <f>IF(G123="","L97",IF(G123&lt;I123,_xlfn.CONCAT("L97-",RIGHT(F123,LEN(F123) - FIND("-",F123))), _xlfn.CONCAT("L97-",RIGHT(H123,LEN(H123) - FIND("-",H123)))))</f>
        <v>L97</v>
      </c>
      <c r="D181" s="241"/>
      <c r="E181" s="205"/>
      <c r="F181" s="205"/>
      <c r="G181" s="242"/>
      <c r="H181" s="205"/>
      <c r="I181" s="242"/>
      <c r="J181" s="241"/>
      <c r="K181" s="241"/>
    </row>
    <row r="182" spans="1:14" ht="12.75" customHeight="1">
      <c r="A182" s="205"/>
      <c r="B182" s="205"/>
      <c r="C182" s="257" t="str">
        <f>IF(G140="","L98",IF(G140&lt;I140,_xlfn.CONCAT("L98-",RIGHT(F140,LEN(F140) - FIND("-",F140))), _xlfn.CONCAT("L98-",RIGHT(H140,LEN(H140) - FIND("-",H140)))))</f>
        <v>L98</v>
      </c>
      <c r="D182" s="241"/>
      <c r="E182" s="205"/>
      <c r="F182" s="205"/>
      <c r="G182" s="242"/>
      <c r="H182" s="205"/>
      <c r="I182" s="242"/>
      <c r="J182" s="241"/>
      <c r="K182" s="241"/>
    </row>
    <row r="183" spans="1:14" ht="12.75" customHeight="1">
      <c r="A183" s="205"/>
      <c r="B183" s="205"/>
      <c r="C183" s="257" t="str">
        <f>IF(G173="","L100",IF(G173&lt;I173,_xlfn.CONCAT("L100-",RIGHT(F173,LEN(F173) - FIND("-",F173))), _xlfn.CONCAT("L100-",RIGHT(H173,LEN(H173) - FIND("-",H173)))))</f>
        <v>L100</v>
      </c>
      <c r="D183" s="241" t="s">
        <v>1536</v>
      </c>
      <c r="E183" s="205"/>
      <c r="F183" s="205"/>
      <c r="G183" s="242"/>
      <c r="H183" s="205"/>
      <c r="I183" s="242"/>
      <c r="J183" s="241"/>
      <c r="K183" s="241"/>
    </row>
    <row r="184" spans="1:14" ht="12.75" customHeight="1">
      <c r="A184" s="205"/>
      <c r="B184" s="205"/>
      <c r="D184" s="241"/>
      <c r="E184" s="205"/>
      <c r="F184" s="205"/>
      <c r="G184" s="242"/>
      <c r="H184" s="205"/>
      <c r="I184" s="242"/>
      <c r="J184" s="241"/>
      <c r="K184" s="241"/>
    </row>
    <row r="185" spans="1:14" ht="12.75" customHeight="1" thickBot="1">
      <c r="A185" s="240"/>
      <c r="B185" s="205"/>
      <c r="C185" s="205"/>
      <c r="D185" s="241"/>
      <c r="E185" s="205"/>
      <c r="F185" s="205"/>
      <c r="G185" s="242"/>
      <c r="H185" s="205"/>
      <c r="I185" s="242"/>
      <c r="J185" s="241"/>
      <c r="K185" s="241"/>
      <c r="L185" s="241"/>
    </row>
    <row r="186" spans="1:14" s="205" customFormat="1" ht="12.75" customHeight="1" thickTop="1" thickBot="1">
      <c r="A186" s="244" t="s">
        <v>188</v>
      </c>
      <c r="B186" s="209"/>
      <c r="C186" s="209"/>
      <c r="D186" s="207"/>
      <c r="E186" s="209"/>
      <c r="F186" s="209"/>
      <c r="G186" s="208"/>
      <c r="H186" s="209"/>
      <c r="I186" s="208"/>
      <c r="J186" s="209"/>
      <c r="K186" s="209"/>
      <c r="L186" s="209"/>
    </row>
    <row r="187" spans="1:14" s="205" customFormat="1" ht="12.75" customHeight="1" thickBot="1">
      <c r="A187" s="211">
        <v>46223</v>
      </c>
      <c r="B187" s="205" t="s">
        <v>1537</v>
      </c>
      <c r="G187" s="242"/>
      <c r="I187" s="242"/>
    </row>
    <row r="188" spans="1:14" s="202" customFormat="1" ht="12.75" customHeight="1" thickBot="1">
      <c r="A188" s="221"/>
      <c r="B188" s="222"/>
      <c r="D188" s="212" t="str">
        <f>'CHICLETS MASTER S1'!$AD$51</f>
        <v>BUENA PARK HS</v>
      </c>
      <c r="F188" s="217"/>
      <c r="G188" s="217"/>
      <c r="H188" s="217"/>
      <c r="I188" s="217"/>
      <c r="J188" s="217"/>
      <c r="K188" s="217"/>
      <c r="L188" s="217"/>
    </row>
    <row r="189" spans="1:14" ht="12.75" customHeight="1">
      <c r="A189" s="277" t="s">
        <v>110</v>
      </c>
      <c r="B189" s="277" t="s">
        <v>111</v>
      </c>
      <c r="C189" s="277" t="s">
        <v>112</v>
      </c>
      <c r="D189" s="277" t="s">
        <v>113</v>
      </c>
      <c r="E189" s="277" t="s">
        <v>114</v>
      </c>
      <c r="F189" s="277" t="s">
        <v>115</v>
      </c>
      <c r="G189" s="277" t="s">
        <v>116</v>
      </c>
      <c r="H189" s="277" t="s">
        <v>117</v>
      </c>
      <c r="I189" s="277" t="s">
        <v>116</v>
      </c>
      <c r="J189" s="277" t="s">
        <v>118</v>
      </c>
      <c r="K189" s="277" t="s">
        <v>119</v>
      </c>
      <c r="L189" s="277" t="s">
        <v>120</v>
      </c>
    </row>
    <row r="190" spans="1:14" ht="12.75" customHeight="1">
      <c r="A190" s="250">
        <f t="shared" ref="A190:A237" si="12">$A$187</f>
        <v>46223</v>
      </c>
      <c r="B190" s="253">
        <f>'CHICLETS MASTER S1'!Z53</f>
        <v>0.33333333333333331</v>
      </c>
      <c r="C190" s="8" t="s">
        <v>194</v>
      </c>
      <c r="D190" s="251" t="str">
        <f t="shared" ref="D190:D199" si="13">$D$188</f>
        <v>BUENA PARK HS</v>
      </c>
      <c r="E190" s="252">
        <v>122</v>
      </c>
      <c r="F190" s="43" t="s">
        <v>1538</v>
      </c>
      <c r="G190" s="22"/>
      <c r="H190" s="43" t="s">
        <v>1539</v>
      </c>
      <c r="I190" s="22"/>
      <c r="J190" s="22">
        <v>173</v>
      </c>
      <c r="K190" s="22">
        <v>162</v>
      </c>
      <c r="L190" s="22" t="str">
        <f t="shared" ref="L190:L199" si="14">IF(E190="","",$L$19&amp;"-"&amp;TEXT(E190,"000"))</f>
        <v>14GX-122</v>
      </c>
      <c r="N190" s="198" t="str">
        <f>$L$110&amp;C190</f>
        <v>ag_1-2 v 3-4</v>
      </c>
    </row>
    <row r="191" spans="1:14" ht="12.75" customHeight="1">
      <c r="A191" s="250">
        <f t="shared" ref="A191:A211" si="15">$A$187</f>
        <v>46223</v>
      </c>
      <c r="B191" s="253">
        <f>'CHICLETS MASTER S1'!Z54</f>
        <v>0.375</v>
      </c>
      <c r="C191" s="258" t="s">
        <v>1540</v>
      </c>
      <c r="D191" s="251" t="str">
        <f t="shared" si="13"/>
        <v>BUENA PARK HS</v>
      </c>
      <c r="E191" s="255">
        <v>119</v>
      </c>
      <c r="F191" s="95" t="str">
        <f>IF(G123="","bz_X1",IF(G123&lt;I123,_xlfn.CONCAT("bz_X1-",RIGHT(F123,LEN(F123) - FIND("-",F123))), _xlfn.CONCAT("bz_X1-",RIGHT(H123,LEN(H123) - FIND("-",H123)))))</f>
        <v>bz_X1</v>
      </c>
      <c r="G191" s="95"/>
      <c r="H191" s="95" t="str">
        <f>IF(G140="","bz_X2",IF(G140&lt;I140,_xlfn.CONCAT("bz_X2-",RIGHT(F140,LEN(F140) - FIND("-",F140))), _xlfn.CONCAT("bz_X2-",RIGHT(H140,LEN(H140) - FIND("-",H140)))))</f>
        <v>bz_X2</v>
      </c>
      <c r="I191" s="95"/>
      <c r="J191" s="95"/>
      <c r="K191" s="95"/>
      <c r="L191" s="95" t="str">
        <f t="shared" si="14"/>
        <v>14GX-119</v>
      </c>
      <c r="N191" s="198" t="str">
        <f t="shared" ref="N191:N199" si="16">$L$111&amp;C191</f>
        <v>bz_13-15 RR</v>
      </c>
    </row>
    <row r="192" spans="1:14" ht="12.75" customHeight="1">
      <c r="A192" s="250">
        <f t="shared" si="15"/>
        <v>46223</v>
      </c>
      <c r="B192" s="253">
        <f>'CHICLETS MASTER S1'!Z55</f>
        <v>0.41666666666666702</v>
      </c>
      <c r="C192" s="8" t="s">
        <v>189</v>
      </c>
      <c r="D192" s="251" t="str">
        <f t="shared" si="13"/>
        <v>BUENA PARK HS</v>
      </c>
      <c r="E192" s="251">
        <v>127</v>
      </c>
      <c r="F192" s="95" t="str">
        <f>IF(G138="","L90",IF(G138&lt;I138,_xlfn.CONCAT("L90-",RIGHT(F138,LEN(F138) - FIND("-",F138))), _xlfn.CONCAT("L90-",RIGHT(H138,LEN(H138) - FIND("-",H138)))))</f>
        <v>L90</v>
      </c>
      <c r="G192" s="95"/>
      <c r="H192" s="95" t="str">
        <f>IF(G123="","W97",IF(G123&gt;I123,_xlfn.CONCAT("W97-",RIGHT(F123,LEN(F123) - FIND("-",F123))), _xlfn.CONCAT("W97-",RIGHT(H123,LEN(H123) - FIND("-",H123)))))</f>
        <v>W97</v>
      </c>
      <c r="I192" s="95"/>
      <c r="J192" s="95">
        <v>147</v>
      </c>
      <c r="K192" s="95">
        <v>151</v>
      </c>
      <c r="L192" s="95" t="str">
        <f t="shared" si="14"/>
        <v>14GX-127</v>
      </c>
      <c r="N192" s="198" t="str">
        <f t="shared" si="16"/>
        <v>bz_5-8 v 9-12</v>
      </c>
    </row>
    <row r="193" spans="1:14" ht="12.75" customHeight="1">
      <c r="A193" s="250">
        <f>$A$187</f>
        <v>46223</v>
      </c>
      <c r="B193" s="253">
        <f>'CHICLETS MASTER S1'!Z56</f>
        <v>0.45833333333333298</v>
      </c>
      <c r="C193" s="8" t="s">
        <v>189</v>
      </c>
      <c r="D193" s="251" t="str">
        <f t="shared" si="13"/>
        <v>BUENA PARK HS</v>
      </c>
      <c r="E193" s="251">
        <v>128</v>
      </c>
      <c r="F193" s="95" t="str">
        <f>IF(G140="","W98",IF(G140&gt;I140,_xlfn.CONCAT("W98-",RIGHT(F140,LEN(F140) - FIND("-",F140))), _xlfn.CONCAT("W98-",RIGHT(H140,LEN(H140) - FIND("-",H140)))))</f>
        <v>W98</v>
      </c>
      <c r="G193" s="95"/>
      <c r="H193" s="95" t="str">
        <f>IF(G121="","L89",IF(G121&lt;I121,_xlfn.CONCAT("L89-",RIGHT(F121,LEN(F121) - FIND("-",F121))), _xlfn.CONCAT("L89-",RIGHT(H121,LEN(H121) - FIND("-",H121)))))</f>
        <v>L89</v>
      </c>
      <c r="I193" s="95"/>
      <c r="J193" s="95">
        <v>148</v>
      </c>
      <c r="K193" s="95">
        <v>152</v>
      </c>
      <c r="L193" s="95" t="str">
        <f t="shared" si="14"/>
        <v>14GX-128</v>
      </c>
      <c r="N193" s="198" t="str">
        <f t="shared" si="16"/>
        <v>bz_5-8 v 9-12</v>
      </c>
    </row>
    <row r="194" spans="1:14" ht="12.75" customHeight="1">
      <c r="A194" s="250">
        <f t="shared" ref="A194:A225" si="17">$A$187</f>
        <v>46223</v>
      </c>
      <c r="B194" s="253">
        <f>'CHICLETS MASTER S1'!Z57</f>
        <v>0.5</v>
      </c>
      <c r="C194" s="252" t="s">
        <v>383</v>
      </c>
      <c r="D194" s="251" t="str">
        <f t="shared" si="13"/>
        <v>BUENA PARK HS</v>
      </c>
      <c r="E194" s="252">
        <v>117</v>
      </c>
      <c r="F194" s="43" t="s">
        <v>1541</v>
      </c>
      <c r="G194" s="22"/>
      <c r="H194" s="43" t="s">
        <v>1542</v>
      </c>
      <c r="I194" s="22"/>
      <c r="J194" s="22"/>
      <c r="K194" s="22"/>
      <c r="L194" s="22" t="str">
        <f t="shared" si="14"/>
        <v>14GX-117</v>
      </c>
      <c r="N194" s="198" t="str">
        <f>$L$110&amp;C194</f>
        <v>ag_21-24 RR</v>
      </c>
    </row>
    <row r="195" spans="1:14" ht="12.75" customHeight="1">
      <c r="A195" s="250">
        <f t="shared" si="15"/>
        <v>46223</v>
      </c>
      <c r="B195" s="253">
        <f>'CHICLETS MASTER S1'!Z58</f>
        <v>0.54166666666666696</v>
      </c>
      <c r="C195" s="8" t="s">
        <v>194</v>
      </c>
      <c r="D195" s="251" t="str">
        <f t="shared" si="13"/>
        <v>BUENA PARK HS</v>
      </c>
      <c r="E195" s="251">
        <v>123</v>
      </c>
      <c r="F195" s="95" t="str">
        <f>IF(G121="","W89",IF(G121&gt;I121,_xlfn.CONCAT("W89-",RIGHT(F121,LEN(F121) - FIND("-",F121))), _xlfn.CONCAT("W89-",RIGHT(H121,LEN(H121) - FIND("-",H121)))))</f>
        <v>W89</v>
      </c>
      <c r="G195" s="279"/>
      <c r="H195" s="95" t="str">
        <f>IF(G171="","W92",IF(G171&gt;I171,_xlfn.CONCAT("W92-",RIGHT(F171,LEN(F171) - FIND("-",F171))), _xlfn.CONCAT("W92-",RIGHT(H171,LEN(H171) - FIND("-",H171)))))</f>
        <v>W92</v>
      </c>
      <c r="I195" s="95"/>
      <c r="J195" s="95">
        <v>172</v>
      </c>
      <c r="K195" s="95">
        <v>163</v>
      </c>
      <c r="L195" s="95" t="str">
        <f t="shared" si="14"/>
        <v>14GX-123</v>
      </c>
      <c r="N195" s="198" t="str">
        <f t="shared" si="16"/>
        <v>bz_1-2 v 3-4</v>
      </c>
    </row>
    <row r="196" spans="1:14" ht="12.75" customHeight="1">
      <c r="A196" s="250">
        <f t="shared" si="15"/>
        <v>46223</v>
      </c>
      <c r="B196" s="253">
        <f>'CHICLETS MASTER S1'!Z59</f>
        <v>0.58333333333333304</v>
      </c>
      <c r="C196" s="8" t="s">
        <v>194</v>
      </c>
      <c r="D196" s="251" t="str">
        <f t="shared" si="13"/>
        <v>BUENA PARK HS</v>
      </c>
      <c r="E196" s="251">
        <v>124</v>
      </c>
      <c r="F196" s="95" t="str">
        <f>IF(G138="","W90",IF(G138&gt;I138,_xlfn.CONCAT("W90-",RIGHT(F138,LEN(F138) - FIND("-",F138))), _xlfn.CONCAT("W90-",RIGHT(H138,LEN(H138) - FIND("-",H138)))))</f>
        <v>W90</v>
      </c>
      <c r="G196" s="95"/>
      <c r="H196" s="95" t="s">
        <v>1543</v>
      </c>
      <c r="I196" s="95"/>
      <c r="J196" s="95">
        <v>171</v>
      </c>
      <c r="K196" s="95">
        <v>164</v>
      </c>
      <c r="L196" s="95" t="str">
        <f t="shared" si="14"/>
        <v>14GX-124</v>
      </c>
      <c r="N196" s="198" t="str">
        <f t="shared" si="16"/>
        <v>bz_1-2 v 3-4</v>
      </c>
    </row>
    <row r="197" spans="1:14" s="217" customFormat="1" ht="12.75" customHeight="1">
      <c r="A197" s="250">
        <f t="shared" si="15"/>
        <v>46223</v>
      </c>
      <c r="B197" s="253">
        <f>'CHICLETS MASTER S1'!Z60</f>
        <v>0.625</v>
      </c>
      <c r="C197" s="251" t="s">
        <v>1544</v>
      </c>
      <c r="D197" s="251" t="str">
        <f t="shared" si="13"/>
        <v>BUENA PARK HS</v>
      </c>
      <c r="E197" s="217">
        <v>147</v>
      </c>
      <c r="F197" s="95" t="str">
        <f>IF(G192="","W127",IF(G192&gt;I192,_xlfn.CONCAT("W127-",RIGHT(F192,LEN(F192) - FIND("-",F192))), _xlfn.CONCAT("W127-",RIGHT(H192,LEN(H192) - FIND("-",H192)))))</f>
        <v>W127</v>
      </c>
      <c r="G197" s="95"/>
      <c r="H197" s="95" t="str">
        <f>IF(G204="","W131",IF(G204&gt;I204,_xlfn.CONCAT("W131-",RIGHT(F204,LEN(F204) - FIND("-",F204))), _xlfn.CONCAT("W131-",RIGHT(H204,LEN(H204) - FIND("-",H204)))))</f>
        <v>W131</v>
      </c>
      <c r="I197" s="95"/>
      <c r="J197" s="95">
        <v>163</v>
      </c>
      <c r="K197" s="95">
        <v>188</v>
      </c>
      <c r="L197" s="95" t="str">
        <f t="shared" si="14"/>
        <v>14GX-147</v>
      </c>
      <c r="N197" s="198" t="str">
        <f t="shared" si="16"/>
        <v>bz_5-6 vs 7-8</v>
      </c>
    </row>
    <row r="198" spans="1:14" ht="12.75" customHeight="1">
      <c r="A198" s="250">
        <f t="shared" si="15"/>
        <v>46223</v>
      </c>
      <c r="B198" s="253">
        <f>'CHICLETS MASTER S1'!Z61</f>
        <v>0.66666666666666696</v>
      </c>
      <c r="C198" s="251" t="s">
        <v>200</v>
      </c>
      <c r="D198" s="251" t="str">
        <f t="shared" si="13"/>
        <v>BUENA PARK HS</v>
      </c>
      <c r="E198" s="251">
        <v>151</v>
      </c>
      <c r="F198" s="95" t="str">
        <f>IF(G204="","L131",IF(G204&lt;I204,_xlfn.CONCAT("L131-",RIGHT(F204,LEN(F204) - FIND("-",F204))), _xlfn.CONCAT("L131-",RIGHT(H204,LEN(H204) - FIND("-",H204)))))</f>
        <v>L131</v>
      </c>
      <c r="G198" s="95"/>
      <c r="H198" s="95" t="str">
        <f>IF(G192="","L127",IF(G192&lt;I192,_xlfn.CONCAT("L127-",RIGHT(F192,LEN(F192) - FIND("-",F192))), _xlfn.CONCAT("L127-",RIGHT(H192,LEN(H192) - FIND("-",H192)))))</f>
        <v>L127</v>
      </c>
      <c r="I198" s="95"/>
      <c r="J198" s="95">
        <v>183</v>
      </c>
      <c r="K198" s="95">
        <v>184</v>
      </c>
      <c r="L198" s="95" t="str">
        <f t="shared" si="14"/>
        <v>14GX-151</v>
      </c>
      <c r="N198" s="198" t="str">
        <f t="shared" si="16"/>
        <v>bz_9-12 semi</v>
      </c>
    </row>
    <row r="199" spans="1:14" ht="12.75" customHeight="1">
      <c r="A199" s="250">
        <f t="shared" si="15"/>
        <v>46223</v>
      </c>
      <c r="B199" s="253">
        <f>'CHICLETS MASTER S1'!Z62</f>
        <v>0.70833333333333304</v>
      </c>
      <c r="C199" s="251" t="s">
        <v>201</v>
      </c>
      <c r="D199" s="251" t="str">
        <f t="shared" si="13"/>
        <v>BUENA PARK HS</v>
      </c>
      <c r="E199" s="251">
        <v>164</v>
      </c>
      <c r="F199" s="95" t="str">
        <f>IF(G196="","L124",IF(G196&lt;I196,_xlfn.CONCAT("L124-",RIGHT(F196,LEN(F196) - FIND("-",F196))), _xlfn.CONCAT("L124-",RIGHT(H196,LEN(H196) - FIND("-",H196)))))</f>
        <v>L124</v>
      </c>
      <c r="G199" s="95"/>
      <c r="H199" s="95" t="str">
        <f>IF(G209="","W148",IF(G209&gt;I209,_xlfn.CONCAT("W148-",RIGHT(F209,LEN(F209) - FIND("-",F209))), _xlfn.CONCAT("W148-",RIGHT(H209,LEN(H209) - FIND("-",H209)))))</f>
        <v>W148</v>
      </c>
      <c r="I199" s="95"/>
      <c r="J199" s="95">
        <v>172</v>
      </c>
      <c r="K199" s="95">
        <v>187</v>
      </c>
      <c r="L199" s="95" t="str">
        <f t="shared" si="14"/>
        <v>14GX-164</v>
      </c>
      <c r="N199" s="198" t="str">
        <f t="shared" si="16"/>
        <v>bz_play to semi</v>
      </c>
    </row>
    <row r="200" spans="1:14" s="205" customFormat="1" ht="12.75" customHeight="1" thickBot="1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</row>
    <row r="201" spans="1:14" s="202" customFormat="1" ht="12.75" customHeight="1" thickBot="1">
      <c r="A201" s="259"/>
      <c r="B201" s="260"/>
      <c r="D201" s="212" t="str">
        <f>'CHICLETS MASTER S1'!$X$51</f>
        <v>VILLA PARK HS</v>
      </c>
      <c r="E201" s="243"/>
      <c r="F201" s="243"/>
      <c r="G201" s="243"/>
      <c r="H201" s="243"/>
      <c r="I201" s="243"/>
      <c r="J201" s="243"/>
      <c r="K201" s="243"/>
      <c r="L201" s="243"/>
    </row>
    <row r="202" spans="1:14" ht="12.75" customHeight="1">
      <c r="A202" s="277" t="s">
        <v>110</v>
      </c>
      <c r="B202" s="277" t="s">
        <v>111</v>
      </c>
      <c r="C202" s="277" t="s">
        <v>112</v>
      </c>
      <c r="D202" s="277" t="s">
        <v>113</v>
      </c>
      <c r="E202" s="277" t="s">
        <v>114</v>
      </c>
      <c r="F202" s="277" t="s">
        <v>115</v>
      </c>
      <c r="G202" s="277" t="s">
        <v>116</v>
      </c>
      <c r="H202" s="277" t="s">
        <v>117</v>
      </c>
      <c r="I202" s="277" t="s">
        <v>116</v>
      </c>
      <c r="J202" s="277" t="s">
        <v>118</v>
      </c>
      <c r="K202" s="277" t="s">
        <v>119</v>
      </c>
      <c r="L202" s="277" t="s">
        <v>120</v>
      </c>
    </row>
    <row r="203" spans="1:14" ht="12.75" customHeight="1">
      <c r="A203" s="250">
        <f t="shared" si="17"/>
        <v>46223</v>
      </c>
      <c r="B203" s="253">
        <f>'CHICLETS MASTER S1'!Z53</f>
        <v>0.33333333333333331</v>
      </c>
      <c r="C203" s="8" t="s">
        <v>194</v>
      </c>
      <c r="D203" s="252" t="str">
        <f>$D$201</f>
        <v>VILLA PARK HS</v>
      </c>
      <c r="E203" s="252">
        <v>121</v>
      </c>
      <c r="F203" s="43" t="s">
        <v>1545</v>
      </c>
      <c r="G203" s="22"/>
      <c r="H203" s="43" t="s">
        <v>1546</v>
      </c>
      <c r="I203" s="22"/>
      <c r="J203" s="22">
        <v>174</v>
      </c>
      <c r="K203" s="22">
        <v>161</v>
      </c>
      <c r="L203" s="22" t="str">
        <f t="shared" ref="L203:L212" si="18">IF(E203="","",$L$19&amp;"-"&amp;TEXT(E203,"000"))</f>
        <v>14GX-121</v>
      </c>
      <c r="N203" s="198" t="str">
        <f>$L$110&amp;C203</f>
        <v>ag_1-2 v 3-4</v>
      </c>
    </row>
    <row r="204" spans="1:14" ht="12.75" customHeight="1">
      <c r="A204" s="250">
        <f t="shared" si="15"/>
        <v>46223</v>
      </c>
      <c r="B204" s="253">
        <f>'CHICLETS MASTER S1'!Z54</f>
        <v>0.375</v>
      </c>
      <c r="C204" s="8" t="s">
        <v>189</v>
      </c>
      <c r="D204" s="252" t="str">
        <f t="shared" ref="D204:D212" si="19">$D$201</f>
        <v>VILLA PARK HS</v>
      </c>
      <c r="E204" s="251">
        <v>131</v>
      </c>
      <c r="F204" s="95" t="s">
        <v>1547</v>
      </c>
      <c r="G204" s="95"/>
      <c r="H204" s="95" t="str">
        <f>IF(G173="","W100",IF(G173&gt;I173,_xlfn.CONCAT("W100-",RIGHT(F173,LEN(F173) - FIND("-",F173))), _xlfn.CONCAT("W100-",RIGHT(H173,LEN(H173) - FIND("-",H173)))))</f>
        <v>W100</v>
      </c>
      <c r="I204" s="95"/>
      <c r="J204" s="95">
        <v>147</v>
      </c>
      <c r="K204" s="95">
        <v>151</v>
      </c>
      <c r="L204" s="95" t="str">
        <f t="shared" si="18"/>
        <v>14GX-131</v>
      </c>
      <c r="N204" s="198" t="str">
        <f>$L$111&amp;C204</f>
        <v>bz_5-8 v 9-12</v>
      </c>
    </row>
    <row r="205" spans="1:14" ht="12.75" customHeight="1">
      <c r="A205" s="250">
        <f t="shared" si="15"/>
        <v>46223</v>
      </c>
      <c r="B205" s="253">
        <f>'CHICLETS MASTER S1'!Z55</f>
        <v>0.41666666666666702</v>
      </c>
      <c r="C205" s="8" t="s">
        <v>189</v>
      </c>
      <c r="D205" s="252" t="str">
        <f t="shared" si="19"/>
        <v>VILLA PARK HS</v>
      </c>
      <c r="E205" s="251">
        <v>132</v>
      </c>
      <c r="F205" s="95" t="s">
        <v>1548</v>
      </c>
      <c r="G205" s="95"/>
      <c r="H205" s="95" t="str">
        <f>IF(G171="","L92",IF(G171&lt;I171,_xlfn.CONCAT("L92-",RIGHT(F171,LEN(F171) - FIND("-",F171))), _xlfn.CONCAT("L92-",RIGHT(H171,LEN(H171) - FIND("-",H171)))))</f>
        <v>L92</v>
      </c>
      <c r="I205" s="95"/>
      <c r="J205" s="95">
        <v>148</v>
      </c>
      <c r="K205" s="95">
        <v>152</v>
      </c>
      <c r="L205" s="95" t="str">
        <f t="shared" si="18"/>
        <v>14GX-132</v>
      </c>
      <c r="N205" s="198" t="str">
        <f>$L$111&amp;C205</f>
        <v>bz_5-8 v 9-12</v>
      </c>
    </row>
    <row r="206" spans="1:14" ht="12.75" customHeight="1">
      <c r="A206" s="250">
        <f t="shared" si="12"/>
        <v>46223</v>
      </c>
      <c r="B206" s="253">
        <f>'CHICLETS MASTER S1'!Z56</f>
        <v>0.45833333333333298</v>
      </c>
      <c r="C206" s="252" t="s">
        <v>383</v>
      </c>
      <c r="D206" s="252" t="str">
        <f t="shared" si="19"/>
        <v>VILLA PARK HS</v>
      </c>
      <c r="E206" s="252">
        <v>118</v>
      </c>
      <c r="F206" s="43" t="s">
        <v>1549</v>
      </c>
      <c r="G206" s="22"/>
      <c r="H206" s="43" t="s">
        <v>1550</v>
      </c>
      <c r="I206" s="22"/>
      <c r="J206" s="22"/>
      <c r="K206" s="22"/>
      <c r="L206" s="22" t="str">
        <f t="shared" si="18"/>
        <v>14GX-118</v>
      </c>
      <c r="N206" s="198" t="str">
        <f>$L$110&amp;C206</f>
        <v>ag_21-24 RR</v>
      </c>
    </row>
    <row r="207" spans="1:14" ht="12.75" customHeight="1">
      <c r="A207" s="250">
        <f>$A$187</f>
        <v>46223</v>
      </c>
      <c r="B207" s="253">
        <f>'CHICLETS MASTER S1'!Z57</f>
        <v>0.5</v>
      </c>
      <c r="C207" s="251" t="s">
        <v>201</v>
      </c>
      <c r="D207" s="252" t="str">
        <f t="shared" si="19"/>
        <v>VILLA PARK HS</v>
      </c>
      <c r="E207" s="251">
        <v>163</v>
      </c>
      <c r="F207" s="95" t="str">
        <f>IF(G195="","L123",IF(G195&lt;I195,_xlfn.CONCAT("L123-",RIGHT(F195,LEN(F195) - FIND("-",F195))), _xlfn.CONCAT("L123-",RIGHT(H195,LEN(H195) - FIND("-",H195)))))</f>
        <v>L123</v>
      </c>
      <c r="G207" s="95"/>
      <c r="H207" s="95" t="str">
        <f>IF(G197="","W147",IF(G197&gt;I197,_xlfn.CONCAT("W147-",RIGHT(F197,LEN(F197) - FIND("-",F197))), _xlfn.CONCAT("W147-",RIGHT(H197,LEN(H197) - FIND("-",H197)))))</f>
        <v>W147</v>
      </c>
      <c r="I207" s="95"/>
      <c r="J207" s="95">
        <v>171</v>
      </c>
      <c r="K207" s="95">
        <v>187</v>
      </c>
      <c r="L207" s="95" t="str">
        <f t="shared" si="18"/>
        <v>14GX-163</v>
      </c>
      <c r="N207" s="198" t="str">
        <f>$L$111&amp;C207</f>
        <v>bz_play to semi</v>
      </c>
    </row>
    <row r="208" spans="1:14" ht="12.75" customHeight="1">
      <c r="A208" s="250">
        <f t="shared" si="15"/>
        <v>46223</v>
      </c>
      <c r="B208" s="253">
        <f>'CHICLETS MASTER S1'!Z58</f>
        <v>0.54166666666666696</v>
      </c>
      <c r="C208" s="258" t="s">
        <v>1540</v>
      </c>
      <c r="D208" s="252" t="str">
        <f t="shared" si="19"/>
        <v>VILLA PARK HS</v>
      </c>
      <c r="E208" s="251">
        <v>155</v>
      </c>
      <c r="F208" s="95" t="str">
        <f>IF(G123="","bz_X1",IF(G123&lt;I123,_xlfn.CONCAT("bz_X1-",RIGHT(F123,LEN(F123) - FIND("-",F123))), _xlfn.CONCAT("bz_X1-",RIGHT(H123,LEN(H123) - FIND("-",H123)))))</f>
        <v>bz_X1</v>
      </c>
      <c r="G208" s="95"/>
      <c r="H208" s="95" t="str">
        <f>IF(G173="","bz_X3",IF(G173&lt;I173,_xlfn.CONCAT("bz_X3-",RIGHT(F173,LEN(F173) - FIND("-",F173))), _xlfn.CONCAT("bz_X3-",RIGHT(H173,LEN(H173) - FIND("-",H173)))))</f>
        <v>bz_X3</v>
      </c>
      <c r="I208" s="95"/>
      <c r="J208" s="95"/>
      <c r="K208" s="95"/>
      <c r="L208" s="95" t="str">
        <f t="shared" si="18"/>
        <v>14GX-155</v>
      </c>
      <c r="N208" s="198" t="str">
        <f>$L$111&amp;C208</f>
        <v>bz_13-15 RR</v>
      </c>
    </row>
    <row r="209" spans="1:14" ht="12.75" customHeight="1">
      <c r="A209" s="250">
        <f t="shared" si="15"/>
        <v>46223</v>
      </c>
      <c r="B209" s="253">
        <f>'CHICLETS MASTER S1'!Z59</f>
        <v>0.58333333333333304</v>
      </c>
      <c r="C209" s="251" t="s">
        <v>1544</v>
      </c>
      <c r="D209" s="252" t="str">
        <f t="shared" si="19"/>
        <v>VILLA PARK HS</v>
      </c>
      <c r="E209" s="251">
        <v>148</v>
      </c>
      <c r="F209" s="95" t="str">
        <f>IF(G193="","W128",IF(G193&gt;I193,_xlfn.CONCAT("W128-",RIGHT(F193,LEN(F193) - FIND("-",F193))), _xlfn.CONCAT("W128-",RIGHT(H193,LEN(H193) - FIND("-",H193)))))</f>
        <v>W128</v>
      </c>
      <c r="G209" s="95"/>
      <c r="H209" s="95" t="str">
        <f>IF(G205="","W132",IF(G205&gt;I205,_xlfn.CONCAT("W132-",RIGHT(F205,LEN(F205) - FIND("-",F205))), _xlfn.CONCAT("W132-",RIGHT(H205,LEN(H205) - FIND("-",H205)))))</f>
        <v>W132</v>
      </c>
      <c r="I209" s="95"/>
      <c r="J209" s="95">
        <v>164</v>
      </c>
      <c r="K209" s="95">
        <v>188</v>
      </c>
      <c r="L209" s="95" t="str">
        <f t="shared" si="18"/>
        <v>14GX-148</v>
      </c>
      <c r="N209" s="198" t="str">
        <f>$L$111&amp;C209</f>
        <v>bz_5-6 vs 7-8</v>
      </c>
    </row>
    <row r="210" spans="1:14" ht="12.75" customHeight="1">
      <c r="A210" s="250">
        <f t="shared" si="15"/>
        <v>46223</v>
      </c>
      <c r="B210" s="253">
        <f>'CHICLETS MASTER S1'!Z60</f>
        <v>0.625</v>
      </c>
      <c r="C210" s="251" t="s">
        <v>200</v>
      </c>
      <c r="D210" s="252" t="str">
        <f t="shared" si="19"/>
        <v>VILLA PARK HS</v>
      </c>
      <c r="E210" s="252">
        <v>152</v>
      </c>
      <c r="F210" s="95" t="str">
        <f>IF(G205="","L132",IF(G205&lt;I205,_xlfn.CONCAT("L132-",RIGHT(F205,LEN(F205) - FIND("-",F205))), _xlfn.CONCAT("L132-",RIGHT(H205,LEN(H205) - FIND("-",H205)))))</f>
        <v>L132</v>
      </c>
      <c r="G210" s="95"/>
      <c r="H210" s="95" t="str">
        <f>IF(G193="","L128",IF(G193&lt;I193,_xlfn.CONCAT("L128-",RIGHT(F193,LEN(F193) - FIND("-",F193))), _xlfn.CONCAT("L128-",RIGHT(H193,LEN(H193) - FIND("-",H193)))))</f>
        <v>L128</v>
      </c>
      <c r="I210" s="95"/>
      <c r="J210" s="95">
        <v>183</v>
      </c>
      <c r="K210" s="95">
        <v>184</v>
      </c>
      <c r="L210" s="95" t="str">
        <f t="shared" si="18"/>
        <v>14GX-152</v>
      </c>
      <c r="N210" s="198" t="str">
        <f>$L$111&amp;C210</f>
        <v>bz_9-12 semi</v>
      </c>
    </row>
    <row r="211" spans="1:14" ht="12.75" customHeight="1">
      <c r="A211" s="250">
        <f t="shared" si="15"/>
        <v>46223</v>
      </c>
      <c r="B211" s="253">
        <f>'CHICLETS MASTER S1'!Z61</f>
        <v>0.66666666666666696</v>
      </c>
      <c r="C211" s="258" t="s">
        <v>1540</v>
      </c>
      <c r="D211" s="252" t="str">
        <f t="shared" si="19"/>
        <v>VILLA PARK HS</v>
      </c>
      <c r="E211" s="252">
        <v>156</v>
      </c>
      <c r="F211" s="95" t="str">
        <f>IF(G140="","bz_X2",IF(G140&lt;I140,_xlfn.CONCAT("bz_X2-",RIGHT(F140,LEN(F140) - FIND("-",F140))), _xlfn.CONCAT("bz_X2-",RIGHT(H140,LEN(H140) - FIND("-",H140)))))</f>
        <v>bz_X2</v>
      </c>
      <c r="G211" s="95"/>
      <c r="H211" s="95" t="str">
        <f>IF(G173="","bz_X3",IF(G173&lt;I173,_xlfn.CONCAT("bz_X3-",RIGHT(F173,LEN(F173) - FIND("-",F173))), _xlfn.CONCAT("bz_X3-",RIGHT(H173,LEN(H173) - FIND("-",H173)))))</f>
        <v>bz_X3</v>
      </c>
      <c r="I211" s="95"/>
      <c r="J211" s="95"/>
      <c r="K211" s="95"/>
      <c r="L211" s="95" t="str">
        <f t="shared" si="18"/>
        <v>14GX-156</v>
      </c>
      <c r="N211" s="198" t="str">
        <f>$L$111&amp;C211</f>
        <v>bz_13-15 RR</v>
      </c>
    </row>
    <row r="212" spans="1:14" ht="12.75" customHeight="1">
      <c r="A212" s="250">
        <f t="shared" si="12"/>
        <v>46223</v>
      </c>
      <c r="B212" s="253">
        <f>'CHICLETS MASTER S1'!Z62</f>
        <v>0.70833333333333304</v>
      </c>
      <c r="C212" s="252" t="s">
        <v>394</v>
      </c>
      <c r="D212" s="252" t="str">
        <f t="shared" si="19"/>
        <v>VILLA PARK HS</v>
      </c>
      <c r="E212" s="252">
        <v>157</v>
      </c>
      <c r="F212" s="43" t="str">
        <f>IF(G219="","L137",IF(G219&lt;I219,_xlfn.CONCAT("L137-",RIGHT(F219,LEN(F219) - FIND("-",F219))), _xlfn.CONCAT("L137-",RIGHT(H219,LEN(H219) - FIND("-",H219)))))</f>
        <v>L137</v>
      </c>
      <c r="G212" s="22"/>
      <c r="H212" s="43" t="str">
        <f>IF(G218="","L133",IF(G218&lt;I218,_xlfn.CONCAT("L133-",RIGHT(F218,LEN(F218) - FIND("-",F218))), _xlfn.CONCAT("L133-",RIGHT(H218,LEN(H218) - FIND("-",H218)))))</f>
        <v>L133</v>
      </c>
      <c r="I212" s="22"/>
      <c r="J212" s="22">
        <v>170</v>
      </c>
      <c r="K212" s="22">
        <v>169</v>
      </c>
      <c r="L212" s="22" t="str">
        <f t="shared" si="18"/>
        <v>14GX-157</v>
      </c>
      <c r="N212" s="198" t="str">
        <f>$L$110&amp;C212</f>
        <v>ag_17-20 semi</v>
      </c>
    </row>
    <row r="213" spans="1:14" s="205" customFormat="1" ht="12.75" customHeight="1" thickBot="1">
      <c r="A213" s="198"/>
      <c r="B213" s="198"/>
      <c r="C213" s="198"/>
      <c r="D213" s="198"/>
      <c r="E213" s="198"/>
      <c r="F213" s="198"/>
      <c r="G213" s="198"/>
      <c r="H213" s="198"/>
      <c r="I213" s="198"/>
      <c r="J213" s="198"/>
      <c r="K213" s="198"/>
      <c r="L213" s="198"/>
      <c r="M213" s="198"/>
    </row>
    <row r="214" spans="1:14" s="202" customFormat="1" ht="12.75" customHeight="1" thickBot="1">
      <c r="A214" s="221"/>
      <c r="B214" s="222"/>
      <c r="D214" s="212" t="str">
        <f>'CHICLETS MASTER S1'!$W$51</f>
        <v>BECKMAN HS 1</v>
      </c>
      <c r="E214" s="217"/>
      <c r="F214" s="217"/>
      <c r="G214" s="217"/>
      <c r="H214" s="217"/>
      <c r="I214" s="217"/>
      <c r="J214" s="217"/>
      <c r="K214" s="217"/>
      <c r="L214" s="217"/>
    </row>
    <row r="215" spans="1:14" ht="12.75" customHeight="1">
      <c r="A215" s="277" t="s">
        <v>110</v>
      </c>
      <c r="B215" s="277" t="s">
        <v>111</v>
      </c>
      <c r="C215" s="277" t="s">
        <v>112</v>
      </c>
      <c r="D215" s="277" t="s">
        <v>113</v>
      </c>
      <c r="E215" s="277" t="s">
        <v>114</v>
      </c>
      <c r="F215" s="277" t="s">
        <v>115</v>
      </c>
      <c r="G215" s="277" t="s">
        <v>116</v>
      </c>
      <c r="H215" s="277" t="s">
        <v>117</v>
      </c>
      <c r="I215" s="277" t="s">
        <v>116</v>
      </c>
      <c r="J215" s="277" t="s">
        <v>118</v>
      </c>
      <c r="K215" s="277" t="s">
        <v>119</v>
      </c>
      <c r="L215" s="277" t="s">
        <v>120</v>
      </c>
    </row>
    <row r="216" spans="1:14" ht="12.75" customHeight="1">
      <c r="A216" s="250">
        <f t="shared" si="17"/>
        <v>46223</v>
      </c>
      <c r="B216" s="253">
        <f>'CHICLETS MASTER S1'!Z53</f>
        <v>0.33333333333333331</v>
      </c>
      <c r="C216" s="8" t="s">
        <v>189</v>
      </c>
      <c r="D216" s="252" t="str">
        <f t="shared" ref="D216:D225" si="20">$D$214</f>
        <v>BECKMAN HS 1</v>
      </c>
      <c r="E216" s="252">
        <v>125</v>
      </c>
      <c r="F216" s="43" t="s">
        <v>1551</v>
      </c>
      <c r="G216" s="22"/>
      <c r="H216" s="43" t="str">
        <f>IF(G160="","W111",IF(G160&gt;I160,_xlfn.CONCAT("W111-",RIGHT(F160,LEN(F160) - FIND("-",F160))), _xlfn.CONCAT("W111-",RIGHT(H160,LEN(H160) - FIND("-",H160)))))</f>
        <v>W111</v>
      </c>
      <c r="I216" s="22"/>
      <c r="J216" s="22">
        <v>145</v>
      </c>
      <c r="K216" s="22">
        <v>149</v>
      </c>
      <c r="L216" s="22" t="str">
        <f t="shared" ref="L216:L225" si="21">IF(E216="","",$L$19&amp;"-"&amp;TEXT(E216,"000"))</f>
        <v>14GX-125</v>
      </c>
      <c r="N216" s="198" t="str">
        <f t="shared" ref="N216:N225" si="22">$L$110&amp;C216</f>
        <v>ag_5-8 v 9-12</v>
      </c>
    </row>
    <row r="217" spans="1:14" ht="12.75" customHeight="1">
      <c r="A217" s="250">
        <f t="shared" si="17"/>
        <v>46223</v>
      </c>
      <c r="B217" s="253">
        <f>'CHICLETS MASTER S1'!Z54</f>
        <v>0.375</v>
      </c>
      <c r="C217" s="8" t="s">
        <v>189</v>
      </c>
      <c r="D217" s="252" t="str">
        <f t="shared" si="20"/>
        <v>BECKMAN HS 1</v>
      </c>
      <c r="E217" s="252">
        <v>129</v>
      </c>
      <c r="F217" s="43" t="s">
        <v>1552</v>
      </c>
      <c r="G217" s="22"/>
      <c r="H217" s="43" t="str">
        <f>IF(G144="","W110",IF(G144&gt;I144,_xlfn.CONCAT("W110-",RIGHT(F144,LEN(F144) - FIND("-",F144))), _xlfn.CONCAT("W110-",RIGHT(H144,LEN(H144) - FIND("-",H144)))))</f>
        <v>W110</v>
      </c>
      <c r="I217" s="22"/>
      <c r="J217" s="22">
        <v>145</v>
      </c>
      <c r="K217" s="22">
        <v>149</v>
      </c>
      <c r="L217" s="22" t="str">
        <f t="shared" si="21"/>
        <v>14GX-129</v>
      </c>
      <c r="N217" s="198" t="str">
        <f t="shared" si="22"/>
        <v>ag_5-8 v 9-12</v>
      </c>
    </row>
    <row r="218" spans="1:14" ht="12.75" customHeight="1">
      <c r="A218" s="250">
        <f t="shared" si="17"/>
        <v>46223</v>
      </c>
      <c r="B218" s="253">
        <f>'CHICLETS MASTER S1'!Z55</f>
        <v>0.41666666666666702</v>
      </c>
      <c r="C218" s="8" t="s">
        <v>1553</v>
      </c>
      <c r="D218" s="252" t="str">
        <f t="shared" si="20"/>
        <v>BECKMAN HS 1</v>
      </c>
      <c r="E218" s="252">
        <v>133</v>
      </c>
      <c r="F218" s="43" t="str">
        <f>IF(G144="","L110",IF(G144&lt;I144,_xlfn.CONCAT("L110-",RIGHT(F144,LEN(F144) - FIND("-",F144))), _xlfn.CONCAT("L110-",RIGHT(H144,LEN(H144) - FIND("-",H144)))))</f>
        <v>L110</v>
      </c>
      <c r="G218" s="22"/>
      <c r="H218" s="43" t="s">
        <v>1554</v>
      </c>
      <c r="I218" s="22"/>
      <c r="J218" s="22">
        <v>153</v>
      </c>
      <c r="K218" s="22">
        <v>157</v>
      </c>
      <c r="L218" s="22" t="str">
        <f t="shared" si="21"/>
        <v>14GX-133</v>
      </c>
      <c r="N218" s="198" t="str">
        <f t="shared" si="22"/>
        <v>ag_13-20 quarter</v>
      </c>
    </row>
    <row r="219" spans="1:14" ht="12.75" customHeight="1">
      <c r="A219" s="250">
        <f t="shared" si="17"/>
        <v>46223</v>
      </c>
      <c r="B219" s="253">
        <f>'CHICLETS MASTER S1'!Z56</f>
        <v>0.45833333333333298</v>
      </c>
      <c r="C219" s="8" t="s">
        <v>1553</v>
      </c>
      <c r="D219" s="252" t="str">
        <f t="shared" si="20"/>
        <v>BECKMAN HS 1</v>
      </c>
      <c r="E219" s="252">
        <v>137</v>
      </c>
      <c r="F219" s="43" t="str">
        <f>IF(G177="","L112",IF(G177&lt;I177,_xlfn.CONCAT("L112-",RIGHT(F177,LEN(F177) - FIND("-",F177))), _xlfn.CONCAT("L112-",RIGHT(H177,LEN(H177) - FIND("-",H177)))))</f>
        <v>L112</v>
      </c>
      <c r="G219" s="22"/>
      <c r="H219" s="43" t="s">
        <v>1555</v>
      </c>
      <c r="I219" s="22"/>
      <c r="J219" s="22">
        <v>153</v>
      </c>
      <c r="K219" s="22">
        <v>157</v>
      </c>
      <c r="L219" s="22" t="str">
        <f t="shared" si="21"/>
        <v>14GX-137</v>
      </c>
      <c r="N219" s="198" t="str">
        <f t="shared" si="22"/>
        <v>ag_13-20 quarter</v>
      </c>
    </row>
    <row r="220" spans="1:14" ht="12.75" customHeight="1">
      <c r="A220" s="250">
        <f t="shared" si="17"/>
        <v>46223</v>
      </c>
      <c r="B220" s="253">
        <f>'CHICLETS MASTER S1'!Z57</f>
        <v>0.5</v>
      </c>
      <c r="C220" s="252" t="s">
        <v>383</v>
      </c>
      <c r="D220" s="252" t="str">
        <f t="shared" si="20"/>
        <v>BECKMAN HS 1</v>
      </c>
      <c r="E220" s="252">
        <v>141</v>
      </c>
      <c r="F220" s="43" t="s">
        <v>1541</v>
      </c>
      <c r="G220" s="22"/>
      <c r="H220" s="43" t="s">
        <v>1550</v>
      </c>
      <c r="I220" s="22"/>
      <c r="J220" s="22"/>
      <c r="K220" s="22"/>
      <c r="L220" s="22" t="str">
        <f t="shared" si="21"/>
        <v>14GX-141</v>
      </c>
      <c r="N220" s="198" t="str">
        <f t="shared" si="22"/>
        <v>ag_21-24 RR</v>
      </c>
    </row>
    <row r="221" spans="1:14" ht="12.75" customHeight="1">
      <c r="A221" s="250">
        <f t="shared" si="17"/>
        <v>46223</v>
      </c>
      <c r="B221" s="253">
        <f>'CHICLETS MASTER S1'!Z58</f>
        <v>0.54166666666666696</v>
      </c>
      <c r="C221" s="252" t="s">
        <v>1544</v>
      </c>
      <c r="D221" s="252" t="str">
        <f t="shared" si="20"/>
        <v>BECKMAN HS 1</v>
      </c>
      <c r="E221" s="252">
        <v>145</v>
      </c>
      <c r="F221" s="43" t="str">
        <f>IF(G216="","W125",IF(G216&gt;I216,_xlfn.CONCAT("W125-",RIGHT(F216,LEN(F216) - FIND("-",F216))), _xlfn.CONCAT("W125-",RIGHT(H216,LEN(H216) - FIND("-",H216)))))</f>
        <v>W125</v>
      </c>
      <c r="G221" s="22"/>
      <c r="H221" s="43" t="str">
        <f>IF(G217="","W129",IF(G217&gt;I217,_xlfn.CONCAT("W129-",RIGHT(F217,LEN(F217) - FIND("-",F217))), _xlfn.CONCAT("W129-",RIGHT(H217,LEN(H217) - FIND("-",H217)))))</f>
        <v>W129</v>
      </c>
      <c r="I221" s="22"/>
      <c r="J221" s="22">
        <v>161</v>
      </c>
      <c r="K221" s="22">
        <v>185</v>
      </c>
      <c r="L221" s="22" t="str">
        <f t="shared" si="21"/>
        <v>14GX-145</v>
      </c>
      <c r="N221" s="198" t="str">
        <f t="shared" si="22"/>
        <v>ag_5-6 vs 7-8</v>
      </c>
    </row>
    <row r="222" spans="1:14" ht="12.75" customHeight="1">
      <c r="A222" s="250">
        <f t="shared" si="17"/>
        <v>46223</v>
      </c>
      <c r="B222" s="253">
        <f>'CHICLETS MASTER S1'!Z59</f>
        <v>0.58333333333333304</v>
      </c>
      <c r="C222" s="252" t="s">
        <v>200</v>
      </c>
      <c r="D222" s="252" t="str">
        <f t="shared" si="20"/>
        <v>BECKMAN HS 1</v>
      </c>
      <c r="E222" s="252">
        <v>149</v>
      </c>
      <c r="F222" s="43" t="str">
        <f>IF(G217="","L129",IF(G217&lt;I217,_xlfn.CONCAT("L129-",RIGHT(F217,LEN(F217) - FIND("-",F217))), _xlfn.CONCAT("L129-",RIGHT(H217,LEN(H217) - FIND("-",H217)))))</f>
        <v>L129</v>
      </c>
      <c r="G222" s="22"/>
      <c r="H222" s="43" t="str">
        <f>IF(G216="","L125",IF(G216&lt;I216,_xlfn.CONCAT("L125-",RIGHT(F216,LEN(F216) - FIND("-",F216))), _xlfn.CONCAT("L125-",RIGHT(H216,LEN(H216) - FIND("-",H216)))))</f>
        <v>L125</v>
      </c>
      <c r="I222" s="22"/>
      <c r="J222" s="22">
        <v>182</v>
      </c>
      <c r="K222" s="22">
        <v>181</v>
      </c>
      <c r="L222" s="22" t="str">
        <f t="shared" si="21"/>
        <v>14GX-149</v>
      </c>
      <c r="N222" s="198" t="str">
        <f t="shared" si="22"/>
        <v>ag_9-12 semi</v>
      </c>
    </row>
    <row r="223" spans="1:14" ht="12.75" customHeight="1">
      <c r="A223" s="250">
        <f t="shared" si="17"/>
        <v>46223</v>
      </c>
      <c r="B223" s="253">
        <f>'CHICLETS MASTER S1'!Z60</f>
        <v>0.625</v>
      </c>
      <c r="C223" s="252" t="s">
        <v>393</v>
      </c>
      <c r="D223" s="252" t="str">
        <f t="shared" si="20"/>
        <v>BECKMAN HS 1</v>
      </c>
      <c r="E223" s="252">
        <v>153</v>
      </c>
      <c r="F223" s="43" t="str">
        <f>IF(G218="","W133",IF(G218&gt;I218,_xlfn.CONCAT("W133-",RIGHT(F218,LEN(F218) - FIND("-",F218))), _xlfn.CONCAT("W133-",RIGHT(H218,LEN(H218) - FIND("-",H218)))))</f>
        <v>W133</v>
      </c>
      <c r="G223" s="22"/>
      <c r="H223" s="43" t="str">
        <f>IF(G219="","W137",IF(G219&gt;I219,_xlfn.CONCAT("W137-",RIGHT(F219,LEN(F219) - FIND("-",F219))), _xlfn.CONCAT("W137-",RIGHT(H219,LEN(H219) - FIND("-",H219)))))</f>
        <v>W137</v>
      </c>
      <c r="I223" s="22"/>
      <c r="J223" s="22">
        <v>178</v>
      </c>
      <c r="K223" s="22">
        <v>177</v>
      </c>
      <c r="L223" s="22" t="str">
        <f t="shared" si="21"/>
        <v>14GX-153</v>
      </c>
      <c r="N223" s="198" t="str">
        <f t="shared" si="22"/>
        <v>ag_13-16 semi</v>
      </c>
    </row>
    <row r="224" spans="1:14" ht="12.75" customHeight="1">
      <c r="A224" s="250">
        <f t="shared" si="17"/>
        <v>46223</v>
      </c>
      <c r="B224" s="253">
        <f>'CHICLETS MASTER S1'!Z61</f>
        <v>0.66666666666666696</v>
      </c>
      <c r="C224" s="251" t="s">
        <v>201</v>
      </c>
      <c r="D224" s="252" t="str">
        <f t="shared" si="20"/>
        <v>BECKMAN HS 1</v>
      </c>
      <c r="E224" s="252">
        <v>161</v>
      </c>
      <c r="F224" s="43" t="str">
        <f>IF(G203="","L121",IF(G203&lt;I203,_xlfn.CONCAT("L121-",RIGHT(F203,LEN(F203) - FIND("-",F203))), _xlfn.CONCAT("L121-",RIGHT(H203,LEN(H203) - FIND("-",H203)))))</f>
        <v>L121</v>
      </c>
      <c r="G224" s="22"/>
      <c r="H224" s="43" t="str">
        <f>IF(G221="","W145",IF(G221&gt;I221,_xlfn.CONCAT("W145-",RIGHT(F221,LEN(F221) - FIND("-",F221))), _xlfn.CONCAT("W145-",RIGHT(H221,LEN(H221) - FIND("-",H221)))))</f>
        <v>W145</v>
      </c>
      <c r="I224" s="22"/>
      <c r="J224" s="22">
        <v>173</v>
      </c>
      <c r="K224" s="22">
        <v>186</v>
      </c>
      <c r="L224" s="22" t="str">
        <f t="shared" si="21"/>
        <v>14GX-161</v>
      </c>
      <c r="N224" s="198" t="str">
        <f t="shared" si="22"/>
        <v>ag_play to semi</v>
      </c>
    </row>
    <row r="225" spans="1:14" ht="12.75" customHeight="1">
      <c r="A225" s="250">
        <f t="shared" si="17"/>
        <v>46223</v>
      </c>
      <c r="B225" s="253">
        <f>'CHICLETS MASTER S1'!Z62</f>
        <v>0.70833333333333304</v>
      </c>
      <c r="C225" s="251" t="s">
        <v>201</v>
      </c>
      <c r="D225" s="252" t="str">
        <f t="shared" si="20"/>
        <v>BECKMAN HS 1</v>
      </c>
      <c r="E225" s="252">
        <v>162</v>
      </c>
      <c r="F225" s="43" t="str">
        <f>IF(G190="","L122",IF(G190&lt;I190,_xlfn.CONCAT("L122-",RIGHT(F190,LEN(F190) - FIND("-",F190))), _xlfn.CONCAT("L122-",RIGHT(H190,LEN(H190) - FIND("-",H190)))))</f>
        <v>L122</v>
      </c>
      <c r="G225" s="22"/>
      <c r="H225" s="43" t="str">
        <f>IF(G234="","W146",IF(G234&gt;I234,_xlfn.CONCAT("W146-",RIGHT(F234,LEN(F234) - FIND("-",F234))), _xlfn.CONCAT("W146-",RIGHT(H234,LEN(H234) - FIND("-",H234)))))</f>
        <v>W146</v>
      </c>
      <c r="I225" s="22"/>
      <c r="J225" s="22">
        <v>174</v>
      </c>
      <c r="K225" s="22">
        <v>186</v>
      </c>
      <c r="L225" s="22" t="str">
        <f t="shared" si="21"/>
        <v>14GX-162</v>
      </c>
      <c r="N225" s="198" t="str">
        <f t="shared" si="22"/>
        <v>ag_play to semi</v>
      </c>
    </row>
    <row r="226" spans="1:14" ht="12.75" customHeight="1" thickBot="1"/>
    <row r="227" spans="1:14" s="202" customFormat="1" ht="12.75" customHeight="1" thickBot="1">
      <c r="A227" s="221"/>
      <c r="B227" s="222"/>
      <c r="D227" s="212" t="str">
        <f>'CHICLETS MASTER S1'!$AA$51</f>
        <v>GARDEN GROVE HS</v>
      </c>
      <c r="E227" s="217"/>
      <c r="F227" s="217"/>
      <c r="G227" s="217"/>
      <c r="H227" s="217"/>
      <c r="I227" s="217"/>
      <c r="J227" s="217"/>
      <c r="K227" s="217"/>
      <c r="L227" s="217"/>
    </row>
    <row r="228" spans="1:14" ht="12.75" customHeight="1">
      <c r="A228" s="277" t="s">
        <v>110</v>
      </c>
      <c r="B228" s="277" t="s">
        <v>111</v>
      </c>
      <c r="C228" s="277" t="s">
        <v>112</v>
      </c>
      <c r="D228" s="277" t="s">
        <v>113</v>
      </c>
      <c r="E228" s="277" t="s">
        <v>114</v>
      </c>
      <c r="F228" s="277" t="s">
        <v>115</v>
      </c>
      <c r="G228" s="277" t="s">
        <v>116</v>
      </c>
      <c r="H228" s="277" t="s">
        <v>117</v>
      </c>
      <c r="I228" s="277" t="s">
        <v>116</v>
      </c>
      <c r="J228" s="277" t="s">
        <v>118</v>
      </c>
      <c r="K228" s="277" t="s">
        <v>119</v>
      </c>
      <c r="L228" s="277" t="s">
        <v>120</v>
      </c>
    </row>
    <row r="229" spans="1:14" ht="12.75" customHeight="1">
      <c r="A229" s="250">
        <f t="shared" si="12"/>
        <v>46223</v>
      </c>
      <c r="B229" s="253">
        <f>'CHICLETS MASTER S1'!Z53</f>
        <v>0.33333333333333331</v>
      </c>
      <c r="C229" s="8" t="s">
        <v>189</v>
      </c>
      <c r="D229" s="252" t="str">
        <f t="shared" ref="D229:D237" si="23">$D$227</f>
        <v>GARDEN GROVE HS</v>
      </c>
      <c r="E229" s="252">
        <v>126</v>
      </c>
      <c r="F229" s="43" t="s">
        <v>1556</v>
      </c>
      <c r="G229" s="22"/>
      <c r="H229" s="43" t="str">
        <f>IF(G177="","W112",IF(G177&gt;I177,_xlfn.CONCAT("W112-",RIGHT(F177,LEN(F177) - FIND("-",F177))), _xlfn.CONCAT("W112-",RIGHT(H177,LEN(H177) - FIND("-",H177)))))</f>
        <v>W112</v>
      </c>
      <c r="I229" s="22"/>
      <c r="J229" s="22">
        <v>146</v>
      </c>
      <c r="K229" s="22">
        <v>150</v>
      </c>
      <c r="L229" s="22" t="str">
        <f t="shared" ref="L229:L237" si="24">IF(E229="","",$L$19&amp;"-"&amp;TEXT(E229,"000"))</f>
        <v>14GX-126</v>
      </c>
      <c r="N229" s="198" t="str">
        <f t="shared" ref="N229:N237" si="25">$L$110&amp;C229</f>
        <v>ag_5-8 v 9-12</v>
      </c>
    </row>
    <row r="230" spans="1:14" ht="12.75" customHeight="1">
      <c r="A230" s="250">
        <f t="shared" si="12"/>
        <v>46223</v>
      </c>
      <c r="B230" s="253">
        <f>'CHICLETS MASTER S1'!Z54</f>
        <v>0.375</v>
      </c>
      <c r="C230" s="8" t="s">
        <v>189</v>
      </c>
      <c r="D230" s="252" t="str">
        <f t="shared" si="23"/>
        <v>GARDEN GROVE HS</v>
      </c>
      <c r="E230" s="252">
        <v>130</v>
      </c>
      <c r="F230" s="43" t="s">
        <v>1557</v>
      </c>
      <c r="G230" s="22"/>
      <c r="H230" s="43" t="str">
        <f>IF(G127="","W109",IF(G127&gt;I127,_xlfn.CONCAT("W109-",RIGHT(F127,LEN(F127) - FIND("-",F127))), _xlfn.CONCAT("W109-",RIGHT(H127,LEN(H127) - FIND("-",H127)))))</f>
        <v>W109</v>
      </c>
      <c r="I230" s="22"/>
      <c r="J230" s="22">
        <v>146</v>
      </c>
      <c r="K230" s="22">
        <v>150</v>
      </c>
      <c r="L230" s="22" t="str">
        <f t="shared" si="24"/>
        <v>14GX-130</v>
      </c>
      <c r="N230" s="198" t="str">
        <f t="shared" si="25"/>
        <v>ag_5-8 v 9-12</v>
      </c>
    </row>
    <row r="231" spans="1:14" ht="12.75" customHeight="1">
      <c r="A231" s="250">
        <f t="shared" si="12"/>
        <v>46223</v>
      </c>
      <c r="B231" s="253">
        <f>'CHICLETS MASTER S1'!Z55</f>
        <v>0.41666666666666702</v>
      </c>
      <c r="C231" s="8" t="s">
        <v>1553</v>
      </c>
      <c r="D231" s="252" t="str">
        <f t="shared" si="23"/>
        <v>GARDEN GROVE HS</v>
      </c>
      <c r="E231" s="252">
        <v>134</v>
      </c>
      <c r="F231" s="43" t="str">
        <f>IF(G127="","L109",IF(G127&lt;I127,_xlfn.CONCAT("L109-",RIGHT(F127,LEN(F127) - FIND("-",F127))), _xlfn.CONCAT("L109-",RIGHT(H127,LEN(H127) - FIND("-",H127)))))</f>
        <v>L109</v>
      </c>
      <c r="G231" s="22"/>
      <c r="H231" s="43" t="s">
        <v>1558</v>
      </c>
      <c r="I231" s="22"/>
      <c r="J231" s="22">
        <v>154</v>
      </c>
      <c r="K231" s="22">
        <v>158</v>
      </c>
      <c r="L231" s="22" t="str">
        <f t="shared" si="24"/>
        <v>14GX-134</v>
      </c>
      <c r="N231" s="198" t="str">
        <f t="shared" si="25"/>
        <v>ag_13-20 quarter</v>
      </c>
    </row>
    <row r="232" spans="1:14" ht="12.75" customHeight="1">
      <c r="A232" s="250">
        <f t="shared" si="12"/>
        <v>46223</v>
      </c>
      <c r="B232" s="253">
        <f>'CHICLETS MASTER S1'!Z56</f>
        <v>0.45833333333333298</v>
      </c>
      <c r="C232" s="8" t="s">
        <v>1553</v>
      </c>
      <c r="D232" s="252" t="str">
        <f t="shared" si="23"/>
        <v>GARDEN GROVE HS</v>
      </c>
      <c r="E232" s="252">
        <v>138</v>
      </c>
      <c r="F232" s="43" t="str">
        <f>IF(G160="","L111",IF(G160&lt;I160,_xlfn.CONCAT("L111-",RIGHT(F160,LEN(F160) - FIND("-",F160))), _xlfn.CONCAT("L111-",RIGHT(H160,LEN(H160) - FIND("-",H160)))))</f>
        <v>L111</v>
      </c>
      <c r="G232" s="22"/>
      <c r="H232" s="43" t="s">
        <v>1559</v>
      </c>
      <c r="I232" s="22"/>
      <c r="J232" s="22">
        <v>154</v>
      </c>
      <c r="K232" s="22">
        <v>158</v>
      </c>
      <c r="L232" s="22" t="str">
        <f t="shared" si="24"/>
        <v>14GX-138</v>
      </c>
      <c r="N232" s="198" t="str">
        <f t="shared" si="25"/>
        <v>ag_13-20 quarter</v>
      </c>
    </row>
    <row r="233" spans="1:14" ht="12.75" customHeight="1">
      <c r="A233" s="250">
        <f t="shared" si="12"/>
        <v>46223</v>
      </c>
      <c r="B233" s="253">
        <f>'CHICLETS MASTER S1'!Z57</f>
        <v>0.5</v>
      </c>
      <c r="C233" s="252" t="s">
        <v>383</v>
      </c>
      <c r="D233" s="252" t="str">
        <f t="shared" si="23"/>
        <v>GARDEN GROVE HS</v>
      </c>
      <c r="E233" s="252">
        <v>142</v>
      </c>
      <c r="F233" s="43" t="s">
        <v>1549</v>
      </c>
      <c r="G233" s="22"/>
      <c r="H233" s="43" t="s">
        <v>1542</v>
      </c>
      <c r="I233" s="22"/>
      <c r="J233" s="22"/>
      <c r="K233" s="22"/>
      <c r="L233" s="22" t="str">
        <f t="shared" si="24"/>
        <v>14GX-142</v>
      </c>
      <c r="N233" s="198" t="str">
        <f t="shared" si="25"/>
        <v>ag_21-24 RR</v>
      </c>
    </row>
    <row r="234" spans="1:14" ht="12.75" customHeight="1">
      <c r="A234" s="250">
        <f t="shared" si="12"/>
        <v>46223</v>
      </c>
      <c r="B234" s="253">
        <f>'CHICLETS MASTER S1'!Z58</f>
        <v>0.54166666666666696</v>
      </c>
      <c r="C234" s="252" t="s">
        <v>1544</v>
      </c>
      <c r="D234" s="252" t="str">
        <f t="shared" si="23"/>
        <v>GARDEN GROVE HS</v>
      </c>
      <c r="E234" s="252">
        <v>146</v>
      </c>
      <c r="F234" s="43" t="str">
        <f>IF(G229="","W126",IF(G229&gt;I229,_xlfn.CONCAT("W126-",RIGHT(F229,LEN(F229) - FIND("-",F229))), _xlfn.CONCAT("W126-",RIGHT(H229,LEN(H229) - FIND("-",H229)))))</f>
        <v>W126</v>
      </c>
      <c r="G234" s="22"/>
      <c r="H234" s="43" t="str">
        <f>IF(G230="","W130",IF(G230&gt;I230,_xlfn.CONCAT("W130-",RIGHT(F230,LEN(F230) - FIND("-",F230))), _xlfn.CONCAT("W130-",RIGHT(H230,LEN(H230) - FIND("-",H230)))))</f>
        <v>W130</v>
      </c>
      <c r="I234" s="22"/>
      <c r="J234" s="22">
        <v>162</v>
      </c>
      <c r="K234" s="22">
        <v>185</v>
      </c>
      <c r="L234" s="22" t="str">
        <f t="shared" si="24"/>
        <v>14GX-146</v>
      </c>
      <c r="N234" s="198" t="str">
        <f t="shared" si="25"/>
        <v>ag_5-6 vs 7-8</v>
      </c>
    </row>
    <row r="235" spans="1:14" ht="12.75" customHeight="1">
      <c r="A235" s="250">
        <f t="shared" si="12"/>
        <v>46223</v>
      </c>
      <c r="B235" s="253">
        <f>'CHICLETS MASTER S1'!Z59</f>
        <v>0.58333333333333304</v>
      </c>
      <c r="C235" s="252" t="s">
        <v>200</v>
      </c>
      <c r="D235" s="252" t="str">
        <f t="shared" si="23"/>
        <v>GARDEN GROVE HS</v>
      </c>
      <c r="E235" s="252">
        <v>150</v>
      </c>
      <c r="F235" s="43" t="str">
        <f>IF(G230="","L130",IF(G230&lt;I230,_xlfn.CONCAT("L130-",RIGHT(F230,LEN(F230) - FIND("-",F230))), _xlfn.CONCAT("L130-",RIGHT(H230,LEN(H230) - FIND("-",H230)))))</f>
        <v>L130</v>
      </c>
      <c r="G235" s="22"/>
      <c r="H235" s="43" t="str">
        <f>IF(G229="","L126",IF(G229&lt;I229,_xlfn.CONCAT("L126-",RIGHT(F229,LEN(F229) - FIND("-",F229))), _xlfn.CONCAT("L126-",RIGHT(H229,LEN(H229) - FIND("-",H229)))))</f>
        <v>L126</v>
      </c>
      <c r="I235" s="22"/>
      <c r="J235" s="22">
        <v>182</v>
      </c>
      <c r="K235" s="22">
        <v>181</v>
      </c>
      <c r="L235" s="22" t="str">
        <f t="shared" si="24"/>
        <v>14GX-150</v>
      </c>
      <c r="N235" s="198" t="str">
        <f t="shared" si="25"/>
        <v>ag_9-12 semi</v>
      </c>
    </row>
    <row r="236" spans="1:14" ht="12.75" customHeight="1">
      <c r="A236" s="250">
        <f t="shared" si="12"/>
        <v>46223</v>
      </c>
      <c r="B236" s="253">
        <f>'CHICLETS MASTER S1'!Z60</f>
        <v>0.625</v>
      </c>
      <c r="C236" s="252" t="s">
        <v>393</v>
      </c>
      <c r="D236" s="252" t="str">
        <f t="shared" si="23"/>
        <v>GARDEN GROVE HS</v>
      </c>
      <c r="E236" s="252">
        <v>154</v>
      </c>
      <c r="F236" s="43" t="str">
        <f>IF(G231="","W134",IF(G231&gt;I231,_xlfn.CONCAT("W134-",RIGHT(F231,LEN(F231) - FIND("-",F231))), _xlfn.CONCAT("W134-",RIGHT(H231,LEN(H231) - FIND("-",H231)))))</f>
        <v>W134</v>
      </c>
      <c r="G236" s="22"/>
      <c r="H236" s="43" t="str">
        <f>IF(G232="","W138",IF(G232&gt;I232,_xlfn.CONCAT("W138-",RIGHT(F232,LEN(F232) - FIND("-",F232))), _xlfn.CONCAT("W138-",RIGHT(H232,LEN(H232) - FIND("-",H232)))))</f>
        <v>W138</v>
      </c>
      <c r="I236" s="22"/>
      <c r="J236" s="22">
        <v>178</v>
      </c>
      <c r="K236" s="22">
        <v>177</v>
      </c>
      <c r="L236" s="22" t="str">
        <f t="shared" si="24"/>
        <v>14GX-154</v>
      </c>
      <c r="N236" s="198" t="str">
        <f t="shared" si="25"/>
        <v>ag_13-16 semi</v>
      </c>
    </row>
    <row r="237" spans="1:14" ht="12.75" customHeight="1">
      <c r="A237" s="250">
        <f t="shared" si="12"/>
        <v>46223</v>
      </c>
      <c r="B237" s="253">
        <f>'CHICLETS MASTER S1'!Z61</f>
        <v>0.66666666666666696</v>
      </c>
      <c r="C237" s="252" t="s">
        <v>394</v>
      </c>
      <c r="D237" s="252" t="str">
        <f t="shared" si="23"/>
        <v>GARDEN GROVE HS</v>
      </c>
      <c r="E237" s="252">
        <v>158</v>
      </c>
      <c r="F237" s="43" t="str">
        <f>IF(G232="","L138",IF(G232&lt;I232,_xlfn.CONCAT("L138-",RIGHT(F232,LEN(F232) - FIND("-",F232))), _xlfn.CONCAT("L138-",RIGHT(H232,LEN(H232) - FIND("-",H232)))))</f>
        <v>L138</v>
      </c>
      <c r="G237" s="22"/>
      <c r="H237" s="43" t="str">
        <f>IF(G231="","L134",IF(G231&lt;I231,_xlfn.CONCAT("L134-",RIGHT(F231,LEN(F231) - FIND("-",F231))), _xlfn.CONCAT("L134-",RIGHT(H231,LEN(H231) - FIND("-",H231)))))</f>
        <v>L134</v>
      </c>
      <c r="I237" s="22"/>
      <c r="J237" s="22">
        <v>170</v>
      </c>
      <c r="K237" s="22">
        <v>169</v>
      </c>
      <c r="L237" s="22" t="str">
        <f t="shared" si="24"/>
        <v>14GX-158</v>
      </c>
      <c r="N237" s="198" t="str">
        <f t="shared" si="25"/>
        <v>ag_17-20 semi</v>
      </c>
    </row>
    <row r="238" spans="1:14" ht="12.75" customHeight="1" thickBot="1">
      <c r="A238" s="250"/>
      <c r="B238" s="250"/>
      <c r="C238" s="251"/>
      <c r="D238" s="252"/>
      <c r="E238" s="252"/>
      <c r="F238" s="261"/>
      <c r="G238" s="261"/>
      <c r="H238" s="261"/>
      <c r="I238" s="261"/>
      <c r="J238" s="261"/>
      <c r="K238" s="261"/>
      <c r="L238" s="261"/>
    </row>
    <row r="239" spans="1:14" ht="12.75" customHeight="1" thickTop="1" thickBot="1">
      <c r="A239" s="244" t="s">
        <v>205</v>
      </c>
      <c r="B239" s="209"/>
      <c r="C239" s="209"/>
      <c r="D239" s="207"/>
      <c r="E239" s="209"/>
      <c r="F239" s="209"/>
      <c r="G239" s="208"/>
      <c r="H239" s="209"/>
      <c r="I239" s="208"/>
      <c r="J239" s="209"/>
      <c r="K239" s="209"/>
      <c r="L239" s="209"/>
    </row>
    <row r="240" spans="1:14" ht="12.75" customHeight="1" thickBot="1">
      <c r="A240" s="211">
        <v>46224</v>
      </c>
      <c r="B240" s="205" t="s">
        <v>1537</v>
      </c>
    </row>
    <row r="241" spans="1:14" s="202" customFormat="1" ht="12.75" customHeight="1" thickBot="1">
      <c r="A241" s="221"/>
      <c r="B241" s="222"/>
      <c r="D241" s="212" t="str">
        <f>'CHICLETS MASTER S1'!$AV$72</f>
        <v>SAN JUAN HILLS HS</v>
      </c>
      <c r="E241" s="217"/>
      <c r="F241" s="217"/>
      <c r="G241" s="217"/>
      <c r="H241" s="217"/>
      <c r="I241" s="217"/>
      <c r="J241" s="217"/>
      <c r="K241" s="217"/>
      <c r="L241" s="217"/>
    </row>
    <row r="242" spans="1:14" ht="12.75" customHeight="1">
      <c r="A242" s="277" t="s">
        <v>110</v>
      </c>
      <c r="B242" s="277" t="s">
        <v>111</v>
      </c>
      <c r="C242" s="277" t="s">
        <v>112</v>
      </c>
      <c r="D242" s="277" t="s">
        <v>113</v>
      </c>
      <c r="E242" s="277" t="s">
        <v>114</v>
      </c>
      <c r="F242" s="277" t="s">
        <v>115</v>
      </c>
      <c r="G242" s="277" t="s">
        <v>116</v>
      </c>
      <c r="H242" s="277" t="s">
        <v>117</v>
      </c>
      <c r="I242" s="277" t="s">
        <v>116</v>
      </c>
      <c r="J242" s="277" t="s">
        <v>118</v>
      </c>
      <c r="K242" s="277" t="s">
        <v>119</v>
      </c>
      <c r="L242" s="277" t="s">
        <v>120</v>
      </c>
    </row>
    <row r="243" spans="1:14" ht="12.75" customHeight="1">
      <c r="A243" s="262">
        <f t="shared" ref="A243:A271" si="26">$A$240</f>
        <v>46224</v>
      </c>
      <c r="B243" s="254">
        <f>'CHICLETS MASTER S1'!Z73</f>
        <v>0.29166666666666669</v>
      </c>
      <c r="C243" s="252" t="s">
        <v>383</v>
      </c>
      <c r="D243" s="252" t="str">
        <f t="shared" ref="D243:D248" si="27">$D$241</f>
        <v>SAN JUAN HILLS HS</v>
      </c>
      <c r="E243" s="252">
        <v>165</v>
      </c>
      <c r="F243" s="43" t="s">
        <v>1541</v>
      </c>
      <c r="G243" s="22"/>
      <c r="H243" s="43" t="s">
        <v>1549</v>
      </c>
      <c r="I243" s="22"/>
      <c r="J243" s="22"/>
      <c r="K243" s="22"/>
      <c r="L243" s="22" t="str">
        <f t="shared" ref="L243:L248" si="28">IF(E243="","",$L$19&amp;"-"&amp;TEXT(E243,"000"))</f>
        <v>14GX-165</v>
      </c>
      <c r="N243" s="198" t="str">
        <f t="shared" ref="N243:N248" si="29">$L$110&amp;C243</f>
        <v>ag_21-24 RR</v>
      </c>
    </row>
    <row r="244" spans="1:14" ht="12.75" customHeight="1">
      <c r="A244" s="262">
        <f t="shared" si="26"/>
        <v>46224</v>
      </c>
      <c r="B244" s="254">
        <f>'CHICLETS MASTER S1'!Z74</f>
        <v>0.33333333333333298</v>
      </c>
      <c r="C244" s="252" t="s">
        <v>218</v>
      </c>
      <c r="D244" s="252" t="str">
        <f t="shared" si="27"/>
        <v>SAN JUAN HILLS HS</v>
      </c>
      <c r="E244" s="252">
        <v>181</v>
      </c>
      <c r="F244" s="43" t="str">
        <f>IF(G222="","L149",IF(G222&lt;I222,_xlfn.CONCAT("L149-",RIGHT(F222,LEN(F222) - FIND("-",F222))), _xlfn.CONCAT("L149-",RIGHT(H222,LEN(H222) - FIND("-",H222)))))</f>
        <v>L149</v>
      </c>
      <c r="G244" s="22"/>
      <c r="H244" s="43" t="str">
        <f>IF(G235="","L150",IF(G235&lt;I235,_xlfn.CONCAT("L150-",RIGHT(F235,LEN(F235) - FIND("-",F235))), _xlfn.CONCAT("L150-",RIGHT(H235,LEN(H235) - FIND("-",H235)))))</f>
        <v>L150</v>
      </c>
      <c r="I244" s="22"/>
      <c r="J244" s="22" t="s">
        <v>218</v>
      </c>
      <c r="K244" s="22" t="s">
        <v>219</v>
      </c>
      <c r="L244" s="22" t="str">
        <f t="shared" si="28"/>
        <v>14GX-181</v>
      </c>
      <c r="N244" s="198" t="str">
        <f t="shared" si="29"/>
        <v>ag_11th</v>
      </c>
    </row>
    <row r="245" spans="1:14" ht="12.75" customHeight="1">
      <c r="A245" s="262">
        <f t="shared" si="26"/>
        <v>46224</v>
      </c>
      <c r="B245" s="254">
        <f>'CHICLETS MASTER S1'!Z75</f>
        <v>0.375</v>
      </c>
      <c r="C245" s="263" t="s">
        <v>407</v>
      </c>
      <c r="D245" s="252" t="str">
        <f t="shared" si="27"/>
        <v>SAN JUAN HILLS HS</v>
      </c>
      <c r="E245" s="252">
        <v>177</v>
      </c>
      <c r="F245" s="43" t="str">
        <f>IF(G223="","L153",IF(G223&lt;I223,_xlfn.CONCAT("L153-",RIGHT(F223,LEN(F223) - FIND("-",F223))), _xlfn.CONCAT("L153-",RIGHT(H223,LEN(H223) - FIND("-",H223)))))</f>
        <v>L153</v>
      </c>
      <c r="G245" s="22"/>
      <c r="H245" s="43" t="str">
        <f>IF(G236="","L154",IF(G236&lt;I236,_xlfn.CONCAT("L154-",RIGHT(F236,LEN(F236) - FIND("-",F236))), _xlfn.CONCAT("L154-",RIGHT(H236,LEN(H236) - FIND("-",H236)))))</f>
        <v>L154</v>
      </c>
      <c r="I245" s="67"/>
      <c r="J245" s="22" t="s">
        <v>407</v>
      </c>
      <c r="K245" s="22" t="s">
        <v>408</v>
      </c>
      <c r="L245" s="22" t="str">
        <f t="shared" si="28"/>
        <v>14GX-177</v>
      </c>
      <c r="N245" s="198" t="str">
        <f t="shared" si="29"/>
        <v>ag_15th</v>
      </c>
    </row>
    <row r="246" spans="1:14" ht="12.75" customHeight="1">
      <c r="A246" s="262">
        <f t="shared" si="26"/>
        <v>46224</v>
      </c>
      <c r="B246" s="254">
        <f>'CHICLETS MASTER S1'!Z76</f>
        <v>0.41666666666666702</v>
      </c>
      <c r="C246" s="264" t="s">
        <v>413</v>
      </c>
      <c r="D246" s="252" t="str">
        <f t="shared" si="27"/>
        <v>SAN JUAN HILLS HS</v>
      </c>
      <c r="E246" s="252">
        <v>178</v>
      </c>
      <c r="F246" s="43" t="str">
        <f>IF(G223="","W153",IF(G223&gt;I223,_xlfn.CONCAT("W153-",RIGHT(F223,LEN(F223) - FIND("-",F223))), _xlfn.CONCAT("W153-",RIGHT(H223,LEN(H223) - FIND("-",H223)))))</f>
        <v>W153</v>
      </c>
      <c r="G246" s="22"/>
      <c r="H246" s="43" t="str">
        <f>IF(G236="","W154",IF(G236&gt;I236,_xlfn.CONCAT("W154-",RIGHT(F236,LEN(F236) - FIND("-",F236))), _xlfn.CONCAT("W154-",RIGHT(H236,LEN(H236) - FIND("-",H236)))))</f>
        <v>W154</v>
      </c>
      <c r="I246" s="22"/>
      <c r="J246" s="22" t="s">
        <v>413</v>
      </c>
      <c r="K246" s="22" t="s">
        <v>414</v>
      </c>
      <c r="L246" s="22" t="str">
        <f t="shared" si="28"/>
        <v>14GX-178</v>
      </c>
      <c r="N246" s="198" t="str">
        <f t="shared" si="29"/>
        <v>ag_13th</v>
      </c>
    </row>
    <row r="247" spans="1:14" ht="12.75" customHeight="1">
      <c r="A247" s="262">
        <f t="shared" si="26"/>
        <v>46224</v>
      </c>
      <c r="B247" s="254">
        <f>'CHICLETS MASTER S1'!Z77</f>
        <v>0.45833333333333298</v>
      </c>
      <c r="C247" s="265" t="s">
        <v>411</v>
      </c>
      <c r="D247" s="252" t="str">
        <f t="shared" si="27"/>
        <v>SAN JUAN HILLS HS</v>
      </c>
      <c r="E247" s="252">
        <v>170</v>
      </c>
      <c r="F247" s="43" t="str">
        <f>IF(G212="","W157",IF(G212&gt;I212,_xlfn.CONCAT("W157-",RIGHT(F212,LEN(F212) - FIND("-",F212))), _xlfn.CONCAT("W157-",RIGHT(H212,LEN(H212) - FIND("-",H212)))))</f>
        <v>W157</v>
      </c>
      <c r="G247" s="22"/>
      <c r="H247" s="43" t="str">
        <f>IF(G237="","W158",IF(G237&gt;I237,_xlfn.CONCAT("W158-",RIGHT(F237,LEN(F237) - FIND("-",F237))), _xlfn.CONCAT("W158-",RIGHT(H237,LEN(H237) - FIND("-",H237)))))</f>
        <v>W158</v>
      </c>
      <c r="I247" s="22"/>
      <c r="J247" s="22" t="s">
        <v>411</v>
      </c>
      <c r="K247" s="22" t="s">
        <v>412</v>
      </c>
      <c r="L247" s="22" t="str">
        <f t="shared" si="28"/>
        <v>14GX-170</v>
      </c>
      <c r="N247" s="198" t="str">
        <f t="shared" si="29"/>
        <v>ag_17th</v>
      </c>
    </row>
    <row r="248" spans="1:14" ht="12.75" customHeight="1">
      <c r="A248" s="262">
        <f t="shared" si="26"/>
        <v>46224</v>
      </c>
      <c r="B248" s="254">
        <f>'CHICLETS MASTER S1'!Z78</f>
        <v>0.5</v>
      </c>
      <c r="C248" s="252" t="s">
        <v>409</v>
      </c>
      <c r="D248" s="252" t="str">
        <f t="shared" si="27"/>
        <v>SAN JUAN HILLS HS</v>
      </c>
      <c r="E248" s="252">
        <v>169</v>
      </c>
      <c r="F248" s="43" t="str">
        <f>IF(G212="","L157",IF(G212&lt;I212,_xlfn.CONCAT("L157-",RIGHT(F212,LEN(F212) - FIND("-",F212))), _xlfn.CONCAT("L157-",RIGHT(H212,LEN(H212) - FIND("-",H212)))))</f>
        <v>L157</v>
      </c>
      <c r="G248" s="22"/>
      <c r="H248" s="43" t="str">
        <f>IF(G237="","L158",IF(G237&lt;I237,_xlfn.CONCAT("L158-",RIGHT(F237,LEN(F237) - FIND("-",F237))), _xlfn.CONCAT("L158-",RIGHT(H237,LEN(H237) - FIND("-",H237)))))</f>
        <v>L158</v>
      </c>
      <c r="I248" s="22"/>
      <c r="J248" s="22" t="s">
        <v>409</v>
      </c>
      <c r="K248" s="22" t="s">
        <v>410</v>
      </c>
      <c r="L248" s="22" t="str">
        <f t="shared" si="28"/>
        <v>14GX-169</v>
      </c>
      <c r="N248" s="198" t="str">
        <f t="shared" si="29"/>
        <v>ag_19th</v>
      </c>
    </row>
    <row r="249" spans="1:14" ht="12.75" customHeight="1" thickBot="1"/>
    <row r="250" spans="1:14" s="202" customFormat="1" ht="12.75" customHeight="1" thickBot="1">
      <c r="A250" s="221"/>
      <c r="B250" s="222"/>
      <c r="D250" s="212" t="str">
        <f>'CHICLETS MASTER S1'!$X$72</f>
        <v>VILLA PARK HS</v>
      </c>
      <c r="E250" s="217"/>
      <c r="F250" s="217"/>
      <c r="G250" s="217"/>
      <c r="H250" s="217"/>
      <c r="I250" s="217"/>
      <c r="J250" s="217"/>
      <c r="K250" s="217"/>
      <c r="L250" s="217"/>
    </row>
    <row r="251" spans="1:14" ht="12.75" customHeight="1">
      <c r="A251" s="277" t="s">
        <v>110</v>
      </c>
      <c r="B251" s="277" t="s">
        <v>111</v>
      </c>
      <c r="C251" s="277" t="s">
        <v>112</v>
      </c>
      <c r="D251" s="277" t="s">
        <v>113</v>
      </c>
      <c r="E251" s="277" t="s">
        <v>114</v>
      </c>
      <c r="F251" s="277" t="s">
        <v>115</v>
      </c>
      <c r="G251" s="277" t="s">
        <v>116</v>
      </c>
      <c r="H251" s="277" t="s">
        <v>117</v>
      </c>
      <c r="I251" s="277" t="s">
        <v>116</v>
      </c>
      <c r="J251" s="277" t="s">
        <v>118</v>
      </c>
      <c r="K251" s="277" t="s">
        <v>119</v>
      </c>
      <c r="L251" s="277" t="s">
        <v>120</v>
      </c>
    </row>
    <row r="252" spans="1:14" ht="12.75" customHeight="1">
      <c r="A252" s="262">
        <f t="shared" si="26"/>
        <v>46224</v>
      </c>
      <c r="B252" s="254">
        <f>'CHICLETS MASTER S1'!Z73</f>
        <v>0.29166666666666669</v>
      </c>
      <c r="C252" s="252" t="s">
        <v>383</v>
      </c>
      <c r="D252" s="252" t="str">
        <f t="shared" ref="D252:D253" si="30">$D$250</f>
        <v>VILLA PARK HS</v>
      </c>
      <c r="E252" s="252">
        <v>166</v>
      </c>
      <c r="F252" s="43" t="s">
        <v>1550</v>
      </c>
      <c r="G252" s="22"/>
      <c r="H252" s="43" t="s">
        <v>1542</v>
      </c>
      <c r="I252" s="22"/>
      <c r="J252" s="22"/>
      <c r="K252" s="22"/>
      <c r="L252" s="22" t="str">
        <f>IF(E252="","",$L$19&amp;"-"&amp;TEXT(E252,"000"))</f>
        <v>14GX-166</v>
      </c>
      <c r="N252" s="198" t="str">
        <f>$L$110&amp;C252</f>
        <v>ag_21-24 RR</v>
      </c>
    </row>
    <row r="253" spans="1:14" ht="12.75" customHeight="1">
      <c r="A253" s="262">
        <f t="shared" si="26"/>
        <v>46224</v>
      </c>
      <c r="B253" s="254">
        <f>'CHICLETS MASTER S1'!Z74</f>
        <v>0.33333333333333298</v>
      </c>
      <c r="C253" s="258" t="s">
        <v>1540</v>
      </c>
      <c r="D253" s="252" t="str">
        <f t="shared" si="30"/>
        <v>VILLA PARK HS</v>
      </c>
      <c r="E253" s="265">
        <v>167</v>
      </c>
      <c r="F253" s="95" t="str">
        <f>IF(G123="","bz_X1",IF(G123&lt;I123,_xlfn.CONCAT("bz_X1-",RIGHT(F123,LEN(F123) - FIND("-",F123))), _xlfn.CONCAT("bz_X1-",RIGHT(H123,LEN(H123) - FIND("-",H123)))))</f>
        <v>bz_X1</v>
      </c>
      <c r="G253" s="95"/>
      <c r="H253" s="95" t="str">
        <f>IF(G140="","bz_X2",IF(G140&lt;I140,_xlfn.CONCAT("bz_X2-",RIGHT(F140,LEN(F140) - FIND("-",F140))), _xlfn.CONCAT("bz_X2-",RIGHT(H140,LEN(H140) - FIND("-",H140)))))</f>
        <v>bz_X2</v>
      </c>
      <c r="I253" s="95"/>
      <c r="J253" s="95"/>
      <c r="K253" s="95"/>
      <c r="L253" s="95" t="str">
        <f>IF(E253="","",$L$19&amp;"-"&amp;TEXT(E253,"000"))</f>
        <v>14GX-167</v>
      </c>
      <c r="N253" s="198" t="str">
        <f>$L$111&amp;C253</f>
        <v>bz_13-15 RR</v>
      </c>
    </row>
    <row r="254" spans="1:14" ht="12.75" customHeight="1">
      <c r="A254" s="262">
        <f t="shared" si="26"/>
        <v>46224</v>
      </c>
      <c r="B254" s="254">
        <f>'CHICLETS MASTER S1'!Z75</f>
        <v>0.375</v>
      </c>
      <c r="C254" s="265" t="s">
        <v>222</v>
      </c>
      <c r="D254" s="252" t="str">
        <f>$D$250</f>
        <v>VILLA PARK HS</v>
      </c>
      <c r="E254" s="265">
        <v>183</v>
      </c>
      <c r="F254" s="95" t="str">
        <f>IF(G198="","W151",IF(G198&gt;I198,_xlfn.CONCAT("W151-",RIGHT(F198,LEN(F198) - FIND("-",F198))), _xlfn.CONCAT("W151-",RIGHT(H198,LEN(H198) - FIND("-",H198)))))</f>
        <v>W151</v>
      </c>
      <c r="G254" s="95"/>
      <c r="H254" s="95" t="str">
        <f>IF(G210="","W152",IF(G210&gt;I210,_xlfn.CONCAT("W152-",RIGHT(F210,LEN(F210) - FIND("-",F210))), _xlfn.CONCAT("W152-",RIGHT(H210,LEN(H210) - FIND("-",H210)))))</f>
        <v>W152</v>
      </c>
      <c r="I254" s="95"/>
      <c r="J254" s="95" t="s">
        <v>222</v>
      </c>
      <c r="K254" s="95" t="s">
        <v>223</v>
      </c>
      <c r="L254" s="95" t="str">
        <f>IF(E254="","",$L$19&amp;"-"&amp;TEXT(E254,"000"))</f>
        <v>14GX-183</v>
      </c>
      <c r="N254" s="198" t="str">
        <f>$L$111&amp;C254</f>
        <v>bz_9th</v>
      </c>
    </row>
    <row r="255" spans="1:14" ht="12.75" customHeight="1">
      <c r="A255" s="262">
        <f t="shared" si="26"/>
        <v>46224</v>
      </c>
      <c r="B255" s="254">
        <f>'CHICLETS MASTER S1'!Z76</f>
        <v>0.41666666666666702</v>
      </c>
      <c r="C255" s="265" t="s">
        <v>218</v>
      </c>
      <c r="D255" s="252" t="str">
        <f t="shared" ref="D255:D256" si="31">$D$250</f>
        <v>VILLA PARK HS</v>
      </c>
      <c r="E255" s="265">
        <v>184</v>
      </c>
      <c r="F255" s="95" t="str">
        <f>IF(G198="","L151",IF(G198&lt;I198,_xlfn.CONCAT("L151-",RIGHT(F198,LEN(F198) - FIND("-",F198))), _xlfn.CONCAT("L151-",RIGHT(H198,LEN(H198) - FIND("-",H198)))))</f>
        <v>L151</v>
      </c>
      <c r="G255" s="95"/>
      <c r="H255" s="95" t="str">
        <f>IF(G210="","L152",IF(G210&lt;I210,_xlfn.CONCAT("L152-",RIGHT(F210,LEN(F210) - FIND("-",F210))), _xlfn.CONCAT("L152-",RIGHT(H210,LEN(H210) - FIND("-",H210)))))</f>
        <v>L152</v>
      </c>
      <c r="I255" s="95"/>
      <c r="J255" s="95" t="s">
        <v>218</v>
      </c>
      <c r="K255" s="95" t="s">
        <v>219</v>
      </c>
      <c r="L255" s="95" t="str">
        <f>IF(E255="","",$L$19&amp;"-"&amp;TEXT(E255,"000"))</f>
        <v>14GX-184</v>
      </c>
      <c r="N255" s="198" t="str">
        <f>$L$111&amp;C255</f>
        <v>bz_11th</v>
      </c>
    </row>
    <row r="256" spans="1:14" ht="12.75" customHeight="1">
      <c r="A256" s="262">
        <f t="shared" si="26"/>
        <v>46224</v>
      </c>
      <c r="B256" s="254">
        <f>'CHICLETS MASTER S1'!Z77</f>
        <v>0.45833333333333298</v>
      </c>
      <c r="C256" s="258" t="s">
        <v>1540</v>
      </c>
      <c r="D256" s="252" t="str">
        <f t="shared" si="31"/>
        <v>VILLA PARK HS</v>
      </c>
      <c r="E256" s="265">
        <v>179</v>
      </c>
      <c r="F256" s="95" t="str">
        <f>IF(G140="","bz_X2",IF(G140&lt;I140,_xlfn.CONCAT("bz_X2-",RIGHT(F140,LEN(F140) - FIND("-",F140))), _xlfn.CONCAT("bz_X2-",RIGHT(H140,LEN(H140) - FIND("-",H140)))))</f>
        <v>bz_X2</v>
      </c>
      <c r="G256" s="95"/>
      <c r="H256" s="95" t="str">
        <f>IF(G173="","bz_X3",IF(G173&lt;I173,_xlfn.CONCAT("bz_X3-",RIGHT(F173,LEN(F173) - FIND("-",F173))), _xlfn.CONCAT("bz_X3-",RIGHT(H173,LEN(H173) - FIND("-",H173)))))</f>
        <v>bz_X3</v>
      </c>
      <c r="I256" s="95"/>
      <c r="J256" s="95"/>
      <c r="K256" s="95"/>
      <c r="L256" s="95" t="str">
        <f>IF(E256="","",$L$19&amp;"-"&amp;TEXT(E256,"000"))</f>
        <v>14GX-179</v>
      </c>
      <c r="N256" s="198" t="str">
        <f>$L$111&amp;C256</f>
        <v>bz_13-15 RR</v>
      </c>
    </row>
    <row r="257" spans="1:14" ht="12.75" customHeight="1" thickBot="1"/>
    <row r="258" spans="1:14" s="202" customFormat="1" ht="12.75" customHeight="1" thickBot="1">
      <c r="A258" s="221"/>
      <c r="B258" s="222"/>
      <c r="D258" s="212" t="str">
        <f>'CHICLETS MASTER S1'!$AE$72</f>
        <v>OCEAN VIEW HS 1</v>
      </c>
      <c r="E258" s="217"/>
      <c r="F258" s="217"/>
      <c r="G258" s="217"/>
      <c r="H258" s="217"/>
      <c r="I258" s="217"/>
      <c r="J258" s="217"/>
      <c r="K258" s="217"/>
      <c r="L258" s="217"/>
    </row>
    <row r="259" spans="1:14" ht="12.75" customHeight="1">
      <c r="A259" s="277" t="s">
        <v>110</v>
      </c>
      <c r="B259" s="277" t="s">
        <v>111</v>
      </c>
      <c r="C259" s="277" t="s">
        <v>112</v>
      </c>
      <c r="D259" s="277" t="s">
        <v>113</v>
      </c>
      <c r="E259" s="277" t="s">
        <v>114</v>
      </c>
      <c r="F259" s="277" t="s">
        <v>115</v>
      </c>
      <c r="G259" s="277" t="s">
        <v>116</v>
      </c>
      <c r="H259" s="277" t="s">
        <v>117</v>
      </c>
      <c r="I259" s="277" t="s">
        <v>116</v>
      </c>
      <c r="J259" s="277" t="s">
        <v>118</v>
      </c>
      <c r="K259" s="277" t="s">
        <v>119</v>
      </c>
      <c r="L259" s="277" t="s">
        <v>120</v>
      </c>
    </row>
    <row r="260" spans="1:14" ht="12.75" customHeight="1">
      <c r="A260" s="262">
        <f t="shared" ref="A260:A273" si="32">$A$240</f>
        <v>46224</v>
      </c>
      <c r="B260" s="254">
        <f>'CHICLETS MASTER S1'!Z73</f>
        <v>0.29166666666666669</v>
      </c>
      <c r="C260" s="265" t="s">
        <v>222</v>
      </c>
      <c r="D260" s="252" t="str">
        <f>$D$258</f>
        <v>OCEAN VIEW HS 1</v>
      </c>
      <c r="E260" s="252">
        <v>182</v>
      </c>
      <c r="F260" s="43" t="str">
        <f>IF(G222="","W149",IF(G222&gt;I222,_xlfn.CONCAT("W149-",RIGHT(F222,LEN(F222) - FIND("-",F222))), _xlfn.CONCAT("W149-",RIGHT(H222,LEN(H222) - FIND("-",H222)))))</f>
        <v>W149</v>
      </c>
      <c r="G260" s="22"/>
      <c r="H260" s="43" t="str">
        <f>IF(G235="","W150",IF(G235&gt;I235,_xlfn.CONCAT("W150-",RIGHT(F235,LEN(F235) - FIND("-",F235))), _xlfn.CONCAT("W150-",RIGHT(H235,LEN(H235) - FIND("-",H235)))))</f>
        <v>W150</v>
      </c>
      <c r="I260" s="22"/>
      <c r="J260" s="22" t="s">
        <v>222</v>
      </c>
      <c r="K260" s="22" t="s">
        <v>223</v>
      </c>
      <c r="L260" s="22" t="str">
        <f>IF(E260="","",$L$19&amp;"-"&amp;TEXT(E260,"000"))</f>
        <v>14GX-182</v>
      </c>
      <c r="N260" s="198" t="str">
        <f>$L$110&amp;C260</f>
        <v>ag_9th</v>
      </c>
    </row>
    <row r="261" spans="1:14" ht="12.75" customHeight="1">
      <c r="A261" s="262">
        <f t="shared" si="32"/>
        <v>46224</v>
      </c>
      <c r="B261" s="254">
        <f>'CHICLETS MASTER S1'!Z74</f>
        <v>0.33333333333333298</v>
      </c>
      <c r="C261" s="252" t="s">
        <v>220</v>
      </c>
      <c r="D261" s="252" t="str">
        <f>$D$258</f>
        <v>OCEAN VIEW HS 1</v>
      </c>
      <c r="E261" s="252">
        <v>185</v>
      </c>
      <c r="F261" s="43" t="str">
        <f>IF(G221="","L145",IF(G221&lt;I221,_xlfn.CONCAT("L145-",RIGHT(F221,LEN(F221) - FIND("-",F221))), _xlfn.CONCAT("L145-",RIGHT(H221,LEN(H221) - FIND("-",H221)))))</f>
        <v>L145</v>
      </c>
      <c r="G261" s="22"/>
      <c r="H261" s="43" t="str">
        <f>IF(G234="","L146",IF(G234&lt;I234,_xlfn.CONCAT("L146-",RIGHT(F234,LEN(F234) - FIND("-",F234))), _xlfn.CONCAT("L146-",RIGHT(H234,LEN(H234) - FIND("-",H234)))))</f>
        <v>L146</v>
      </c>
      <c r="I261" s="22"/>
      <c r="J261" s="22" t="s">
        <v>220</v>
      </c>
      <c r="K261" s="22" t="s">
        <v>221</v>
      </c>
      <c r="L261" s="22" t="str">
        <f>IF(E261="","",$L$19&amp;"-"&amp;TEXT(E261,"000"))</f>
        <v>14GX-185</v>
      </c>
      <c r="N261" s="198" t="str">
        <f>$L$110&amp;C261</f>
        <v>ag_7th</v>
      </c>
    </row>
    <row r="262" spans="1:14" ht="12.75" customHeight="1">
      <c r="A262" s="262">
        <f>$A$240</f>
        <v>46224</v>
      </c>
      <c r="B262" s="254">
        <f>'CHICLETS MASTER S1'!Z75</f>
        <v>0.375</v>
      </c>
      <c r="C262" s="265" t="s">
        <v>206</v>
      </c>
      <c r="D262" s="252" t="str">
        <f>$D$258</f>
        <v>OCEAN VIEW HS 1</v>
      </c>
      <c r="E262" s="252">
        <v>186</v>
      </c>
      <c r="F262" s="43" t="str">
        <f>IF(G224="","L161",IF(G224&lt;I224,_xlfn.CONCAT("L161-",RIGHT(F224,LEN(F224) - FIND("-",F224))), _xlfn.CONCAT("L161-",RIGHT(H224,LEN(H224) - FIND("-",H224)))))</f>
        <v>L161</v>
      </c>
      <c r="G262" s="22"/>
      <c r="H262" s="43" t="str">
        <f>IF(G225="","L162",IF(G225&lt;I225,_xlfn.CONCAT("L162-",RIGHT(F225,LEN(F225) - FIND("-",F225))), _xlfn.CONCAT("L162-",RIGHT(H225,LEN(H225) - FIND("-",H225)))))</f>
        <v>L162</v>
      </c>
      <c r="I262" s="22"/>
      <c r="J262" s="22" t="s">
        <v>206</v>
      </c>
      <c r="K262" s="22" t="s">
        <v>209</v>
      </c>
      <c r="L262" s="22" t="str">
        <f>IF(E262="","",$L$19&amp;"-"&amp;TEXT(E262,"000"))</f>
        <v>14GX-186</v>
      </c>
      <c r="N262" s="198" t="str">
        <f>$L$110&amp;C262</f>
        <v>ag_5th</v>
      </c>
    </row>
    <row r="263" spans="1:14" ht="12.75" customHeight="1">
      <c r="A263" s="262">
        <f t="shared" si="32"/>
        <v>46224</v>
      </c>
      <c r="B263" s="254">
        <f>'CHICLETS MASTER S1'!Z76</f>
        <v>0.41666666666666702</v>
      </c>
      <c r="C263" s="265" t="s">
        <v>206</v>
      </c>
      <c r="D263" s="252" t="str">
        <f>$D$258</f>
        <v>OCEAN VIEW HS 1</v>
      </c>
      <c r="E263" s="265">
        <v>187</v>
      </c>
      <c r="F263" s="95" t="str">
        <f>IF(G207="","L163",IF(G207&lt;I207,_xlfn.CONCAT("L163-",RIGHT(F207,LEN(F207) - FIND("-",F207))), _xlfn.CONCAT("L163-",RIGHT(H207,LEN(H207) - FIND("-",H207)))))</f>
        <v>L163</v>
      </c>
      <c r="G263" s="95"/>
      <c r="H263" s="95" t="str">
        <f>IF(G199="","L164",IF(G199&lt;I199,_xlfn.CONCAT("L164-",RIGHT(F199,LEN(F199) - FIND("-",F199))), _xlfn.CONCAT("L164-",RIGHT(H199,LEN(H199) - FIND("-",H199)))))</f>
        <v>L164</v>
      </c>
      <c r="I263" s="95"/>
      <c r="J263" s="95" t="s">
        <v>206</v>
      </c>
      <c r="K263" s="95" t="s">
        <v>209</v>
      </c>
      <c r="L263" s="95" t="str">
        <f>IF(E263="","",$L$19&amp;"-"&amp;TEXT(E263,"000"))</f>
        <v>14GX-187</v>
      </c>
      <c r="N263" s="198" t="str">
        <f t="shared" ref="N263:N264" si="33">$L$111&amp;C263</f>
        <v>bz_5th</v>
      </c>
    </row>
    <row r="264" spans="1:14" ht="12.75" customHeight="1">
      <c r="A264" s="262">
        <f t="shared" si="32"/>
        <v>46224</v>
      </c>
      <c r="B264" s="254">
        <f>'CHICLETS MASTER S1'!Z77</f>
        <v>0.45833333333333298</v>
      </c>
      <c r="C264" s="265" t="s">
        <v>220</v>
      </c>
      <c r="D264" s="252" t="str">
        <f>$D$258</f>
        <v>OCEAN VIEW HS 1</v>
      </c>
      <c r="E264" s="265">
        <v>188</v>
      </c>
      <c r="F264" s="95" t="str">
        <f>IF(G197="","L147",IF(G197&lt;I197,_xlfn.CONCAT("L147-",RIGHT(F197,LEN(F197) - FIND("-",F197))), _xlfn.CONCAT("L147-",RIGHT(H197,LEN(H197) - FIND("-",H197)))))</f>
        <v>L147</v>
      </c>
      <c r="G264" s="95"/>
      <c r="H264" s="95" t="str">
        <f>IF(G209="","L148",IF(G209&lt;I209,_xlfn.CONCAT("L148-",RIGHT(F209,LEN(F209) - FIND("-",F209))), _xlfn.CONCAT("L148-",RIGHT(H209,LEN(H209) - FIND("-",H209)))))</f>
        <v>L148</v>
      </c>
      <c r="I264" s="95"/>
      <c r="J264" s="95" t="s">
        <v>220</v>
      </c>
      <c r="K264" s="95" t="s">
        <v>221</v>
      </c>
      <c r="L264" s="95" t="str">
        <f>IF(E264="","",$L$19&amp;"-"&amp;TEXT(E264,"000"))</f>
        <v>14GX-188</v>
      </c>
      <c r="N264" s="198" t="str">
        <f t="shared" si="33"/>
        <v>bz_7th</v>
      </c>
    </row>
    <row r="265" spans="1:14" ht="12.75" customHeight="1" thickBot="1"/>
    <row r="266" spans="1:14" s="202" customFormat="1" ht="12.75" customHeight="1" thickBot="1">
      <c r="A266" s="221"/>
      <c r="B266" s="222"/>
      <c r="D266" s="212" t="str">
        <f>'CHICLETS MASTER S1'!$W$72</f>
        <v>BECKMAN HS 1</v>
      </c>
      <c r="E266" s="217"/>
      <c r="F266" s="217"/>
      <c r="G266" s="217"/>
      <c r="H266" s="217"/>
      <c r="I266" s="217"/>
      <c r="J266" s="217"/>
      <c r="K266" s="217"/>
      <c r="L266" s="217"/>
    </row>
    <row r="267" spans="1:14" ht="12.75" customHeight="1">
      <c r="A267" s="277" t="s">
        <v>110</v>
      </c>
      <c r="B267" s="277" t="s">
        <v>111</v>
      </c>
      <c r="C267" s="277" t="s">
        <v>112</v>
      </c>
      <c r="D267" s="277" t="s">
        <v>113</v>
      </c>
      <c r="E267" s="277" t="s">
        <v>114</v>
      </c>
      <c r="F267" s="277" t="s">
        <v>115</v>
      </c>
      <c r="G267" s="277" t="s">
        <v>116</v>
      </c>
      <c r="H267" s="277" t="s">
        <v>117</v>
      </c>
      <c r="I267" s="277" t="s">
        <v>116</v>
      </c>
      <c r="J267" s="277" t="s">
        <v>118</v>
      </c>
      <c r="K267" s="277" t="s">
        <v>119</v>
      </c>
      <c r="L267" s="277" t="s">
        <v>120</v>
      </c>
    </row>
    <row r="268" spans="1:14" ht="12.75" customHeight="1">
      <c r="A268" s="262">
        <f t="shared" si="32"/>
        <v>46224</v>
      </c>
      <c r="B268" s="254">
        <f>'CHICLETS MASTER S1'!Z73</f>
        <v>0.29166666666666669</v>
      </c>
      <c r="C268" s="265" t="s">
        <v>224</v>
      </c>
      <c r="D268" s="252" t="str">
        <f>$D$266</f>
        <v>BECKMAN HS 1</v>
      </c>
      <c r="E268" s="265">
        <v>171</v>
      </c>
      <c r="F268" s="95" t="str">
        <f>IF(G196="","W124",IF(G196&gt;I196,_xlfn.CONCAT("W124-",RIGHT(F196,LEN(F196) - FIND("-",F196))), _xlfn.CONCAT("W124-",RIGHT(H196,LEN(H196) - FIND("-",H196)))))</f>
        <v>W124</v>
      </c>
      <c r="G268" s="95"/>
      <c r="H268" s="95" t="str">
        <f>IF(G207="","W163",IF(G207&gt;I207,_xlfn.CONCAT("W163-",RIGHT(F207,LEN(F207) - FIND("-",F207))), _xlfn.CONCAT("W163-",RIGHT(H207,LEN(H207) - FIND("-",H207)))))</f>
        <v>W163</v>
      </c>
      <c r="I268" s="95"/>
      <c r="J268" s="95">
        <v>191</v>
      </c>
      <c r="K268" s="95">
        <v>192</v>
      </c>
      <c r="L268" s="95" t="str">
        <f t="shared" ref="L268:L275" si="34">IF(E268="","",$L$19&amp;"-"&amp;TEXT(E268,"000"))</f>
        <v>14GX-171</v>
      </c>
      <c r="N268" s="198" t="str">
        <f>$L$111&amp;C268</f>
        <v>bz_semi</v>
      </c>
    </row>
    <row r="269" spans="1:14" ht="12.75" customHeight="1">
      <c r="A269" s="262">
        <f t="shared" si="32"/>
        <v>46224</v>
      </c>
      <c r="B269" s="254">
        <f>'CHICLETS MASTER S1'!Z74</f>
        <v>0.33333333333333298</v>
      </c>
      <c r="C269" s="265" t="s">
        <v>224</v>
      </c>
      <c r="D269" s="252" t="str">
        <f t="shared" ref="D269:D275" si="35">$D$266</f>
        <v>BECKMAN HS 1</v>
      </c>
      <c r="E269" s="265">
        <v>172</v>
      </c>
      <c r="F269" s="95" t="str">
        <f>IF(G195="","W123",IF(G195&gt;I195,_xlfn.CONCAT("W123-",RIGHT(F195,LEN(F195) - FIND("-",F195))), _xlfn.CONCAT("W123-",RIGHT(H195,LEN(H195) - FIND("-",H195)))))</f>
        <v>W123</v>
      </c>
      <c r="G269" s="95"/>
      <c r="H269" s="95" t="str">
        <f>IF(G199="","W164",IF(G199&gt;I199,_xlfn.CONCAT("W164-",RIGHT(F199,LEN(F199) - FIND("-",F199))), _xlfn.CONCAT("W164-",RIGHT(H199,LEN(H199) - FIND("-",H199)))))</f>
        <v>W164</v>
      </c>
      <c r="I269" s="95"/>
      <c r="J269" s="95">
        <v>191</v>
      </c>
      <c r="K269" s="95">
        <v>192</v>
      </c>
      <c r="L269" s="95" t="str">
        <f t="shared" si="34"/>
        <v>14GX-172</v>
      </c>
      <c r="N269" s="198" t="str">
        <f>$L$111&amp;C269</f>
        <v>bz_semi</v>
      </c>
    </row>
    <row r="270" spans="1:14" ht="12.75" customHeight="1">
      <c r="A270" s="262">
        <f t="shared" si="26"/>
        <v>46224</v>
      </c>
      <c r="B270" s="254">
        <f>'CHICLETS MASTER S1'!Z75</f>
        <v>0.375</v>
      </c>
      <c r="C270" s="265" t="s">
        <v>224</v>
      </c>
      <c r="D270" s="252" t="str">
        <f t="shared" si="35"/>
        <v>BECKMAN HS 1</v>
      </c>
      <c r="E270" s="252">
        <v>173</v>
      </c>
      <c r="F270" s="43" t="str">
        <f>IF(G190="","W122",IF(G190&gt;I190,_xlfn.CONCAT("W122-",RIGHT(F190,LEN(F190) - FIND("-",F190))), _xlfn.CONCAT("W122-",RIGHT(H190,LEN(H190) - FIND("-",H190)))))</f>
        <v>W122</v>
      </c>
      <c r="G270" s="22"/>
      <c r="H270" s="43" t="str">
        <f>IF(G224="","W161",IF(G224&gt;I224,_xlfn.CONCAT("W161-",RIGHT(F224,LEN(F224) - FIND("-",F224))), _xlfn.CONCAT("W161-",RIGHT(H224,LEN(H224) - FIND("-",H224)))))</f>
        <v>W161</v>
      </c>
      <c r="I270" s="22"/>
      <c r="J270" s="22">
        <v>189</v>
      </c>
      <c r="K270" s="22">
        <v>190</v>
      </c>
      <c r="L270" s="22" t="str">
        <f t="shared" si="34"/>
        <v>14GX-173</v>
      </c>
      <c r="N270" s="198" t="str">
        <f>$L$110&amp;C270</f>
        <v>ag_semi</v>
      </c>
    </row>
    <row r="271" spans="1:14" ht="12.75" customHeight="1">
      <c r="A271" s="262">
        <f t="shared" si="26"/>
        <v>46224</v>
      </c>
      <c r="B271" s="254">
        <f>'CHICLETS MASTER S1'!Z76</f>
        <v>0.41666666666666702</v>
      </c>
      <c r="C271" s="265" t="s">
        <v>224</v>
      </c>
      <c r="D271" s="252" t="str">
        <f t="shared" si="35"/>
        <v>BECKMAN HS 1</v>
      </c>
      <c r="E271" s="252">
        <v>174</v>
      </c>
      <c r="F271" s="43" t="str">
        <f>IF(G203="","W121",IF(G203&gt;I203,_xlfn.CONCAT("W121-",RIGHT(F203,LEN(F203) - FIND("-",F203))), _xlfn.CONCAT("W121-",RIGHT(H203,LEN(H203) - FIND("-",H203)))))</f>
        <v>W121</v>
      </c>
      <c r="G271" s="22"/>
      <c r="H271" s="43" t="str">
        <f>IF(G225="","W162",IF(G225&gt;I225,_xlfn.CONCAT("W162-",RIGHT(F225,LEN(F225) - FIND("-",F225))), _xlfn.CONCAT("W162-",RIGHT(H225,LEN(H225) - FIND("-",H225)))))</f>
        <v>W162</v>
      </c>
      <c r="I271" s="22"/>
      <c r="J271" s="22">
        <v>189</v>
      </c>
      <c r="K271" s="22">
        <v>190</v>
      </c>
      <c r="L271" s="22" t="str">
        <f t="shared" si="34"/>
        <v>14GX-174</v>
      </c>
      <c r="N271" s="198" t="str">
        <f>$L$110&amp;C271</f>
        <v>ag_semi</v>
      </c>
    </row>
    <row r="272" spans="1:14" ht="12.75" customHeight="1">
      <c r="A272" s="262">
        <f t="shared" si="32"/>
        <v>46224</v>
      </c>
      <c r="B272" s="254">
        <f>'CHICLETS MASTER S1'!Z77</f>
        <v>0.45833333333333298</v>
      </c>
      <c r="C272" s="265" t="s">
        <v>210</v>
      </c>
      <c r="D272" s="252" t="str">
        <f t="shared" si="35"/>
        <v>BECKMAN HS 1</v>
      </c>
      <c r="E272" s="265">
        <v>192</v>
      </c>
      <c r="F272" s="95" t="str">
        <f>IF(G268="","L171",IF(G268&lt;I268,_xlfn.CONCAT("L171-",RIGHT(F268,LEN(F268) - FIND("-",F268))), _xlfn.CONCAT("L171-",RIGHT(H268,LEN(H268) - FIND("-",H268)))))</f>
        <v>L171</v>
      </c>
      <c r="G272" s="95"/>
      <c r="H272" s="95" t="str">
        <f>IF(G269="","L172",IF(G269&lt;I269,_xlfn.CONCAT("L172-",RIGHT(F269,LEN(F269) - FIND("-",F269))), _xlfn.CONCAT("L172-",RIGHT(H269,LEN(H269) - FIND("-",H269)))))</f>
        <v>L172</v>
      </c>
      <c r="I272" s="95"/>
      <c r="J272" s="95" t="s">
        <v>210</v>
      </c>
      <c r="K272" s="95" t="s">
        <v>213</v>
      </c>
      <c r="L272" s="95" t="str">
        <f t="shared" si="34"/>
        <v>14GX-192</v>
      </c>
      <c r="N272" s="198" t="str">
        <f>$L$111&amp;C272</f>
        <v>bz_3rd</v>
      </c>
    </row>
    <row r="273" spans="1:14" ht="12.75" customHeight="1">
      <c r="A273" s="262">
        <f t="shared" si="32"/>
        <v>46224</v>
      </c>
      <c r="B273" s="254">
        <f>'CHICLETS MASTER S1'!Z78</f>
        <v>0.5</v>
      </c>
      <c r="C273" s="265" t="s">
        <v>214</v>
      </c>
      <c r="D273" s="252" t="str">
        <f t="shared" si="35"/>
        <v>BECKMAN HS 1</v>
      </c>
      <c r="E273" s="265">
        <v>191</v>
      </c>
      <c r="F273" s="95" t="str">
        <f>IF(G268="","W171",IF(G268&gt;I268,_xlfn.CONCAT("W171-",RIGHT(F268,LEN(F268) - FIND("-",F268))), _xlfn.CONCAT("W171-",RIGHT(H268,LEN(H268) - FIND("-",H268)))))</f>
        <v>W171</v>
      </c>
      <c r="G273" s="95"/>
      <c r="H273" s="95" t="str">
        <f>IF(G269="","W172",IF(G269&gt;I269,_xlfn.CONCAT("W172-",RIGHT(F269,LEN(F269) - FIND("-",F269))), _xlfn.CONCAT("W172-",RIGHT(H269,LEN(H269) - FIND("-",H269)))))</f>
        <v>W172</v>
      </c>
      <c r="I273" s="95"/>
      <c r="J273" s="95" t="s">
        <v>214</v>
      </c>
      <c r="K273" s="95" t="s">
        <v>217</v>
      </c>
      <c r="L273" s="95" t="str">
        <f t="shared" si="34"/>
        <v>14GX-191</v>
      </c>
      <c r="N273" s="198" t="str">
        <f>$L$111&amp;C273</f>
        <v>bz_1st</v>
      </c>
    </row>
    <row r="274" spans="1:14" ht="12.75" customHeight="1">
      <c r="A274" s="262">
        <f>$A$240</f>
        <v>46224</v>
      </c>
      <c r="B274" s="254">
        <f>'CHICLETS MASTER S1'!Z79</f>
        <v>0.54166666666666696</v>
      </c>
      <c r="C274" s="265" t="s">
        <v>210</v>
      </c>
      <c r="D274" s="252" t="str">
        <f t="shared" si="35"/>
        <v>BECKMAN HS 1</v>
      </c>
      <c r="E274" s="252">
        <v>190</v>
      </c>
      <c r="F274" s="43" t="str">
        <f>IF(G270="","L173",IF(G270&lt;I270,_xlfn.CONCAT("L173-",RIGHT(F270,LEN(F270) - FIND("-",F270))), _xlfn.CONCAT("L173-",RIGHT(H270,LEN(H270) - FIND("-",H270)))))</f>
        <v>L173</v>
      </c>
      <c r="G274" s="22"/>
      <c r="H274" s="43" t="str">
        <f>IF(G271="","L174",IF(G271&lt;I271,_xlfn.CONCAT("L174-",RIGHT(F271,LEN(F271) - FIND("-",F271))), _xlfn.CONCAT("L174-",RIGHT(H271,LEN(H271) - FIND("-",H271)))))</f>
        <v>L174</v>
      </c>
      <c r="I274" s="22"/>
      <c r="J274" s="22" t="s">
        <v>210</v>
      </c>
      <c r="K274" s="22" t="s">
        <v>213</v>
      </c>
      <c r="L274" s="22" t="str">
        <f t="shared" si="34"/>
        <v>14GX-190</v>
      </c>
      <c r="N274" s="198" t="str">
        <f>$L$110&amp;C274</f>
        <v>ag_3rd</v>
      </c>
    </row>
    <row r="275" spans="1:14" ht="12.75" customHeight="1">
      <c r="A275" s="262">
        <f>$A$240</f>
        <v>46224</v>
      </c>
      <c r="B275" s="254">
        <f>'CHICLETS MASTER S1'!Z80</f>
        <v>0.58333333333333304</v>
      </c>
      <c r="C275" s="265" t="s">
        <v>214</v>
      </c>
      <c r="D275" s="252" t="str">
        <f t="shared" si="35"/>
        <v>BECKMAN HS 1</v>
      </c>
      <c r="E275" s="252">
        <v>189</v>
      </c>
      <c r="F275" s="43" t="str">
        <f>IF(G270="","W173",IF(G270&gt;I270,_xlfn.CONCAT("W173-",RIGHT(F270,LEN(F270) - FIND("-",F270))), _xlfn.CONCAT("W173-",RIGHT(H270,LEN(H270) - FIND("-",H270)))))</f>
        <v>W173</v>
      </c>
      <c r="G275" s="22"/>
      <c r="H275" s="43" t="str">
        <f>IF(G271="","W174",IF(G271&gt;I271,_xlfn.CONCAT("W174-",RIGHT(F271,LEN(F271) - FIND("-",F271))), _xlfn.CONCAT("W174-",RIGHT(H271,LEN(H271) - FIND("-",H271)))))</f>
        <v>W174</v>
      </c>
      <c r="I275" s="22"/>
      <c r="J275" s="22" t="s">
        <v>214</v>
      </c>
      <c r="K275" s="22" t="s">
        <v>217</v>
      </c>
      <c r="L275" s="266" t="str">
        <f t="shared" si="34"/>
        <v>14GX-189</v>
      </c>
      <c r="N275" s="198" t="str">
        <f>$L$110&amp;C275</f>
        <v>ag_1st</v>
      </c>
    </row>
    <row r="277" spans="1:14" ht="12.75" customHeight="1">
      <c r="A277" s="22" t="s">
        <v>1240</v>
      </c>
      <c r="B277" s="2"/>
      <c r="C277" s="95" t="s">
        <v>1560</v>
      </c>
      <c r="D277" s="2"/>
    </row>
    <row r="278" spans="1:14" ht="12.75" customHeight="1">
      <c r="A278" s="68" t="s">
        <v>214</v>
      </c>
      <c r="B278" s="267" t="str">
        <f>IF(G275="","W189",IF(G275&gt;I275,_xlfn.CONCAT("W189-",RIGHT(F275,LEN(F275) - FIND("-",F275))), _xlfn.CONCAT("W189-",RIGHT(H275,LEN(H275) - FIND("-",H275)))))</f>
        <v>W189</v>
      </c>
      <c r="C278" s="95" t="s">
        <v>214</v>
      </c>
      <c r="D278" s="10" t="str">
        <f>IF(G273="","W191",IF(G273&gt;I273,_xlfn.CONCAT("W191-",RIGHT(F273,LEN(F273) - FIND("-",F273))), _xlfn.CONCAT("W191-",RIGHT(H273,LEN(H273) - FIND("-",H273)))))</f>
        <v>W191</v>
      </c>
    </row>
    <row r="279" spans="1:14" ht="12.75" customHeight="1">
      <c r="A279" s="68" t="s">
        <v>217</v>
      </c>
      <c r="B279" s="267" t="str">
        <f>IF(G275="","L189",IF(G275&lt;I275,_xlfn.CONCAT("L189-",RIGHT(F275,LEN(F275) - FIND("-",F275))), _xlfn.CONCAT("L189-",RIGHT(H275,LEN(H275) - FIND("-",H275)))))</f>
        <v>L189</v>
      </c>
      <c r="C279" s="95" t="s">
        <v>217</v>
      </c>
      <c r="D279" s="10" t="str">
        <f>IF(G273="","L191",IF(G273&lt;I273,_xlfn.CONCAT("L191-",RIGHT(F273,LEN(F273) - FIND("-",F273))), _xlfn.CONCAT("L191-",RIGHT(H273,LEN(H273) - FIND("-",H273)))))</f>
        <v>L191</v>
      </c>
    </row>
    <row r="280" spans="1:14" ht="12.75" customHeight="1">
      <c r="A280" s="68" t="s">
        <v>210</v>
      </c>
      <c r="B280" s="267" t="str">
        <f>IF(G274="","W190",IF(G274&gt;I274,_xlfn.CONCAT("W190-",RIGHT(F274,LEN(F274) - FIND("-",F274))), _xlfn.CONCAT("W190-",RIGHT(H274,LEN(H274) - FIND("-",H274)))))</f>
        <v>W190</v>
      </c>
      <c r="C280" s="95" t="s">
        <v>210</v>
      </c>
      <c r="D280" s="10" t="str">
        <f>IF(G272="","W192",IF(G272&gt;I272,_xlfn.CONCAT("W192-",RIGHT(F272,LEN(F272) - FIND("-",F272))), _xlfn.CONCAT("W192-",RIGHT(H272,LEN(H272) - FIND("-",H272)))))</f>
        <v>W192</v>
      </c>
    </row>
    <row r="281" spans="1:14" ht="12.75" customHeight="1">
      <c r="A281" s="68" t="s">
        <v>213</v>
      </c>
      <c r="B281" s="267" t="str">
        <f>IF(G274="","L190",IF(G274&lt;I274,_xlfn.CONCAT("L190-",RIGHT(F274,LEN(F274) - FIND("-",F274))), _xlfn.CONCAT("L190-",RIGHT(H274,LEN(H274) - FIND("-",H274)))))</f>
        <v>L190</v>
      </c>
      <c r="C281" s="95" t="s">
        <v>213</v>
      </c>
      <c r="D281" s="10" t="str">
        <f>IF(G272="","W192",IF(G272&lt;I272,_xlfn.CONCAT("W192-",RIGHT(F272,LEN(F272) - FIND("-",F272))), _xlfn.CONCAT("W192-",RIGHT(H272,LEN(H272) - FIND("-",H272)))))</f>
        <v>W192</v>
      </c>
    </row>
    <row r="282" spans="1:14" ht="12.75" customHeight="1">
      <c r="A282" s="68" t="s">
        <v>206</v>
      </c>
      <c r="B282" s="267" t="str">
        <f>IF(G262="","W186",IF(G262&gt;I262,_xlfn.CONCAT("W186-",RIGHT(F262,LEN(F262) - FIND("-",F262))), _xlfn.CONCAT("W186-",RIGHT(H262,LEN(H262) - FIND("-",H262)))))</f>
        <v>W186</v>
      </c>
      <c r="C282" s="95" t="s">
        <v>206</v>
      </c>
      <c r="D282" s="10" t="str">
        <f>IF(G263="","W187",IF(G263&gt;I263,_xlfn.CONCAT("W187-",RIGHT(F263,LEN(F263) - FIND("-",F263))), _xlfn.CONCAT("W187-",RIGHT(H263,LEN(H263) - FIND("-",H263)))))</f>
        <v>W187</v>
      </c>
    </row>
    <row r="283" spans="1:14" ht="12.75" customHeight="1">
      <c r="A283" s="68" t="s">
        <v>209</v>
      </c>
      <c r="B283" s="267" t="str">
        <f>IF(G262="","L186",IF(G262&lt;I262,_xlfn.CONCAT("L186-",RIGHT(F262,LEN(F262) - FIND("-",F262))), _xlfn.CONCAT("L186-",RIGHT(H262,LEN(H262) - FIND("-",H262)))))</f>
        <v>L186</v>
      </c>
      <c r="C283" s="95" t="s">
        <v>209</v>
      </c>
      <c r="D283" s="10" t="str">
        <f>IF(G263="","L187",IF(G263&lt;I263,_xlfn.CONCAT("L187-",RIGHT(F263,LEN(F263) - FIND("-",F263))), _xlfn.CONCAT("L187-",RIGHT(H263,LEN(H263) - FIND("-",H263)))))</f>
        <v>L187</v>
      </c>
    </row>
    <row r="284" spans="1:14" ht="12.75" customHeight="1">
      <c r="A284" s="68" t="s">
        <v>220</v>
      </c>
      <c r="B284" s="267" t="str">
        <f>IF(G261="","W185",IF(G261&gt;I261,_xlfn.CONCAT("W185-",RIGHT(F261,LEN(F261) - FIND("-",F261))), _xlfn.CONCAT("W185-",RIGHT(H261,LEN(H261) - FIND("-",H261)))))</f>
        <v>W185</v>
      </c>
      <c r="C284" s="95" t="s">
        <v>220</v>
      </c>
      <c r="D284" s="10" t="str">
        <f>IF(G264="","W188",IF(G264&gt;I264,_xlfn.CONCAT("W188-",RIGHT(F264,LEN(F264) - FIND("-",F264))), _xlfn.CONCAT("W188-",RIGHT(H264,LEN(H264) - FIND("-",H264)))))</f>
        <v>W188</v>
      </c>
    </row>
    <row r="285" spans="1:14" ht="12.75" customHeight="1">
      <c r="A285" s="68" t="s">
        <v>221</v>
      </c>
      <c r="B285" s="267" t="str">
        <f>IF(G261="","L185",IF(G261&lt;I261,_xlfn.CONCAT("L185-",RIGHT(F261,LEN(F261) - FIND("-",F261))), _xlfn.CONCAT("L185-",RIGHT(H261,LEN(H261) - FIND("-",H261)))))</f>
        <v>L185</v>
      </c>
      <c r="C285" s="95" t="s">
        <v>221</v>
      </c>
      <c r="D285" s="10" t="str">
        <f>IF(G264="","L188",IF(G264&lt;I264,_xlfn.CONCAT("L188-",RIGHT(F264,LEN(F264) - FIND("-",F264))), _xlfn.CONCAT("L188-",RIGHT(H264,LEN(H264) - FIND("-",H264)))))</f>
        <v>L188</v>
      </c>
    </row>
    <row r="286" spans="1:14" ht="12.75" customHeight="1">
      <c r="A286" s="68" t="s">
        <v>222</v>
      </c>
      <c r="B286" s="267" t="str">
        <f>IF(G260="","W182",IF(G260&gt;I260,_xlfn.CONCAT("W182-",RIGHT(F260,LEN(F260) - FIND("-",F260))), _xlfn.CONCAT("W182-",RIGHT(H260,LEN(H260) - FIND("-",H260)))))</f>
        <v>W182</v>
      </c>
      <c r="C286" s="95" t="s">
        <v>222</v>
      </c>
      <c r="D286" s="10" t="str">
        <f>IF(G254="","W183",IF(G254&gt;I254,_xlfn.CONCAT("W183-",RIGHT(F254,LEN(F254) - FIND("-",F254))), _xlfn.CONCAT("W183-",RIGHT(H254,LEN(H254) - FIND("-",H254)))))</f>
        <v>W183</v>
      </c>
    </row>
    <row r="287" spans="1:14" ht="12.75" customHeight="1">
      <c r="A287" s="68" t="s">
        <v>223</v>
      </c>
      <c r="B287" s="10" t="str">
        <f>IF(G260="","L182",IF(G260&lt;I260,_xlfn.CONCAT("L182-",RIGHT(F260,LEN(F260) - FIND("-",F260))), _xlfn.CONCAT("L182-",RIGHT(H260,LEN(H260) - FIND("-",H260)))))</f>
        <v>L182</v>
      </c>
      <c r="C287" s="95" t="s">
        <v>223</v>
      </c>
      <c r="D287" s="10" t="str">
        <f>IF(G254="","L183",IF(G254&lt;I254,_xlfn.CONCAT("L183-",RIGHT(F254,LEN(F254) - FIND("-",F254))), _xlfn.CONCAT("L183-",RIGHT(H254,LEN(H254) - FIND("-",H254)))))</f>
        <v>L183</v>
      </c>
    </row>
    <row r="288" spans="1:14" ht="12.75" customHeight="1">
      <c r="A288" s="68" t="s">
        <v>218</v>
      </c>
      <c r="B288" s="267" t="str">
        <f>IF(G244="","W181",IF(G244&gt;I244,_xlfn.CONCAT("W181-",RIGHT(F244,LEN(F244) - FIND("-",F244))), _xlfn.CONCAT("W181-",RIGHT(H244,LEN(H244) - FIND("-",H244)))))</f>
        <v>W181</v>
      </c>
      <c r="C288" s="95" t="s">
        <v>218</v>
      </c>
      <c r="D288" s="10" t="str">
        <f>IF(G255="","W184",IF(G255&gt;I255,_xlfn.CONCAT("W184-",RIGHT(F255,LEN(F255) - FIND("-",F255))), _xlfn.CONCAT("W184-",RIGHT(H255,LEN(H255) - FIND("-",H255)))))</f>
        <v>W184</v>
      </c>
    </row>
    <row r="289" spans="1:4" ht="12.75" customHeight="1">
      <c r="A289" s="68" t="s">
        <v>219</v>
      </c>
      <c r="B289" s="10" t="str">
        <f>IF(G244="","L181",IF(G244&lt;I244,_xlfn.CONCAT("L181-",RIGHT(F244,LEN(F244) - FIND("-",F244))), _xlfn.CONCAT("L181-",RIGHT(H244,LEN(H244) - FIND("-",H244)))))</f>
        <v>L181</v>
      </c>
      <c r="C289" s="95" t="s">
        <v>219</v>
      </c>
      <c r="D289" s="10" t="str">
        <f>IF(G255="","L184",IF(G255&lt;I255,_xlfn.CONCAT("L184-",RIGHT(F255,LEN(F255) - FIND("-",F255))), _xlfn.CONCAT("L184-",RIGHT(H255,LEN(H255) - FIND("-",H255)))))</f>
        <v>L184</v>
      </c>
    </row>
    <row r="290" spans="1:4" ht="12.75" customHeight="1">
      <c r="A290" s="22" t="s">
        <v>413</v>
      </c>
      <c r="B290" s="267" t="str">
        <f>IF(G246="","W178",IF(G246&gt;I246,_xlfn.CONCAT("W178-",RIGHT(F246,LEN(F246) - FIND("-",F246))), _xlfn.CONCAT("W178-",RIGHT(H246,LEN(H246) - FIND("-",H246)))))</f>
        <v>W178</v>
      </c>
      <c r="C290" s="95" t="s">
        <v>413</v>
      </c>
      <c r="D290" s="267"/>
    </row>
    <row r="291" spans="1:4" ht="12.75" customHeight="1">
      <c r="A291" s="22" t="s">
        <v>414</v>
      </c>
      <c r="B291" s="268" t="str">
        <f>IF(G246="","L178",IF(G246&lt;I246,_xlfn.CONCAT("L178-",RIGHT(F246,LEN(F246) - FIND("-",F246))), _xlfn.CONCAT("L178-",RIGHT(H246,LEN(H246) - FIND("-",H246)))))</f>
        <v>L178</v>
      </c>
      <c r="C291" s="95" t="s">
        <v>414</v>
      </c>
      <c r="D291" s="269"/>
    </row>
    <row r="292" spans="1:4" ht="12.75" customHeight="1">
      <c r="A292" s="68" t="s">
        <v>407</v>
      </c>
      <c r="B292" s="270" t="str">
        <f>IF(G245="","W177",IF(G245&gt;I245,_xlfn.CONCAT("W177-",RIGHT(F245,LEN(F245) - FIND("-",F245))), _xlfn.CONCAT("W177-",RIGHT(H245,LEN(H245) - FIND("-",H245)))))</f>
        <v>W177</v>
      </c>
      <c r="C292" s="95" t="s">
        <v>407</v>
      </c>
      <c r="D292" s="271"/>
    </row>
    <row r="293" spans="1:4" ht="12.75" customHeight="1">
      <c r="A293" s="68" t="s">
        <v>408</v>
      </c>
      <c r="B293" s="271" t="str">
        <f>IF(G245="","L177",IF(G245&lt;I245,_xlfn.CONCAT("L177-",RIGHT(F245,LEN(F245) - FIND("-",F245))), _xlfn.CONCAT("L177-",RIGHT(H245,LEN(H245) - FIND("-",H245)))))</f>
        <v>L177</v>
      </c>
      <c r="C293" s="69"/>
      <c r="D293" s="101"/>
    </row>
    <row r="294" spans="1:4" ht="12.75" customHeight="1">
      <c r="A294" s="68" t="s">
        <v>411</v>
      </c>
      <c r="B294" s="272" t="str">
        <f>IF(G247="","W170",IF(G247&gt;I247,_xlfn.CONCAT("W170-",RIGHT(F247,LEN(F247) - FIND("-",F247))), _xlfn.CONCAT("W170-",RIGHT(H247,LEN(H247) - FIND("-",H247)))))</f>
        <v>W170</v>
      </c>
      <c r="C294" s="69"/>
      <c r="D294" s="101"/>
    </row>
    <row r="295" spans="1:4" ht="12.75" customHeight="1">
      <c r="A295" s="68" t="s">
        <v>412</v>
      </c>
      <c r="B295" s="271" t="str">
        <f>IF(G247="","L170",IF(G247&lt;I247,_xlfn.CONCAT("L170-",RIGHT(F247,LEN(F247) - FIND("-",F247))), _xlfn.CONCAT("L170-",RIGHT(H247,LEN(H247) - FIND("-",H247)))))</f>
        <v>L170</v>
      </c>
    </row>
    <row r="296" spans="1:4" ht="12.75" customHeight="1">
      <c r="A296" s="22" t="s">
        <v>409</v>
      </c>
      <c r="B296" s="273" t="str">
        <f>IF(G248="","W169",IF(G248&gt;I248,_xlfn.CONCAT("W169-",RIGHT(F248,LEN(F248) - FIND("-",F248))), _xlfn.CONCAT("W169-",RIGHT(H248,LEN(H248) - FIND("-",H248)))))</f>
        <v>W169</v>
      </c>
    </row>
    <row r="297" spans="1:4" ht="12.75" customHeight="1">
      <c r="A297" s="22" t="s">
        <v>410</v>
      </c>
      <c r="B297" s="267" t="str">
        <f>IF(G248="","L169",IF(G248&lt;I248,_xlfn.CONCAT("L169-",RIGHT(F248,LEN(F248) - FIND("-",F248))), _xlfn.CONCAT("L169-",RIGHT(H248,LEN(H248) - FIND("-",H248)))))</f>
        <v>L169</v>
      </c>
    </row>
    <row r="298" spans="1:4" ht="12.75" customHeight="1">
      <c r="A298" s="22" t="s">
        <v>415</v>
      </c>
      <c r="B298" s="274"/>
    </row>
    <row r="299" spans="1:4" ht="12.75" customHeight="1">
      <c r="A299" s="22" t="s">
        <v>416</v>
      </c>
      <c r="B299" s="274"/>
    </row>
    <row r="300" spans="1:4" ht="12.75" customHeight="1">
      <c r="A300" s="22" t="s">
        <v>417</v>
      </c>
      <c r="B300" s="274"/>
    </row>
    <row r="301" spans="1:4" ht="12.75" customHeight="1">
      <c r="A301" s="22" t="s">
        <v>418</v>
      </c>
      <c r="B301" s="274"/>
    </row>
  </sheetData>
  <conditionalFormatting sqref="A261:A262 C261:C262">
    <cfRule type="beginsWith" dxfId="1267" priority="3960" stopIfTrue="1" operator="beginsWith" text="16G-">
      <formula>LEFT(A261,LEN("16G-"))="16G-"</formula>
    </cfRule>
    <cfRule type="beginsWith" dxfId="1266" priority="3988" stopIfTrue="1" operator="beginsWith" text="14GX">
      <formula>LEFT(A261,LEN("14GX"))="14GX"</formula>
    </cfRule>
    <cfRule type="beginsWith" dxfId="1265" priority="3987" stopIfTrue="1" operator="beginsWith" text="12G">
      <formula>LEFT(A261,LEN("12G"))="12G"</formula>
    </cfRule>
    <cfRule type="beginsWith" dxfId="1264" priority="3986" stopIfTrue="1" operator="beginsWith" text="10CX-">
      <formula>LEFT(A261,LEN("10CX-"))="10CX-"</formula>
    </cfRule>
    <cfRule type="beginsWith" dxfId="1263" priority="3947" stopIfTrue="1" operator="beginsWith" text="10M">
      <formula>LEFT(A261,LEN("10M"))="10M"</formula>
    </cfRule>
    <cfRule type="beginsWith" dxfId="1262" priority="3948" stopIfTrue="1" operator="beginsWith" text="10CX-">
      <formula>LEFT(A261,LEN("10CX-"))="10CX-"</formula>
    </cfRule>
    <cfRule type="beginsWith" dxfId="1261" priority="3949" stopIfTrue="1" operator="beginsWith" text="12G">
      <formula>LEFT(A261,LEN("12G"))="12G"</formula>
    </cfRule>
    <cfRule type="beginsWith" dxfId="1260" priority="3950" stopIfTrue="1" operator="beginsWith" text="14GX">
      <formula>LEFT(A261,LEN("14GX"))="14GX"</formula>
    </cfRule>
    <cfRule type="beginsWith" dxfId="1259" priority="3951" stopIfTrue="1" operator="beginsWith" text="14G">
      <formula>LEFT(A261,LEN("14G"))="14G"</formula>
    </cfRule>
    <cfRule type="beginsWith" dxfId="1258" priority="3952" stopIfTrue="1" operator="beginsWith" text="16GX">
      <formula>LEFT(A261,LEN("16GX"))="16GX"</formula>
    </cfRule>
    <cfRule type="beginsWith" dxfId="1257" priority="3953" stopIfTrue="1" operator="beginsWith" text="16G">
      <formula>LEFT(A261,LEN("16G"))="16G"</formula>
    </cfRule>
    <cfRule type="beginsWith" dxfId="1256" priority="3954" stopIfTrue="1" operator="beginsWith" text="18GX">
      <formula>LEFT(A261,LEN("18GX"))="18GX"</formula>
    </cfRule>
    <cfRule type="beginsWith" dxfId="1255" priority="3955" stopIfTrue="1" operator="beginsWith" text="18G">
      <formula>LEFT(A261,LEN("18G"))="18G"</formula>
    </cfRule>
    <cfRule type="beginsWith" dxfId="1254" priority="3956" stopIfTrue="1" operator="beginsWith" text="10M">
      <formula>LEFT(A261,LEN("10M"))="10M"</formula>
    </cfRule>
    <cfRule type="beginsWith" dxfId="1253" priority="3957" stopIfTrue="1" operator="beginsWith" text="10CX-">
      <formula>LEFT(A261,LEN("10CX-"))="10CX-"</formula>
    </cfRule>
    <cfRule type="beginsWith" dxfId="1252" priority="3958" stopIfTrue="1" operator="beginsWith" text="12G-">
      <formula>LEFT(A261,LEN("12G-"))="12G-"</formula>
    </cfRule>
    <cfRule type="beginsWith" dxfId="1251" priority="3959" stopIfTrue="1" operator="beginsWith" text="14G-">
      <formula>LEFT(A261,LEN("14G-"))="14G-"</formula>
    </cfRule>
    <cfRule type="beginsWith" dxfId="1250" priority="3977" stopIfTrue="1" operator="beginsWith" text="10CX-">
      <formula>LEFT(A261,LEN("10CX-"))="10CX-"</formula>
    </cfRule>
    <cfRule type="beginsWith" dxfId="1249" priority="3961" stopIfTrue="1" operator="beginsWith" text="16GX-">
      <formula>LEFT(A261,LEN("16GX-"))="16GX-"</formula>
    </cfRule>
    <cfRule type="beginsWith" dxfId="1248" priority="3962" stopIfTrue="1" operator="beginsWith" text="18G-">
      <formula>LEFT(A261,LEN("18G-"))="18G-"</formula>
    </cfRule>
    <cfRule type="beginsWith" dxfId="1247" priority="3963" stopIfTrue="1" operator="beginsWith" text="18GX-">
      <formula>LEFT(A261,LEN("18GX-"))="18GX-"</formula>
    </cfRule>
    <cfRule type="beginsWith" dxfId="1246" priority="3964" stopIfTrue="1" operator="beginsWith" text="10C-">
      <formula>LEFT(A261,LEN("10C-"))="10C-"</formula>
    </cfRule>
    <cfRule type="beginsWith" dxfId="1245" priority="3965" stopIfTrue="1" operator="beginsWith" text="10CX-">
      <formula>LEFT(A261,LEN("10CX-"))="10CX-"</formula>
    </cfRule>
    <cfRule type="beginsWith" dxfId="1244" priority="3966" stopIfTrue="1" operator="beginsWith" text="12G-">
      <formula>LEFT(A261,LEN("12G-"))="12G-"</formula>
    </cfRule>
    <cfRule type="beginsWith" dxfId="1243" priority="3967" stopIfTrue="1" operator="beginsWith" text="14G-">
      <formula>LEFT(A261,LEN("14G-"))="14G-"</formula>
    </cfRule>
    <cfRule type="beginsWith" dxfId="1242" priority="3968" stopIfTrue="1" operator="beginsWith" text="16G-">
      <formula>LEFT(A261,LEN("16G-"))="16G-"</formula>
    </cfRule>
    <cfRule type="beginsWith" dxfId="1241" priority="3969" stopIfTrue="1" operator="beginsWith" text="16GX-">
      <formula>LEFT(A261,LEN("16GX-"))="16GX-"</formula>
    </cfRule>
    <cfRule type="beginsWith" dxfId="1240" priority="3970" stopIfTrue="1" operator="beginsWith" text="18G-">
      <formula>LEFT(A261,LEN("18G-"))="18G-"</formula>
    </cfRule>
    <cfRule type="beginsWith" dxfId="1239" priority="3971" stopIfTrue="1" operator="beginsWith" text="18GX-">
      <formula>LEFT(A261,LEN("18GX-"))="18GX-"</formula>
    </cfRule>
    <cfRule type="beginsWith" dxfId="1238" priority="3972" stopIfTrue="1" operator="beginsWith" text="10G-">
      <formula>LEFT(A261,LEN("10G-"))="10G-"</formula>
    </cfRule>
    <cfRule type="beginsWith" dxfId="1237" priority="3973" stopIfTrue="1" operator="beginsWith" text="12C-">
      <formula>LEFT(A261,LEN("12C-"))="12C-"</formula>
    </cfRule>
    <cfRule type="beginsWith" dxfId="1236" priority="3974" stopIfTrue="1" operator="beginsWith" text="16GQ-">
      <formula>LEFT(A261,LEN("16GQ-"))="16GQ-"</formula>
    </cfRule>
    <cfRule type="beginsWith" dxfId="1235" priority="3975" stopIfTrue="1" operator="beginsWith" text="16GX-">
      <formula>LEFT(A261,LEN("16GX-"))="16GX-"</formula>
    </cfRule>
    <cfRule type="beginsWith" dxfId="1234" priority="3976" stopIfTrue="1" operator="beginsWith" text="10M">
      <formula>LEFT(A261,LEN("10M"))="10M"</formula>
    </cfRule>
    <cfRule type="beginsWith" dxfId="1233" priority="3985" stopIfTrue="1" operator="beginsWith" text="10M">
      <formula>LEFT(A261,LEN("10M"))="10M"</formula>
    </cfRule>
    <cfRule type="beginsWith" dxfId="1232" priority="3978" stopIfTrue="1" operator="beginsWith" text="12G">
      <formula>LEFT(A261,LEN("12G"))="12G"</formula>
    </cfRule>
    <cfRule type="beginsWith" dxfId="1231" priority="3979" stopIfTrue="1" operator="beginsWith" text="14GX">
      <formula>LEFT(A261,LEN("14GX"))="14GX"</formula>
    </cfRule>
    <cfRule type="beginsWith" dxfId="1230" priority="3980" stopIfTrue="1" operator="beginsWith" text="14G">
      <formula>LEFT(A261,LEN("14G"))="14G"</formula>
    </cfRule>
    <cfRule type="beginsWith" dxfId="1229" priority="3981" stopIfTrue="1" operator="beginsWith" text="16GX">
      <formula>LEFT(A261,LEN("16GX"))="16GX"</formula>
    </cfRule>
    <cfRule type="beginsWith" dxfId="1228" priority="3982" stopIfTrue="1" operator="beginsWith" text="16G">
      <formula>LEFT(A261,LEN("16G"))="16G"</formula>
    </cfRule>
    <cfRule type="beginsWith" dxfId="1227" priority="3983" stopIfTrue="1" operator="beginsWith" text="18GX">
      <formula>LEFT(A261,LEN("18GX"))="18GX"</formula>
    </cfRule>
    <cfRule type="beginsWith" dxfId="1226" priority="4009" stopIfTrue="1" operator="beginsWith" text="18GX-">
      <formula>LEFT(A261,LEN("18GX-"))="18GX-"</formula>
    </cfRule>
    <cfRule type="beginsWith" dxfId="1225" priority="4003" stopIfTrue="1" operator="beginsWith" text="10CX-">
      <formula>LEFT(A261,LEN("10CX-"))="10CX-"</formula>
    </cfRule>
    <cfRule type="beginsWith" dxfId="1224" priority="3989" stopIfTrue="1" operator="beginsWith" text="14G">
      <formula>LEFT(A261,LEN("14G"))="14G"</formula>
    </cfRule>
    <cfRule type="beginsWith" dxfId="1223" priority="3990" stopIfTrue="1" operator="beginsWith" text="16GX">
      <formula>LEFT(A261,LEN("16GX"))="16GX"</formula>
    </cfRule>
    <cfRule type="beginsWith" dxfId="1222" priority="3991" stopIfTrue="1" operator="beginsWith" text="16G">
      <formula>LEFT(A261,LEN("16G"))="16G"</formula>
    </cfRule>
    <cfRule type="beginsWith" dxfId="1221" priority="3992" stopIfTrue="1" operator="beginsWith" text="18GX">
      <formula>LEFT(A261,LEN("18GX"))="18GX"</formula>
    </cfRule>
    <cfRule type="beginsWith" dxfId="1220" priority="3993" stopIfTrue="1" operator="beginsWith" text="18G">
      <formula>LEFT(A261,LEN("18G"))="18G"</formula>
    </cfRule>
    <cfRule type="beginsWith" dxfId="1219" priority="3994" stopIfTrue="1" operator="beginsWith" text="10M">
      <formula>LEFT(A261,LEN("10M"))="10M"</formula>
    </cfRule>
    <cfRule type="beginsWith" dxfId="1218" priority="3995" stopIfTrue="1" operator="beginsWith" text="10CX-">
      <formula>LEFT(A261,LEN("10CX-"))="10CX-"</formula>
    </cfRule>
    <cfRule type="beginsWith" dxfId="1217" priority="3996" stopIfTrue="1" operator="beginsWith" text="12G-">
      <formula>LEFT(A261,LEN("12G-"))="12G-"</formula>
    </cfRule>
    <cfRule type="beginsWith" dxfId="1216" priority="3997" stopIfTrue="1" operator="beginsWith" text="14G-">
      <formula>LEFT(A261,LEN("14G-"))="14G-"</formula>
    </cfRule>
    <cfRule type="beginsWith" dxfId="1215" priority="3998" stopIfTrue="1" operator="beginsWith" text="16G-">
      <formula>LEFT(A261,LEN("16G-"))="16G-"</formula>
    </cfRule>
    <cfRule type="beginsWith" dxfId="1214" priority="3984" stopIfTrue="1" operator="beginsWith" text="18G">
      <formula>LEFT(A261,LEN("18G"))="18G"</formula>
    </cfRule>
    <cfRule type="beginsWith" dxfId="1213" priority="3999" stopIfTrue="1" operator="beginsWith" text="16GX-">
      <formula>LEFT(A261,LEN("16GX-"))="16GX-"</formula>
    </cfRule>
    <cfRule type="beginsWith" dxfId="1212" priority="4000" stopIfTrue="1" operator="beginsWith" text="18G-">
      <formula>LEFT(A261,LEN("18G-"))="18G-"</formula>
    </cfRule>
    <cfRule type="beginsWith" dxfId="1211" priority="4001" stopIfTrue="1" operator="beginsWith" text="18GX-">
      <formula>LEFT(A261,LEN("18GX-"))="18GX-"</formula>
    </cfRule>
    <cfRule type="beginsWith" dxfId="1210" priority="4002" stopIfTrue="1" operator="beginsWith" text="10C-">
      <formula>LEFT(A261,LEN("10C-"))="10C-"</formula>
    </cfRule>
    <cfRule type="beginsWith" dxfId="1209" priority="4004" stopIfTrue="1" operator="beginsWith" text="12G-">
      <formula>LEFT(A261,LEN("12G-"))="12G-"</formula>
    </cfRule>
    <cfRule type="beginsWith" dxfId="1208" priority="4005" stopIfTrue="1" operator="beginsWith" text="14G-">
      <formula>LEFT(A261,LEN("14G-"))="14G-"</formula>
    </cfRule>
    <cfRule type="beginsWith" dxfId="1207" priority="4006" stopIfTrue="1" operator="beginsWith" text="16G-">
      <formula>LEFT(A261,LEN("16G-"))="16G-"</formula>
    </cfRule>
    <cfRule type="beginsWith" dxfId="1206" priority="4007" stopIfTrue="1" operator="beginsWith" text="16GX-">
      <formula>LEFT(A261,LEN("16GX-"))="16GX-"</formula>
    </cfRule>
    <cfRule type="beginsWith" dxfId="1205" priority="4008" stopIfTrue="1" operator="beginsWith" text="18G-">
      <formula>LEFT(A261,LEN("18G-"))="18G-"</formula>
    </cfRule>
  </conditionalFormatting>
  <conditionalFormatting sqref="A270:A273 C270:C273">
    <cfRule type="beginsWith" dxfId="1204" priority="2690" stopIfTrue="1" operator="beginsWith" text="14G-">
      <formula>LEFT(A270,LEN("14G-"))="14G-"</formula>
    </cfRule>
    <cfRule type="beginsWith" dxfId="1203" priority="2689" stopIfTrue="1" operator="beginsWith" text="12G-">
      <formula>LEFT(A270,LEN("12G-"))="12G-"</formula>
    </cfRule>
    <cfRule type="beginsWith" dxfId="1202" priority="2688" stopIfTrue="1" operator="beginsWith" text="10CX-">
      <formula>LEFT(A270,LEN("10CX-"))="10CX-"</formula>
    </cfRule>
    <cfRule type="beginsWith" dxfId="1201" priority="2687" stopIfTrue="1" operator="beginsWith" text="10M">
      <formula>LEFT(A270,LEN("10M"))="10M"</formula>
    </cfRule>
    <cfRule type="beginsWith" dxfId="1200" priority="2686" stopIfTrue="1" operator="beginsWith" text="18G">
      <formula>LEFT(A270,LEN("18G"))="18G"</formula>
    </cfRule>
    <cfRule type="beginsWith" dxfId="1199" priority="2701" stopIfTrue="1" operator="beginsWith" text="18G-">
      <formula>LEFT(A270,LEN("18G-"))="18G-"</formula>
    </cfRule>
    <cfRule type="beginsWith" dxfId="1198" priority="2684" stopIfTrue="1" operator="beginsWith" text="16G">
      <formula>LEFT(A270,LEN("16G"))="16G"</formula>
    </cfRule>
    <cfRule type="beginsWith" dxfId="1197" priority="2683" stopIfTrue="1" operator="beginsWith" text="16GX">
      <formula>LEFT(A270,LEN("16GX"))="16GX"</formula>
    </cfRule>
    <cfRule type="beginsWith" dxfId="1196" priority="2682" stopIfTrue="1" operator="beginsWith" text="14G">
      <formula>LEFT(A270,LEN("14G"))="14G"</formula>
    </cfRule>
    <cfRule type="beginsWith" dxfId="1195" priority="2681" stopIfTrue="1" operator="beginsWith" text="14GX">
      <formula>LEFT(A270,LEN("14GX"))="14GX"</formula>
    </cfRule>
    <cfRule type="beginsWith" dxfId="1194" priority="2680" stopIfTrue="1" operator="beginsWith" text="12G">
      <formula>LEFT(A270,LEN("12G"))="12G"</formula>
    </cfRule>
    <cfRule type="beginsWith" dxfId="1193" priority="2679" stopIfTrue="1" operator="beginsWith" text="10CX-">
      <formula>LEFT(A270,LEN("10CX-"))="10CX-"</formula>
    </cfRule>
    <cfRule type="beginsWith" dxfId="1192" priority="2678" stopIfTrue="1" operator="beginsWith" text="10M">
      <formula>LEFT(A270,LEN("10M"))="10M"</formula>
    </cfRule>
    <cfRule type="beginsWith" dxfId="1191" priority="2677" stopIfTrue="1" operator="beginsWith" text="16GX-">
      <formula>LEFT(A270,LEN("16GX-"))="16GX-"</formula>
    </cfRule>
    <cfRule type="beginsWith" dxfId="1190" priority="2676" stopIfTrue="1" operator="beginsWith" text="16GQ-">
      <formula>LEFT(A270,LEN("16GQ-"))="16GQ-"</formula>
    </cfRule>
    <cfRule type="beginsWith" dxfId="1189" priority="2730" stopIfTrue="1" operator="beginsWith" text="16GX-">
      <formula>LEFT(A270,LEN("16GX-"))="16GX-"</formula>
    </cfRule>
    <cfRule type="beginsWith" dxfId="1188" priority="2675" stopIfTrue="1" operator="beginsWith" text="12C-">
      <formula>LEFT(A270,LEN("12C-"))="12C-"</formula>
    </cfRule>
    <cfRule type="beginsWith" dxfId="1187" priority="2674" stopIfTrue="1" operator="beginsWith" text="10G-">
      <formula>LEFT(A270,LEN("10G-"))="10G-"</formula>
    </cfRule>
    <cfRule type="beginsWith" dxfId="1186" priority="2685" stopIfTrue="1" operator="beginsWith" text="18GX">
      <formula>LEFT(A270,LEN("18GX"))="18GX"</formula>
    </cfRule>
    <cfRule type="beginsWith" dxfId="1185" priority="2710" stopIfTrue="1" operator="beginsWith" text="14GX">
      <formula>LEFT(A270,LEN("14GX"))="14GX"</formula>
    </cfRule>
    <cfRule type="beginsWith" dxfId="1184" priority="2709" stopIfTrue="1" operator="beginsWith" text="12G">
      <formula>LEFT(A270,LEN("12G"))="12G"</formula>
    </cfRule>
    <cfRule type="beginsWith" dxfId="1183" priority="2708" stopIfTrue="1" operator="beginsWith" text="10CX-">
      <formula>LEFT(A270,LEN("10CX-"))="10CX-"</formula>
    </cfRule>
    <cfRule type="beginsWith" dxfId="1182" priority="2711" stopIfTrue="1" operator="beginsWith" text="14G">
      <formula>LEFT(A270,LEN("14G"))="14G"</formula>
    </cfRule>
    <cfRule type="beginsWith" dxfId="1181" priority="2707" stopIfTrue="1" operator="beginsWith" text="10M">
      <formula>LEFT(A270,LEN("10M"))="10M"</formula>
    </cfRule>
    <cfRule type="beginsWith" dxfId="1180" priority="2706" stopIfTrue="1" operator="beginsWith" text="16GX-">
      <formula>LEFT(A270,LEN("16GX-"))="16GX-"</formula>
    </cfRule>
    <cfRule type="beginsWith" dxfId="1179" priority="2705" stopIfTrue="1" operator="beginsWith" text="16GQ-">
      <formula>LEFT(A270,LEN("16GQ-"))="16GQ-"</formula>
    </cfRule>
    <cfRule type="beginsWith" dxfId="1178" priority="2704" stopIfTrue="1" operator="beginsWith" text="12C-">
      <formula>LEFT(A270,LEN("12C-"))="12C-"</formula>
    </cfRule>
    <cfRule type="beginsWith" dxfId="1177" priority="2703" stopIfTrue="1" operator="beginsWith" text="10G-">
      <formula>LEFT(A270,LEN("10G-"))="10G-"</formula>
    </cfRule>
    <cfRule type="beginsWith" dxfId="1176" priority="2699" stopIfTrue="1" operator="beginsWith" text="16G-">
      <formula>LEFT(A270,LEN("16G-"))="16G-"</formula>
    </cfRule>
    <cfRule type="beginsWith" dxfId="1175" priority="2702" stopIfTrue="1" operator="beginsWith" text="18GX-">
      <formula>LEFT(A270,LEN("18GX-"))="18GX-"</formula>
    </cfRule>
    <cfRule type="beginsWith" dxfId="1174" priority="2700" stopIfTrue="1" operator="beginsWith" text="16GX-">
      <formula>LEFT(A270,LEN("16GX-"))="16GX-"</formula>
    </cfRule>
    <cfRule type="beginsWith" dxfId="1173" priority="2698" stopIfTrue="1" operator="beginsWith" text="14G-">
      <formula>LEFT(A270,LEN("14G-"))="14G-"</formula>
    </cfRule>
    <cfRule type="beginsWith" dxfId="1172" priority="2697" stopIfTrue="1" operator="beginsWith" text="12G-">
      <formula>LEFT(A270,LEN("12G-"))="12G-"</formula>
    </cfRule>
    <cfRule type="beginsWith" dxfId="1171" priority="2696" stopIfTrue="1" operator="beginsWith" text="10CX-">
      <formula>LEFT(A270,LEN("10CX-"))="10CX-"</formula>
    </cfRule>
    <cfRule type="beginsWith" dxfId="1170" priority="2695" stopIfTrue="1" operator="beginsWith" text="10C-">
      <formula>LEFT(A270,LEN("10C-"))="10C-"</formula>
    </cfRule>
    <cfRule type="beginsWith" dxfId="1169" priority="2694" stopIfTrue="1" operator="beginsWith" text="18GX-">
      <formula>LEFT(A270,LEN("18GX-"))="18GX-"</formula>
    </cfRule>
    <cfRule type="beginsWith" dxfId="1168" priority="2693" stopIfTrue="1" operator="beginsWith" text="18G-">
      <formula>LEFT(A270,LEN("18G-"))="18G-"</formula>
    </cfRule>
    <cfRule type="beginsWith" dxfId="1167" priority="2692" stopIfTrue="1" operator="beginsWith" text="16GX-">
      <formula>LEFT(A270,LEN("16GX-"))="16GX-"</formula>
    </cfRule>
    <cfRule type="beginsWith" dxfId="1166" priority="2691" stopIfTrue="1" operator="beginsWith" text="16G-">
      <formula>LEFT(A270,LEN("16G-"))="16G-"</formula>
    </cfRule>
    <cfRule type="beginsWith" dxfId="1165" priority="2740" stopIfTrue="1" operator="beginsWith" text="18GX-">
      <formula>LEFT(A270,LEN("18GX-"))="18GX-"</formula>
    </cfRule>
    <cfRule type="beginsWith" dxfId="1164" priority="2739" stopIfTrue="1" operator="beginsWith" text="18G-">
      <formula>LEFT(A270,LEN("18G-"))="18G-"</formula>
    </cfRule>
    <cfRule type="beginsWith" dxfId="1163" priority="2738" stopIfTrue="1" operator="beginsWith" text="16GX-">
      <formula>LEFT(A270,LEN("16GX-"))="16GX-"</formula>
    </cfRule>
    <cfRule type="beginsWith" dxfId="1162" priority="2737" stopIfTrue="1" operator="beginsWith" text="16G-">
      <formula>LEFT(A270,LEN("16G-"))="16G-"</formula>
    </cfRule>
    <cfRule type="beginsWith" dxfId="1161" priority="2736" stopIfTrue="1" operator="beginsWith" text="14G-">
      <formula>LEFT(A270,LEN("14G-"))="14G-"</formula>
    </cfRule>
    <cfRule type="beginsWith" dxfId="1160" priority="2735" stopIfTrue="1" operator="beginsWith" text="12G-">
      <formula>LEFT(A270,LEN("12G-"))="12G-"</formula>
    </cfRule>
    <cfRule type="beginsWith" dxfId="1159" priority="2734" stopIfTrue="1" operator="beginsWith" text="10CX-">
      <formula>LEFT(A270,LEN("10CX-"))="10CX-"</formula>
    </cfRule>
    <cfRule type="beginsWith" dxfId="1158" priority="2733" stopIfTrue="1" operator="beginsWith" text="10C-">
      <formula>LEFT(A270,LEN("10C-"))="10C-"</formula>
    </cfRule>
    <cfRule type="beginsWith" dxfId="1157" priority="2732" stopIfTrue="1" operator="beginsWith" text="18GX-">
      <formula>LEFT(A270,LEN("18GX-"))="18GX-"</formula>
    </cfRule>
    <cfRule type="beginsWith" dxfId="1156" priority="2731" stopIfTrue="1" operator="beginsWith" text="18G-">
      <formula>LEFT(A270,LEN("18G-"))="18G-"</formula>
    </cfRule>
    <cfRule type="beginsWith" dxfId="1155" priority="2729" stopIfTrue="1" operator="beginsWith" text="16G-">
      <formula>LEFT(A270,LEN("16G-"))="16G-"</formula>
    </cfRule>
    <cfRule type="beginsWith" dxfId="1154" priority="2728" stopIfTrue="1" operator="beginsWith" text="14G-">
      <formula>LEFT(A270,LEN("14G-"))="14G-"</formula>
    </cfRule>
    <cfRule type="beginsWith" dxfId="1153" priority="2727" stopIfTrue="1" operator="beginsWith" text="12G-">
      <formula>LEFT(A270,LEN("12G-"))="12G-"</formula>
    </cfRule>
    <cfRule type="beginsWith" dxfId="1152" priority="2726" stopIfTrue="1" operator="beginsWith" text="10CX-">
      <formula>LEFT(A270,LEN("10CX-"))="10CX-"</formula>
    </cfRule>
    <cfRule type="beginsWith" dxfId="1151" priority="2725" stopIfTrue="1" operator="beginsWith" text="10M">
      <formula>LEFT(A270,LEN("10M"))="10M"</formula>
    </cfRule>
    <cfRule type="beginsWith" dxfId="1150" priority="2724" stopIfTrue="1" operator="beginsWith" text="18G">
      <formula>LEFT(A270,LEN("18G"))="18G"</formula>
    </cfRule>
    <cfRule type="beginsWith" dxfId="1149" priority="2723" stopIfTrue="1" operator="beginsWith" text="18GX">
      <formula>LEFT(A270,LEN("18GX"))="18GX"</formula>
    </cfRule>
    <cfRule type="beginsWith" dxfId="1148" priority="2722" stopIfTrue="1" operator="beginsWith" text="16G">
      <formula>LEFT(A270,LEN("16G"))="16G"</formula>
    </cfRule>
    <cfRule type="beginsWith" dxfId="1147" priority="2721" stopIfTrue="1" operator="beginsWith" text="16GX">
      <formula>LEFT(A270,LEN("16GX"))="16GX"</formula>
    </cfRule>
    <cfRule type="beginsWith" dxfId="1146" priority="2720" stopIfTrue="1" operator="beginsWith" text="14G">
      <formula>LEFT(A270,LEN("14G"))="14G"</formula>
    </cfRule>
    <cfRule type="beginsWith" dxfId="1145" priority="2719" stopIfTrue="1" operator="beginsWith" text="14GX">
      <formula>LEFT(A270,LEN("14GX"))="14GX"</formula>
    </cfRule>
    <cfRule type="beginsWith" dxfId="1144" priority="2718" stopIfTrue="1" operator="beginsWith" text="12G">
      <formula>LEFT(A270,LEN("12G"))="12G"</formula>
    </cfRule>
    <cfRule type="beginsWith" dxfId="1143" priority="2717" stopIfTrue="1" operator="beginsWith" text="10CX-">
      <formula>LEFT(A270,LEN("10CX-"))="10CX-"</formula>
    </cfRule>
    <cfRule type="beginsWith" dxfId="1142" priority="2716" stopIfTrue="1" operator="beginsWith" text="10M">
      <formula>LEFT(A270,LEN("10M"))="10M"</formula>
    </cfRule>
    <cfRule type="beginsWith" dxfId="1141" priority="2715" stopIfTrue="1" operator="beginsWith" text="18G">
      <formula>LEFT(A270,LEN("18G"))="18G"</formula>
    </cfRule>
    <cfRule type="beginsWith" dxfId="1140" priority="2714" stopIfTrue="1" operator="beginsWith" text="18GX">
      <formula>LEFT(A270,LEN("18GX"))="18GX"</formula>
    </cfRule>
    <cfRule type="beginsWith" dxfId="1139" priority="2713" stopIfTrue="1" operator="beginsWith" text="16G">
      <formula>LEFT(A270,LEN("16G"))="16G"</formula>
    </cfRule>
    <cfRule type="beginsWith" dxfId="1138" priority="2712" stopIfTrue="1" operator="beginsWith" text="16GX">
      <formula>LEFT(A270,LEN("16GX"))="16GX"</formula>
    </cfRule>
  </conditionalFormatting>
  <conditionalFormatting sqref="A190:C192 B190:B199 E191:K194 A193:A194 C193:C194 E204:K206 C204:C207 A204:A212 A269:A273 C269:C273 E260:G262 B203:B212 B216:B225 B229:B237 A113:L113 A130:L130 A147:L147 A163:L163 A189:L189 E190:L190 A202:L203 D203:D212 A215:L215 A228:L228 A242:L242 A251:L251 A252:K252 A253 C253:K253 B253:B256 A259:L259 A267:L267 A268:K268 E269:K269 B269:B275 D269:D275 E270:G273">
    <cfRule type="beginsWith" dxfId="1137" priority="3038" stopIfTrue="1" operator="beginsWith" text="10G-">
      <formula>LEFT(A113,LEN("10G-"))="10G-"</formula>
    </cfRule>
  </conditionalFormatting>
  <conditionalFormatting sqref="A191:C192 B199">
    <cfRule type="beginsWith" dxfId="1136" priority="3039" stopIfTrue="1" operator="beginsWith" text="12C-">
      <formula>LEFT(A191,LEN("12C-"))="12C-"</formula>
    </cfRule>
  </conditionalFormatting>
  <conditionalFormatting sqref="A192:C192 B199 E192:K194 A193:A194 C193:C194 A204 C204 E204:K204">
    <cfRule type="beginsWith" dxfId="1135" priority="3041" stopIfTrue="1" operator="beginsWith" text="16GX-">
      <formula>LEFT(A192,LEN("16GX-"))="16GX-"</formula>
    </cfRule>
    <cfRule type="beginsWith" dxfId="1134" priority="3074" stopIfTrue="1" operator="beginsWith" text="18G-">
      <formula>LEFT(A192,LEN("18G-"))="18G-"</formula>
    </cfRule>
  </conditionalFormatting>
  <conditionalFormatting sqref="A192:C192 B199">
    <cfRule type="beginsWith" dxfId="1133" priority="3040" stopIfTrue="1" operator="beginsWith" text="16GQ-">
      <formula>LEFT(A192,LEN("16GQ-"))="16GQ-"</formula>
    </cfRule>
    <cfRule type="beginsWith" dxfId="1132" priority="3073" stopIfTrue="1" operator="beginsWith" text="16GX-">
      <formula>LEFT(A192,LEN("16GX-"))="16GX-"</formula>
    </cfRule>
  </conditionalFormatting>
  <conditionalFormatting sqref="A192:C192 E192:K194 A193:A194 C193:C194 B199 A204 C204 E204:K204">
    <cfRule type="beginsWith" dxfId="1131" priority="3067" stopIfTrue="1" operator="beginsWith" text="18GX-">
      <formula>LEFT(A192,LEN("18GX-"))="18GX-"</formula>
    </cfRule>
    <cfRule type="beginsWith" dxfId="1130" priority="3010" stopIfTrue="1" operator="beginsWith" text="12C-">
      <formula>LEFT(A192,LEN("12C-"))="12C-"</formula>
    </cfRule>
    <cfRule type="beginsWith" dxfId="1129" priority="3009" stopIfTrue="1" operator="beginsWith" text="10G-">
      <formula>LEFT(A192,LEN("10G-"))="10G-"</formula>
    </cfRule>
    <cfRule type="beginsWith" dxfId="1128" priority="3018" stopIfTrue="1" operator="beginsWith" text="16GX">
      <formula>LEFT(A192,LEN("16GX"))="16GX"</formula>
    </cfRule>
    <cfRule type="beginsWith" dxfId="1127" priority="3075" stopIfTrue="1" operator="beginsWith" text="18GX-">
      <formula>LEFT(A192,LEN("18GX-"))="18GX-"</formula>
    </cfRule>
    <cfRule type="beginsWith" dxfId="1126" priority="3072" stopIfTrue="1" operator="beginsWith" text="16G-">
      <formula>LEFT(A192,LEN("16G-"))="16G-"</formula>
    </cfRule>
    <cfRule type="beginsWith" dxfId="1125" priority="3071" stopIfTrue="1" operator="beginsWith" text="14G-">
      <formula>LEFT(A192,LEN("14G-"))="14G-"</formula>
    </cfRule>
    <cfRule type="beginsWith" dxfId="1124" priority="3070" stopIfTrue="1" operator="beginsWith" text="12G-">
      <formula>LEFT(A192,LEN("12G-"))="12G-"</formula>
    </cfRule>
    <cfRule type="beginsWith" dxfId="1123" priority="3068" stopIfTrue="1" operator="beginsWith" text="10C-">
      <formula>LEFT(A192,LEN("10C-"))="10C-"</formula>
    </cfRule>
    <cfRule type="beginsWith" dxfId="1122" priority="3066" stopIfTrue="1" operator="beginsWith" text="18G-">
      <formula>LEFT(A192,LEN("18G-"))="18G-"</formula>
    </cfRule>
    <cfRule type="beginsWith" dxfId="1121" priority="3065" stopIfTrue="1" operator="beginsWith" text="16GX-">
      <formula>LEFT(A192,LEN("16GX-"))="16GX-"</formula>
    </cfRule>
    <cfRule type="beginsWith" dxfId="1120" priority="3064" stopIfTrue="1" operator="beginsWith" text="16G-">
      <formula>LEFT(A192,LEN("16G-"))="16G-"</formula>
    </cfRule>
    <cfRule type="beginsWith" dxfId="1119" priority="3063" stopIfTrue="1" operator="beginsWith" text="14G-">
      <formula>LEFT(A192,LEN("14G-"))="14G-"</formula>
    </cfRule>
    <cfRule type="beginsWith" dxfId="1118" priority="3062" stopIfTrue="1" operator="beginsWith" text="12G-">
      <formula>LEFT(A192,LEN("12G-"))="12G-"</formula>
    </cfRule>
    <cfRule type="beginsWith" dxfId="1117" priority="3061" stopIfTrue="1" operator="beginsWith" text="10CX-">
      <formula>LEFT(A192,LEN("10CX-"))="10CX-"</formula>
    </cfRule>
    <cfRule type="beginsWith" dxfId="1116" priority="3060" stopIfTrue="1" operator="beginsWith" text="10M">
      <formula>LEFT(A192,LEN("10M"))="10M"</formula>
    </cfRule>
    <cfRule type="beginsWith" dxfId="1115" priority="3059" stopIfTrue="1" operator="beginsWith" text="18G">
      <formula>LEFT(A192,LEN("18G"))="18G"</formula>
    </cfRule>
    <cfRule type="beginsWith" dxfId="1114" priority="3058" stopIfTrue="1" operator="beginsWith" text="18GX">
      <formula>LEFT(A192,LEN("18GX"))="18GX"</formula>
    </cfRule>
    <cfRule type="beginsWith" dxfId="1113" priority="3057" stopIfTrue="1" operator="beginsWith" text="16G">
      <formula>LEFT(A192,LEN("16G"))="16G"</formula>
    </cfRule>
    <cfRule type="beginsWith" dxfId="1112" priority="3056" stopIfTrue="1" operator="beginsWith" text="16GX">
      <formula>LEFT(A192,LEN("16GX"))="16GX"</formula>
    </cfRule>
    <cfRule type="beginsWith" dxfId="1111" priority="3055" stopIfTrue="1" operator="beginsWith" text="14G">
      <formula>LEFT(A192,LEN("14G"))="14G"</formula>
    </cfRule>
    <cfRule type="beginsWith" dxfId="1110" priority="3054" stopIfTrue="1" operator="beginsWith" text="14GX">
      <formula>LEFT(A192,LEN("14GX"))="14GX"</formula>
    </cfRule>
    <cfRule type="beginsWith" dxfId="1109" priority="3053" stopIfTrue="1" operator="beginsWith" text="12G">
      <formula>LEFT(A192,LEN("12G"))="12G"</formula>
    </cfRule>
    <cfRule type="beginsWith" dxfId="1108" priority="3052" stopIfTrue="1" operator="beginsWith" text="10CX-">
      <formula>LEFT(A192,LEN("10CX-"))="10CX-"</formula>
    </cfRule>
    <cfRule type="beginsWith" dxfId="1107" priority="3050" stopIfTrue="1" operator="beginsWith" text="18G">
      <formula>LEFT(A192,LEN("18G"))="18G"</formula>
    </cfRule>
    <cfRule type="beginsWith" dxfId="1106" priority="3049" stopIfTrue="1" operator="beginsWith" text="18GX">
      <formula>LEFT(A192,LEN("18GX"))="18GX"</formula>
    </cfRule>
    <cfRule type="beginsWith" dxfId="1105" priority="3048" stopIfTrue="1" operator="beginsWith" text="16G">
      <formula>LEFT(A192,LEN("16G"))="16G"</formula>
    </cfRule>
    <cfRule type="beginsWith" dxfId="1104" priority="3047" stopIfTrue="1" operator="beginsWith" text="16GX">
      <formula>LEFT(A192,LEN("16GX"))="16GX"</formula>
    </cfRule>
    <cfRule type="beginsWith" dxfId="1103" priority="3046" stopIfTrue="1" operator="beginsWith" text="14G">
      <formula>LEFT(A192,LEN("14G"))="14G"</formula>
    </cfRule>
    <cfRule type="beginsWith" dxfId="1102" priority="3045" stopIfTrue="1" operator="beginsWith" text="14GX">
      <formula>LEFT(A192,LEN("14GX"))="14GX"</formula>
    </cfRule>
    <cfRule type="beginsWith" dxfId="1101" priority="3044" stopIfTrue="1" operator="beginsWith" text="12G">
      <formula>LEFT(A192,LEN("12G"))="12G"</formula>
    </cfRule>
    <cfRule type="beginsWith" dxfId="1100" priority="3043" stopIfTrue="1" operator="beginsWith" text="10CX-">
      <formula>LEFT(A192,LEN("10CX-"))="10CX-"</formula>
    </cfRule>
    <cfRule type="beginsWith" dxfId="1099" priority="3042" stopIfTrue="1" operator="beginsWith" text="10M">
      <formula>LEFT(A192,LEN("10M"))="10M"</formula>
    </cfRule>
    <cfRule type="beginsWith" dxfId="1098" priority="3037" stopIfTrue="1" operator="beginsWith" text="18GX-">
      <formula>LEFT(A192,LEN("18GX-"))="18GX-"</formula>
    </cfRule>
    <cfRule type="beginsWith" dxfId="1097" priority="3036" stopIfTrue="1" operator="beginsWith" text="18G-">
      <formula>LEFT(A192,LEN("18G-"))="18G-"</formula>
    </cfRule>
    <cfRule type="beginsWith" dxfId="1096" priority="3035" stopIfTrue="1" operator="beginsWith" text="16GX-">
      <formula>LEFT(A192,LEN("16GX-"))="16GX-"</formula>
    </cfRule>
    <cfRule type="beginsWith" dxfId="1095" priority="3034" stopIfTrue="1" operator="beginsWith" text="16G-">
      <formula>LEFT(A192,LEN("16G-"))="16G-"</formula>
    </cfRule>
    <cfRule type="beginsWith" dxfId="1094" priority="3033" stopIfTrue="1" operator="beginsWith" text="14G-">
      <formula>LEFT(A192,LEN("14G-"))="14G-"</formula>
    </cfRule>
    <cfRule type="beginsWith" dxfId="1093" priority="3032" stopIfTrue="1" operator="beginsWith" text="12G-">
      <formula>LEFT(A192,LEN("12G-"))="12G-"</formula>
    </cfRule>
    <cfRule type="beginsWith" dxfId="1092" priority="3031" stopIfTrue="1" operator="beginsWith" text="10CX-">
      <formula>LEFT(A192,LEN("10CX-"))="10CX-"</formula>
    </cfRule>
    <cfRule type="beginsWith" dxfId="1091" priority="3030" stopIfTrue="1" operator="beginsWith" text="10C-">
      <formula>LEFT(A192,LEN("10C-"))="10C-"</formula>
    </cfRule>
    <cfRule type="beginsWith" dxfId="1090" priority="3029" stopIfTrue="1" operator="beginsWith" text="18GX-">
      <formula>LEFT(A192,LEN("18GX-"))="18GX-"</formula>
    </cfRule>
    <cfRule type="beginsWith" dxfId="1089" priority="3028" stopIfTrue="1" operator="beginsWith" text="18G-">
      <formula>LEFT(A192,LEN("18G-"))="18G-"</formula>
    </cfRule>
    <cfRule type="beginsWith" dxfId="1088" priority="3027" stopIfTrue="1" operator="beginsWith" text="16GX-">
      <formula>LEFT(A192,LEN("16GX-"))="16GX-"</formula>
    </cfRule>
    <cfRule type="beginsWith" dxfId="1087" priority="3026" stopIfTrue="1" operator="beginsWith" text="16G-">
      <formula>LEFT(A192,LEN("16G-"))="16G-"</formula>
    </cfRule>
    <cfRule type="beginsWith" dxfId="1086" priority="3025" stopIfTrue="1" operator="beginsWith" text="14G-">
      <formula>LEFT(A192,LEN("14G-"))="14G-"</formula>
    </cfRule>
    <cfRule type="beginsWith" dxfId="1085" priority="3024" stopIfTrue="1" operator="beginsWith" text="12G-">
      <formula>LEFT(A192,LEN("12G-"))="12G-"</formula>
    </cfRule>
    <cfRule type="beginsWith" dxfId="1084" priority="3023" stopIfTrue="1" operator="beginsWith" text="10CX-">
      <formula>LEFT(A192,LEN("10CX-"))="10CX-"</formula>
    </cfRule>
    <cfRule type="beginsWith" dxfId="1083" priority="3022" stopIfTrue="1" operator="beginsWith" text="10M">
      <formula>LEFT(A192,LEN("10M"))="10M"</formula>
    </cfRule>
    <cfRule type="beginsWith" dxfId="1082" priority="3021" stopIfTrue="1" operator="beginsWith" text="18G">
      <formula>LEFT(A192,LEN("18G"))="18G"</formula>
    </cfRule>
    <cfRule type="beginsWith" dxfId="1081" priority="3020" stopIfTrue="1" operator="beginsWith" text="18GX">
      <formula>LEFT(A192,LEN("18GX"))="18GX"</formula>
    </cfRule>
    <cfRule type="beginsWith" dxfId="1080" priority="3019" stopIfTrue="1" operator="beginsWith" text="16G">
      <formula>LEFT(A192,LEN("16G"))="16G"</formula>
    </cfRule>
    <cfRule type="beginsWith" dxfId="1079" priority="3017" stopIfTrue="1" operator="beginsWith" text="14G">
      <formula>LEFT(A192,LEN("14G"))="14G"</formula>
    </cfRule>
    <cfRule type="beginsWith" dxfId="1078" priority="3016" stopIfTrue="1" operator="beginsWith" text="14GX">
      <formula>LEFT(A192,LEN("14GX"))="14GX"</formula>
    </cfRule>
    <cfRule type="beginsWith" dxfId="1077" priority="3015" stopIfTrue="1" operator="beginsWith" text="12G">
      <formula>LEFT(A192,LEN("12G"))="12G"</formula>
    </cfRule>
    <cfRule type="beginsWith" dxfId="1076" priority="3014" stopIfTrue="1" operator="beginsWith" text="10CX-">
      <formula>LEFT(A192,LEN("10CX-"))="10CX-"</formula>
    </cfRule>
    <cfRule type="beginsWith" dxfId="1075" priority="3013" stopIfTrue="1" operator="beginsWith" text="10M">
      <formula>LEFT(A192,LEN("10M"))="10M"</formula>
    </cfRule>
    <cfRule type="beginsWith" dxfId="1074" priority="3012" stopIfTrue="1" operator="beginsWith" text="16GX-">
      <formula>LEFT(A192,LEN("16GX-"))="16GX-"</formula>
    </cfRule>
    <cfRule type="beginsWith" dxfId="1073" priority="3011" stopIfTrue="1" operator="beginsWith" text="16GQ-">
      <formula>LEFT(A192,LEN("16GQ-"))="16GQ-"</formula>
    </cfRule>
  </conditionalFormatting>
  <conditionalFormatting sqref="A260:C260 E260:G262 I260:K262 A261 C261 B261:B264 F262:K262 H261">
    <cfRule type="beginsWith" dxfId="1072" priority="3750" stopIfTrue="1" operator="beginsWith" text="10M">
      <formula>LEFT(A260,LEN("10M"))="10M"</formula>
    </cfRule>
  </conditionalFormatting>
  <conditionalFormatting sqref="A260:C260 E260:G262 I260:K262 A261 C261 H261 B261:B264 F262:K262 B268:B275">
    <cfRule type="beginsWith" dxfId="1071" priority="3786" stopIfTrue="1" operator="beginsWith" text="18GX">
      <formula>LEFT(A260,LEN("18GX"))="18GX"</formula>
    </cfRule>
    <cfRule type="beginsWith" dxfId="1070" priority="3785" stopIfTrue="1" operator="beginsWith" text="16G">
      <formula>LEFT(A260,LEN("16G"))="16G"</formula>
    </cfRule>
    <cfRule type="beginsWith" dxfId="1069" priority="3784" stopIfTrue="1" operator="beginsWith" text="16GX">
      <formula>LEFT(A260,LEN("16GX"))="16GX"</formula>
    </cfRule>
    <cfRule type="beginsWith" dxfId="1068" priority="3779" stopIfTrue="1" operator="beginsWith" text="10M">
      <formula>LEFT(A260,LEN("10M"))="10M"</formula>
    </cfRule>
    <cfRule type="beginsWith" dxfId="1067" priority="3778" stopIfTrue="1" operator="beginsWith" text="16GX-">
      <formula>LEFT(A260,LEN("16GX-"))="16GX-"</formula>
    </cfRule>
    <cfRule type="beginsWith" dxfId="1066" priority="3777" stopIfTrue="1" operator="beginsWith" text="16GQ-">
      <formula>LEFT(A260,LEN("16GQ-"))="16GQ-"</formula>
    </cfRule>
    <cfRule type="beginsWith" dxfId="1065" priority="3776" stopIfTrue="1" operator="beginsWith" text="12C-">
      <formula>LEFT(A260,LEN("12C-"))="12C-"</formula>
    </cfRule>
    <cfRule type="beginsWith" dxfId="1064" priority="3787" stopIfTrue="1" operator="beginsWith" text="18G">
      <formula>LEFT(A260,LEN("18G"))="18G"</formula>
    </cfRule>
    <cfRule type="beginsWith" dxfId="1063" priority="3755" stopIfTrue="1" operator="beginsWith" text="16GX">
      <formula>LEFT(A260,LEN("16GX"))="16GX"</formula>
    </cfRule>
    <cfRule type="beginsWith" dxfId="1062" priority="3782" stopIfTrue="1" operator="beginsWith" text="14GX">
      <formula>LEFT(A260,LEN("14GX"))="14GX"</formula>
    </cfRule>
    <cfRule type="beginsWith" dxfId="1061" priority="3781" stopIfTrue="1" operator="beginsWith" text="12G">
      <formula>LEFT(A260,LEN("12G"))="12G"</formula>
    </cfRule>
    <cfRule type="beginsWith" dxfId="1060" priority="3751" stopIfTrue="1" operator="beginsWith" text="10CX-">
      <formula>LEFT(A260,LEN("10CX-"))="10CX-"</formula>
    </cfRule>
    <cfRule type="beginsWith" dxfId="1059" priority="3752" stopIfTrue="1" operator="beginsWith" text="12G">
      <formula>LEFT(A260,LEN("12G"))="12G"</formula>
    </cfRule>
    <cfRule type="beginsWith" dxfId="1058" priority="3753" stopIfTrue="1" operator="beginsWith" text="14GX">
      <formula>LEFT(A260,LEN("14GX"))="14GX"</formula>
    </cfRule>
    <cfRule type="beginsWith" dxfId="1057" priority="3754" stopIfTrue="1" operator="beginsWith" text="14G">
      <formula>LEFT(A260,LEN("14G"))="14G"</formula>
    </cfRule>
    <cfRule type="beginsWith" dxfId="1056" priority="3780" stopIfTrue="1" operator="beginsWith" text="10CX-">
      <formula>LEFT(A260,LEN("10CX-"))="10CX-"</formula>
    </cfRule>
    <cfRule type="beginsWith" dxfId="1055" priority="3756" stopIfTrue="1" operator="beginsWith" text="16G">
      <formula>LEFT(A260,LEN("16G"))="16G"</formula>
    </cfRule>
    <cfRule type="beginsWith" dxfId="1054" priority="3757" stopIfTrue="1" operator="beginsWith" text="18GX">
      <formula>LEFT(A260,LEN("18GX"))="18GX"</formula>
    </cfRule>
    <cfRule type="beginsWith" dxfId="1053" priority="3758" stopIfTrue="1" operator="beginsWith" text="18G">
      <formula>LEFT(A260,LEN("18G"))="18G"</formula>
    </cfRule>
    <cfRule type="beginsWith" dxfId="1052" priority="3759" stopIfTrue="1" operator="beginsWith" text="10M">
      <formula>LEFT(A260,LEN("10M"))="10M"</formula>
    </cfRule>
    <cfRule type="beginsWith" dxfId="1051" priority="3760" stopIfTrue="1" operator="beginsWith" text="10CX-">
      <formula>LEFT(A260,LEN("10CX-"))="10CX-"</formula>
    </cfRule>
    <cfRule type="beginsWith" dxfId="1050" priority="3761" stopIfTrue="1" operator="beginsWith" text="12G-">
      <formula>LEFT(A260,LEN("12G-"))="12G-"</formula>
    </cfRule>
    <cfRule type="beginsWith" dxfId="1049" priority="3762" stopIfTrue="1" operator="beginsWith" text="14G-">
      <formula>LEFT(A260,LEN("14G-"))="14G-"</formula>
    </cfRule>
    <cfRule type="beginsWith" dxfId="1048" priority="3775" stopIfTrue="1" operator="beginsWith" text="10G-">
      <formula>LEFT(A260,LEN("10G-"))="10G-"</formula>
    </cfRule>
    <cfRule type="beginsWith" dxfId="1047" priority="3763" stopIfTrue="1" operator="beginsWith" text="16G-">
      <formula>LEFT(A260,LEN("16G-"))="16G-"</formula>
    </cfRule>
    <cfRule type="beginsWith" dxfId="1046" priority="3764" stopIfTrue="1" operator="beginsWith" text="16GX-">
      <formula>LEFT(A260,LEN("16GX-"))="16GX-"</formula>
    </cfRule>
    <cfRule type="beginsWith" dxfId="1045" priority="3765" stopIfTrue="1" operator="beginsWith" text="18G-">
      <formula>LEFT(A260,LEN("18G-"))="18G-"</formula>
    </cfRule>
    <cfRule type="beginsWith" dxfId="1044" priority="3766" stopIfTrue="1" operator="beginsWith" text="18GX-">
      <formula>LEFT(A260,LEN("18GX-"))="18GX-"</formula>
    </cfRule>
    <cfRule type="beginsWith" dxfId="1043" priority="3767" stopIfTrue="1" operator="beginsWith" text="10C-">
      <formula>LEFT(A260,LEN("10C-"))="10C-"</formula>
    </cfRule>
    <cfRule type="beginsWith" dxfId="1042" priority="3768" stopIfTrue="1" operator="beginsWith" text="10CX-">
      <formula>LEFT(A260,LEN("10CX-"))="10CX-"</formula>
    </cfRule>
    <cfRule type="beginsWith" dxfId="1041" priority="3769" stopIfTrue="1" operator="beginsWith" text="12G-">
      <formula>LEFT(A260,LEN("12G-"))="12G-"</formula>
    </cfRule>
    <cfRule type="beginsWith" dxfId="1040" priority="3770" stopIfTrue="1" operator="beginsWith" text="14G-">
      <formula>LEFT(A260,LEN("14G-"))="14G-"</formula>
    </cfRule>
    <cfRule type="beginsWith" dxfId="1039" priority="3771" stopIfTrue="1" operator="beginsWith" text="16G-">
      <formula>LEFT(A260,LEN("16G-"))="16G-"</formula>
    </cfRule>
    <cfRule type="beginsWith" dxfId="1038" priority="3772" stopIfTrue="1" operator="beginsWith" text="16GX-">
      <formula>LEFT(A260,LEN("16GX-"))="16GX-"</formula>
    </cfRule>
    <cfRule type="beginsWith" dxfId="1037" priority="3773" stopIfTrue="1" operator="beginsWith" text="18G-">
      <formula>LEFT(A260,LEN("18G-"))="18G-"</formula>
    </cfRule>
    <cfRule type="beginsWith" dxfId="1036" priority="3774" stopIfTrue="1" operator="beginsWith" text="18GX-">
      <formula>LEFT(A260,LEN("18GX-"))="18GX-"</formula>
    </cfRule>
    <cfRule type="beginsWith" dxfId="1035" priority="3789" stopIfTrue="1" operator="beginsWith" text="10CX-">
      <formula>LEFT(A260,LEN("10CX-"))="10CX-"</formula>
    </cfRule>
    <cfRule type="beginsWith" dxfId="1034" priority="3790" stopIfTrue="1" operator="beginsWith" text="12G">
      <formula>LEFT(A260,LEN("12G"))="12G"</formula>
    </cfRule>
    <cfRule type="beginsWith" dxfId="1033" priority="3791" stopIfTrue="1" operator="beginsWith" text="14GX">
      <formula>LEFT(A260,LEN("14GX"))="14GX"</formula>
    </cfRule>
    <cfRule type="beginsWith" dxfId="1032" priority="3792" stopIfTrue="1" operator="beginsWith" text="14G">
      <formula>LEFT(A260,LEN("14G"))="14G"</formula>
    </cfRule>
    <cfRule type="beginsWith" dxfId="1031" priority="3793" stopIfTrue="1" operator="beginsWith" text="16GX">
      <formula>LEFT(A260,LEN("16GX"))="16GX"</formula>
    </cfRule>
    <cfRule type="beginsWith" dxfId="1030" priority="3794" stopIfTrue="1" operator="beginsWith" text="16G">
      <formula>LEFT(A260,LEN("16G"))="16G"</formula>
    </cfRule>
    <cfRule type="beginsWith" dxfId="1029" priority="3795" stopIfTrue="1" operator="beginsWith" text="18GX">
      <formula>LEFT(A260,LEN("18GX"))="18GX"</formula>
    </cfRule>
    <cfRule type="beginsWith" dxfId="1028" priority="3796" stopIfTrue="1" operator="beginsWith" text="18G">
      <formula>LEFT(A260,LEN("18G"))="18G"</formula>
    </cfRule>
    <cfRule type="beginsWith" dxfId="1027" priority="3797" stopIfTrue="1" operator="beginsWith" text="10M">
      <formula>LEFT(A260,LEN("10M"))="10M"</formula>
    </cfRule>
    <cfRule type="beginsWith" dxfId="1026" priority="3798" stopIfTrue="1" operator="beginsWith" text="10CX-">
      <formula>LEFT(A260,LEN("10CX-"))="10CX-"</formula>
    </cfRule>
    <cfRule type="beginsWith" dxfId="1025" priority="3799" stopIfTrue="1" operator="beginsWith" text="12G-">
      <formula>LEFT(A260,LEN("12G-"))="12G-"</formula>
    </cfRule>
    <cfRule type="beginsWith" dxfId="1024" priority="3800" stopIfTrue="1" operator="beginsWith" text="14G-">
      <formula>LEFT(A260,LEN("14G-"))="14G-"</formula>
    </cfRule>
    <cfRule type="beginsWith" dxfId="1023" priority="3801" stopIfTrue="1" operator="beginsWith" text="16G-">
      <formula>LEFT(A260,LEN("16G-"))="16G-"</formula>
    </cfRule>
    <cfRule type="beginsWith" dxfId="1022" priority="3802" stopIfTrue="1" operator="beginsWith" text="16GX-">
      <formula>LEFT(A260,LEN("16GX-"))="16GX-"</formula>
    </cfRule>
    <cfRule type="beginsWith" dxfId="1021" priority="3803" stopIfTrue="1" operator="beginsWith" text="18G-">
      <formula>LEFT(A260,LEN("18G-"))="18G-"</formula>
    </cfRule>
    <cfRule type="beginsWith" dxfId="1020" priority="3804" stopIfTrue="1" operator="beginsWith" text="18GX-">
      <formula>LEFT(A260,LEN("18GX-"))="18GX-"</formula>
    </cfRule>
    <cfRule type="beginsWith" dxfId="1019" priority="3805" stopIfTrue="1" operator="beginsWith" text="10C-">
      <formula>LEFT(A260,LEN("10C-"))="10C-"</formula>
    </cfRule>
    <cfRule type="beginsWith" dxfId="1018" priority="3806" stopIfTrue="1" operator="beginsWith" text="10CX-">
      <formula>LEFT(A260,LEN("10CX-"))="10CX-"</formula>
    </cfRule>
    <cfRule type="beginsWith" dxfId="1017" priority="3807" stopIfTrue="1" operator="beginsWith" text="12G-">
      <formula>LEFT(A260,LEN("12G-"))="12G-"</formula>
    </cfRule>
    <cfRule type="beginsWith" dxfId="1016" priority="3808" stopIfTrue="1" operator="beginsWith" text="14G-">
      <formula>LEFT(A260,LEN("14G-"))="14G-"</formula>
    </cfRule>
    <cfRule type="beginsWith" dxfId="1015" priority="3809" stopIfTrue="1" operator="beginsWith" text="16G-">
      <formula>LEFT(A260,LEN("16G-"))="16G-"</formula>
    </cfRule>
    <cfRule type="beginsWith" dxfId="1014" priority="3810" stopIfTrue="1" operator="beginsWith" text="16GX-">
      <formula>LEFT(A260,LEN("16GX-"))="16GX-"</formula>
    </cfRule>
    <cfRule type="beginsWith" dxfId="1013" priority="3811" stopIfTrue="1" operator="beginsWith" text="18G-">
      <formula>LEFT(A260,LEN("18G-"))="18G-"</formula>
    </cfRule>
    <cfRule type="beginsWith" dxfId="1012" priority="3812" stopIfTrue="1" operator="beginsWith" text="18GX-">
      <formula>LEFT(A260,LEN("18GX-"))="18GX-"</formula>
    </cfRule>
    <cfRule type="beginsWith" dxfId="1011" priority="3788" stopIfTrue="1" operator="beginsWith" text="10M">
      <formula>LEFT(A260,LEN("10M"))="10M"</formula>
    </cfRule>
    <cfRule type="beginsWith" dxfId="1010" priority="3783" stopIfTrue="1" operator="beginsWith" text="14G">
      <formula>LEFT(A260,LEN("14G"))="14G"</formula>
    </cfRule>
  </conditionalFormatting>
  <conditionalFormatting sqref="A260:C260 E260:G262 I260:K262 A261:A262 C261:C262 B261:B264">
    <cfRule type="beginsWith" dxfId="1009" priority="3748" stopIfTrue="1" operator="beginsWith" text="16GQ-">
      <formula>LEFT(A260,LEN("16GQ-"))="16GQ-"</formula>
    </cfRule>
    <cfRule type="beginsWith" dxfId="1008" priority="3749" stopIfTrue="1" operator="beginsWith" text="16GX-">
      <formula>LEFT(A260,LEN("16GX-"))="16GX-"</formula>
    </cfRule>
  </conditionalFormatting>
  <conditionalFormatting sqref="A260:C260 I260:K262 A261:A262 C261:C262 B261:B264 E260:G262">
    <cfRule type="beginsWith" dxfId="1007" priority="3747" stopIfTrue="1" operator="beginsWith" text="12C-">
      <formula>LEFT(A260,LEN("12C-"))="12C-"</formula>
    </cfRule>
  </conditionalFormatting>
  <conditionalFormatting sqref="A6:F6 A113:L113 A130:L130 A147:L147 A163:L163 A189:L189 A190:C190 E190:L190 B191:B199 E199:K199 A202:L203 C204:C207 D204:K211 A204:B212 C209:C211 C212:K212 A215:L215 A228:L228 A242:L242 A251:L251 A252:K252 A253 C253:K253 B253:B256 A259:L259 A267:L267 A268:K268 A269 C269 E269:K273 B269:B275 D269:D275">
    <cfRule type="beginsWith" dxfId="1006" priority="3918" stopIfTrue="1" operator="beginsWith" text="16GX">
      <formula>LEFT(A6,LEN("16GX"))="16GX"</formula>
    </cfRule>
    <cfRule type="beginsWith" dxfId="1005" priority="3917" stopIfTrue="1" operator="beginsWith" text="14G">
      <formula>LEFT(A6,LEN("14G"))="14G"</formula>
    </cfRule>
    <cfRule type="beginsWith" dxfId="1004" priority="3916" stopIfTrue="1" operator="beginsWith" text="14GX">
      <formula>LEFT(A6,LEN("14GX"))="14GX"</formula>
    </cfRule>
    <cfRule type="beginsWith" dxfId="1003" priority="3915" stopIfTrue="1" operator="beginsWith" text="12G">
      <formula>LEFT(A6,LEN("12G"))="12G"</formula>
    </cfRule>
    <cfRule type="beginsWith" dxfId="1002" priority="3914" stopIfTrue="1" operator="beginsWith" text="10CX-">
      <formula>LEFT(A6,LEN("10CX-"))="10CX-"</formula>
    </cfRule>
    <cfRule type="beginsWith" dxfId="1001" priority="3913" stopIfTrue="1" operator="beginsWith" text="10M">
      <formula>LEFT(A6,LEN("10M"))="10M"</formula>
    </cfRule>
    <cfRule type="beginsWith" dxfId="1000" priority="3912" stopIfTrue="1" operator="beginsWith" text="16GX-">
      <formula>LEFT(A6,LEN("16GX-"))="16GX-"</formula>
    </cfRule>
    <cfRule type="beginsWith" dxfId="999" priority="3911" stopIfTrue="1" operator="beginsWith" text="16GQ-">
      <formula>LEFT(A6,LEN("16GQ-"))="16GQ-"</formula>
    </cfRule>
    <cfRule type="beginsWith" dxfId="998" priority="3910" stopIfTrue="1" operator="beginsWith" text="12C-">
      <formula>LEFT(A6,LEN("12C-"))="12C-"</formula>
    </cfRule>
    <cfRule type="beginsWith" dxfId="997" priority="3909" stopIfTrue="1" operator="beginsWith" text="10G-">
      <formula>LEFT(A6,LEN("10G-"))="10G-"</formula>
    </cfRule>
    <cfRule type="beginsWith" dxfId="996" priority="3908" stopIfTrue="1" operator="beginsWith" text="18GX-">
      <formula>LEFT(A6,LEN("18GX-"))="18GX-"</formula>
    </cfRule>
    <cfRule type="beginsWith" dxfId="995" priority="3907" stopIfTrue="1" operator="beginsWith" text="18G-">
      <formula>LEFT(A6,LEN("18G-"))="18G-"</formula>
    </cfRule>
    <cfRule type="beginsWith" dxfId="994" priority="3906" stopIfTrue="1" operator="beginsWith" text="16GX-">
      <formula>LEFT(A6,LEN("16GX-"))="16GX-"</formula>
    </cfRule>
    <cfRule type="beginsWith" dxfId="993" priority="3903" stopIfTrue="1" operator="beginsWith" text="12G-">
      <formula>LEFT(A6,LEN("12G-"))="12G-"</formula>
    </cfRule>
    <cfRule type="beginsWith" dxfId="992" priority="3902" stopIfTrue="1" operator="beginsWith" text="10CX-">
      <formula>LEFT(A6,LEN("10CX-"))="10CX-"</formula>
    </cfRule>
    <cfRule type="beginsWith" dxfId="991" priority="3901" stopIfTrue="1" operator="beginsWith" text="10C-">
      <formula>LEFT(A6,LEN("10C-"))="10C-"</formula>
    </cfRule>
    <cfRule type="beginsWith" dxfId="990" priority="3900" stopIfTrue="1" operator="beginsWith" text="18GX-">
      <formula>LEFT(A6,LEN("18GX-"))="18GX-"</formula>
    </cfRule>
    <cfRule type="beginsWith" dxfId="989" priority="3899" stopIfTrue="1" operator="beginsWith" text="18G-">
      <formula>LEFT(A6,LEN("18G-"))="18G-"</formula>
    </cfRule>
    <cfRule type="beginsWith" dxfId="988" priority="3898" stopIfTrue="1" operator="beginsWith" text="16GX-">
      <formula>LEFT(A6,LEN("16GX-"))="16GX-"</formula>
    </cfRule>
    <cfRule type="beginsWith" dxfId="987" priority="3897" stopIfTrue="1" operator="beginsWith" text="16G-">
      <formula>LEFT(A6,LEN("16G-"))="16G-"</formula>
    </cfRule>
    <cfRule type="beginsWith" dxfId="986" priority="3896" stopIfTrue="1" operator="beginsWith" text="14G-">
      <formula>LEFT(A6,LEN("14G-"))="14G-"</formula>
    </cfRule>
    <cfRule type="beginsWith" dxfId="985" priority="3895" stopIfTrue="1" operator="beginsWith" text="12G-">
      <formula>LEFT(A6,LEN("12G-"))="12G-"</formula>
    </cfRule>
    <cfRule type="beginsWith" dxfId="984" priority="3894" stopIfTrue="1" operator="beginsWith" text="10CX-">
      <formula>LEFT(A6,LEN("10CX-"))="10CX-"</formula>
    </cfRule>
    <cfRule type="beginsWith" dxfId="983" priority="3893" stopIfTrue="1" operator="beginsWith" text="10M">
      <formula>LEFT(A6,LEN("10M"))="10M"</formula>
    </cfRule>
    <cfRule type="beginsWith" dxfId="982" priority="3892" stopIfTrue="1" operator="beginsWith" text="18G">
      <formula>LEFT(A6,LEN("18G"))="18G"</formula>
    </cfRule>
    <cfRule type="beginsWith" dxfId="981" priority="3891" stopIfTrue="1" operator="beginsWith" text="18GX">
      <formula>LEFT(A6,LEN("18GX"))="18GX"</formula>
    </cfRule>
    <cfRule type="beginsWith" dxfId="980" priority="3890" stopIfTrue="1" operator="beginsWith" text="16G">
      <formula>LEFT(A6,LEN("16G"))="16G"</formula>
    </cfRule>
    <cfRule type="beginsWith" dxfId="979" priority="3889" stopIfTrue="1" operator="beginsWith" text="16GX">
      <formula>LEFT(A6,LEN("16GX"))="16GX"</formula>
    </cfRule>
    <cfRule type="beginsWith" dxfId="978" priority="3888" stopIfTrue="1" operator="beginsWith" text="14G">
      <formula>LEFT(A6,LEN("14G"))="14G"</formula>
    </cfRule>
    <cfRule type="beginsWith" dxfId="977" priority="3887" stopIfTrue="1" operator="beginsWith" text="14GX">
      <formula>LEFT(A6,LEN("14GX"))="14GX"</formula>
    </cfRule>
    <cfRule type="beginsWith" dxfId="976" priority="3886" stopIfTrue="1" operator="beginsWith" text="12G">
      <formula>LEFT(A6,LEN("12G"))="12G"</formula>
    </cfRule>
    <cfRule type="beginsWith" dxfId="975" priority="3885" stopIfTrue="1" operator="beginsWith" text="10CX-">
      <formula>LEFT(A6,LEN("10CX-"))="10CX-"</formula>
    </cfRule>
    <cfRule type="beginsWith" dxfId="974" priority="3905" stopIfTrue="1" operator="beginsWith" text="16G-">
      <formula>LEFT(A6,LEN("16G-"))="16G-"</formula>
    </cfRule>
    <cfRule type="beginsWith" dxfId="973" priority="3904" stopIfTrue="1" operator="beginsWith" text="14G-">
      <formula>LEFT(A6,LEN("14G-"))="14G-"</formula>
    </cfRule>
    <cfRule type="beginsWith" dxfId="972" priority="3946" stopIfTrue="1" operator="beginsWith" text="18GX-">
      <formula>LEFT(A6,LEN("18GX-"))="18GX-"</formula>
    </cfRule>
    <cfRule type="beginsWith" dxfId="971" priority="3945" stopIfTrue="1" operator="beginsWith" text="18G-">
      <formula>LEFT(A6,LEN("18G-"))="18G-"</formula>
    </cfRule>
    <cfRule type="beginsWith" dxfId="970" priority="3944" stopIfTrue="1" operator="beginsWith" text="16GX-">
      <formula>LEFT(A6,LEN("16GX-"))="16GX-"</formula>
    </cfRule>
    <cfRule type="beginsWith" dxfId="969" priority="3943" stopIfTrue="1" operator="beginsWith" text="16G-">
      <formula>LEFT(A6,LEN("16G-"))="16G-"</formula>
    </cfRule>
    <cfRule type="beginsWith" dxfId="968" priority="3942" stopIfTrue="1" operator="beginsWith" text="14G-">
      <formula>LEFT(A6,LEN("14G-"))="14G-"</formula>
    </cfRule>
    <cfRule type="beginsWith" dxfId="967" priority="3941" stopIfTrue="1" operator="beginsWith" text="12G-">
      <formula>LEFT(A6,LEN("12G-"))="12G-"</formula>
    </cfRule>
    <cfRule type="beginsWith" dxfId="966" priority="3940" stopIfTrue="1" operator="beginsWith" text="10CX-">
      <formula>LEFT(A6,LEN("10CX-"))="10CX-"</formula>
    </cfRule>
    <cfRule type="beginsWith" dxfId="965" priority="3939" stopIfTrue="1" operator="beginsWith" text="10C-">
      <formula>LEFT(A6,LEN("10C-"))="10C-"</formula>
    </cfRule>
    <cfRule type="beginsWith" dxfId="964" priority="3938" stopIfTrue="1" operator="beginsWith" text="18GX-">
      <formula>LEFT(A6,LEN("18GX-"))="18GX-"</formula>
    </cfRule>
    <cfRule type="beginsWith" dxfId="963" priority="3937" stopIfTrue="1" operator="beginsWith" text="18G-">
      <formula>LEFT(A6,LEN("18G-"))="18G-"</formula>
    </cfRule>
    <cfRule type="beginsWith" dxfId="962" priority="3936" stopIfTrue="1" operator="beginsWith" text="16GX-">
      <formula>LEFT(A6,LEN("16GX-"))="16GX-"</formula>
    </cfRule>
    <cfRule type="beginsWith" dxfId="961" priority="3935" stopIfTrue="1" operator="beginsWith" text="16G-">
      <formula>LEFT(A6,LEN("16G-"))="16G-"</formula>
    </cfRule>
    <cfRule type="beginsWith" dxfId="960" priority="3934" stopIfTrue="1" operator="beginsWith" text="14G-">
      <formula>LEFT(A6,LEN("14G-"))="14G-"</formula>
    </cfRule>
    <cfRule type="beginsWith" dxfId="959" priority="3933" stopIfTrue="1" operator="beginsWith" text="12G-">
      <formula>LEFT(A6,LEN("12G-"))="12G-"</formula>
    </cfRule>
    <cfRule type="beginsWith" dxfId="958" priority="3932" stopIfTrue="1" operator="beginsWith" text="10CX-">
      <formula>LEFT(A6,LEN("10CX-"))="10CX-"</formula>
    </cfRule>
    <cfRule type="beginsWith" dxfId="957" priority="3931" stopIfTrue="1" operator="beginsWith" text="10M">
      <formula>LEFT(A6,LEN("10M"))="10M"</formula>
    </cfRule>
    <cfRule type="beginsWith" dxfId="956" priority="3930" stopIfTrue="1" operator="beginsWith" text="18G">
      <formula>LEFT(A6,LEN("18G"))="18G"</formula>
    </cfRule>
    <cfRule type="beginsWith" dxfId="955" priority="3929" stopIfTrue="1" operator="beginsWith" text="18GX">
      <formula>LEFT(A6,LEN("18GX"))="18GX"</formula>
    </cfRule>
    <cfRule type="beginsWith" dxfId="954" priority="3928" stopIfTrue="1" operator="beginsWith" text="16G">
      <formula>LEFT(A6,LEN("16G"))="16G"</formula>
    </cfRule>
    <cfRule type="beginsWith" dxfId="953" priority="3927" stopIfTrue="1" operator="beginsWith" text="16GX">
      <formula>LEFT(A6,LEN("16GX"))="16GX"</formula>
    </cfRule>
    <cfRule type="beginsWith" dxfId="952" priority="3926" stopIfTrue="1" operator="beginsWith" text="14G">
      <formula>LEFT(A6,LEN("14G"))="14G"</formula>
    </cfRule>
    <cfRule type="beginsWith" dxfId="951" priority="3925" stopIfTrue="1" operator="beginsWith" text="14GX">
      <formula>LEFT(A6,LEN("14GX"))="14GX"</formula>
    </cfRule>
    <cfRule type="beginsWith" dxfId="950" priority="3924" stopIfTrue="1" operator="beginsWith" text="12G">
      <formula>LEFT(A6,LEN("12G"))="12G"</formula>
    </cfRule>
    <cfRule type="beginsWith" dxfId="949" priority="3923" stopIfTrue="1" operator="beginsWith" text="10CX-">
      <formula>LEFT(A6,LEN("10CX-"))="10CX-"</formula>
    </cfRule>
    <cfRule type="beginsWith" dxfId="948" priority="3922" stopIfTrue="1" operator="beginsWith" text="10M">
      <formula>LEFT(A6,LEN("10M"))="10M"</formula>
    </cfRule>
    <cfRule type="beginsWith" dxfId="947" priority="3921" stopIfTrue="1" operator="beginsWith" text="18G">
      <formula>LEFT(A6,LEN("18G"))="18G"</formula>
    </cfRule>
    <cfRule type="beginsWith" dxfId="946" priority="3920" stopIfTrue="1" operator="beginsWith" text="18GX">
      <formula>LEFT(A6,LEN("18GX"))="18GX"</formula>
    </cfRule>
    <cfRule type="beginsWith" dxfId="945" priority="3919" stopIfTrue="1" operator="beginsWith" text="16G">
      <formula>LEFT(A6,LEN("16G"))="16G"</formula>
    </cfRule>
  </conditionalFormatting>
  <conditionalFormatting sqref="A6:F6 A113:L113 A130:L130 A147:L147 A163:L163 A189:L189 A190:C190 E190:L190 B191:B199 E199:K199 A202:L203 C204:C207 D204:K211 A204:B212 C212:K212 A215:L215 A228:L228 A242:L242 A251:L251 A252:K252 A253 C253:K253 B253:B256 A259:L259 A267:L267 A268:K268 E269:K273 B269:B275 D269:D275 A269 C269 C209:C211">
    <cfRule type="beginsWith" dxfId="944" priority="3884" stopIfTrue="1" operator="beginsWith" text="10M">
      <formula>LEFT(A6,LEN("10M"))="10M"</formula>
    </cfRule>
  </conditionalFormatting>
  <conditionalFormatting sqref="A6:F6 A113:L113 A130:L130 A147:L147 A163:L163 A189:L189 A190:C190 E190:L190 E191:K194 B191:B199 A193:A194 C193:C194 E199:K199 A202:L203 C204:C207 D204:K211 A204:B212 C212:K212 A215:L215 A228:L228 A242:L242 A251:L251 A252:K252 A253 C253:K253 B253:B256 A259:L259 A267:L267 A268:K268 E269:K273 B269:B275 D269:D275">
    <cfRule type="beginsWith" dxfId="943" priority="3883" stopIfTrue="1" operator="beginsWith" text="16GX-">
      <formula>LEFT(A6,LEN("16GX-"))="16GX-"</formula>
    </cfRule>
    <cfRule type="beginsWith" dxfId="942" priority="3882" stopIfTrue="1" operator="beginsWith" text="16GQ-">
      <formula>LEFT(A6,LEN("16GQ-"))="16GQ-"</formula>
    </cfRule>
  </conditionalFormatting>
  <conditionalFormatting sqref="A6:F6 E199:K199 D204:K211 C212:K212 E269:K273 A190:C190 E191:K194 B191:B199 A202:L203 A204:B212 A268:K268 B269:B275 A193:A194 C193:C194 C204:C207 A113:L113 A130:L130 A147:L147 A163:L163 A189:L189 E190:L190 A215:L215 A228:L228 A242:L242 A251:L251 A252:K252 A253 C253:K253 B253:B256 A259:L259 A267:L267 D269:D275">
    <cfRule type="beginsWith" dxfId="941" priority="3881" stopIfTrue="1" operator="beginsWith" text="12C-">
      <formula>LEFT(A6,LEN("12C-"))="12C-"</formula>
    </cfRule>
  </conditionalFormatting>
  <conditionalFormatting sqref="A12:F12">
    <cfRule type="beginsWith" dxfId="940" priority="1977" stopIfTrue="1" operator="beginsWith" text="18GX">
      <formula>LEFT(A12,LEN("18GX"))="18GX"</formula>
    </cfRule>
    <cfRule type="beginsWith" dxfId="939" priority="1976" stopIfTrue="1" operator="beginsWith" text="16G">
      <formula>LEFT(A12,LEN("16G"))="16G"</formula>
    </cfRule>
    <cfRule type="beginsWith" dxfId="938" priority="1975" stopIfTrue="1" operator="beginsWith" text="16GX">
      <formula>LEFT(A12,LEN("16GX"))="16GX"</formula>
    </cfRule>
    <cfRule type="beginsWith" dxfId="937" priority="1974" stopIfTrue="1" operator="beginsWith" text="14G">
      <formula>LEFT(A12,LEN("14G"))="14G"</formula>
    </cfRule>
    <cfRule type="beginsWith" dxfId="936" priority="1937" stopIfTrue="1" operator="beginsWith" text="10G-">
      <formula>LEFT(A12,LEN("10G-"))="10G-"</formula>
    </cfRule>
    <cfRule type="beginsWith" dxfId="935" priority="1938" stopIfTrue="1" operator="beginsWith" text="12C-">
      <formula>LEFT(A12,LEN("12C-"))="12C-"</formula>
    </cfRule>
    <cfRule type="beginsWith" dxfId="934" priority="1939" stopIfTrue="1" operator="beginsWith" text="16GQ-">
      <formula>LEFT(A12,LEN("16GQ-"))="16GQ-"</formula>
    </cfRule>
    <cfRule type="beginsWith" dxfId="933" priority="1940" stopIfTrue="1" operator="beginsWith" text="16GX-">
      <formula>LEFT(A12,LEN("16GX-"))="16GX-"</formula>
    </cfRule>
    <cfRule type="beginsWith" dxfId="932" priority="1941" stopIfTrue="1" operator="beginsWith" text="10M">
      <formula>LEFT(A12,LEN("10M"))="10M"</formula>
    </cfRule>
    <cfRule type="beginsWith" dxfId="931" priority="1942" stopIfTrue="1" operator="beginsWith" text="10CX-">
      <formula>LEFT(A12,LEN("10CX-"))="10CX-"</formula>
    </cfRule>
    <cfRule type="beginsWith" dxfId="930" priority="1943" stopIfTrue="1" operator="beginsWith" text="12G">
      <formula>LEFT(A12,LEN("12G"))="12G"</formula>
    </cfRule>
    <cfRule type="beginsWith" dxfId="929" priority="1944" stopIfTrue="1" operator="beginsWith" text="14GX">
      <formula>LEFT(A12,LEN("14GX"))="14GX"</formula>
    </cfRule>
    <cfRule type="beginsWith" dxfId="928" priority="1945" stopIfTrue="1" operator="beginsWith" text="14G">
      <formula>LEFT(A12,LEN("14G"))="14G"</formula>
    </cfRule>
    <cfRule type="beginsWith" dxfId="927" priority="1946" stopIfTrue="1" operator="beginsWith" text="16GX">
      <formula>LEFT(A12,LEN("16GX"))="16GX"</formula>
    </cfRule>
    <cfRule type="beginsWith" dxfId="926" priority="1947" stopIfTrue="1" operator="beginsWith" text="16G">
      <formula>LEFT(A12,LEN("16G"))="16G"</formula>
    </cfRule>
    <cfRule type="beginsWith" dxfId="925" priority="1948" stopIfTrue="1" operator="beginsWith" text="18GX">
      <formula>LEFT(A12,LEN("18GX"))="18GX"</formula>
    </cfRule>
    <cfRule type="beginsWith" dxfId="924" priority="1949" stopIfTrue="1" operator="beginsWith" text="18G">
      <formula>LEFT(A12,LEN("18G"))="18G"</formula>
    </cfRule>
    <cfRule type="beginsWith" dxfId="923" priority="1950" stopIfTrue="1" operator="beginsWith" text="10M">
      <formula>LEFT(A12,LEN("10M"))="10M"</formula>
    </cfRule>
    <cfRule type="beginsWith" dxfId="922" priority="1952" stopIfTrue="1" operator="beginsWith" text="12G-">
      <formula>LEFT(A12,LEN("12G-"))="12G-"</formula>
    </cfRule>
    <cfRule type="beginsWith" dxfId="921" priority="1953" stopIfTrue="1" operator="beginsWith" text="14G-">
      <formula>LEFT(A12,LEN("14G-"))="14G-"</formula>
    </cfRule>
    <cfRule type="beginsWith" dxfId="920" priority="1954" stopIfTrue="1" operator="beginsWith" text="16G-">
      <formula>LEFT(A12,LEN("16G-"))="16G-"</formula>
    </cfRule>
    <cfRule type="beginsWith" dxfId="919" priority="1955" stopIfTrue="1" operator="beginsWith" text="16GX-">
      <formula>LEFT(A12,LEN("16GX-"))="16GX-"</formula>
    </cfRule>
    <cfRule type="beginsWith" dxfId="918" priority="1956" stopIfTrue="1" operator="beginsWith" text="18G-">
      <formula>LEFT(A12,LEN("18G-"))="18G-"</formula>
    </cfRule>
    <cfRule type="beginsWith" dxfId="917" priority="1957" stopIfTrue="1" operator="beginsWith" text="18GX-">
      <formula>LEFT(A12,LEN("18GX-"))="18GX-"</formula>
    </cfRule>
    <cfRule type="beginsWith" dxfId="916" priority="1959" stopIfTrue="1" operator="beginsWith" text="10CX-">
      <formula>LEFT(A12,LEN("10CX-"))="10CX-"</formula>
    </cfRule>
    <cfRule type="beginsWith" dxfId="915" priority="1960" stopIfTrue="1" operator="beginsWith" text="12G-">
      <formula>LEFT(A12,LEN("12G-"))="12G-"</formula>
    </cfRule>
    <cfRule type="beginsWith" dxfId="914" priority="1961" stopIfTrue="1" operator="beginsWith" text="14G-">
      <formula>LEFT(A12,LEN("14G-"))="14G-"</formula>
    </cfRule>
    <cfRule type="beginsWith" dxfId="913" priority="1962" stopIfTrue="1" operator="beginsWith" text="16G-">
      <formula>LEFT(A12,LEN("16G-"))="16G-"</formula>
    </cfRule>
    <cfRule type="beginsWith" dxfId="912" priority="1963" stopIfTrue="1" operator="beginsWith" text="16GX-">
      <formula>LEFT(A12,LEN("16GX-"))="16GX-"</formula>
    </cfRule>
    <cfRule type="beginsWith" dxfId="911" priority="2003" stopIfTrue="1" operator="beginsWith" text="18GX-">
      <formula>LEFT(A12,LEN("18GX-"))="18GX-"</formula>
    </cfRule>
    <cfRule type="beginsWith" dxfId="910" priority="2002" stopIfTrue="1" operator="beginsWith" text="18G-">
      <formula>LEFT(A12,LEN("18G-"))="18G-"</formula>
    </cfRule>
    <cfRule type="beginsWith" dxfId="909" priority="1958" stopIfTrue="1" operator="beginsWith" text="10C-">
      <formula>LEFT(A12,LEN("10C-"))="10C-"</formula>
    </cfRule>
    <cfRule type="beginsWith" dxfId="908" priority="2000" stopIfTrue="1" operator="beginsWith" text="16G-">
      <formula>LEFT(A12,LEN("16G-"))="16G-"</formula>
    </cfRule>
    <cfRule type="beginsWith" dxfId="907" priority="1999" stopIfTrue="1" operator="beginsWith" text="14G-">
      <formula>LEFT(A12,LEN("14G-"))="14G-"</formula>
    </cfRule>
    <cfRule type="beginsWith" dxfId="906" priority="1998" stopIfTrue="1" operator="beginsWith" text="12G-">
      <formula>LEFT(A12,LEN("12G-"))="12G-"</formula>
    </cfRule>
    <cfRule type="beginsWith" dxfId="905" priority="1997" stopIfTrue="1" operator="beginsWith" text="10CX-">
      <formula>LEFT(A12,LEN("10CX-"))="10CX-"</formula>
    </cfRule>
    <cfRule type="beginsWith" dxfId="904" priority="1973" stopIfTrue="1" operator="beginsWith" text="14GX">
      <formula>LEFT(A12,LEN("14GX"))="14GX"</formula>
    </cfRule>
    <cfRule type="beginsWith" dxfId="903" priority="1996" stopIfTrue="1" operator="beginsWith" text="10C-">
      <formula>LEFT(A12,LEN("10C-"))="10C-"</formula>
    </cfRule>
    <cfRule type="beginsWith" dxfId="902" priority="1980" stopIfTrue="1" operator="beginsWith" text="10CX-">
      <formula>LEFT(A12,LEN("10CX-"))="10CX-"</formula>
    </cfRule>
    <cfRule type="beginsWith" dxfId="901" priority="2001" stopIfTrue="1" operator="beginsWith" text="16GX-">
      <formula>LEFT(A12,LEN("16GX-"))="16GX-"</formula>
    </cfRule>
    <cfRule type="beginsWith" dxfId="900" priority="1979" stopIfTrue="1" operator="beginsWith" text="10M">
      <formula>LEFT(A12,LEN("10M"))="10M"</formula>
    </cfRule>
    <cfRule type="beginsWith" dxfId="899" priority="1978" stopIfTrue="1" operator="beginsWith" text="18G">
      <formula>LEFT(A12,LEN("18G"))="18G"</formula>
    </cfRule>
    <cfRule type="beginsWith" dxfId="898" priority="1951" stopIfTrue="1" operator="beginsWith" text="10CX-">
      <formula>LEFT(A12,LEN("10CX-"))="10CX-"</formula>
    </cfRule>
    <cfRule type="beginsWith" dxfId="897" priority="1994" stopIfTrue="1" operator="beginsWith" text="18G-">
      <formula>LEFT(A12,LEN("18G-"))="18G-"</formula>
    </cfRule>
    <cfRule type="beginsWith" dxfId="896" priority="1993" stopIfTrue="1" operator="beginsWith" text="16GX-">
      <formula>LEFT(A12,LEN("16GX-"))="16GX-"</formula>
    </cfRule>
    <cfRule type="beginsWith" dxfId="895" priority="1992" stopIfTrue="1" operator="beginsWith" text="16G-">
      <formula>LEFT(A12,LEN("16G-"))="16G-"</formula>
    </cfRule>
    <cfRule type="beginsWith" dxfId="894" priority="1991" stopIfTrue="1" operator="beginsWith" text="14G-">
      <formula>LEFT(A12,LEN("14G-"))="14G-"</formula>
    </cfRule>
    <cfRule type="beginsWith" dxfId="893" priority="1990" stopIfTrue="1" operator="beginsWith" text="12G-">
      <formula>LEFT(A12,LEN("12G-"))="12G-"</formula>
    </cfRule>
    <cfRule type="beginsWith" dxfId="892" priority="1989" stopIfTrue="1" operator="beginsWith" text="10CX-">
      <formula>LEFT(A12,LEN("10CX-"))="10CX-"</formula>
    </cfRule>
    <cfRule type="beginsWith" dxfId="891" priority="1988" stopIfTrue="1" operator="beginsWith" text="10M">
      <formula>LEFT(A12,LEN("10M"))="10M"</formula>
    </cfRule>
    <cfRule type="beginsWith" dxfId="890" priority="1987" stopIfTrue="1" operator="beginsWith" text="18G">
      <formula>LEFT(A12,LEN("18G"))="18G"</formula>
    </cfRule>
    <cfRule type="beginsWith" dxfId="889" priority="1981" stopIfTrue="1" operator="beginsWith" text="12G">
      <formula>LEFT(A12,LEN("12G"))="12G"</formula>
    </cfRule>
    <cfRule type="beginsWith" dxfId="888" priority="1986" stopIfTrue="1" operator="beginsWith" text="18GX">
      <formula>LEFT(A12,LEN("18GX"))="18GX"</formula>
    </cfRule>
    <cfRule type="beginsWith" dxfId="887" priority="1985" stopIfTrue="1" operator="beginsWith" text="16G">
      <formula>LEFT(A12,LEN("16G"))="16G"</formula>
    </cfRule>
    <cfRule type="beginsWith" dxfId="886" priority="1984" stopIfTrue="1" operator="beginsWith" text="16GX">
      <formula>LEFT(A12,LEN("16GX"))="16GX"</formula>
    </cfRule>
    <cfRule type="beginsWith" dxfId="885" priority="1983" stopIfTrue="1" operator="beginsWith" text="14G">
      <formula>LEFT(A12,LEN("14G"))="14G"</formula>
    </cfRule>
    <cfRule type="beginsWith" dxfId="884" priority="1982" stopIfTrue="1" operator="beginsWith" text="14GX">
      <formula>LEFT(A12,LEN("14GX"))="14GX"</formula>
    </cfRule>
    <cfRule type="beginsWith" dxfId="883" priority="1972" stopIfTrue="1" operator="beginsWith" text="12G">
      <formula>LEFT(A12,LEN("12G"))="12G"</formula>
    </cfRule>
    <cfRule type="beginsWith" dxfId="882" priority="1971" stopIfTrue="1" operator="beginsWith" text="10CX-">
      <formula>LEFT(A12,LEN("10CX-"))="10CX-"</formula>
    </cfRule>
    <cfRule type="beginsWith" dxfId="881" priority="1970" stopIfTrue="1" operator="beginsWith" text="10M">
      <formula>LEFT(A12,LEN("10M"))="10M"</formula>
    </cfRule>
    <cfRule type="beginsWith" dxfId="880" priority="1969" stopIfTrue="1" operator="beginsWith" text="16GX-">
      <formula>LEFT(A12,LEN("16GX-"))="16GX-"</formula>
    </cfRule>
    <cfRule type="beginsWith" dxfId="879" priority="1968" stopIfTrue="1" operator="beginsWith" text="16GQ-">
      <formula>LEFT(A12,LEN("16GQ-"))="16GQ-"</formula>
    </cfRule>
    <cfRule type="beginsWith" dxfId="878" priority="1967" stopIfTrue="1" operator="beginsWith" text="12C-">
      <formula>LEFT(A12,LEN("12C-"))="12C-"</formula>
    </cfRule>
    <cfRule type="beginsWith" dxfId="877" priority="1966" stopIfTrue="1" operator="beginsWith" text="10G-">
      <formula>LEFT(A12,LEN("10G-"))="10G-"</formula>
    </cfRule>
    <cfRule type="beginsWith" dxfId="876" priority="1965" stopIfTrue="1" operator="beginsWith" text="18GX-">
      <formula>LEFT(A12,LEN("18GX-"))="18GX-"</formula>
    </cfRule>
    <cfRule type="beginsWith" dxfId="875" priority="1964" stopIfTrue="1" operator="beginsWith" text="18G-">
      <formula>LEFT(A12,LEN("18G-"))="18G-"</formula>
    </cfRule>
    <cfRule type="beginsWith" dxfId="874" priority="1995" stopIfTrue="1" operator="beginsWith" text="18GX-">
      <formula>LEFT(A12,LEN("18GX-"))="18GX-"</formula>
    </cfRule>
  </conditionalFormatting>
  <conditionalFormatting sqref="A21:L21">
    <cfRule type="beginsWith" dxfId="873" priority="3707" stopIfTrue="1" operator="beginsWith" text="18GX-">
      <formula>LEFT(A21,LEN("18GX-"))="18GX-"</formula>
    </cfRule>
    <cfRule type="beginsWith" dxfId="872" priority="3708" stopIfTrue="1" operator="beginsWith" text="10G-">
      <formula>LEFT(A21,LEN("10G-"))="10G-"</formula>
    </cfRule>
    <cfRule type="beginsWith" dxfId="871" priority="3709" stopIfTrue="1" operator="beginsWith" text="12C-">
      <formula>LEFT(A21,LEN("12C-"))="12C-"</formula>
    </cfRule>
    <cfRule type="beginsWith" dxfId="870" priority="3710" stopIfTrue="1" operator="beginsWith" text="16GQ-">
      <formula>LEFT(A21,LEN("16GQ-"))="16GQ-"</formula>
    </cfRule>
    <cfRule type="beginsWith" dxfId="869" priority="3711" stopIfTrue="1" operator="beginsWith" text="16GX-">
      <formula>LEFT(A21,LEN("16GX-"))="16GX-"</formula>
    </cfRule>
    <cfRule type="beginsWith" dxfId="868" priority="3712" stopIfTrue="1" operator="beginsWith" text="10M">
      <formula>LEFT(A21,LEN("10M"))="10M"</formula>
    </cfRule>
    <cfRule type="beginsWith" dxfId="867" priority="3713" stopIfTrue="1" operator="beginsWith" text="10CX-">
      <formula>LEFT(A21,LEN("10CX-"))="10CX-"</formula>
    </cfRule>
    <cfRule type="beginsWith" dxfId="866" priority="3714" stopIfTrue="1" operator="beginsWith" text="12G">
      <formula>LEFT(A21,LEN("12G"))="12G"</formula>
    </cfRule>
    <cfRule type="beginsWith" dxfId="865" priority="3715" stopIfTrue="1" operator="beginsWith" text="14GX">
      <formula>LEFT(A21,LEN("14GX"))="14GX"</formula>
    </cfRule>
    <cfRule type="beginsWith" dxfId="864" priority="3716" stopIfTrue="1" operator="beginsWith" text="14G">
      <formula>LEFT(A21,LEN("14G"))="14G"</formula>
    </cfRule>
    <cfRule type="beginsWith" dxfId="863" priority="3717" stopIfTrue="1" operator="beginsWith" text="16GX">
      <formula>LEFT(A21,LEN("16GX"))="16GX"</formula>
    </cfRule>
    <cfRule type="beginsWith" dxfId="862" priority="3718" stopIfTrue="1" operator="beginsWith" text="16G">
      <formula>LEFT(A21,LEN("16G"))="16G"</formula>
    </cfRule>
    <cfRule type="beginsWith" dxfId="861" priority="3719" stopIfTrue="1" operator="beginsWith" text="18GX">
      <formula>LEFT(A21,LEN("18GX"))="18GX"</formula>
    </cfRule>
    <cfRule type="beginsWith" dxfId="860" priority="3720" stopIfTrue="1" operator="beginsWith" text="18G">
      <formula>LEFT(A21,LEN("18G"))="18G"</formula>
    </cfRule>
    <cfRule type="beginsWith" dxfId="859" priority="3721" stopIfTrue="1" operator="beginsWith" text="10M">
      <formula>LEFT(A21,LEN("10M"))="10M"</formula>
    </cfRule>
    <cfRule type="beginsWith" dxfId="858" priority="3722" stopIfTrue="1" operator="beginsWith" text="10CX-">
      <formula>LEFT(A21,LEN("10CX-"))="10CX-"</formula>
    </cfRule>
    <cfRule type="beginsWith" dxfId="857" priority="3723" stopIfTrue="1" operator="beginsWith" text="12G">
      <formula>LEFT(A21,LEN("12G"))="12G"</formula>
    </cfRule>
    <cfRule type="beginsWith" dxfId="856" priority="3724" stopIfTrue="1" operator="beginsWith" text="14GX">
      <formula>LEFT(A21,LEN("14GX"))="14GX"</formula>
    </cfRule>
    <cfRule type="beginsWith" dxfId="855" priority="3725" stopIfTrue="1" operator="beginsWith" text="14G">
      <formula>LEFT(A21,LEN("14G"))="14G"</formula>
    </cfRule>
    <cfRule type="beginsWith" dxfId="854" priority="3726" stopIfTrue="1" operator="beginsWith" text="16GX">
      <formula>LEFT(A21,LEN("16GX"))="16GX"</formula>
    </cfRule>
    <cfRule type="beginsWith" dxfId="853" priority="3727" stopIfTrue="1" operator="beginsWith" text="16G">
      <formula>LEFT(A21,LEN("16G"))="16G"</formula>
    </cfRule>
    <cfRule type="beginsWith" dxfId="852" priority="3728" stopIfTrue="1" operator="beginsWith" text="18GX">
      <formula>LEFT(A21,LEN("18GX"))="18GX"</formula>
    </cfRule>
    <cfRule type="beginsWith" dxfId="851" priority="3729" stopIfTrue="1" operator="beginsWith" text="18G">
      <formula>LEFT(A21,LEN("18G"))="18G"</formula>
    </cfRule>
    <cfRule type="beginsWith" dxfId="850" priority="3730" stopIfTrue="1" operator="beginsWith" text="10M">
      <formula>LEFT(A21,LEN("10M"))="10M"</formula>
    </cfRule>
    <cfRule type="beginsWith" dxfId="849" priority="3731" stopIfTrue="1" operator="beginsWith" text="10CX-">
      <formula>LEFT(A21,LEN("10CX-"))="10CX-"</formula>
    </cfRule>
    <cfRule type="beginsWith" dxfId="848" priority="3732" stopIfTrue="1" operator="beginsWith" text="12G-">
      <formula>LEFT(A21,LEN("12G-"))="12G-"</formula>
    </cfRule>
    <cfRule type="beginsWith" dxfId="847" priority="3733" stopIfTrue="1" operator="beginsWith" text="14G-">
      <formula>LEFT(A21,LEN("14G-"))="14G-"</formula>
    </cfRule>
    <cfRule type="beginsWith" dxfId="846" priority="3734" stopIfTrue="1" operator="beginsWith" text="16G-">
      <formula>LEFT(A21,LEN("16G-"))="16G-"</formula>
    </cfRule>
    <cfRule type="beginsWith" dxfId="845" priority="3735" stopIfTrue="1" operator="beginsWith" text="16GX-">
      <formula>LEFT(A21,LEN("16GX-"))="16GX-"</formula>
    </cfRule>
    <cfRule type="beginsWith" dxfId="844" priority="3736" stopIfTrue="1" operator="beginsWith" text="18G-">
      <formula>LEFT(A21,LEN("18G-"))="18G-"</formula>
    </cfRule>
    <cfRule type="beginsWith" dxfId="843" priority="3737" stopIfTrue="1" operator="beginsWith" text="18GX-">
      <formula>LEFT(A21,LEN("18GX-"))="18GX-"</formula>
    </cfRule>
    <cfRule type="beginsWith" dxfId="842" priority="3738" stopIfTrue="1" operator="beginsWith" text="10C-">
      <formula>LEFT(A21,LEN("10C-"))="10C-"</formula>
    </cfRule>
    <cfRule type="beginsWith" dxfId="841" priority="3739" stopIfTrue="1" operator="beginsWith" text="10CX-">
      <formula>LEFT(A21,LEN("10CX-"))="10CX-"</formula>
    </cfRule>
    <cfRule type="beginsWith" dxfId="840" priority="3740" stopIfTrue="1" operator="beginsWith" text="12G-">
      <formula>LEFT(A21,LEN("12G-"))="12G-"</formula>
    </cfRule>
    <cfRule type="beginsWith" dxfId="839" priority="3741" stopIfTrue="1" operator="beginsWith" text="14G-">
      <formula>LEFT(A21,LEN("14G-"))="14G-"</formula>
    </cfRule>
    <cfRule type="beginsWith" dxfId="838" priority="3742" stopIfTrue="1" operator="beginsWith" text="16G-">
      <formula>LEFT(A21,LEN("16G-"))="16G-"</formula>
    </cfRule>
    <cfRule type="beginsWith" dxfId="837" priority="3743" stopIfTrue="1" operator="beginsWith" text="16GX-">
      <formula>LEFT(A21,LEN("16GX-"))="16GX-"</formula>
    </cfRule>
    <cfRule type="beginsWith" dxfId="836" priority="3744" stopIfTrue="1" operator="beginsWith" text="18G-">
      <formula>LEFT(A21,LEN("18G-"))="18G-"</formula>
    </cfRule>
    <cfRule type="beginsWith" dxfId="835" priority="3745" stopIfTrue="1" operator="beginsWith" text="18GX-">
      <formula>LEFT(A21,LEN("18GX-"))="18GX-"</formula>
    </cfRule>
    <cfRule type="beginsWith" dxfId="834" priority="3693" stopIfTrue="1" operator="beginsWith" text="10CX-">
      <formula>LEFT(A21,LEN("10CX-"))="10CX-"</formula>
    </cfRule>
    <cfRule type="beginsWith" dxfId="833" priority="3679" stopIfTrue="1" operator="beginsWith" text="10G-">
      <formula>LEFT(A21,LEN("10G-"))="10G-"</formula>
    </cfRule>
    <cfRule type="beginsWith" dxfId="832" priority="3680" stopIfTrue="1" operator="beginsWith" text="12C-">
      <formula>LEFT(A21,LEN("12C-"))="12C-"</formula>
    </cfRule>
    <cfRule type="beginsWith" dxfId="831" priority="3681" stopIfTrue="1" operator="beginsWith" text="16GQ-">
      <formula>LEFT(A21,LEN("16GQ-"))="16GQ-"</formula>
    </cfRule>
    <cfRule type="beginsWith" dxfId="830" priority="3682" stopIfTrue="1" operator="beginsWith" text="16GX-">
      <formula>LEFT(A21,LEN("16GX-"))="16GX-"</formula>
    </cfRule>
    <cfRule type="beginsWith" dxfId="829" priority="3683" stopIfTrue="1" operator="beginsWith" text="10M">
      <formula>LEFT(A21,LEN("10M"))="10M"</formula>
    </cfRule>
    <cfRule type="beginsWith" dxfId="828" priority="3684" stopIfTrue="1" operator="beginsWith" text="10CX-">
      <formula>LEFT(A21,LEN("10CX-"))="10CX-"</formula>
    </cfRule>
    <cfRule type="beginsWith" dxfId="827" priority="3685" stopIfTrue="1" operator="beginsWith" text="12G">
      <formula>LEFT(A21,LEN("12G"))="12G"</formula>
    </cfRule>
    <cfRule type="beginsWith" dxfId="826" priority="3686" stopIfTrue="1" operator="beginsWith" text="14GX">
      <formula>LEFT(A21,LEN("14GX"))="14GX"</formula>
    </cfRule>
    <cfRule type="beginsWith" dxfId="825" priority="3687" stopIfTrue="1" operator="beginsWith" text="14G">
      <formula>LEFT(A21,LEN("14G"))="14G"</formula>
    </cfRule>
    <cfRule type="beginsWith" dxfId="824" priority="3688" stopIfTrue="1" operator="beginsWith" text="16GX">
      <formula>LEFT(A21,LEN("16GX"))="16GX"</formula>
    </cfRule>
    <cfRule type="beginsWith" dxfId="823" priority="3689" stopIfTrue="1" operator="beginsWith" text="16G">
      <formula>LEFT(A21,LEN("16G"))="16G"</formula>
    </cfRule>
    <cfRule type="beginsWith" dxfId="822" priority="3690" stopIfTrue="1" operator="beginsWith" text="18GX">
      <formula>LEFT(A21,LEN("18GX"))="18GX"</formula>
    </cfRule>
    <cfRule type="beginsWith" dxfId="821" priority="3691" stopIfTrue="1" operator="beginsWith" text="18G">
      <formula>LEFT(A21,LEN("18G"))="18G"</formula>
    </cfRule>
    <cfRule type="beginsWith" dxfId="820" priority="3692" stopIfTrue="1" operator="beginsWith" text="10M">
      <formula>LEFT(A21,LEN("10M"))="10M"</formula>
    </cfRule>
    <cfRule type="beginsWith" dxfId="819" priority="3694" stopIfTrue="1" operator="beginsWith" text="12G-">
      <formula>LEFT(A21,LEN("12G-"))="12G-"</formula>
    </cfRule>
    <cfRule type="beginsWith" dxfId="818" priority="3695" stopIfTrue="1" operator="beginsWith" text="14G-">
      <formula>LEFT(A21,LEN("14G-"))="14G-"</formula>
    </cfRule>
    <cfRule type="beginsWith" dxfId="817" priority="3696" stopIfTrue="1" operator="beginsWith" text="16G-">
      <formula>LEFT(A21,LEN("16G-"))="16G-"</formula>
    </cfRule>
    <cfRule type="beginsWith" dxfId="816" priority="3697" stopIfTrue="1" operator="beginsWith" text="16GX-">
      <formula>LEFT(A21,LEN("16GX-"))="16GX-"</formula>
    </cfRule>
    <cfRule type="beginsWith" dxfId="815" priority="3698" stopIfTrue="1" operator="beginsWith" text="18G-">
      <formula>LEFT(A21,LEN("18G-"))="18G-"</formula>
    </cfRule>
    <cfRule type="beginsWith" dxfId="814" priority="3699" stopIfTrue="1" operator="beginsWith" text="18GX-">
      <formula>LEFT(A21,LEN("18GX-"))="18GX-"</formula>
    </cfRule>
    <cfRule type="beginsWith" dxfId="813" priority="3700" stopIfTrue="1" operator="beginsWith" text="10C-">
      <formula>LEFT(A21,LEN("10C-"))="10C-"</formula>
    </cfRule>
    <cfRule type="beginsWith" dxfId="812" priority="3701" stopIfTrue="1" operator="beginsWith" text="10CX-">
      <formula>LEFT(A21,LEN("10CX-"))="10CX-"</formula>
    </cfRule>
    <cfRule type="beginsWith" dxfId="811" priority="3702" stopIfTrue="1" operator="beginsWith" text="12G-">
      <formula>LEFT(A21,LEN("12G-"))="12G-"</formula>
    </cfRule>
    <cfRule type="beginsWith" dxfId="810" priority="3703" stopIfTrue="1" operator="beginsWith" text="14G-">
      <formula>LEFT(A21,LEN("14G-"))="14G-"</formula>
    </cfRule>
    <cfRule type="beginsWith" dxfId="809" priority="3704" stopIfTrue="1" operator="beginsWith" text="16G-">
      <formula>LEFT(A21,LEN("16G-"))="16G-"</formula>
    </cfRule>
    <cfRule type="beginsWith" dxfId="808" priority="3705" stopIfTrue="1" operator="beginsWith" text="16GX-">
      <formula>LEFT(A21,LEN("16GX-"))="16GX-"</formula>
    </cfRule>
    <cfRule type="beginsWith" dxfId="807" priority="3706" stopIfTrue="1" operator="beginsWith" text="18G-">
      <formula>LEFT(A21,LEN("18G-"))="18G-"</formula>
    </cfRule>
  </conditionalFormatting>
  <conditionalFormatting sqref="A39:L39">
    <cfRule type="beginsWith" dxfId="806" priority="1931" stopIfTrue="1" operator="beginsWith" text="12G-">
      <formula>LEFT(A39,LEN("12G-"))="12G-"</formula>
    </cfRule>
    <cfRule type="beginsWith" dxfId="805" priority="1932" stopIfTrue="1" operator="beginsWith" text="14G-">
      <formula>LEFT(A39,LEN("14G-"))="14G-"</formula>
    </cfRule>
    <cfRule type="beginsWith" dxfId="804" priority="1933" stopIfTrue="1" operator="beginsWith" text="16G-">
      <formula>LEFT(A39,LEN("16G-"))="16G-"</formula>
    </cfRule>
    <cfRule type="beginsWith" dxfId="803" priority="1934" stopIfTrue="1" operator="beginsWith" text="16GX-">
      <formula>LEFT(A39,LEN("16GX-"))="16GX-"</formula>
    </cfRule>
    <cfRule type="beginsWith" dxfId="802" priority="1935" stopIfTrue="1" operator="beginsWith" text="18G-">
      <formula>LEFT(A39,LEN("18G-"))="18G-"</formula>
    </cfRule>
    <cfRule type="beginsWith" dxfId="801" priority="1936" stopIfTrue="1" operator="beginsWith" text="18GX-">
      <formula>LEFT(A39,LEN("18GX-"))="18GX-"</formula>
    </cfRule>
    <cfRule type="beginsWith" dxfId="800" priority="1929" stopIfTrue="1" operator="beginsWith" text="10C-">
      <formula>LEFT(A39,LEN("10C-"))="10C-"</formula>
    </cfRule>
    <cfRule type="beginsWith" dxfId="799" priority="1910" stopIfTrue="1" operator="beginsWith" text="18GX">
      <formula>LEFT(A39,LEN("18GX"))="18GX"</formula>
    </cfRule>
    <cfRule type="beginsWith" dxfId="798" priority="1913" stopIfTrue="1" operator="beginsWith" text="10CX-">
      <formula>LEFT(A39,LEN("10CX-"))="10CX-"</formula>
    </cfRule>
    <cfRule type="beginsWith" dxfId="797" priority="1906" stopIfTrue="1" operator="beginsWith" text="14GX">
      <formula>LEFT(A39,LEN("14GX"))="14GX"</formula>
    </cfRule>
    <cfRule type="beginsWith" dxfId="796" priority="1905" stopIfTrue="1" operator="beginsWith" text="12G">
      <formula>LEFT(A39,LEN("12G"))="12G"</formula>
    </cfRule>
    <cfRule type="beginsWith" dxfId="795" priority="1904" stopIfTrue="1" operator="beginsWith" text="10CX-">
      <formula>LEFT(A39,LEN("10CX-"))="10CX-"</formula>
    </cfRule>
    <cfRule type="beginsWith" dxfId="794" priority="1903" stopIfTrue="1" operator="beginsWith" text="10M">
      <formula>LEFT(A39,LEN("10M"))="10M"</formula>
    </cfRule>
    <cfRule type="beginsWith" dxfId="793" priority="1902" stopIfTrue="1" operator="beginsWith" text="16GX-">
      <formula>LEFT(A39,LEN("16GX-"))="16GX-"</formula>
    </cfRule>
    <cfRule type="beginsWith" dxfId="792" priority="1901" stopIfTrue="1" operator="beginsWith" text="16GQ-">
      <formula>LEFT(A39,LEN("16GQ-"))="16GQ-"</formula>
    </cfRule>
    <cfRule type="beginsWith" dxfId="791" priority="1900" stopIfTrue="1" operator="beginsWith" text="12C-">
      <formula>LEFT(A39,LEN("12C-"))="12C-"</formula>
    </cfRule>
    <cfRule type="beginsWith" dxfId="790" priority="1899" stopIfTrue="1" operator="beginsWith" text="10G-">
      <formula>LEFT(A39,LEN("10G-"))="10G-"</formula>
    </cfRule>
    <cfRule type="beginsWith" dxfId="789" priority="1898" stopIfTrue="1" operator="beginsWith" text="18GX-">
      <formula>LEFT(A39,LEN("18GX-"))="18GX-"</formula>
    </cfRule>
    <cfRule type="beginsWith" dxfId="788" priority="1897" stopIfTrue="1" operator="beginsWith" text="18G-">
      <formula>LEFT(A39,LEN("18G-"))="18G-"</formula>
    </cfRule>
    <cfRule type="beginsWith" dxfId="787" priority="1896" stopIfTrue="1" operator="beginsWith" text="16GX-">
      <formula>LEFT(A39,LEN("16GX-"))="16GX-"</formula>
    </cfRule>
    <cfRule type="beginsWith" dxfId="786" priority="1895" stopIfTrue="1" operator="beginsWith" text="16G-">
      <formula>LEFT(A39,LEN("16G-"))="16G-"</formula>
    </cfRule>
    <cfRule type="beginsWith" dxfId="785" priority="1894" stopIfTrue="1" operator="beginsWith" text="14G-">
      <formula>LEFT(A39,LEN("14G-"))="14G-"</formula>
    </cfRule>
    <cfRule type="beginsWith" dxfId="784" priority="1893" stopIfTrue="1" operator="beginsWith" text="12G-">
      <formula>LEFT(A39,LEN("12G-"))="12G-"</formula>
    </cfRule>
    <cfRule type="beginsWith" dxfId="783" priority="1892" stopIfTrue="1" operator="beginsWith" text="10CX-">
      <formula>LEFT(A39,LEN("10CX-"))="10CX-"</formula>
    </cfRule>
    <cfRule type="beginsWith" dxfId="782" priority="1891" stopIfTrue="1" operator="beginsWith" text="10C-">
      <formula>LEFT(A39,LEN("10C-"))="10C-"</formula>
    </cfRule>
    <cfRule type="beginsWith" dxfId="781" priority="1890" stopIfTrue="1" operator="beginsWith" text="18GX-">
      <formula>LEFT(A39,LEN("18GX-"))="18GX-"</formula>
    </cfRule>
    <cfRule type="beginsWith" dxfId="780" priority="1889" stopIfTrue="1" operator="beginsWith" text="18G-">
      <formula>LEFT(A39,LEN("18G-"))="18G-"</formula>
    </cfRule>
    <cfRule type="beginsWith" dxfId="779" priority="1888" stopIfTrue="1" operator="beginsWith" text="16GX-">
      <formula>LEFT(A39,LEN("16GX-"))="16GX-"</formula>
    </cfRule>
    <cfRule type="beginsWith" dxfId="778" priority="1887" stopIfTrue="1" operator="beginsWith" text="16G-">
      <formula>LEFT(A39,LEN("16G-"))="16G-"</formula>
    </cfRule>
    <cfRule type="beginsWith" dxfId="777" priority="1886" stopIfTrue="1" operator="beginsWith" text="14G-">
      <formula>LEFT(A39,LEN("14G-"))="14G-"</formula>
    </cfRule>
    <cfRule type="beginsWith" dxfId="776" priority="1885" stopIfTrue="1" operator="beginsWith" text="12G-">
      <formula>LEFT(A39,LEN("12G-"))="12G-"</formula>
    </cfRule>
    <cfRule type="beginsWith" dxfId="775" priority="1884" stopIfTrue="1" operator="beginsWith" text="10CX-">
      <formula>LEFT(A39,LEN("10CX-"))="10CX-"</formula>
    </cfRule>
    <cfRule type="beginsWith" dxfId="774" priority="1883" stopIfTrue="1" operator="beginsWith" text="10M">
      <formula>LEFT(A39,LEN("10M"))="10M"</formula>
    </cfRule>
    <cfRule type="beginsWith" dxfId="773" priority="1882" stopIfTrue="1" operator="beginsWith" text="18G">
      <formula>LEFT(A39,LEN("18G"))="18G"</formula>
    </cfRule>
    <cfRule type="beginsWith" dxfId="772" priority="1881" stopIfTrue="1" operator="beginsWith" text="18GX">
      <formula>LEFT(A39,LEN("18GX"))="18GX"</formula>
    </cfRule>
    <cfRule type="beginsWith" dxfId="771" priority="1880" stopIfTrue="1" operator="beginsWith" text="16G">
      <formula>LEFT(A39,LEN("16G"))="16G"</formula>
    </cfRule>
    <cfRule type="beginsWith" dxfId="770" priority="1879" stopIfTrue="1" operator="beginsWith" text="16GX">
      <formula>LEFT(A39,LEN("16GX"))="16GX"</formula>
    </cfRule>
    <cfRule type="beginsWith" dxfId="769" priority="1878" stopIfTrue="1" operator="beginsWith" text="14G">
      <formula>LEFT(A39,LEN("14G"))="14G"</formula>
    </cfRule>
    <cfRule type="beginsWith" dxfId="768" priority="1877" stopIfTrue="1" operator="beginsWith" text="14GX">
      <formula>LEFT(A39,LEN("14GX"))="14GX"</formula>
    </cfRule>
    <cfRule type="beginsWith" dxfId="767" priority="1876" stopIfTrue="1" operator="beginsWith" text="12G">
      <formula>LEFT(A39,LEN("12G"))="12G"</formula>
    </cfRule>
    <cfRule type="beginsWith" dxfId="766" priority="1875" stopIfTrue="1" operator="beginsWith" text="10CX-">
      <formula>LEFT(A39,LEN("10CX-"))="10CX-"</formula>
    </cfRule>
    <cfRule type="beginsWith" dxfId="765" priority="1874" stopIfTrue="1" operator="beginsWith" text="10M">
      <formula>LEFT(A39,LEN("10M"))="10M"</formula>
    </cfRule>
    <cfRule type="beginsWith" dxfId="764" priority="1873" stopIfTrue="1" operator="beginsWith" text="16GX-">
      <formula>LEFT(A39,LEN("16GX-"))="16GX-"</formula>
    </cfRule>
    <cfRule type="beginsWith" dxfId="763" priority="1872" stopIfTrue="1" operator="beginsWith" text="16GQ-">
      <formula>LEFT(A39,LEN("16GQ-"))="16GQ-"</formula>
    </cfRule>
    <cfRule type="beginsWith" dxfId="762" priority="1871" stopIfTrue="1" operator="beginsWith" text="12C-">
      <formula>LEFT(A39,LEN("12C-"))="12C-"</formula>
    </cfRule>
    <cfRule type="beginsWith" dxfId="761" priority="1870" stopIfTrue="1" operator="beginsWith" text="10G-">
      <formula>LEFT(A39,LEN("10G-"))="10G-"</formula>
    </cfRule>
    <cfRule type="beginsWith" dxfId="760" priority="1930" stopIfTrue="1" operator="beginsWith" text="10CX-">
      <formula>LEFT(A39,LEN("10CX-"))="10CX-"</formula>
    </cfRule>
    <cfRule type="beginsWith" dxfId="759" priority="1907" stopIfTrue="1" operator="beginsWith" text="14G">
      <formula>LEFT(A39,LEN("14G"))="14G"</formula>
    </cfRule>
    <cfRule type="beginsWith" dxfId="758" priority="1908" stopIfTrue="1" operator="beginsWith" text="16GX">
      <formula>LEFT(A39,LEN("16GX"))="16GX"</formula>
    </cfRule>
    <cfRule type="beginsWith" dxfId="757" priority="1909" stopIfTrue="1" operator="beginsWith" text="16G">
      <formula>LEFT(A39,LEN("16G"))="16G"</formula>
    </cfRule>
    <cfRule type="beginsWith" dxfId="756" priority="1911" stopIfTrue="1" operator="beginsWith" text="18G">
      <formula>LEFT(A39,LEN("18G"))="18G"</formula>
    </cfRule>
    <cfRule type="beginsWith" dxfId="755" priority="1912" stopIfTrue="1" operator="beginsWith" text="10M">
      <formula>LEFT(A39,LEN("10M"))="10M"</formula>
    </cfRule>
    <cfRule type="beginsWith" dxfId="754" priority="1914" stopIfTrue="1" operator="beginsWith" text="12G">
      <formula>LEFT(A39,LEN("12G"))="12G"</formula>
    </cfRule>
    <cfRule type="beginsWith" dxfId="753" priority="1915" stopIfTrue="1" operator="beginsWith" text="14GX">
      <formula>LEFT(A39,LEN("14GX"))="14GX"</formula>
    </cfRule>
    <cfRule type="beginsWith" dxfId="752" priority="1916" stopIfTrue="1" operator="beginsWith" text="14G">
      <formula>LEFT(A39,LEN("14G"))="14G"</formula>
    </cfRule>
    <cfRule type="beginsWith" dxfId="751" priority="1917" stopIfTrue="1" operator="beginsWith" text="16GX">
      <formula>LEFT(A39,LEN("16GX"))="16GX"</formula>
    </cfRule>
    <cfRule type="beginsWith" dxfId="750" priority="1918" stopIfTrue="1" operator="beginsWith" text="16G">
      <formula>LEFT(A39,LEN("16G"))="16G"</formula>
    </cfRule>
    <cfRule type="beginsWith" dxfId="749" priority="1919" stopIfTrue="1" operator="beginsWith" text="18GX">
      <formula>LEFT(A39,LEN("18GX"))="18GX"</formula>
    </cfRule>
    <cfRule type="beginsWith" dxfId="748" priority="1920" stopIfTrue="1" operator="beginsWith" text="18G">
      <formula>LEFT(A39,LEN("18G"))="18G"</formula>
    </cfRule>
    <cfRule type="beginsWith" dxfId="747" priority="1921" stopIfTrue="1" operator="beginsWith" text="10M">
      <formula>LEFT(A39,LEN("10M"))="10M"</formula>
    </cfRule>
    <cfRule type="beginsWith" dxfId="746" priority="1922" stopIfTrue="1" operator="beginsWith" text="10CX-">
      <formula>LEFT(A39,LEN("10CX-"))="10CX-"</formula>
    </cfRule>
    <cfRule type="beginsWith" dxfId="745" priority="1923" stopIfTrue="1" operator="beginsWith" text="12G-">
      <formula>LEFT(A39,LEN("12G-"))="12G-"</formula>
    </cfRule>
    <cfRule type="beginsWith" dxfId="744" priority="1924" stopIfTrue="1" operator="beginsWith" text="14G-">
      <formula>LEFT(A39,LEN("14G-"))="14G-"</formula>
    </cfRule>
    <cfRule type="beginsWith" dxfId="743" priority="1925" stopIfTrue="1" operator="beginsWith" text="16G-">
      <formula>LEFT(A39,LEN("16G-"))="16G-"</formula>
    </cfRule>
    <cfRule type="beginsWith" dxfId="742" priority="1926" stopIfTrue="1" operator="beginsWith" text="16GX-">
      <formula>LEFT(A39,LEN("16GX-"))="16GX-"</formula>
    </cfRule>
    <cfRule type="beginsWith" dxfId="741" priority="1927" stopIfTrue="1" operator="beginsWith" text="18G-">
      <formula>LEFT(A39,LEN("18G-"))="18G-"</formula>
    </cfRule>
    <cfRule type="beginsWith" dxfId="740" priority="1928" stopIfTrue="1" operator="beginsWith" text="18GX-">
      <formula>LEFT(A39,LEN("18GX-"))="18GX-"</formula>
    </cfRule>
  </conditionalFormatting>
  <conditionalFormatting sqref="A57:L57">
    <cfRule type="beginsWith" dxfId="739" priority="1805" stopIfTrue="1" operator="beginsWith" text="16GQ-">
      <formula>LEFT(A57,LEN("16GQ-"))="16GQ-"</formula>
    </cfRule>
    <cfRule type="beginsWith" dxfId="738" priority="1804" stopIfTrue="1" operator="beginsWith" text="12C-">
      <formula>LEFT(A57,LEN("12C-"))="12C-"</formula>
    </cfRule>
    <cfRule type="beginsWith" dxfId="737" priority="1803" stopIfTrue="1" operator="beginsWith" text="10G-">
      <formula>LEFT(A57,LEN("10G-"))="10G-"</formula>
    </cfRule>
    <cfRule type="beginsWith" dxfId="736" priority="1869" stopIfTrue="1" operator="beginsWith" text="18GX-">
      <formula>LEFT(A57,LEN("18GX-"))="18GX-"</formula>
    </cfRule>
    <cfRule type="beginsWith" dxfId="735" priority="1868" stopIfTrue="1" operator="beginsWith" text="18G-">
      <formula>LEFT(A57,LEN("18G-"))="18G-"</formula>
    </cfRule>
    <cfRule type="beginsWith" dxfId="734" priority="1867" stopIfTrue="1" operator="beginsWith" text="16GX-">
      <formula>LEFT(A57,LEN("16GX-"))="16GX-"</formula>
    </cfRule>
    <cfRule type="beginsWith" dxfId="733" priority="1866" stopIfTrue="1" operator="beginsWith" text="16G-">
      <formula>LEFT(A57,LEN("16G-"))="16G-"</formula>
    </cfRule>
    <cfRule type="beginsWith" dxfId="732" priority="1865" stopIfTrue="1" operator="beginsWith" text="14G-">
      <formula>LEFT(A57,LEN("14G-"))="14G-"</formula>
    </cfRule>
    <cfRule type="beginsWith" dxfId="731" priority="1864" stopIfTrue="1" operator="beginsWith" text="12G-">
      <formula>LEFT(A57,LEN("12G-"))="12G-"</formula>
    </cfRule>
    <cfRule type="beginsWith" dxfId="730" priority="1863" stopIfTrue="1" operator="beginsWith" text="10CX-">
      <formula>LEFT(A57,LEN("10CX-"))="10CX-"</formula>
    </cfRule>
    <cfRule type="beginsWith" dxfId="729" priority="1862" stopIfTrue="1" operator="beginsWith" text="10C-">
      <formula>LEFT(A57,LEN("10C-"))="10C-"</formula>
    </cfRule>
    <cfRule type="beginsWith" dxfId="728" priority="1861" stopIfTrue="1" operator="beginsWith" text="18GX-">
      <formula>LEFT(A57,LEN("18GX-"))="18GX-"</formula>
    </cfRule>
    <cfRule type="beginsWith" dxfId="727" priority="1860" stopIfTrue="1" operator="beginsWith" text="18G-">
      <formula>LEFT(A57,LEN("18G-"))="18G-"</formula>
    </cfRule>
    <cfRule type="beginsWith" dxfId="726" priority="1859" stopIfTrue="1" operator="beginsWith" text="16GX-">
      <formula>LEFT(A57,LEN("16GX-"))="16GX-"</formula>
    </cfRule>
    <cfRule type="beginsWith" dxfId="725" priority="1858" stopIfTrue="1" operator="beginsWith" text="16G-">
      <formula>LEFT(A57,LEN("16G-"))="16G-"</formula>
    </cfRule>
    <cfRule type="beginsWith" dxfId="724" priority="1857" stopIfTrue="1" operator="beginsWith" text="14G-">
      <formula>LEFT(A57,LEN("14G-"))="14G-"</formula>
    </cfRule>
    <cfRule type="beginsWith" dxfId="723" priority="1856" stopIfTrue="1" operator="beginsWith" text="12G-">
      <formula>LEFT(A57,LEN("12G-"))="12G-"</formula>
    </cfRule>
    <cfRule type="beginsWith" dxfId="722" priority="1855" stopIfTrue="1" operator="beginsWith" text="10CX-">
      <formula>LEFT(A57,LEN("10CX-"))="10CX-"</formula>
    </cfRule>
    <cfRule type="beginsWith" dxfId="721" priority="1854" stopIfTrue="1" operator="beginsWith" text="10M">
      <formula>LEFT(A57,LEN("10M"))="10M"</formula>
    </cfRule>
    <cfRule type="beginsWith" dxfId="720" priority="1853" stopIfTrue="1" operator="beginsWith" text="18G">
      <formula>LEFT(A57,LEN("18G"))="18G"</formula>
    </cfRule>
    <cfRule type="beginsWith" dxfId="719" priority="1852" stopIfTrue="1" operator="beginsWith" text="18GX">
      <formula>LEFT(A57,LEN("18GX"))="18GX"</formula>
    </cfRule>
    <cfRule type="beginsWith" dxfId="718" priority="1851" stopIfTrue="1" operator="beginsWith" text="16G">
      <formula>LEFT(A57,LEN("16G"))="16G"</formula>
    </cfRule>
    <cfRule type="beginsWith" dxfId="717" priority="1815" stopIfTrue="1" operator="beginsWith" text="18G">
      <formula>LEFT(A57,LEN("18G"))="18G"</formula>
    </cfRule>
    <cfRule type="beginsWith" dxfId="716" priority="1850" stopIfTrue="1" operator="beginsWith" text="16GX">
      <formula>LEFT(A57,LEN("16GX"))="16GX"</formula>
    </cfRule>
    <cfRule type="beginsWith" dxfId="715" priority="1825" stopIfTrue="1" operator="beginsWith" text="10CX-">
      <formula>LEFT(A57,LEN("10CX-"))="10CX-"</formula>
    </cfRule>
    <cfRule type="beginsWith" dxfId="714" priority="1824" stopIfTrue="1" operator="beginsWith" text="10C-">
      <formula>LEFT(A57,LEN("10C-"))="10C-"</formula>
    </cfRule>
    <cfRule type="beginsWith" dxfId="713" priority="1823" stopIfTrue="1" operator="beginsWith" text="18GX-">
      <formula>LEFT(A57,LEN("18GX-"))="18GX-"</formula>
    </cfRule>
    <cfRule type="beginsWith" dxfId="712" priority="1822" stopIfTrue="1" operator="beginsWith" text="18G-">
      <formula>LEFT(A57,LEN("18G-"))="18G-"</formula>
    </cfRule>
    <cfRule type="beginsWith" dxfId="711" priority="1821" stopIfTrue="1" operator="beginsWith" text="16GX-">
      <formula>LEFT(A57,LEN("16GX-"))="16GX-"</formula>
    </cfRule>
    <cfRule type="beginsWith" dxfId="710" priority="1820" stopIfTrue="1" operator="beginsWith" text="16G-">
      <formula>LEFT(A57,LEN("16G-"))="16G-"</formula>
    </cfRule>
    <cfRule type="beginsWith" dxfId="709" priority="1819" stopIfTrue="1" operator="beginsWith" text="14G-">
      <formula>LEFT(A57,LEN("14G-"))="14G-"</formula>
    </cfRule>
    <cfRule type="beginsWith" dxfId="708" priority="1818" stopIfTrue="1" operator="beginsWith" text="12G-">
      <formula>LEFT(A57,LEN("12G-"))="12G-"</formula>
    </cfRule>
    <cfRule type="beginsWith" dxfId="707" priority="1817" stopIfTrue="1" operator="beginsWith" text="10CX-">
      <formula>LEFT(A57,LEN("10CX-"))="10CX-"</formula>
    </cfRule>
    <cfRule type="beginsWith" dxfId="706" priority="1848" stopIfTrue="1" operator="beginsWith" text="14GX">
      <formula>LEFT(A57,LEN("14GX"))="14GX"</formula>
    </cfRule>
    <cfRule type="beginsWith" dxfId="705" priority="1847" stopIfTrue="1" operator="beginsWith" text="12G">
      <formula>LEFT(A57,LEN("12G"))="12G"</formula>
    </cfRule>
    <cfRule type="beginsWith" dxfId="704" priority="1814" stopIfTrue="1" operator="beginsWith" text="18GX">
      <formula>LEFT(A57,LEN("18GX"))="18GX"</formula>
    </cfRule>
    <cfRule type="beginsWith" dxfId="703" priority="1813" stopIfTrue="1" operator="beginsWith" text="16G">
      <formula>LEFT(A57,LEN("16G"))="16G"</formula>
    </cfRule>
    <cfRule type="beginsWith" dxfId="702" priority="1812" stopIfTrue="1" operator="beginsWith" text="16GX">
      <formula>LEFT(A57,LEN("16GX"))="16GX"</formula>
    </cfRule>
    <cfRule type="beginsWith" dxfId="701" priority="1811" stopIfTrue="1" operator="beginsWith" text="14G">
      <formula>LEFT(A57,LEN("14G"))="14G"</formula>
    </cfRule>
    <cfRule type="beginsWith" dxfId="700" priority="1810" stopIfTrue="1" operator="beginsWith" text="14GX">
      <formula>LEFT(A57,LEN("14GX"))="14GX"</formula>
    </cfRule>
    <cfRule type="beginsWith" dxfId="699" priority="1809" stopIfTrue="1" operator="beginsWith" text="12G">
      <formula>LEFT(A57,LEN("12G"))="12G"</formula>
    </cfRule>
    <cfRule type="beginsWith" dxfId="698" priority="1808" stopIfTrue="1" operator="beginsWith" text="10CX-">
      <formula>LEFT(A57,LEN("10CX-"))="10CX-"</formula>
    </cfRule>
    <cfRule type="beginsWith" dxfId="697" priority="1807" stopIfTrue="1" operator="beginsWith" text="10M">
      <formula>LEFT(A57,LEN("10M"))="10M"</formula>
    </cfRule>
    <cfRule type="beginsWith" dxfId="696" priority="1806" stopIfTrue="1" operator="beginsWith" text="16GX-">
      <formula>LEFT(A57,LEN("16GX-"))="16GX-"</formula>
    </cfRule>
    <cfRule type="beginsWith" dxfId="695" priority="1846" stopIfTrue="1" operator="beginsWith" text="10CX-">
      <formula>LEFT(A57,LEN("10CX-"))="10CX-"</formula>
    </cfRule>
    <cfRule type="beginsWith" dxfId="694" priority="1845" stopIfTrue="1" operator="beginsWith" text="10M">
      <formula>LEFT(A57,LEN("10M"))="10M"</formula>
    </cfRule>
    <cfRule type="beginsWith" dxfId="693" priority="1844" stopIfTrue="1" operator="beginsWith" text="18G">
      <formula>LEFT(A57,LEN("18G"))="18G"</formula>
    </cfRule>
    <cfRule type="beginsWith" dxfId="692" priority="1843" stopIfTrue="1" operator="beginsWith" text="18GX">
      <formula>LEFT(A57,LEN("18GX"))="18GX"</formula>
    </cfRule>
    <cfRule type="beginsWith" dxfId="691" priority="1842" stopIfTrue="1" operator="beginsWith" text="16G">
      <formula>LEFT(A57,LEN("16G"))="16G"</formula>
    </cfRule>
    <cfRule type="beginsWith" dxfId="690" priority="1841" stopIfTrue="1" operator="beginsWith" text="16GX">
      <formula>LEFT(A57,LEN("16GX"))="16GX"</formula>
    </cfRule>
    <cfRule type="beginsWith" dxfId="689" priority="1849" stopIfTrue="1" operator="beginsWith" text="14G">
      <formula>LEFT(A57,LEN("14G"))="14G"</formula>
    </cfRule>
    <cfRule type="beginsWith" dxfId="688" priority="1840" stopIfTrue="1" operator="beginsWith" text="14G">
      <formula>LEFT(A57,LEN("14G"))="14G"</formula>
    </cfRule>
    <cfRule type="beginsWith" dxfId="687" priority="1839" stopIfTrue="1" operator="beginsWith" text="14GX">
      <formula>LEFT(A57,LEN("14GX"))="14GX"</formula>
    </cfRule>
    <cfRule type="beginsWith" dxfId="686" priority="1838" stopIfTrue="1" operator="beginsWith" text="12G">
      <formula>LEFT(A57,LEN("12G"))="12G"</formula>
    </cfRule>
    <cfRule type="beginsWith" dxfId="685" priority="1837" stopIfTrue="1" operator="beginsWith" text="10CX-">
      <formula>LEFT(A57,LEN("10CX-"))="10CX-"</formula>
    </cfRule>
    <cfRule type="beginsWith" dxfId="684" priority="1836" stopIfTrue="1" operator="beginsWith" text="10M">
      <formula>LEFT(A57,LEN("10M"))="10M"</formula>
    </cfRule>
    <cfRule type="beginsWith" dxfId="683" priority="1835" stopIfTrue="1" operator="beginsWith" text="16GX-">
      <formula>LEFT(A57,LEN("16GX-"))="16GX-"</formula>
    </cfRule>
    <cfRule type="beginsWith" dxfId="682" priority="1834" stopIfTrue="1" operator="beginsWith" text="16GQ-">
      <formula>LEFT(A57,LEN("16GQ-"))="16GQ-"</formula>
    </cfRule>
    <cfRule type="beginsWith" dxfId="681" priority="1833" stopIfTrue="1" operator="beginsWith" text="12C-">
      <formula>LEFT(A57,LEN("12C-"))="12C-"</formula>
    </cfRule>
    <cfRule type="beginsWith" dxfId="680" priority="1832" stopIfTrue="1" operator="beginsWith" text="10G-">
      <formula>LEFT(A57,LEN("10G-"))="10G-"</formula>
    </cfRule>
    <cfRule type="beginsWith" dxfId="679" priority="1831" stopIfTrue="1" operator="beginsWith" text="18GX-">
      <formula>LEFT(A57,LEN("18GX-"))="18GX-"</formula>
    </cfRule>
    <cfRule type="beginsWith" dxfId="678" priority="1830" stopIfTrue="1" operator="beginsWith" text="18G-">
      <formula>LEFT(A57,LEN("18G-"))="18G-"</formula>
    </cfRule>
    <cfRule type="beginsWith" dxfId="677" priority="1829" stopIfTrue="1" operator="beginsWith" text="16GX-">
      <formula>LEFT(A57,LEN("16GX-"))="16GX-"</formula>
    </cfRule>
    <cfRule type="beginsWith" dxfId="676" priority="1828" stopIfTrue="1" operator="beginsWith" text="16G-">
      <formula>LEFT(A57,LEN("16G-"))="16G-"</formula>
    </cfRule>
    <cfRule type="beginsWith" dxfId="675" priority="1827" stopIfTrue="1" operator="beginsWith" text="14G-">
      <formula>LEFT(A57,LEN("14G-"))="14G-"</formula>
    </cfRule>
    <cfRule type="beginsWith" dxfId="674" priority="1826" stopIfTrue="1" operator="beginsWith" text="12G-">
      <formula>LEFT(A57,LEN("12G-"))="12G-"</formula>
    </cfRule>
    <cfRule type="beginsWith" dxfId="673" priority="1816" stopIfTrue="1" operator="beginsWith" text="10M">
      <formula>LEFT(A57,LEN("10M"))="10M"</formula>
    </cfRule>
  </conditionalFormatting>
  <conditionalFormatting sqref="A75:L75">
    <cfRule type="beginsWith" dxfId="672" priority="1783" stopIfTrue="1" operator="beginsWith" text="16GX">
      <formula>LEFT(A75,LEN("16GX"))="16GX"</formula>
    </cfRule>
    <cfRule type="beginsWith" dxfId="671" priority="1782" stopIfTrue="1" operator="beginsWith" text="14G">
      <formula>LEFT(A75,LEN("14G"))="14G"</formula>
    </cfRule>
    <cfRule type="beginsWith" dxfId="670" priority="1781" stopIfTrue="1" operator="beginsWith" text="14GX">
      <formula>LEFT(A75,LEN("14GX"))="14GX"</formula>
    </cfRule>
    <cfRule type="beginsWith" dxfId="669" priority="1779" stopIfTrue="1" operator="beginsWith" text="10CX-">
      <formula>LEFT(A75,LEN("10CX-"))="10CX-"</formula>
    </cfRule>
    <cfRule type="beginsWith" dxfId="668" priority="1775" stopIfTrue="1" operator="beginsWith" text="16G">
      <formula>LEFT(A75,LEN("16G"))="16G"</formula>
    </cfRule>
    <cfRule type="beginsWith" dxfId="667" priority="1736" stopIfTrue="1" operator="beginsWith" text="10G-">
      <formula>LEFT(A75,LEN("10G-"))="10G-"</formula>
    </cfRule>
    <cfRule type="beginsWith" dxfId="666" priority="1737" stopIfTrue="1" operator="beginsWith" text="12C-">
      <formula>LEFT(A75,LEN("12C-"))="12C-"</formula>
    </cfRule>
    <cfRule type="beginsWith" dxfId="665" priority="1738" stopIfTrue="1" operator="beginsWith" text="16GQ-">
      <formula>LEFT(A75,LEN("16GQ-"))="16GQ-"</formula>
    </cfRule>
    <cfRule type="beginsWith" dxfId="664" priority="1739" stopIfTrue="1" operator="beginsWith" text="16GX-">
      <formula>LEFT(A75,LEN("16GX-"))="16GX-"</formula>
    </cfRule>
    <cfRule type="beginsWith" dxfId="663" priority="1740" stopIfTrue="1" operator="beginsWith" text="10M">
      <formula>LEFT(A75,LEN("10M"))="10M"</formula>
    </cfRule>
    <cfRule type="beginsWith" dxfId="662" priority="1741" stopIfTrue="1" operator="beginsWith" text="10CX-">
      <formula>LEFT(A75,LEN("10CX-"))="10CX-"</formula>
    </cfRule>
    <cfRule type="beginsWith" dxfId="661" priority="1742" stopIfTrue="1" operator="beginsWith" text="12G">
      <formula>LEFT(A75,LEN("12G"))="12G"</formula>
    </cfRule>
    <cfRule type="beginsWith" dxfId="660" priority="1743" stopIfTrue="1" operator="beginsWith" text="14GX">
      <formula>LEFT(A75,LEN("14GX"))="14GX"</formula>
    </cfRule>
    <cfRule type="beginsWith" dxfId="659" priority="1744" stopIfTrue="1" operator="beginsWith" text="14G">
      <formula>LEFT(A75,LEN("14G"))="14G"</formula>
    </cfRule>
    <cfRule type="beginsWith" dxfId="658" priority="1745" stopIfTrue="1" operator="beginsWith" text="16GX">
      <formula>LEFT(A75,LEN("16GX"))="16GX"</formula>
    </cfRule>
    <cfRule type="beginsWith" dxfId="657" priority="1746" stopIfTrue="1" operator="beginsWith" text="16G">
      <formula>LEFT(A75,LEN("16G"))="16G"</formula>
    </cfRule>
    <cfRule type="beginsWith" dxfId="656" priority="1747" stopIfTrue="1" operator="beginsWith" text="18GX">
      <formula>LEFT(A75,LEN("18GX"))="18GX"</formula>
    </cfRule>
    <cfRule type="beginsWith" dxfId="655" priority="1748" stopIfTrue="1" operator="beginsWith" text="18G">
      <formula>LEFT(A75,LEN("18G"))="18G"</formula>
    </cfRule>
    <cfRule type="beginsWith" dxfId="654" priority="1749" stopIfTrue="1" operator="beginsWith" text="10M">
      <formula>LEFT(A75,LEN("10M"))="10M"</formula>
    </cfRule>
    <cfRule type="beginsWith" dxfId="653" priority="1750" stopIfTrue="1" operator="beginsWith" text="10CX-">
      <formula>LEFT(A75,LEN("10CX-"))="10CX-"</formula>
    </cfRule>
    <cfRule type="beginsWith" dxfId="652" priority="1751" stopIfTrue="1" operator="beginsWith" text="12G-">
      <formula>LEFT(A75,LEN("12G-"))="12G-"</formula>
    </cfRule>
    <cfRule type="beginsWith" dxfId="651" priority="1752" stopIfTrue="1" operator="beginsWith" text="14G-">
      <formula>LEFT(A75,LEN("14G-"))="14G-"</formula>
    </cfRule>
    <cfRule type="beginsWith" dxfId="650" priority="1753" stopIfTrue="1" operator="beginsWith" text="16G-">
      <formula>LEFT(A75,LEN("16G-"))="16G-"</formula>
    </cfRule>
    <cfRule type="beginsWith" dxfId="649" priority="1754" stopIfTrue="1" operator="beginsWith" text="16GX-">
      <formula>LEFT(A75,LEN("16GX-"))="16GX-"</formula>
    </cfRule>
    <cfRule type="beginsWith" dxfId="648" priority="1755" stopIfTrue="1" operator="beginsWith" text="18G-">
      <formula>LEFT(A75,LEN("18G-"))="18G-"</formula>
    </cfRule>
    <cfRule type="beginsWith" dxfId="647" priority="1756" stopIfTrue="1" operator="beginsWith" text="18GX-">
      <formula>LEFT(A75,LEN("18GX-"))="18GX-"</formula>
    </cfRule>
    <cfRule type="beginsWith" dxfId="646" priority="1757" stopIfTrue="1" operator="beginsWith" text="10C-">
      <formula>LEFT(A75,LEN("10C-"))="10C-"</formula>
    </cfRule>
    <cfRule type="beginsWith" dxfId="645" priority="1758" stopIfTrue="1" operator="beginsWith" text="10CX-">
      <formula>LEFT(A75,LEN("10CX-"))="10CX-"</formula>
    </cfRule>
    <cfRule type="beginsWith" dxfId="644" priority="1759" stopIfTrue="1" operator="beginsWith" text="12G-">
      <formula>LEFT(A75,LEN("12G-"))="12G-"</formula>
    </cfRule>
    <cfRule type="beginsWith" dxfId="643" priority="1760" stopIfTrue="1" operator="beginsWith" text="14G-">
      <formula>LEFT(A75,LEN("14G-"))="14G-"</formula>
    </cfRule>
    <cfRule type="beginsWith" dxfId="642" priority="1761" stopIfTrue="1" operator="beginsWith" text="16G-">
      <formula>LEFT(A75,LEN("16G-"))="16G-"</formula>
    </cfRule>
    <cfRule type="beginsWith" dxfId="641" priority="1762" stopIfTrue="1" operator="beginsWith" text="16GX-">
      <formula>LEFT(A75,LEN("16GX-"))="16GX-"</formula>
    </cfRule>
    <cfRule type="beginsWith" dxfId="640" priority="1763" stopIfTrue="1" operator="beginsWith" text="18G-">
      <formula>LEFT(A75,LEN("18G-"))="18G-"</formula>
    </cfRule>
    <cfRule type="beginsWith" dxfId="639" priority="1764" stopIfTrue="1" operator="beginsWith" text="18GX-">
      <formula>LEFT(A75,LEN("18GX-"))="18GX-"</formula>
    </cfRule>
    <cfRule type="beginsWith" dxfId="638" priority="1765" stopIfTrue="1" operator="beginsWith" text="10G-">
      <formula>LEFT(A75,LEN("10G-"))="10G-"</formula>
    </cfRule>
    <cfRule type="beginsWith" dxfId="637" priority="1766" stopIfTrue="1" operator="beginsWith" text="12C-">
      <formula>LEFT(A75,LEN("12C-"))="12C-"</formula>
    </cfRule>
    <cfRule type="beginsWith" dxfId="636" priority="1767" stopIfTrue="1" operator="beginsWith" text="16GQ-">
      <formula>LEFT(A75,LEN("16GQ-"))="16GQ-"</formula>
    </cfRule>
    <cfRule type="beginsWith" dxfId="635" priority="1768" stopIfTrue="1" operator="beginsWith" text="16GX-">
      <formula>LEFT(A75,LEN("16GX-"))="16GX-"</formula>
    </cfRule>
    <cfRule type="beginsWith" dxfId="634" priority="1769" stopIfTrue="1" operator="beginsWith" text="10M">
      <formula>LEFT(A75,LEN("10M"))="10M"</formula>
    </cfRule>
    <cfRule type="beginsWith" dxfId="633" priority="1770" stopIfTrue="1" operator="beginsWith" text="10CX-">
      <formula>LEFT(A75,LEN("10CX-"))="10CX-"</formula>
    </cfRule>
    <cfRule type="beginsWith" dxfId="632" priority="1771" stopIfTrue="1" operator="beginsWith" text="12G">
      <formula>LEFT(A75,LEN("12G"))="12G"</formula>
    </cfRule>
    <cfRule type="beginsWith" dxfId="631" priority="1772" stopIfTrue="1" operator="beginsWith" text="14GX">
      <formula>LEFT(A75,LEN("14GX"))="14GX"</formula>
    </cfRule>
    <cfRule type="beginsWith" dxfId="630" priority="1773" stopIfTrue="1" operator="beginsWith" text="14G">
      <formula>LEFT(A75,LEN("14G"))="14G"</formula>
    </cfRule>
    <cfRule type="beginsWith" dxfId="629" priority="1776" stopIfTrue="1" operator="beginsWith" text="18GX">
      <formula>LEFT(A75,LEN("18GX"))="18GX"</formula>
    </cfRule>
    <cfRule type="beginsWith" dxfId="628" priority="1777" stopIfTrue="1" operator="beginsWith" text="18G">
      <formula>LEFT(A75,LEN("18G"))="18G"</formula>
    </cfRule>
    <cfRule type="beginsWith" dxfId="627" priority="1802" stopIfTrue="1" operator="beginsWith" text="18GX-">
      <formula>LEFT(A75,LEN("18GX-"))="18GX-"</formula>
    </cfRule>
    <cfRule type="beginsWith" dxfId="626" priority="1780" stopIfTrue="1" operator="beginsWith" text="12G">
      <formula>LEFT(A75,LEN("12G"))="12G"</formula>
    </cfRule>
    <cfRule type="beginsWith" dxfId="625" priority="1801" stopIfTrue="1" operator="beginsWith" text="18G-">
      <formula>LEFT(A75,LEN("18G-"))="18G-"</formula>
    </cfRule>
    <cfRule type="beginsWith" dxfId="624" priority="1800" stopIfTrue="1" operator="beginsWith" text="16GX-">
      <formula>LEFT(A75,LEN("16GX-"))="16GX-"</formula>
    </cfRule>
    <cfRule type="beginsWith" dxfId="623" priority="1799" stopIfTrue="1" operator="beginsWith" text="16G-">
      <formula>LEFT(A75,LEN("16G-"))="16G-"</formula>
    </cfRule>
    <cfRule type="beginsWith" dxfId="622" priority="1798" stopIfTrue="1" operator="beginsWith" text="14G-">
      <formula>LEFT(A75,LEN("14G-"))="14G-"</formula>
    </cfRule>
    <cfRule type="beginsWith" dxfId="621" priority="1778" stopIfTrue="1" operator="beginsWith" text="10M">
      <formula>LEFT(A75,LEN("10M"))="10M"</formula>
    </cfRule>
    <cfRule type="beginsWith" dxfId="620" priority="1797" stopIfTrue="1" operator="beginsWith" text="12G-">
      <formula>LEFT(A75,LEN("12G-"))="12G-"</formula>
    </cfRule>
    <cfRule type="beginsWith" dxfId="619" priority="1796" stopIfTrue="1" operator="beginsWith" text="10CX-">
      <formula>LEFT(A75,LEN("10CX-"))="10CX-"</formula>
    </cfRule>
    <cfRule type="beginsWith" dxfId="618" priority="1795" stopIfTrue="1" operator="beginsWith" text="10C-">
      <formula>LEFT(A75,LEN("10C-"))="10C-"</formula>
    </cfRule>
    <cfRule type="beginsWith" dxfId="617" priority="1794" stopIfTrue="1" operator="beginsWith" text="18GX-">
      <formula>LEFT(A75,LEN("18GX-"))="18GX-"</formula>
    </cfRule>
    <cfRule type="beginsWith" dxfId="616" priority="1793" stopIfTrue="1" operator="beginsWith" text="18G-">
      <formula>LEFT(A75,LEN("18G-"))="18G-"</formula>
    </cfRule>
    <cfRule type="beginsWith" dxfId="615" priority="1792" stopIfTrue="1" operator="beginsWith" text="16GX-">
      <formula>LEFT(A75,LEN("16GX-"))="16GX-"</formula>
    </cfRule>
    <cfRule type="beginsWith" dxfId="614" priority="1791" stopIfTrue="1" operator="beginsWith" text="16G-">
      <formula>LEFT(A75,LEN("16G-"))="16G-"</formula>
    </cfRule>
    <cfRule type="beginsWith" dxfId="613" priority="1774" stopIfTrue="1" operator="beginsWith" text="16GX">
      <formula>LEFT(A75,LEN("16GX"))="16GX"</formula>
    </cfRule>
    <cfRule type="beginsWith" dxfId="612" priority="1790" stopIfTrue="1" operator="beginsWith" text="14G-">
      <formula>LEFT(A75,LEN("14G-"))="14G-"</formula>
    </cfRule>
    <cfRule type="beginsWith" dxfId="611" priority="1789" stopIfTrue="1" operator="beginsWith" text="12G-">
      <formula>LEFT(A75,LEN("12G-"))="12G-"</formula>
    </cfRule>
    <cfRule type="beginsWith" dxfId="610" priority="1788" stopIfTrue="1" operator="beginsWith" text="10CX-">
      <formula>LEFT(A75,LEN("10CX-"))="10CX-"</formula>
    </cfRule>
    <cfRule type="beginsWith" dxfId="609" priority="1787" stopIfTrue="1" operator="beginsWith" text="10M">
      <formula>LEFT(A75,LEN("10M"))="10M"</formula>
    </cfRule>
    <cfRule type="beginsWith" dxfId="608" priority="1786" stopIfTrue="1" operator="beginsWith" text="18G">
      <formula>LEFT(A75,LEN("18G"))="18G"</formula>
    </cfRule>
    <cfRule type="beginsWith" dxfId="607" priority="1785" stopIfTrue="1" operator="beginsWith" text="18GX">
      <formula>LEFT(A75,LEN("18GX"))="18GX"</formula>
    </cfRule>
    <cfRule type="beginsWith" dxfId="606" priority="1784" stopIfTrue="1" operator="beginsWith" text="16G">
      <formula>LEFT(A75,LEN("16G"))="16G"</formula>
    </cfRule>
  </conditionalFormatting>
  <conditionalFormatting sqref="B190:B199 A191:C191 B203:B212 B216:B225 B229:B237 B268:B275 A270:A273 C270:C273 E270:G273 I270:K273 E191:K191">
    <cfRule type="beginsWith" dxfId="605" priority="3819" stopIfTrue="1" operator="beginsWith" text="12G">
      <formula>LEFT(A190,LEN("12G"))="12G"</formula>
    </cfRule>
  </conditionalFormatting>
  <conditionalFormatting sqref="B190:B199 A191:C191 B203:B212 B216:B225 B229:B237 B268:B275 A270:A273 C270:C273 E270:G273 I270:K273">
    <cfRule type="beginsWith" dxfId="604" priority="3815" stopIfTrue="1" operator="beginsWith" text="16GQ-">
      <formula>LEFT(A190,LEN("16GQ-"))="16GQ-"</formula>
    </cfRule>
    <cfRule type="beginsWith" dxfId="603" priority="3817" stopIfTrue="1" operator="beginsWith" text="10M">
      <formula>LEFT(A190,LEN("10M"))="10M"</formula>
    </cfRule>
    <cfRule type="beginsWith" dxfId="602" priority="3818" stopIfTrue="1" operator="beginsWith" text="10CX-">
      <formula>LEFT(A190,LEN("10CX-"))="10CX-"</formula>
    </cfRule>
    <cfRule type="beginsWith" dxfId="601" priority="3816" stopIfTrue="1" operator="beginsWith" text="16GX-">
      <formula>LEFT(A190,LEN("16GX-"))="16GX-"</formula>
    </cfRule>
  </conditionalFormatting>
  <conditionalFormatting sqref="B190:B199 A191:C191 E191:K191 B203:B212 B216:B225 B229:B237 B268:B275 A269:A273 C269:C273 E270:G273 I270:K273">
    <cfRule type="beginsWith" dxfId="600" priority="3877" stopIfTrue="1" operator="beginsWith" text="16GX-">
      <formula>LEFT(A190,LEN("16GX-"))="16GX-"</formula>
    </cfRule>
    <cfRule type="beginsWith" dxfId="599" priority="3844" stopIfTrue="1" operator="beginsWith" text="16GQ-">
      <formula>LEFT(A190,LEN("16GQ-"))="16GQ-"</formula>
    </cfRule>
    <cfRule type="beginsWith" dxfId="598" priority="3843" stopIfTrue="1" operator="beginsWith" text="12C-">
      <formula>LEFT(A190,LEN("12C-"))="12C-"</formula>
    </cfRule>
  </conditionalFormatting>
  <conditionalFormatting sqref="B190:B199 A191:C191 E191:K191 B203:B212 B216:B225 B229:B237 B268:B275 A270:A273 C270:C273 E270:G273 I270:K273">
    <cfRule type="beginsWith" dxfId="597" priority="3872" stopIfTrue="1" operator="beginsWith" text="10C-">
      <formula>LEFT(A190,LEN("10C-"))="10C-"</formula>
    </cfRule>
    <cfRule type="beginsWith" dxfId="596" priority="3871" stopIfTrue="1" operator="beginsWith" text="18GX-">
      <formula>LEFT(A190,LEN("18GX-"))="18GX-"</formula>
    </cfRule>
    <cfRule type="beginsWith" dxfId="595" priority="3870" stopIfTrue="1" operator="beginsWith" text="18G-">
      <formula>LEFT(A190,LEN("18G-"))="18G-"</formula>
    </cfRule>
    <cfRule type="beginsWith" dxfId="594" priority="3869" stopIfTrue="1" operator="beginsWith" text="16GX-">
      <formula>LEFT(A190,LEN("16GX-"))="16GX-"</formula>
    </cfRule>
    <cfRule type="beginsWith" dxfId="593" priority="3868" stopIfTrue="1" operator="beginsWith" text="16G-">
      <formula>LEFT(A190,LEN("16G-"))="16G-"</formula>
    </cfRule>
    <cfRule type="beginsWith" dxfId="592" priority="3867" stopIfTrue="1" operator="beginsWith" text="14G-">
      <formula>LEFT(A190,LEN("14G-"))="14G-"</formula>
    </cfRule>
    <cfRule type="beginsWith" dxfId="591" priority="3866" stopIfTrue="1" operator="beginsWith" text="12G-">
      <formula>LEFT(A190,LEN("12G-"))="12G-"</formula>
    </cfRule>
    <cfRule type="beginsWith" dxfId="590" priority="3865" stopIfTrue="1" operator="beginsWith" text="10CX-">
      <formula>LEFT(A190,LEN("10CX-"))="10CX-"</formula>
    </cfRule>
    <cfRule type="beginsWith" dxfId="589" priority="3864" stopIfTrue="1" operator="beginsWith" text="10M">
      <formula>LEFT(A190,LEN("10M"))="10M"</formula>
    </cfRule>
    <cfRule type="beginsWith" dxfId="588" priority="3863" stopIfTrue="1" operator="beginsWith" text="18G">
      <formula>LEFT(A190,LEN("18G"))="18G"</formula>
    </cfRule>
    <cfRule type="beginsWith" dxfId="587" priority="3862" stopIfTrue="1" operator="beginsWith" text="18GX">
      <formula>LEFT(A190,LEN("18GX"))="18GX"</formula>
    </cfRule>
    <cfRule type="beginsWith" dxfId="586" priority="3861" stopIfTrue="1" operator="beginsWith" text="16G">
      <formula>LEFT(A190,LEN("16G"))="16G"</formula>
    </cfRule>
    <cfRule type="beginsWith" dxfId="585" priority="3860" stopIfTrue="1" operator="beginsWith" text="16GX">
      <formula>LEFT(A190,LEN("16GX"))="16GX"</formula>
    </cfRule>
    <cfRule type="beginsWith" dxfId="584" priority="3859" stopIfTrue="1" operator="beginsWith" text="14G">
      <formula>LEFT(A190,LEN("14G"))="14G"</formula>
    </cfRule>
    <cfRule type="beginsWith" dxfId="583" priority="3858" stopIfTrue="1" operator="beginsWith" text="14GX">
      <formula>LEFT(A190,LEN("14GX"))="14GX"</formula>
    </cfRule>
    <cfRule type="beginsWith" dxfId="582" priority="3857" stopIfTrue="1" operator="beginsWith" text="12G">
      <formula>LEFT(A190,LEN("12G"))="12G"</formula>
    </cfRule>
    <cfRule type="beginsWith" dxfId="581" priority="3856" stopIfTrue="1" operator="beginsWith" text="10CX-">
      <formula>LEFT(A190,LEN("10CX-"))="10CX-"</formula>
    </cfRule>
    <cfRule type="beginsWith" dxfId="580" priority="3855" stopIfTrue="1" operator="beginsWith" text="10M">
      <formula>LEFT(A190,LEN("10M"))="10M"</formula>
    </cfRule>
    <cfRule type="beginsWith" dxfId="579" priority="3854" stopIfTrue="1" operator="beginsWith" text="18G">
      <formula>LEFT(A190,LEN("18G"))="18G"</formula>
    </cfRule>
    <cfRule type="beginsWith" dxfId="578" priority="3853" stopIfTrue="1" operator="beginsWith" text="18GX">
      <formula>LEFT(A190,LEN("18GX"))="18GX"</formula>
    </cfRule>
    <cfRule type="beginsWith" dxfId="577" priority="3852" stopIfTrue="1" operator="beginsWith" text="16G">
      <formula>LEFT(A190,LEN("16G"))="16G"</formula>
    </cfRule>
    <cfRule type="beginsWith" dxfId="576" priority="3850" stopIfTrue="1" operator="beginsWith" text="14G">
      <formula>LEFT(A190,LEN("14G"))="14G"</formula>
    </cfRule>
    <cfRule type="beginsWith" dxfId="575" priority="3849" stopIfTrue="1" operator="beginsWith" text="14GX">
      <formula>LEFT(A190,LEN("14GX"))="14GX"</formula>
    </cfRule>
    <cfRule type="beginsWith" dxfId="574" priority="3848" stopIfTrue="1" operator="beginsWith" text="12G">
      <formula>LEFT(A190,LEN("12G"))="12G"</formula>
    </cfRule>
    <cfRule type="beginsWith" dxfId="573" priority="3847" stopIfTrue="1" operator="beginsWith" text="10CX-">
      <formula>LEFT(A190,LEN("10CX-"))="10CX-"</formula>
    </cfRule>
    <cfRule type="beginsWith" dxfId="572" priority="3846" stopIfTrue="1" operator="beginsWith" text="10M">
      <formula>LEFT(A190,LEN("10M"))="10M"</formula>
    </cfRule>
    <cfRule type="beginsWith" dxfId="571" priority="3845" stopIfTrue="1" operator="beginsWith" text="16GX-">
      <formula>LEFT(A190,LEN("16GX-"))="16GX-"</formula>
    </cfRule>
    <cfRule type="beginsWith" dxfId="570" priority="3851" stopIfTrue="1" operator="beginsWith" text="16GX">
      <formula>LEFT(A190,LEN("16GX"))="16GX"</formula>
    </cfRule>
    <cfRule type="beginsWith" dxfId="569" priority="3878" stopIfTrue="1" operator="beginsWith" text="18G-">
      <formula>LEFT(A190,LEN("18G-"))="18G-"</formula>
    </cfRule>
    <cfRule type="beginsWith" dxfId="568" priority="3842" stopIfTrue="1" operator="beginsWith" text="10G-">
      <formula>LEFT(A190,LEN("10G-"))="10G-"</formula>
    </cfRule>
    <cfRule type="beginsWith" dxfId="567" priority="3841" stopIfTrue="1" operator="beginsWith" text="18GX-">
      <formula>LEFT(A190,LEN("18GX-"))="18GX-"</formula>
    </cfRule>
    <cfRule type="beginsWith" dxfId="566" priority="3840" stopIfTrue="1" operator="beginsWith" text="18G-">
      <formula>LEFT(A190,LEN("18G-"))="18G-"</formula>
    </cfRule>
    <cfRule type="beginsWith" dxfId="565" priority="3839" stopIfTrue="1" operator="beginsWith" text="16GX-">
      <formula>LEFT(A190,LEN("16GX-"))="16GX-"</formula>
    </cfRule>
    <cfRule type="beginsWith" dxfId="564" priority="3838" stopIfTrue="1" operator="beginsWith" text="16G-">
      <formula>LEFT(A190,LEN("16G-"))="16G-"</formula>
    </cfRule>
    <cfRule type="beginsWith" dxfId="563" priority="3837" stopIfTrue="1" operator="beginsWith" text="14G-">
      <formula>LEFT(A190,LEN("14G-"))="14G-"</formula>
    </cfRule>
    <cfRule type="beginsWith" dxfId="562" priority="3836" stopIfTrue="1" operator="beginsWith" text="12G-">
      <formula>LEFT(A190,LEN("12G-"))="12G-"</formula>
    </cfRule>
    <cfRule type="beginsWith" dxfId="561" priority="3835" stopIfTrue="1" operator="beginsWith" text="10CX-">
      <formula>LEFT(A190,LEN("10CX-"))="10CX-"</formula>
    </cfRule>
    <cfRule type="beginsWith" dxfId="560" priority="3834" stopIfTrue="1" operator="beginsWith" text="10C-">
      <formula>LEFT(A190,LEN("10C-"))="10C-"</formula>
    </cfRule>
    <cfRule type="beginsWith" dxfId="559" priority="3833" stopIfTrue="1" operator="beginsWith" text="18GX-">
      <formula>LEFT(A190,LEN("18GX-"))="18GX-"</formula>
    </cfRule>
    <cfRule type="beginsWith" dxfId="558" priority="3832" stopIfTrue="1" operator="beginsWith" text="18G-">
      <formula>LEFT(A190,LEN("18G-"))="18G-"</formula>
    </cfRule>
    <cfRule type="beginsWith" dxfId="557" priority="3876" stopIfTrue="1" operator="beginsWith" text="16G-">
      <formula>LEFT(A190,LEN("16G-"))="16G-"</formula>
    </cfRule>
    <cfRule type="beginsWith" dxfId="556" priority="3830" stopIfTrue="1" operator="beginsWith" text="16G-">
      <formula>LEFT(A190,LEN("16G-"))="16G-"</formula>
    </cfRule>
    <cfRule type="beginsWith" dxfId="555" priority="3829" stopIfTrue="1" operator="beginsWith" text="14G-">
      <formula>LEFT(A190,LEN("14G-"))="14G-"</formula>
    </cfRule>
    <cfRule type="beginsWith" dxfId="554" priority="3828" stopIfTrue="1" operator="beginsWith" text="12G-">
      <formula>LEFT(A190,LEN("12G-"))="12G-"</formula>
    </cfRule>
    <cfRule type="beginsWith" dxfId="553" priority="3827" stopIfTrue="1" operator="beginsWith" text="10CX-">
      <formula>LEFT(A190,LEN("10CX-"))="10CX-"</formula>
    </cfRule>
    <cfRule type="beginsWith" dxfId="552" priority="3826" stopIfTrue="1" operator="beginsWith" text="10M">
      <formula>LEFT(A190,LEN("10M"))="10M"</formula>
    </cfRule>
    <cfRule type="beginsWith" dxfId="551" priority="3825" stopIfTrue="1" operator="beginsWith" text="18G">
      <formula>LEFT(A190,LEN("18G"))="18G"</formula>
    </cfRule>
    <cfRule type="beginsWith" dxfId="550" priority="3824" stopIfTrue="1" operator="beginsWith" text="18GX">
      <formula>LEFT(A190,LEN("18GX"))="18GX"</formula>
    </cfRule>
    <cfRule type="beginsWith" dxfId="549" priority="3831" stopIfTrue="1" operator="beginsWith" text="16GX-">
      <formula>LEFT(A190,LEN("16GX-"))="16GX-"</formula>
    </cfRule>
    <cfRule type="beginsWith" dxfId="548" priority="3822" stopIfTrue="1" operator="beginsWith" text="16GX">
      <formula>LEFT(A190,LEN("16GX"))="16GX"</formula>
    </cfRule>
    <cfRule type="beginsWith" dxfId="547" priority="3821" stopIfTrue="1" operator="beginsWith" text="14G">
      <formula>LEFT(A190,LEN("14G"))="14G"</formula>
    </cfRule>
    <cfRule type="beginsWith" dxfId="546" priority="3820" stopIfTrue="1" operator="beginsWith" text="14GX">
      <formula>LEFT(A190,LEN("14GX"))="14GX"</formula>
    </cfRule>
    <cfRule type="beginsWith" dxfId="545" priority="3875" stopIfTrue="1" operator="beginsWith" text="14G-">
      <formula>LEFT(A190,LEN("14G-"))="14G-"</formula>
    </cfRule>
    <cfRule type="beginsWith" dxfId="544" priority="3874" stopIfTrue="1" operator="beginsWith" text="12G-">
      <formula>LEFT(A190,LEN("12G-"))="12G-"</formula>
    </cfRule>
    <cfRule type="beginsWith" dxfId="543" priority="3879" stopIfTrue="1" operator="beginsWith" text="18GX-">
      <formula>LEFT(A190,LEN("18GX-"))="18GX-"</formula>
    </cfRule>
    <cfRule type="beginsWith" dxfId="542" priority="3873" stopIfTrue="1" operator="beginsWith" text="10CX-">
      <formula>LEFT(A190,LEN("10CX-"))="10CX-"</formula>
    </cfRule>
    <cfRule type="beginsWith" dxfId="541" priority="3823" stopIfTrue="1" operator="beginsWith" text="16G">
      <formula>LEFT(A190,LEN("16G"))="16G"</formula>
    </cfRule>
  </conditionalFormatting>
  <conditionalFormatting sqref="B205:B206">
    <cfRule type="beginsWith" dxfId="540" priority="735" stopIfTrue="1" operator="beginsWith" text="16GX-">
      <formula>LEFT(B205,LEN("16GX-"))="16GX-"</formula>
    </cfRule>
    <cfRule type="beginsWith" dxfId="539" priority="734" stopIfTrue="1" operator="beginsWith" text="16GQ-">
      <formula>LEFT(B205,LEN("16GQ-"))="16GQ-"</formula>
    </cfRule>
    <cfRule type="beginsWith" dxfId="538" priority="733" stopIfTrue="1" operator="beginsWith" text="12C-">
      <formula>LEFT(B205,LEN("12C-"))="12C-"</formula>
    </cfRule>
    <cfRule type="beginsWith" dxfId="537" priority="732" stopIfTrue="1" operator="beginsWith" text="10G-">
      <formula>LEFT(B205,LEN("10G-"))="10G-"</formula>
    </cfRule>
    <cfRule type="beginsWith" dxfId="536" priority="741" stopIfTrue="1" operator="beginsWith" text="16GX">
      <formula>LEFT(B205,LEN("16GX"))="16GX"</formula>
    </cfRule>
    <cfRule type="beginsWith" dxfId="535" priority="773" stopIfTrue="1" operator="beginsWith" text="10M">
      <formula>LEFT(B205,LEN("10M"))="10M"</formula>
    </cfRule>
    <cfRule type="beginsWith" dxfId="534" priority="797" stopIfTrue="1" operator="beginsWith" text="18GX-">
      <formula>LEFT(B205,LEN("18GX-"))="18GX-"</formula>
    </cfRule>
    <cfRule type="beginsWith" dxfId="533" priority="796" stopIfTrue="1" operator="beginsWith" text="18G-">
      <formula>LEFT(B205,LEN("18G-"))="18G-"</formula>
    </cfRule>
    <cfRule type="beginsWith" dxfId="532" priority="795" stopIfTrue="1" operator="beginsWith" text="16GX-">
      <formula>LEFT(B205,LEN("16GX-"))="16GX-"</formula>
    </cfRule>
    <cfRule type="beginsWith" dxfId="531" priority="794" stopIfTrue="1" operator="beginsWith" text="16G-">
      <formula>LEFT(B205,LEN("16G-"))="16G-"</formula>
    </cfRule>
    <cfRule type="beginsWith" dxfId="530" priority="793" stopIfTrue="1" operator="beginsWith" text="14G-">
      <formula>LEFT(B205,LEN("14G-"))="14G-"</formula>
    </cfRule>
    <cfRule type="beginsWith" dxfId="529" priority="792" stopIfTrue="1" operator="beginsWith" text="12G-">
      <formula>LEFT(B205,LEN("12G-"))="12G-"</formula>
    </cfRule>
    <cfRule type="beginsWith" dxfId="528" priority="791" stopIfTrue="1" operator="beginsWith" text="10CX-">
      <formula>LEFT(B205,LEN("10CX-"))="10CX-"</formula>
    </cfRule>
    <cfRule type="beginsWith" dxfId="527" priority="790" stopIfTrue="1" operator="beginsWith" text="10C-">
      <formula>LEFT(B205,LEN("10C-"))="10C-"</formula>
    </cfRule>
    <cfRule type="beginsWith" dxfId="526" priority="789" stopIfTrue="1" operator="beginsWith" text="18GX-">
      <formula>LEFT(B205,LEN("18GX-"))="18GX-"</formula>
    </cfRule>
    <cfRule type="beginsWith" dxfId="525" priority="788" stopIfTrue="1" operator="beginsWith" text="18G-">
      <formula>LEFT(B205,LEN("18G-"))="18G-"</formula>
    </cfRule>
    <cfRule type="beginsWith" dxfId="524" priority="787" stopIfTrue="1" operator="beginsWith" text="16GX-">
      <formula>LEFT(B205,LEN("16GX-"))="16GX-"</formula>
    </cfRule>
    <cfRule type="beginsWith" dxfId="523" priority="786" stopIfTrue="1" operator="beginsWith" text="16G-">
      <formula>LEFT(B205,LEN("16G-"))="16G-"</formula>
    </cfRule>
    <cfRule type="beginsWith" dxfId="522" priority="785" stopIfTrue="1" operator="beginsWith" text="14G-">
      <formula>LEFT(B205,LEN("14G-"))="14G-"</formula>
    </cfRule>
    <cfRule type="beginsWith" dxfId="521" priority="784" stopIfTrue="1" operator="beginsWith" text="12G-">
      <formula>LEFT(B205,LEN("12G-"))="12G-"</formula>
    </cfRule>
    <cfRule type="beginsWith" dxfId="520" priority="783" stopIfTrue="1" operator="beginsWith" text="10CX-">
      <formula>LEFT(B205,LEN("10CX-"))="10CX-"</formula>
    </cfRule>
    <cfRule type="beginsWith" dxfId="519" priority="782" stopIfTrue="1" operator="beginsWith" text="10M">
      <formula>LEFT(B205,LEN("10M"))="10M"</formula>
    </cfRule>
    <cfRule type="beginsWith" dxfId="518" priority="781" stopIfTrue="1" operator="beginsWith" text="18G">
      <formula>LEFT(B205,LEN("18G"))="18G"</formula>
    </cfRule>
    <cfRule type="beginsWith" dxfId="517" priority="780" stopIfTrue="1" operator="beginsWith" text="18GX">
      <formula>LEFT(B205,LEN("18GX"))="18GX"</formula>
    </cfRule>
    <cfRule type="beginsWith" dxfId="516" priority="779" stopIfTrue="1" operator="beginsWith" text="16G">
      <formula>LEFT(B205,LEN("16G"))="16G"</formula>
    </cfRule>
    <cfRule type="beginsWith" dxfId="515" priority="778" stopIfTrue="1" operator="beginsWith" text="16GX">
      <formula>LEFT(B205,LEN("16GX"))="16GX"</formula>
    </cfRule>
    <cfRule type="beginsWith" dxfId="514" priority="777" stopIfTrue="1" operator="beginsWith" text="14G">
      <formula>LEFT(B205,LEN("14G"))="14G"</formula>
    </cfRule>
    <cfRule type="beginsWith" dxfId="513" priority="776" stopIfTrue="1" operator="beginsWith" text="14GX">
      <formula>LEFT(B205,LEN("14GX"))="14GX"</formula>
    </cfRule>
    <cfRule type="beginsWith" dxfId="512" priority="775" stopIfTrue="1" operator="beginsWith" text="12G">
      <formula>LEFT(B205,LEN("12G"))="12G"</formula>
    </cfRule>
    <cfRule type="beginsWith" dxfId="511" priority="774" stopIfTrue="1" operator="beginsWith" text="10CX-">
      <formula>LEFT(B205,LEN("10CX-"))="10CX-"</formula>
    </cfRule>
    <cfRule type="beginsWith" dxfId="510" priority="772" stopIfTrue="1" operator="beginsWith" text="18G">
      <formula>LEFT(B205,LEN("18G"))="18G"</formula>
    </cfRule>
    <cfRule type="beginsWith" dxfId="509" priority="771" stopIfTrue="1" operator="beginsWith" text="18GX">
      <formula>LEFT(B205,LEN("18GX"))="18GX"</formula>
    </cfRule>
    <cfRule type="beginsWith" dxfId="508" priority="770" stopIfTrue="1" operator="beginsWith" text="16G">
      <formula>LEFT(B205,LEN("16G"))="16G"</formula>
    </cfRule>
    <cfRule type="beginsWith" dxfId="507" priority="769" stopIfTrue="1" operator="beginsWith" text="16GX">
      <formula>LEFT(B205,LEN("16GX"))="16GX"</formula>
    </cfRule>
    <cfRule type="beginsWith" dxfId="506" priority="768" stopIfTrue="1" operator="beginsWith" text="14G">
      <formula>LEFT(B205,LEN("14G"))="14G"</formula>
    </cfRule>
    <cfRule type="beginsWith" dxfId="505" priority="767" stopIfTrue="1" operator="beginsWith" text="14GX">
      <formula>LEFT(B205,LEN("14GX"))="14GX"</formula>
    </cfRule>
    <cfRule type="beginsWith" dxfId="504" priority="766" stopIfTrue="1" operator="beginsWith" text="12G">
      <formula>LEFT(B205,LEN("12G"))="12G"</formula>
    </cfRule>
    <cfRule type="beginsWith" dxfId="503" priority="765" stopIfTrue="1" operator="beginsWith" text="10CX-">
      <formula>LEFT(B205,LEN("10CX-"))="10CX-"</formula>
    </cfRule>
    <cfRule type="beginsWith" dxfId="502" priority="764" stopIfTrue="1" operator="beginsWith" text="10M">
      <formula>LEFT(B205,LEN("10M"))="10M"</formula>
    </cfRule>
    <cfRule type="beginsWith" dxfId="501" priority="763" stopIfTrue="1" operator="beginsWith" text="16GX-">
      <formula>LEFT(B205,LEN("16GX-"))="16GX-"</formula>
    </cfRule>
    <cfRule type="beginsWith" dxfId="500" priority="762" stopIfTrue="1" operator="beginsWith" text="16GQ-">
      <formula>LEFT(B205,LEN("16GQ-"))="16GQ-"</formula>
    </cfRule>
    <cfRule type="beginsWith" dxfId="499" priority="761" stopIfTrue="1" operator="beginsWith" text="12C-">
      <formula>LEFT(B205,LEN("12C-"))="12C-"</formula>
    </cfRule>
    <cfRule type="beginsWith" dxfId="498" priority="760" stopIfTrue="1" operator="beginsWith" text="18GX-">
      <formula>LEFT(B205,LEN("18GX-"))="18GX-"</formula>
    </cfRule>
    <cfRule type="beginsWith" dxfId="497" priority="759" stopIfTrue="1" operator="beginsWith" text="18G-">
      <formula>LEFT(B205,LEN("18G-"))="18G-"</formula>
    </cfRule>
    <cfRule type="beginsWith" dxfId="496" priority="758" stopIfTrue="1" operator="beginsWith" text="16GX-">
      <formula>LEFT(B205,LEN("16GX-"))="16GX-"</formula>
    </cfRule>
    <cfRule type="beginsWith" dxfId="495" priority="757" stopIfTrue="1" operator="beginsWith" text="16G-">
      <formula>LEFT(B205,LEN("16G-"))="16G-"</formula>
    </cfRule>
    <cfRule type="beginsWith" dxfId="494" priority="756" stopIfTrue="1" operator="beginsWith" text="14G-">
      <formula>LEFT(B205,LEN("14G-"))="14G-"</formula>
    </cfRule>
    <cfRule type="beginsWith" dxfId="493" priority="755" stopIfTrue="1" operator="beginsWith" text="12G-">
      <formula>LEFT(B205,LEN("12G-"))="12G-"</formula>
    </cfRule>
    <cfRule type="beginsWith" dxfId="492" priority="754" stopIfTrue="1" operator="beginsWith" text="10CX-">
      <formula>LEFT(B205,LEN("10CX-"))="10CX-"</formula>
    </cfRule>
    <cfRule type="beginsWith" dxfId="491" priority="753" stopIfTrue="1" operator="beginsWith" text="10C-">
      <formula>LEFT(B205,LEN("10C-"))="10C-"</formula>
    </cfRule>
    <cfRule type="beginsWith" dxfId="490" priority="752" stopIfTrue="1" operator="beginsWith" text="18GX-">
      <formula>LEFT(B205,LEN("18GX-"))="18GX-"</formula>
    </cfRule>
    <cfRule type="beginsWith" dxfId="489" priority="751" stopIfTrue="1" operator="beginsWith" text="18G-">
      <formula>LEFT(B205,LEN("18G-"))="18G-"</formula>
    </cfRule>
    <cfRule type="beginsWith" dxfId="488" priority="750" stopIfTrue="1" operator="beginsWith" text="16GX-">
      <formula>LEFT(B205,LEN("16GX-"))="16GX-"</formula>
    </cfRule>
    <cfRule type="beginsWith" dxfId="487" priority="749" stopIfTrue="1" operator="beginsWith" text="16G-">
      <formula>LEFT(B205,LEN("16G-"))="16G-"</formula>
    </cfRule>
    <cfRule type="beginsWith" dxfId="486" priority="748" stopIfTrue="1" operator="beginsWith" text="14G-">
      <formula>LEFT(B205,LEN("14G-"))="14G-"</formula>
    </cfRule>
    <cfRule type="beginsWith" dxfId="485" priority="747" stopIfTrue="1" operator="beginsWith" text="12G-">
      <formula>LEFT(B205,LEN("12G-"))="12G-"</formula>
    </cfRule>
    <cfRule type="beginsWith" dxfId="484" priority="746" stopIfTrue="1" operator="beginsWith" text="10CX-">
      <formula>LEFT(B205,LEN("10CX-"))="10CX-"</formula>
    </cfRule>
    <cfRule type="beginsWith" dxfId="483" priority="745" stopIfTrue="1" operator="beginsWith" text="10M">
      <formula>LEFT(B205,LEN("10M"))="10M"</formula>
    </cfRule>
    <cfRule type="beginsWith" dxfId="482" priority="744" stopIfTrue="1" operator="beginsWith" text="18G">
      <formula>LEFT(B205,LEN("18G"))="18G"</formula>
    </cfRule>
    <cfRule type="beginsWith" dxfId="481" priority="743" stopIfTrue="1" operator="beginsWith" text="18GX">
      <formula>LEFT(B205,LEN("18GX"))="18GX"</formula>
    </cfRule>
    <cfRule type="beginsWith" dxfId="480" priority="742" stopIfTrue="1" operator="beginsWith" text="16G">
      <formula>LEFT(B205,LEN("16G"))="16G"</formula>
    </cfRule>
    <cfRule type="beginsWith" dxfId="479" priority="740" stopIfTrue="1" operator="beginsWith" text="14G">
      <formula>LEFT(B205,LEN("14G"))="14G"</formula>
    </cfRule>
    <cfRule type="beginsWith" dxfId="478" priority="739" stopIfTrue="1" operator="beginsWith" text="14GX">
      <formula>LEFT(B205,LEN("14GX"))="14GX"</formula>
    </cfRule>
    <cfRule type="beginsWith" dxfId="477" priority="738" stopIfTrue="1" operator="beginsWith" text="12G">
      <formula>LEFT(B205,LEN("12G"))="12G"</formula>
    </cfRule>
    <cfRule type="beginsWith" dxfId="476" priority="737" stopIfTrue="1" operator="beginsWith" text="10CX-">
      <formula>LEFT(B205,LEN("10CX-"))="10CX-"</formula>
    </cfRule>
    <cfRule type="beginsWith" dxfId="475" priority="736" stopIfTrue="1" operator="beginsWith" text="10M">
      <formula>LEFT(B205,LEN("10M"))="10M"</formula>
    </cfRule>
  </conditionalFormatting>
  <conditionalFormatting sqref="B216:B225">
    <cfRule type="beginsWith" dxfId="474" priority="468" stopIfTrue="1" operator="beginsWith" text="10M">
      <formula>LEFT(B216,LEN("10M"))="10M"</formula>
    </cfRule>
    <cfRule type="beginsWith" dxfId="473" priority="514" stopIfTrue="1" operator="beginsWith" text="18G">
      <formula>LEFT(B216,LEN("18G"))="18G"</formula>
    </cfRule>
    <cfRule type="beginsWith" dxfId="472" priority="515" stopIfTrue="1" operator="beginsWith" text="10M">
      <formula>LEFT(B216,LEN("10M"))="10M"</formula>
    </cfRule>
    <cfRule type="beginsWith" dxfId="471" priority="516" stopIfTrue="1" operator="beginsWith" text="10CX-">
      <formula>LEFT(B216,LEN("10CX-"))="10CX-"</formula>
    </cfRule>
    <cfRule type="beginsWith" dxfId="470" priority="517" stopIfTrue="1" operator="beginsWith" text="12G-">
      <formula>LEFT(B216,LEN("12G-"))="12G-"</formula>
    </cfRule>
    <cfRule type="beginsWith" dxfId="469" priority="518" stopIfTrue="1" operator="beginsWith" text="14G-">
      <formula>LEFT(B216,LEN("14G-"))="14G-"</formula>
    </cfRule>
    <cfRule type="beginsWith" dxfId="468" priority="519" stopIfTrue="1" operator="beginsWith" text="16G-">
      <formula>LEFT(B216,LEN("16G-"))="16G-"</formula>
    </cfRule>
    <cfRule type="beginsWith" dxfId="467" priority="520" stopIfTrue="1" operator="beginsWith" text="16GX-">
      <formula>LEFT(B216,LEN("16GX-"))="16GX-"</formula>
    </cfRule>
    <cfRule type="beginsWith" dxfId="466" priority="521" stopIfTrue="1" operator="beginsWith" text="18G-">
      <formula>LEFT(B216,LEN("18G-"))="18G-"</formula>
    </cfRule>
    <cfRule type="beginsWith" dxfId="465" priority="522" stopIfTrue="1" operator="beginsWith" text="18GX-">
      <formula>LEFT(B216,LEN("18GX-"))="18GX-"</formula>
    </cfRule>
    <cfRule type="beginsWith" dxfId="464" priority="523" stopIfTrue="1" operator="beginsWith" text="10C-">
      <formula>LEFT(B216,LEN("10C-"))="10C-"</formula>
    </cfRule>
    <cfRule type="beginsWith" dxfId="463" priority="524" stopIfTrue="1" operator="beginsWith" text="10CX-">
      <formula>LEFT(B216,LEN("10CX-"))="10CX-"</formula>
    </cfRule>
    <cfRule type="beginsWith" dxfId="462" priority="530" stopIfTrue="1" operator="beginsWith" text="18GX-">
      <formula>LEFT(B216,LEN("18GX-"))="18GX-"</formula>
    </cfRule>
    <cfRule type="beginsWith" dxfId="461" priority="525" stopIfTrue="1" operator="beginsWith" text="12G-">
      <formula>LEFT(B216,LEN("12G-"))="12G-"</formula>
    </cfRule>
    <cfRule type="beginsWith" dxfId="460" priority="526" stopIfTrue="1" operator="beginsWith" text="14G-">
      <formula>LEFT(B216,LEN("14G-"))="14G-"</formula>
    </cfRule>
    <cfRule type="beginsWith" dxfId="459" priority="527" stopIfTrue="1" operator="beginsWith" text="16G-">
      <formula>LEFT(B216,LEN("16G-"))="16G-"</formula>
    </cfRule>
    <cfRule type="beginsWith" dxfId="458" priority="498" stopIfTrue="1" operator="beginsWith" text="10CX-">
      <formula>LEFT(B216,LEN("10CX-"))="10CX-"</formula>
    </cfRule>
    <cfRule type="beginsWith" dxfId="457" priority="528" stopIfTrue="1" operator="beginsWith" text="16GX-">
      <formula>LEFT(B216,LEN("16GX-"))="16GX-"</formula>
    </cfRule>
    <cfRule type="beginsWith" dxfId="456" priority="529" stopIfTrue="1" operator="beginsWith" text="18G-">
      <formula>LEFT(B216,LEN("18G-"))="18G-"</formula>
    </cfRule>
    <cfRule type="beginsWith" dxfId="455" priority="508" stopIfTrue="1" operator="beginsWith" text="12G">
      <formula>LEFT(B216,LEN("12G"))="12G"</formula>
    </cfRule>
    <cfRule type="beginsWith" dxfId="454" priority="509" stopIfTrue="1" operator="beginsWith" text="14GX">
      <formula>LEFT(B216,LEN("14GX"))="14GX"</formula>
    </cfRule>
    <cfRule type="beginsWith" dxfId="453" priority="510" stopIfTrue="1" operator="beginsWith" text="14G">
      <formula>LEFT(B216,LEN("14G"))="14G"</formula>
    </cfRule>
    <cfRule type="beginsWith" dxfId="452" priority="511" stopIfTrue="1" operator="beginsWith" text="16GX">
      <formula>LEFT(B216,LEN("16GX"))="16GX"</formula>
    </cfRule>
    <cfRule type="beginsWith" dxfId="451" priority="512" stopIfTrue="1" operator="beginsWith" text="16G">
      <formula>LEFT(B216,LEN("16G"))="16G"</formula>
    </cfRule>
    <cfRule type="beginsWith" dxfId="450" priority="513" stopIfTrue="1" operator="beginsWith" text="18GX">
      <formula>LEFT(B216,LEN("18GX"))="18GX"</formula>
    </cfRule>
    <cfRule type="beginsWith" dxfId="449" priority="483" stopIfTrue="1" operator="beginsWith" text="18G-">
      <formula>LEFT(B216,LEN("18G-"))="18G-"</formula>
    </cfRule>
    <cfRule type="beginsWith" dxfId="448" priority="465" stopIfTrue="1" operator="beginsWith" text="12C-">
      <formula>LEFT(B216,LEN("12C-"))="12C-"</formula>
    </cfRule>
    <cfRule type="beginsWith" dxfId="447" priority="466" stopIfTrue="1" operator="beginsWith" text="16GQ-">
      <formula>LEFT(B216,LEN("16GQ-"))="16GQ-"</formula>
    </cfRule>
    <cfRule type="beginsWith" dxfId="446" priority="467" stopIfTrue="1" operator="beginsWith" text="16GX-">
      <formula>LEFT(B216,LEN("16GX-"))="16GX-"</formula>
    </cfRule>
    <cfRule type="beginsWith" dxfId="445" priority="469" stopIfTrue="1" operator="beginsWith" text="10CX-">
      <formula>LEFT(B216,LEN("10CX-"))="10CX-"</formula>
    </cfRule>
    <cfRule type="beginsWith" dxfId="444" priority="470" stopIfTrue="1" operator="beginsWith" text="12G">
      <formula>LEFT(B216,LEN("12G"))="12G"</formula>
    </cfRule>
    <cfRule type="beginsWith" dxfId="443" priority="471" stopIfTrue="1" operator="beginsWith" text="14GX">
      <formula>LEFT(B216,LEN("14GX"))="14GX"</formula>
    </cfRule>
    <cfRule type="beginsWith" dxfId="442" priority="472" stopIfTrue="1" operator="beginsWith" text="14G">
      <formula>LEFT(B216,LEN("14G"))="14G"</formula>
    </cfRule>
    <cfRule type="beginsWith" dxfId="441" priority="473" stopIfTrue="1" operator="beginsWith" text="16GX">
      <formula>LEFT(B216,LEN("16GX"))="16GX"</formula>
    </cfRule>
    <cfRule type="beginsWith" dxfId="440" priority="474" stopIfTrue="1" operator="beginsWith" text="16G">
      <formula>LEFT(B216,LEN("16G"))="16G"</formula>
    </cfRule>
    <cfRule type="beginsWith" dxfId="439" priority="475" stopIfTrue="1" operator="beginsWith" text="18GX">
      <formula>LEFT(B216,LEN("18GX"))="18GX"</formula>
    </cfRule>
    <cfRule type="beginsWith" dxfId="438" priority="476" stopIfTrue="1" operator="beginsWith" text="18G">
      <formula>LEFT(B216,LEN("18G"))="18G"</formula>
    </cfRule>
    <cfRule type="beginsWith" dxfId="437" priority="477" stopIfTrue="1" operator="beginsWith" text="10M">
      <formula>LEFT(B216,LEN("10M"))="10M"</formula>
    </cfRule>
    <cfRule type="beginsWith" dxfId="436" priority="478" stopIfTrue="1" operator="beginsWith" text="10CX-">
      <formula>LEFT(B216,LEN("10CX-"))="10CX-"</formula>
    </cfRule>
    <cfRule type="beginsWith" dxfId="435" priority="479" stopIfTrue="1" operator="beginsWith" text="12G-">
      <formula>LEFT(B216,LEN("12G-"))="12G-"</formula>
    </cfRule>
    <cfRule type="beginsWith" dxfId="434" priority="480" stopIfTrue="1" operator="beginsWith" text="14G-">
      <formula>LEFT(B216,LEN("14G-"))="14G-"</formula>
    </cfRule>
    <cfRule type="beginsWith" dxfId="433" priority="481" stopIfTrue="1" operator="beginsWith" text="16G-">
      <formula>LEFT(B216,LEN("16G-"))="16G-"</formula>
    </cfRule>
    <cfRule type="beginsWith" dxfId="432" priority="482" stopIfTrue="1" operator="beginsWith" text="16GX-">
      <formula>LEFT(B216,LEN("16GX-"))="16GX-"</formula>
    </cfRule>
    <cfRule type="beginsWith" dxfId="431" priority="507" stopIfTrue="1" operator="beginsWith" text="10CX-">
      <formula>LEFT(B216,LEN("10CX-"))="10CX-"</formula>
    </cfRule>
    <cfRule type="beginsWith" dxfId="430" priority="506" stopIfTrue="1" operator="beginsWith" text="10M">
      <formula>LEFT(B216,LEN("10M"))="10M"</formula>
    </cfRule>
    <cfRule type="beginsWith" dxfId="429" priority="505" stopIfTrue="1" operator="beginsWith" text="18G">
      <formula>LEFT(B216,LEN("18G"))="18G"</formula>
    </cfRule>
    <cfRule type="beginsWith" dxfId="428" priority="504" stopIfTrue="1" operator="beginsWith" text="18GX">
      <formula>LEFT(B216,LEN("18GX"))="18GX"</formula>
    </cfRule>
    <cfRule type="beginsWith" dxfId="427" priority="503" stopIfTrue="1" operator="beginsWith" text="16G">
      <formula>LEFT(B216,LEN("16G"))="16G"</formula>
    </cfRule>
    <cfRule type="beginsWith" dxfId="426" priority="502" stopIfTrue="1" operator="beginsWith" text="16GX">
      <formula>LEFT(B216,LEN("16GX"))="16GX"</formula>
    </cfRule>
    <cfRule type="beginsWith" dxfId="425" priority="501" stopIfTrue="1" operator="beginsWith" text="14G">
      <formula>LEFT(B216,LEN("14G"))="14G"</formula>
    </cfRule>
    <cfRule type="beginsWith" dxfId="424" priority="500" stopIfTrue="1" operator="beginsWith" text="14GX">
      <formula>LEFT(B216,LEN("14GX"))="14GX"</formula>
    </cfRule>
    <cfRule type="beginsWith" dxfId="423" priority="499" stopIfTrue="1" operator="beginsWith" text="12G">
      <formula>LEFT(B216,LEN("12G"))="12G"</formula>
    </cfRule>
    <cfRule type="beginsWith" dxfId="422" priority="497" stopIfTrue="1" operator="beginsWith" text="10M">
      <formula>LEFT(B216,LEN("10M"))="10M"</formula>
    </cfRule>
    <cfRule type="beginsWith" dxfId="421" priority="496" stopIfTrue="1" operator="beginsWith" text="16GX-">
      <formula>LEFT(B216,LEN("16GX-"))="16GX-"</formula>
    </cfRule>
    <cfRule type="beginsWith" dxfId="420" priority="495" stopIfTrue="1" operator="beginsWith" text="16GQ-">
      <formula>LEFT(B216,LEN("16GQ-"))="16GQ-"</formula>
    </cfRule>
    <cfRule type="beginsWith" dxfId="419" priority="494" stopIfTrue="1" operator="beginsWith" text="12C-">
      <formula>LEFT(B216,LEN("12C-"))="12C-"</formula>
    </cfRule>
    <cfRule type="beginsWith" dxfId="418" priority="493" stopIfTrue="1" operator="beginsWith" text="10G-">
      <formula>LEFT(B216,LEN("10G-"))="10G-"</formula>
    </cfRule>
    <cfRule type="beginsWith" dxfId="417" priority="492" stopIfTrue="1" operator="beginsWith" text="18GX-">
      <formula>LEFT(B216,LEN("18GX-"))="18GX-"</formula>
    </cfRule>
    <cfRule type="beginsWith" dxfId="416" priority="491" stopIfTrue="1" operator="beginsWith" text="18G-">
      <formula>LEFT(B216,LEN("18G-"))="18G-"</formula>
    </cfRule>
    <cfRule type="beginsWith" dxfId="415" priority="490" stopIfTrue="1" operator="beginsWith" text="16GX-">
      <formula>LEFT(B216,LEN("16GX-"))="16GX-"</formula>
    </cfRule>
    <cfRule type="beginsWith" dxfId="414" priority="489" stopIfTrue="1" operator="beginsWith" text="16G-">
      <formula>LEFT(B216,LEN("16G-"))="16G-"</formula>
    </cfRule>
    <cfRule type="beginsWith" dxfId="413" priority="488" stopIfTrue="1" operator="beginsWith" text="14G-">
      <formula>LEFT(B216,LEN("14G-"))="14G-"</formula>
    </cfRule>
    <cfRule type="beginsWith" dxfId="412" priority="487" stopIfTrue="1" operator="beginsWith" text="12G-">
      <formula>LEFT(B216,LEN("12G-"))="12G-"</formula>
    </cfRule>
    <cfRule type="beginsWith" dxfId="411" priority="486" stopIfTrue="1" operator="beginsWith" text="10CX-">
      <formula>LEFT(B216,LEN("10CX-"))="10CX-"</formula>
    </cfRule>
    <cfRule type="beginsWith" dxfId="410" priority="485" stopIfTrue="1" operator="beginsWith" text="10C-">
      <formula>LEFT(B216,LEN("10C-"))="10C-"</formula>
    </cfRule>
    <cfRule type="beginsWith" dxfId="409" priority="484" stopIfTrue="1" operator="beginsWith" text="18GX-">
      <formula>LEFT(B216,LEN("18GX-"))="18GX-"</formula>
    </cfRule>
  </conditionalFormatting>
  <conditionalFormatting sqref="B218:B219">
    <cfRule type="beginsWith" dxfId="408" priority="415" stopIfTrue="1" operator="beginsWith" text="14G-">
      <formula>LEFT(B218,LEN("14G-"))="14G-"</formula>
    </cfRule>
    <cfRule type="beginsWith" dxfId="407" priority="443" stopIfTrue="1" operator="beginsWith" text="14GX">
      <formula>LEFT(B218,LEN("14GX"))="14GX"</formula>
    </cfRule>
    <cfRule type="beginsWith" dxfId="406" priority="444" stopIfTrue="1" operator="beginsWith" text="14G">
      <formula>LEFT(B218,LEN("14G"))="14G"</formula>
    </cfRule>
    <cfRule type="beginsWith" dxfId="405" priority="445" stopIfTrue="1" operator="beginsWith" text="16GX">
      <formula>LEFT(B218,LEN("16GX"))="16GX"</formula>
    </cfRule>
    <cfRule type="beginsWith" dxfId="404" priority="446" stopIfTrue="1" operator="beginsWith" text="16G">
      <formula>LEFT(B218,LEN("16G"))="16G"</formula>
    </cfRule>
    <cfRule type="beginsWith" dxfId="403" priority="400" stopIfTrue="1" operator="beginsWith" text="12C-">
      <formula>LEFT(B218,LEN("12C-"))="12C-"</formula>
    </cfRule>
    <cfRule type="beginsWith" dxfId="402" priority="447" stopIfTrue="1" operator="beginsWith" text="18GX">
      <formula>LEFT(B218,LEN("18GX"))="18GX"</formula>
    </cfRule>
    <cfRule type="beginsWith" dxfId="401" priority="448" stopIfTrue="1" operator="beginsWith" text="18G">
      <formula>LEFT(B218,LEN("18G"))="18G"</formula>
    </cfRule>
    <cfRule type="beginsWith" dxfId="400" priority="449" stopIfTrue="1" operator="beginsWith" text="10M">
      <formula>LEFT(B218,LEN("10M"))="10M"</formula>
    </cfRule>
    <cfRule type="beginsWith" dxfId="399" priority="450" stopIfTrue="1" operator="beginsWith" text="10CX-">
      <formula>LEFT(B218,LEN("10CX-"))="10CX-"</formula>
    </cfRule>
    <cfRule type="beginsWith" dxfId="398" priority="451" stopIfTrue="1" operator="beginsWith" text="12G-">
      <formula>LEFT(B218,LEN("12G-"))="12G-"</formula>
    </cfRule>
    <cfRule type="beginsWith" dxfId="397" priority="452" stopIfTrue="1" operator="beginsWith" text="14G-">
      <formula>LEFT(B218,LEN("14G-"))="14G-"</formula>
    </cfRule>
    <cfRule type="beginsWith" dxfId="396" priority="454" stopIfTrue="1" operator="beginsWith" text="16GX-">
      <formula>LEFT(B218,LEN("16GX-"))="16GX-"</formula>
    </cfRule>
    <cfRule type="beginsWith" dxfId="395" priority="455" stopIfTrue="1" operator="beginsWith" text="18G-">
      <formula>LEFT(B218,LEN("18G-"))="18G-"</formula>
    </cfRule>
    <cfRule type="beginsWith" dxfId="394" priority="456" stopIfTrue="1" operator="beginsWith" text="18GX-">
      <formula>LEFT(B218,LEN("18GX-"))="18GX-"</formula>
    </cfRule>
    <cfRule type="beginsWith" dxfId="393" priority="457" stopIfTrue="1" operator="beginsWith" text="10C-">
      <formula>LEFT(B218,LEN("10C-"))="10C-"</formula>
    </cfRule>
    <cfRule type="beginsWith" dxfId="392" priority="458" stopIfTrue="1" operator="beginsWith" text="10CX-">
      <formula>LEFT(B218,LEN("10CX-"))="10CX-"</formula>
    </cfRule>
    <cfRule type="beginsWith" dxfId="391" priority="459" stopIfTrue="1" operator="beginsWith" text="12G-">
      <formula>LEFT(B218,LEN("12G-"))="12G-"</formula>
    </cfRule>
    <cfRule type="beginsWith" dxfId="390" priority="460" stopIfTrue="1" operator="beginsWith" text="14G-">
      <formula>LEFT(B218,LEN("14G-"))="14G-"</formula>
    </cfRule>
    <cfRule type="beginsWith" dxfId="389" priority="461" stopIfTrue="1" operator="beginsWith" text="16G-">
      <formula>LEFT(B218,LEN("16G-"))="16G-"</formula>
    </cfRule>
    <cfRule type="beginsWith" dxfId="388" priority="462" stopIfTrue="1" operator="beginsWith" text="16GX-">
      <formula>LEFT(B218,LEN("16GX-"))="16GX-"</formula>
    </cfRule>
    <cfRule type="beginsWith" dxfId="387" priority="463" stopIfTrue="1" operator="beginsWith" text="18G-">
      <formula>LEFT(B218,LEN("18G-"))="18G-"</formula>
    </cfRule>
    <cfRule type="beginsWith" dxfId="386" priority="464" stopIfTrue="1" operator="beginsWith" text="18GX-">
      <formula>LEFT(B218,LEN("18GX-"))="18GX-"</formula>
    </cfRule>
    <cfRule type="beginsWith" dxfId="385" priority="401" stopIfTrue="1" operator="beginsWith" text="16GQ-">
      <formula>LEFT(B218,LEN("16GQ-"))="16GQ-"</formula>
    </cfRule>
    <cfRule type="beginsWith" dxfId="384" priority="402" stopIfTrue="1" operator="beginsWith" text="16GX-">
      <formula>LEFT(B218,LEN("16GX-"))="16GX-"</formula>
    </cfRule>
    <cfRule type="beginsWith" dxfId="383" priority="403" stopIfTrue="1" operator="beginsWith" text="10M">
      <formula>LEFT(B218,LEN("10M"))="10M"</formula>
    </cfRule>
    <cfRule type="beginsWith" dxfId="382" priority="404" stopIfTrue="1" operator="beginsWith" text="10CX-">
      <formula>LEFT(B218,LEN("10CX-"))="10CX-"</formula>
    </cfRule>
    <cfRule type="beginsWith" dxfId="381" priority="405" stopIfTrue="1" operator="beginsWith" text="12G">
      <formula>LEFT(B218,LEN("12G"))="12G"</formula>
    </cfRule>
    <cfRule type="beginsWith" dxfId="380" priority="406" stopIfTrue="1" operator="beginsWith" text="14GX">
      <formula>LEFT(B218,LEN("14GX"))="14GX"</formula>
    </cfRule>
    <cfRule type="beginsWith" dxfId="379" priority="407" stopIfTrue="1" operator="beginsWith" text="14G">
      <formula>LEFT(B218,LEN("14G"))="14G"</formula>
    </cfRule>
    <cfRule type="beginsWith" dxfId="378" priority="408" stopIfTrue="1" operator="beginsWith" text="16GX">
      <formula>LEFT(B218,LEN("16GX"))="16GX"</formula>
    </cfRule>
    <cfRule type="beginsWith" dxfId="377" priority="409" stopIfTrue="1" operator="beginsWith" text="16G">
      <formula>LEFT(B218,LEN("16G"))="16G"</formula>
    </cfRule>
    <cfRule type="beginsWith" dxfId="376" priority="410" stopIfTrue="1" operator="beginsWith" text="18GX">
      <formula>LEFT(B218,LEN("18GX"))="18GX"</formula>
    </cfRule>
    <cfRule type="beginsWith" dxfId="375" priority="411" stopIfTrue="1" operator="beginsWith" text="18G">
      <formula>LEFT(B218,LEN("18G"))="18G"</formula>
    </cfRule>
    <cfRule type="beginsWith" dxfId="374" priority="412" stopIfTrue="1" operator="beginsWith" text="10M">
      <formula>LEFT(B218,LEN("10M"))="10M"</formula>
    </cfRule>
    <cfRule type="beginsWith" dxfId="373" priority="413" stopIfTrue="1" operator="beginsWith" text="10CX-">
      <formula>LEFT(B218,LEN("10CX-"))="10CX-"</formula>
    </cfRule>
    <cfRule type="beginsWith" dxfId="372" priority="414" stopIfTrue="1" operator="beginsWith" text="12G-">
      <formula>LEFT(B218,LEN("12G-"))="12G-"</formula>
    </cfRule>
    <cfRule type="beginsWith" dxfId="371" priority="416" stopIfTrue="1" operator="beginsWith" text="16G-">
      <formula>LEFT(B218,LEN("16G-"))="16G-"</formula>
    </cfRule>
    <cfRule type="beginsWith" dxfId="370" priority="417" stopIfTrue="1" operator="beginsWith" text="16GX-">
      <formula>LEFT(B218,LEN("16GX-"))="16GX-"</formula>
    </cfRule>
    <cfRule type="beginsWith" dxfId="369" priority="418" stopIfTrue="1" operator="beginsWith" text="18G-">
      <formula>LEFT(B218,LEN("18G-"))="18G-"</formula>
    </cfRule>
    <cfRule type="beginsWith" dxfId="368" priority="419" stopIfTrue="1" operator="beginsWith" text="18GX-">
      <formula>LEFT(B218,LEN("18GX-"))="18GX-"</formula>
    </cfRule>
    <cfRule type="beginsWith" dxfId="367" priority="420" stopIfTrue="1" operator="beginsWith" text="10C-">
      <formula>LEFT(B218,LEN("10C-"))="10C-"</formula>
    </cfRule>
    <cfRule type="beginsWith" dxfId="366" priority="421" stopIfTrue="1" operator="beginsWith" text="10CX-">
      <formula>LEFT(B218,LEN("10CX-"))="10CX-"</formula>
    </cfRule>
    <cfRule type="beginsWith" dxfId="365" priority="422" stopIfTrue="1" operator="beginsWith" text="12G-">
      <formula>LEFT(B218,LEN("12G-"))="12G-"</formula>
    </cfRule>
    <cfRule type="beginsWith" dxfId="364" priority="423" stopIfTrue="1" operator="beginsWith" text="14G-">
      <formula>LEFT(B218,LEN("14G-"))="14G-"</formula>
    </cfRule>
    <cfRule type="beginsWith" dxfId="363" priority="424" stopIfTrue="1" operator="beginsWith" text="16G-">
      <formula>LEFT(B218,LEN("16G-"))="16G-"</formula>
    </cfRule>
    <cfRule type="beginsWith" dxfId="362" priority="426" stopIfTrue="1" operator="beginsWith" text="18G-">
      <formula>LEFT(B218,LEN("18G-"))="18G-"</formula>
    </cfRule>
    <cfRule type="beginsWith" dxfId="361" priority="427" stopIfTrue="1" operator="beginsWith" text="18GX-">
      <formula>LEFT(B218,LEN("18GX-"))="18GX-"</formula>
    </cfRule>
    <cfRule type="beginsWith" dxfId="360" priority="428" stopIfTrue="1" operator="beginsWith" text="12C-">
      <formula>LEFT(B218,LEN("12C-"))="12C-"</formula>
    </cfRule>
    <cfRule type="beginsWith" dxfId="359" priority="442" stopIfTrue="1" operator="beginsWith" text="12G">
      <formula>LEFT(B218,LEN("12G"))="12G"</formula>
    </cfRule>
    <cfRule type="beginsWith" dxfId="358" priority="429" stopIfTrue="1" operator="beginsWith" text="16GQ-">
      <formula>LEFT(B218,LEN("16GQ-"))="16GQ-"</formula>
    </cfRule>
    <cfRule type="beginsWith" dxfId="357" priority="430" stopIfTrue="1" operator="beginsWith" text="16GX-">
      <formula>LEFT(B218,LEN("16GX-"))="16GX-"</formula>
    </cfRule>
    <cfRule type="beginsWith" dxfId="356" priority="425" stopIfTrue="1" operator="beginsWith" text="16GX-">
      <formula>LEFT(B218,LEN("16GX-"))="16GX-"</formula>
    </cfRule>
    <cfRule type="beginsWith" dxfId="355" priority="431" stopIfTrue="1" operator="beginsWith" text="10M">
      <formula>LEFT(B218,LEN("10M"))="10M"</formula>
    </cfRule>
    <cfRule type="beginsWith" dxfId="354" priority="432" stopIfTrue="1" operator="beginsWith" text="10CX-">
      <formula>LEFT(B218,LEN("10CX-"))="10CX-"</formula>
    </cfRule>
    <cfRule type="beginsWith" dxfId="353" priority="433" stopIfTrue="1" operator="beginsWith" text="12G">
      <formula>LEFT(B218,LEN("12G"))="12G"</formula>
    </cfRule>
    <cfRule type="beginsWith" dxfId="352" priority="434" stopIfTrue="1" operator="beginsWith" text="14GX">
      <formula>LEFT(B218,LEN("14GX"))="14GX"</formula>
    </cfRule>
    <cfRule type="beginsWith" dxfId="351" priority="435" stopIfTrue="1" operator="beginsWith" text="14G">
      <formula>LEFT(B218,LEN("14G"))="14G"</formula>
    </cfRule>
    <cfRule type="beginsWith" dxfId="350" priority="436" stopIfTrue="1" operator="beginsWith" text="16GX">
      <formula>LEFT(B218,LEN("16GX"))="16GX"</formula>
    </cfRule>
    <cfRule type="beginsWith" dxfId="349" priority="437" stopIfTrue="1" operator="beginsWith" text="16G">
      <formula>LEFT(B218,LEN("16G"))="16G"</formula>
    </cfRule>
    <cfRule type="beginsWith" dxfId="348" priority="438" stopIfTrue="1" operator="beginsWith" text="18GX">
      <formula>LEFT(B218,LEN("18GX"))="18GX"</formula>
    </cfRule>
    <cfRule type="beginsWith" dxfId="347" priority="439" stopIfTrue="1" operator="beginsWith" text="18G">
      <formula>LEFT(B218,LEN("18G"))="18G"</formula>
    </cfRule>
    <cfRule type="beginsWith" dxfId="346" priority="440" stopIfTrue="1" operator="beginsWith" text="10M">
      <formula>LEFT(B218,LEN("10M"))="10M"</formula>
    </cfRule>
    <cfRule type="beginsWith" dxfId="345" priority="441" stopIfTrue="1" operator="beginsWith" text="10CX-">
      <formula>LEFT(B218,LEN("10CX-"))="10CX-"</formula>
    </cfRule>
    <cfRule type="beginsWith" dxfId="344" priority="453" stopIfTrue="1" operator="beginsWith" text="16G-">
      <formula>LEFT(B218,LEN("16G-"))="16G-"</formula>
    </cfRule>
    <cfRule type="beginsWith" dxfId="343" priority="399" stopIfTrue="1" operator="beginsWith" text="10G-">
      <formula>LEFT(B218,LEN("10G-"))="10G-"</formula>
    </cfRule>
  </conditionalFormatting>
  <conditionalFormatting sqref="B229:B237">
    <cfRule type="beginsWith" dxfId="342" priority="226" stopIfTrue="1" operator="beginsWith" text="16GX-">
      <formula>LEFT(B229,LEN("16GX-"))="16GX-"</formula>
    </cfRule>
    <cfRule type="beginsWith" dxfId="341" priority="227" stopIfTrue="1" operator="beginsWith" text="18G-">
      <formula>LEFT(B229,LEN("18G-"))="18G-"</formula>
    </cfRule>
    <cfRule type="beginsWith" dxfId="340" priority="228" stopIfTrue="1" operator="beginsWith" text="18GX-">
      <formula>LEFT(B229,LEN("18GX-"))="18GX-"</formula>
    </cfRule>
    <cfRule type="beginsWith" dxfId="339" priority="229" stopIfTrue="1" operator="beginsWith" text="10G-">
      <formula>LEFT(B229,LEN("10G-"))="10G-"</formula>
    </cfRule>
    <cfRule type="beginsWith" dxfId="338" priority="230" stopIfTrue="1" operator="beginsWith" text="12C-">
      <formula>LEFT(B229,LEN("12C-"))="12C-"</formula>
    </cfRule>
    <cfRule type="beginsWith" dxfId="337" priority="231" stopIfTrue="1" operator="beginsWith" text="16GQ-">
      <formula>LEFT(B229,LEN("16GQ-"))="16GQ-"</formula>
    </cfRule>
    <cfRule type="beginsWith" dxfId="336" priority="232" stopIfTrue="1" operator="beginsWith" text="16GX-">
      <formula>LEFT(B229,LEN("16GX-"))="16GX-"</formula>
    </cfRule>
    <cfRule type="beginsWith" dxfId="335" priority="233" stopIfTrue="1" operator="beginsWith" text="10M">
      <formula>LEFT(B229,LEN("10M"))="10M"</formula>
    </cfRule>
    <cfRule type="beginsWith" dxfId="334" priority="234" stopIfTrue="1" operator="beginsWith" text="10CX-">
      <formula>LEFT(B229,LEN("10CX-"))="10CX-"</formula>
    </cfRule>
    <cfRule type="beginsWith" dxfId="333" priority="236" stopIfTrue="1" operator="beginsWith" text="14GX">
      <formula>LEFT(B229,LEN("14GX"))="14GX"</formula>
    </cfRule>
    <cfRule type="beginsWith" dxfId="332" priority="237" stopIfTrue="1" operator="beginsWith" text="14G">
      <formula>LEFT(B229,LEN("14G"))="14G"</formula>
    </cfRule>
    <cfRule type="beginsWith" dxfId="331" priority="238" stopIfTrue="1" operator="beginsWith" text="16GX">
      <formula>LEFT(B229,LEN("16GX"))="16GX"</formula>
    </cfRule>
    <cfRule type="beginsWith" dxfId="330" priority="239" stopIfTrue="1" operator="beginsWith" text="16G">
      <formula>LEFT(B229,LEN("16G"))="16G"</formula>
    </cfRule>
    <cfRule type="beginsWith" dxfId="329" priority="240" stopIfTrue="1" operator="beginsWith" text="18GX">
      <formula>LEFT(B229,LEN("18GX"))="18GX"</formula>
    </cfRule>
    <cfRule type="beginsWith" dxfId="328" priority="241" stopIfTrue="1" operator="beginsWith" text="18G">
      <formula>LEFT(B229,LEN("18G"))="18G"</formula>
    </cfRule>
    <cfRule type="beginsWith" dxfId="327" priority="242" stopIfTrue="1" operator="beginsWith" text="10M">
      <formula>LEFT(B229,LEN("10M"))="10M"</formula>
    </cfRule>
    <cfRule type="beginsWith" dxfId="326" priority="243" stopIfTrue="1" operator="beginsWith" text="10CX-">
      <formula>LEFT(B229,LEN("10CX-"))="10CX-"</formula>
    </cfRule>
    <cfRule type="beginsWith" dxfId="325" priority="244" stopIfTrue="1" operator="beginsWith" text="12G">
      <formula>LEFT(B229,LEN("12G"))="12G"</formula>
    </cfRule>
    <cfRule type="beginsWith" dxfId="324" priority="245" stopIfTrue="1" operator="beginsWith" text="14GX">
      <formula>LEFT(B229,LEN("14GX"))="14GX"</formula>
    </cfRule>
    <cfRule type="beginsWith" dxfId="323" priority="246" stopIfTrue="1" operator="beginsWith" text="14G">
      <formula>LEFT(B229,LEN("14G"))="14G"</formula>
    </cfRule>
    <cfRule type="beginsWith" dxfId="322" priority="247" stopIfTrue="1" operator="beginsWith" text="16GX">
      <formula>LEFT(B229,LEN("16GX"))="16GX"</formula>
    </cfRule>
    <cfRule type="beginsWith" dxfId="321" priority="248" stopIfTrue="1" operator="beginsWith" text="16G">
      <formula>LEFT(B229,LEN("16G"))="16G"</formula>
    </cfRule>
    <cfRule type="beginsWith" dxfId="320" priority="249" stopIfTrue="1" operator="beginsWith" text="18GX">
      <formula>LEFT(B229,LEN("18GX"))="18GX"</formula>
    </cfRule>
    <cfRule type="beginsWith" dxfId="319" priority="250" stopIfTrue="1" operator="beginsWith" text="18G">
      <formula>LEFT(B229,LEN("18G"))="18G"</formula>
    </cfRule>
    <cfRule type="beginsWith" dxfId="318" priority="251" stopIfTrue="1" operator="beginsWith" text="10M">
      <formula>LEFT(B229,LEN("10M"))="10M"</formula>
    </cfRule>
    <cfRule type="beginsWith" dxfId="317" priority="252" stopIfTrue="1" operator="beginsWith" text="10CX-">
      <formula>LEFT(B229,LEN("10CX-"))="10CX-"</formula>
    </cfRule>
    <cfRule type="beginsWith" dxfId="316" priority="253" stopIfTrue="1" operator="beginsWith" text="12G-">
      <formula>LEFT(B229,LEN("12G-"))="12G-"</formula>
    </cfRule>
    <cfRule type="beginsWith" dxfId="315" priority="255" stopIfTrue="1" operator="beginsWith" text="16G-">
      <formula>LEFT(B229,LEN("16G-"))="16G-"</formula>
    </cfRule>
    <cfRule type="beginsWith" dxfId="314" priority="256" stopIfTrue="1" operator="beginsWith" text="16GX-">
      <formula>LEFT(B229,LEN("16GX-"))="16GX-"</formula>
    </cfRule>
    <cfRule type="beginsWith" dxfId="313" priority="257" stopIfTrue="1" operator="beginsWith" text="18G-">
      <formula>LEFT(B229,LEN("18G-"))="18G-"</formula>
    </cfRule>
    <cfRule type="beginsWith" dxfId="312" priority="258" stopIfTrue="1" operator="beginsWith" text="18GX-">
      <formula>LEFT(B229,LEN("18GX-"))="18GX-"</formula>
    </cfRule>
    <cfRule type="beginsWith" dxfId="311" priority="259" stopIfTrue="1" operator="beginsWith" text="10C-">
      <formula>LEFT(B229,LEN("10C-"))="10C-"</formula>
    </cfRule>
    <cfRule type="beginsWith" dxfId="310" priority="260" stopIfTrue="1" operator="beginsWith" text="10CX-">
      <formula>LEFT(B229,LEN("10CX-"))="10CX-"</formula>
    </cfRule>
    <cfRule type="beginsWith" dxfId="309" priority="261" stopIfTrue="1" operator="beginsWith" text="12G-">
      <formula>LEFT(B229,LEN("12G-"))="12G-"</formula>
    </cfRule>
    <cfRule type="beginsWith" dxfId="308" priority="262" stopIfTrue="1" operator="beginsWith" text="14G-">
      <formula>LEFT(B229,LEN("14G-"))="14G-"</formula>
    </cfRule>
    <cfRule type="beginsWith" dxfId="307" priority="263" stopIfTrue="1" operator="beginsWith" text="16G-">
      <formula>LEFT(B229,LEN("16G-"))="16G-"</formula>
    </cfRule>
    <cfRule type="beginsWith" dxfId="306" priority="264" stopIfTrue="1" operator="beginsWith" text="16GX-">
      <formula>LEFT(B229,LEN("16GX-"))="16GX-"</formula>
    </cfRule>
    <cfRule type="beginsWith" dxfId="305" priority="265" stopIfTrue="1" operator="beginsWith" text="18G-">
      <formula>LEFT(B229,LEN("18G-"))="18G-"</formula>
    </cfRule>
    <cfRule type="beginsWith" dxfId="304" priority="266" stopIfTrue="1" operator="beginsWith" text="18GX-">
      <formula>LEFT(B229,LEN("18GX-"))="18GX-"</formula>
    </cfRule>
    <cfRule type="beginsWith" dxfId="303" priority="254" stopIfTrue="1" operator="beginsWith" text="14G-">
      <formula>LEFT(B229,LEN("14G-"))="14G-"</formula>
    </cfRule>
    <cfRule type="beginsWith" dxfId="302" priority="235" stopIfTrue="1" operator="beginsWith" text="12G">
      <formula>LEFT(B229,LEN("12G"))="12G"</formula>
    </cfRule>
    <cfRule type="beginsWith" dxfId="301" priority="201" stopIfTrue="1" operator="beginsWith" text="12C-">
      <formula>LEFT(B229,LEN("12C-"))="12C-"</formula>
    </cfRule>
    <cfRule type="beginsWith" dxfId="300" priority="202" stopIfTrue="1" operator="beginsWith" text="16GQ-">
      <formula>LEFT(B229,LEN("16GQ-"))="16GQ-"</formula>
    </cfRule>
    <cfRule type="beginsWith" dxfId="299" priority="203" stopIfTrue="1" operator="beginsWith" text="16GX-">
      <formula>LEFT(B229,LEN("16GX-"))="16GX-"</formula>
    </cfRule>
    <cfRule type="beginsWith" dxfId="298" priority="204" stopIfTrue="1" operator="beginsWith" text="10M">
      <formula>LEFT(B229,LEN("10M"))="10M"</formula>
    </cfRule>
    <cfRule type="beginsWith" dxfId="297" priority="205" stopIfTrue="1" operator="beginsWith" text="10CX-">
      <formula>LEFT(B229,LEN("10CX-"))="10CX-"</formula>
    </cfRule>
    <cfRule type="beginsWith" dxfId="296" priority="206" stopIfTrue="1" operator="beginsWith" text="12G">
      <formula>LEFT(B229,LEN("12G"))="12G"</formula>
    </cfRule>
    <cfRule type="beginsWith" dxfId="295" priority="207" stopIfTrue="1" operator="beginsWith" text="14GX">
      <formula>LEFT(B229,LEN("14GX"))="14GX"</formula>
    </cfRule>
    <cfRule type="beginsWith" dxfId="294" priority="208" stopIfTrue="1" operator="beginsWith" text="14G">
      <formula>LEFT(B229,LEN("14G"))="14G"</formula>
    </cfRule>
    <cfRule type="beginsWith" dxfId="293" priority="209" stopIfTrue="1" operator="beginsWith" text="16GX">
      <formula>LEFT(B229,LEN("16GX"))="16GX"</formula>
    </cfRule>
    <cfRule type="beginsWith" dxfId="292" priority="210" stopIfTrue="1" operator="beginsWith" text="16G">
      <formula>LEFT(B229,LEN("16G"))="16G"</formula>
    </cfRule>
    <cfRule type="beginsWith" dxfId="291" priority="211" stopIfTrue="1" operator="beginsWith" text="18GX">
      <formula>LEFT(B229,LEN("18GX"))="18GX"</formula>
    </cfRule>
    <cfRule type="beginsWith" dxfId="290" priority="212" stopIfTrue="1" operator="beginsWith" text="18G">
      <formula>LEFT(B229,LEN("18G"))="18G"</formula>
    </cfRule>
    <cfRule type="beginsWith" dxfId="289" priority="213" stopIfTrue="1" operator="beginsWith" text="10M">
      <formula>LEFT(B229,LEN("10M"))="10M"</formula>
    </cfRule>
    <cfRule type="beginsWith" dxfId="288" priority="214" stopIfTrue="1" operator="beginsWith" text="10CX-">
      <formula>LEFT(B229,LEN("10CX-"))="10CX-"</formula>
    </cfRule>
    <cfRule type="beginsWith" dxfId="287" priority="215" stopIfTrue="1" operator="beginsWith" text="12G-">
      <formula>LEFT(B229,LEN("12G-"))="12G-"</formula>
    </cfRule>
    <cfRule type="beginsWith" dxfId="286" priority="216" stopIfTrue="1" operator="beginsWith" text="14G-">
      <formula>LEFT(B229,LEN("14G-"))="14G-"</formula>
    </cfRule>
    <cfRule type="beginsWith" dxfId="285" priority="217" stopIfTrue="1" operator="beginsWith" text="16G-">
      <formula>LEFT(B229,LEN("16G-"))="16G-"</formula>
    </cfRule>
    <cfRule type="beginsWith" dxfId="284" priority="218" stopIfTrue="1" operator="beginsWith" text="16GX-">
      <formula>LEFT(B229,LEN("16GX-"))="16GX-"</formula>
    </cfRule>
    <cfRule type="beginsWith" dxfId="283" priority="219" stopIfTrue="1" operator="beginsWith" text="18G-">
      <formula>LEFT(B229,LEN("18G-"))="18G-"</formula>
    </cfRule>
    <cfRule type="beginsWith" dxfId="282" priority="220" stopIfTrue="1" operator="beginsWith" text="18GX-">
      <formula>LEFT(B229,LEN("18GX-"))="18GX-"</formula>
    </cfRule>
    <cfRule type="beginsWith" dxfId="281" priority="221" stopIfTrue="1" operator="beginsWith" text="10C-">
      <formula>LEFT(B229,LEN("10C-"))="10C-"</formula>
    </cfRule>
    <cfRule type="beginsWith" dxfId="280" priority="222" stopIfTrue="1" operator="beginsWith" text="10CX-">
      <formula>LEFT(B229,LEN("10CX-"))="10CX-"</formula>
    </cfRule>
    <cfRule type="beginsWith" dxfId="279" priority="223" stopIfTrue="1" operator="beginsWith" text="12G-">
      <formula>LEFT(B229,LEN("12G-"))="12G-"</formula>
    </cfRule>
    <cfRule type="beginsWith" dxfId="278" priority="224" stopIfTrue="1" operator="beginsWith" text="14G-">
      <formula>LEFT(B229,LEN("14G-"))="14G-"</formula>
    </cfRule>
    <cfRule type="beginsWith" dxfId="277" priority="225" stopIfTrue="1" operator="beginsWith" text="16G-">
      <formula>LEFT(B229,LEN("16G-"))="16G-"</formula>
    </cfRule>
  </conditionalFormatting>
  <conditionalFormatting sqref="B231:B232">
    <cfRule type="beginsWith" dxfId="276" priority="136" stopIfTrue="1" operator="beginsWith" text="12C-">
      <formula>LEFT(B231,LEN("12C-"))="12C-"</formula>
    </cfRule>
    <cfRule type="beginsWith" dxfId="275" priority="137" stopIfTrue="1" operator="beginsWith" text="16GQ-">
      <formula>LEFT(B231,LEN("16GQ-"))="16GQ-"</formula>
    </cfRule>
    <cfRule type="beginsWith" dxfId="274" priority="138" stopIfTrue="1" operator="beginsWith" text="16GX-">
      <formula>LEFT(B231,LEN("16GX-"))="16GX-"</formula>
    </cfRule>
    <cfRule type="beginsWith" dxfId="273" priority="139" stopIfTrue="1" operator="beginsWith" text="10M">
      <formula>LEFT(B231,LEN("10M"))="10M"</formula>
    </cfRule>
    <cfRule type="beginsWith" dxfId="272" priority="140" stopIfTrue="1" operator="beginsWith" text="10CX-">
      <formula>LEFT(B231,LEN("10CX-"))="10CX-"</formula>
    </cfRule>
    <cfRule type="beginsWith" dxfId="271" priority="141" stopIfTrue="1" operator="beginsWith" text="12G">
      <formula>LEFT(B231,LEN("12G"))="12G"</formula>
    </cfRule>
    <cfRule type="beginsWith" dxfId="270" priority="142" stopIfTrue="1" operator="beginsWith" text="14GX">
      <formula>LEFT(B231,LEN("14GX"))="14GX"</formula>
    </cfRule>
    <cfRule type="beginsWith" dxfId="269" priority="143" stopIfTrue="1" operator="beginsWith" text="14G">
      <formula>LEFT(B231,LEN("14G"))="14G"</formula>
    </cfRule>
    <cfRule type="beginsWith" dxfId="268" priority="144" stopIfTrue="1" operator="beginsWith" text="16GX">
      <formula>LEFT(B231,LEN("16GX"))="16GX"</formula>
    </cfRule>
    <cfRule type="beginsWith" dxfId="267" priority="145" stopIfTrue="1" operator="beginsWith" text="16G">
      <formula>LEFT(B231,LEN("16G"))="16G"</formula>
    </cfRule>
    <cfRule type="beginsWith" dxfId="266" priority="146" stopIfTrue="1" operator="beginsWith" text="18GX">
      <formula>LEFT(B231,LEN("18GX"))="18GX"</formula>
    </cfRule>
    <cfRule type="beginsWith" dxfId="265" priority="147" stopIfTrue="1" operator="beginsWith" text="18G">
      <formula>LEFT(B231,LEN("18G"))="18G"</formula>
    </cfRule>
    <cfRule type="beginsWith" dxfId="264" priority="148" stopIfTrue="1" operator="beginsWith" text="10M">
      <formula>LEFT(B231,LEN("10M"))="10M"</formula>
    </cfRule>
    <cfRule type="beginsWith" dxfId="263" priority="149" stopIfTrue="1" operator="beginsWith" text="10CX-">
      <formula>LEFT(B231,LEN("10CX-"))="10CX-"</formula>
    </cfRule>
    <cfRule type="beginsWith" dxfId="262" priority="150" stopIfTrue="1" operator="beginsWith" text="12G-">
      <formula>LEFT(B231,LEN("12G-"))="12G-"</formula>
    </cfRule>
    <cfRule type="beginsWith" dxfId="261" priority="151" stopIfTrue="1" operator="beginsWith" text="14G-">
      <formula>LEFT(B231,LEN("14G-"))="14G-"</formula>
    </cfRule>
    <cfRule type="beginsWith" dxfId="260" priority="152" stopIfTrue="1" operator="beginsWith" text="16G-">
      <formula>LEFT(B231,LEN("16G-"))="16G-"</formula>
    </cfRule>
    <cfRule type="beginsWith" dxfId="259" priority="153" stopIfTrue="1" operator="beginsWith" text="16GX-">
      <formula>LEFT(B231,LEN("16GX-"))="16GX-"</formula>
    </cfRule>
    <cfRule type="beginsWith" dxfId="258" priority="154" stopIfTrue="1" operator="beginsWith" text="18G-">
      <formula>LEFT(B231,LEN("18G-"))="18G-"</formula>
    </cfRule>
    <cfRule type="beginsWith" dxfId="257" priority="155" stopIfTrue="1" operator="beginsWith" text="18GX-">
      <formula>LEFT(B231,LEN("18GX-"))="18GX-"</formula>
    </cfRule>
    <cfRule type="beginsWith" dxfId="256" priority="156" stopIfTrue="1" operator="beginsWith" text="10C-">
      <formula>LEFT(B231,LEN("10C-"))="10C-"</formula>
    </cfRule>
    <cfRule type="beginsWith" dxfId="255" priority="157" stopIfTrue="1" operator="beginsWith" text="10CX-">
      <formula>LEFT(B231,LEN("10CX-"))="10CX-"</formula>
    </cfRule>
    <cfRule type="beginsWith" dxfId="254" priority="158" stopIfTrue="1" operator="beginsWith" text="12G-">
      <formula>LEFT(B231,LEN("12G-"))="12G-"</formula>
    </cfRule>
    <cfRule type="beginsWith" dxfId="253" priority="159" stopIfTrue="1" operator="beginsWith" text="14G-">
      <formula>LEFT(B231,LEN("14G-"))="14G-"</formula>
    </cfRule>
    <cfRule type="beginsWith" dxfId="252" priority="160" stopIfTrue="1" operator="beginsWith" text="16G-">
      <formula>LEFT(B231,LEN("16G-"))="16G-"</formula>
    </cfRule>
    <cfRule type="beginsWith" dxfId="251" priority="161" stopIfTrue="1" operator="beginsWith" text="16GX-">
      <formula>LEFT(B231,LEN("16GX-"))="16GX-"</formula>
    </cfRule>
    <cfRule type="beginsWith" dxfId="250" priority="162" stopIfTrue="1" operator="beginsWith" text="18G-">
      <formula>LEFT(B231,LEN("18G-"))="18G-"</formula>
    </cfRule>
    <cfRule type="beginsWith" dxfId="249" priority="163" stopIfTrue="1" operator="beginsWith" text="18GX-">
      <formula>LEFT(B231,LEN("18GX-"))="18GX-"</formula>
    </cfRule>
    <cfRule type="beginsWith" dxfId="248" priority="164" stopIfTrue="1" operator="beginsWith" text="12C-">
      <formula>LEFT(B231,LEN("12C-"))="12C-"</formula>
    </cfRule>
    <cfRule type="beginsWith" dxfId="247" priority="165" stopIfTrue="1" operator="beginsWith" text="16GQ-">
      <formula>LEFT(B231,LEN("16GQ-"))="16GQ-"</formula>
    </cfRule>
    <cfRule type="beginsWith" dxfId="246" priority="166" stopIfTrue="1" operator="beginsWith" text="16GX-">
      <formula>LEFT(B231,LEN("16GX-"))="16GX-"</formula>
    </cfRule>
    <cfRule type="beginsWith" dxfId="245" priority="167" stopIfTrue="1" operator="beginsWith" text="10M">
      <formula>LEFT(B231,LEN("10M"))="10M"</formula>
    </cfRule>
    <cfRule type="beginsWith" dxfId="244" priority="168" stopIfTrue="1" operator="beginsWith" text="10CX-">
      <formula>LEFT(B231,LEN("10CX-"))="10CX-"</formula>
    </cfRule>
    <cfRule type="beginsWith" dxfId="243" priority="169" stopIfTrue="1" operator="beginsWith" text="12G">
      <formula>LEFT(B231,LEN("12G"))="12G"</formula>
    </cfRule>
    <cfRule type="beginsWith" dxfId="242" priority="170" stopIfTrue="1" operator="beginsWith" text="14GX">
      <formula>LEFT(B231,LEN("14GX"))="14GX"</formula>
    </cfRule>
    <cfRule type="beginsWith" dxfId="241" priority="171" stopIfTrue="1" operator="beginsWith" text="14G">
      <formula>LEFT(B231,LEN("14G"))="14G"</formula>
    </cfRule>
    <cfRule type="beginsWith" dxfId="240" priority="172" stopIfTrue="1" operator="beginsWith" text="16GX">
      <formula>LEFT(B231,LEN("16GX"))="16GX"</formula>
    </cfRule>
    <cfRule type="beginsWith" dxfId="239" priority="173" stopIfTrue="1" operator="beginsWith" text="16G">
      <formula>LEFT(B231,LEN("16G"))="16G"</formula>
    </cfRule>
    <cfRule type="beginsWith" dxfId="238" priority="174" stopIfTrue="1" operator="beginsWith" text="18GX">
      <formula>LEFT(B231,LEN("18GX"))="18GX"</formula>
    </cfRule>
    <cfRule type="beginsWith" dxfId="237" priority="175" stopIfTrue="1" operator="beginsWith" text="18G">
      <formula>LEFT(B231,LEN("18G"))="18G"</formula>
    </cfRule>
    <cfRule type="beginsWith" dxfId="236" priority="176" stopIfTrue="1" operator="beginsWith" text="10M">
      <formula>LEFT(B231,LEN("10M"))="10M"</formula>
    </cfRule>
    <cfRule type="beginsWith" dxfId="235" priority="180" stopIfTrue="1" operator="beginsWith" text="14G">
      <formula>LEFT(B231,LEN("14G"))="14G"</formula>
    </cfRule>
    <cfRule type="beginsWith" dxfId="234" priority="181" stopIfTrue="1" operator="beginsWith" text="16GX">
      <formula>LEFT(B231,LEN("16GX"))="16GX"</formula>
    </cfRule>
    <cfRule type="beginsWith" dxfId="233" priority="135" stopIfTrue="1" operator="beginsWith" text="10G-">
      <formula>LEFT(B231,LEN("10G-"))="10G-"</formula>
    </cfRule>
    <cfRule type="beginsWith" dxfId="232" priority="182" stopIfTrue="1" operator="beginsWith" text="16G">
      <formula>LEFT(B231,LEN("16G"))="16G"</formula>
    </cfRule>
    <cfRule type="beginsWith" dxfId="231" priority="183" stopIfTrue="1" operator="beginsWith" text="18GX">
      <formula>LEFT(B231,LEN("18GX"))="18GX"</formula>
    </cfRule>
    <cfRule type="beginsWith" dxfId="230" priority="184" stopIfTrue="1" operator="beginsWith" text="18G">
      <formula>LEFT(B231,LEN("18G"))="18G"</formula>
    </cfRule>
    <cfRule type="beginsWith" dxfId="229" priority="185" stopIfTrue="1" operator="beginsWith" text="10M">
      <formula>LEFT(B231,LEN("10M"))="10M"</formula>
    </cfRule>
    <cfRule type="beginsWith" dxfId="228" priority="186" stopIfTrue="1" operator="beginsWith" text="10CX-">
      <formula>LEFT(B231,LEN("10CX-"))="10CX-"</formula>
    </cfRule>
    <cfRule type="beginsWith" dxfId="227" priority="187" stopIfTrue="1" operator="beginsWith" text="12G-">
      <formula>LEFT(B231,LEN("12G-"))="12G-"</formula>
    </cfRule>
    <cfRule type="beginsWith" dxfId="226" priority="188" stopIfTrue="1" operator="beginsWith" text="14G-">
      <formula>LEFT(B231,LEN("14G-"))="14G-"</formula>
    </cfRule>
    <cfRule type="beginsWith" dxfId="225" priority="189" stopIfTrue="1" operator="beginsWith" text="16G-">
      <formula>LEFT(B231,LEN("16G-"))="16G-"</formula>
    </cfRule>
    <cfRule type="beginsWith" dxfId="224" priority="190" stopIfTrue="1" operator="beginsWith" text="16GX-">
      <formula>LEFT(B231,LEN("16GX-"))="16GX-"</formula>
    </cfRule>
    <cfRule type="beginsWith" dxfId="223" priority="191" stopIfTrue="1" operator="beginsWith" text="18G-">
      <formula>LEFT(B231,LEN("18G-"))="18G-"</formula>
    </cfRule>
    <cfRule type="beginsWith" dxfId="222" priority="192" stopIfTrue="1" operator="beginsWith" text="18GX-">
      <formula>LEFT(B231,LEN("18GX-"))="18GX-"</formula>
    </cfRule>
    <cfRule type="beginsWith" dxfId="221" priority="193" stopIfTrue="1" operator="beginsWith" text="10C-">
      <formula>LEFT(B231,LEN("10C-"))="10C-"</formula>
    </cfRule>
    <cfRule type="beginsWith" dxfId="220" priority="195" stopIfTrue="1" operator="beginsWith" text="12G-">
      <formula>LEFT(B231,LEN("12G-"))="12G-"</formula>
    </cfRule>
    <cfRule type="beginsWith" dxfId="219" priority="196" stopIfTrue="1" operator="beginsWith" text="14G-">
      <formula>LEFT(B231,LEN("14G-"))="14G-"</formula>
    </cfRule>
    <cfRule type="beginsWith" dxfId="218" priority="197" stopIfTrue="1" operator="beginsWith" text="16G-">
      <formula>LEFT(B231,LEN("16G-"))="16G-"</formula>
    </cfRule>
    <cfRule type="beginsWith" dxfId="217" priority="198" stopIfTrue="1" operator="beginsWith" text="16GX-">
      <formula>LEFT(B231,LEN("16GX-"))="16GX-"</formula>
    </cfRule>
    <cfRule type="beginsWith" dxfId="216" priority="199" stopIfTrue="1" operator="beginsWith" text="18G-">
      <formula>LEFT(B231,LEN("18G-"))="18G-"</formula>
    </cfRule>
    <cfRule type="beginsWith" dxfId="215" priority="200" stopIfTrue="1" operator="beginsWith" text="18GX-">
      <formula>LEFT(B231,LEN("18GX-"))="18GX-"</formula>
    </cfRule>
    <cfRule type="beginsWith" dxfId="214" priority="194" stopIfTrue="1" operator="beginsWith" text="10CX-">
      <formula>LEFT(B231,LEN("10CX-"))="10CX-"</formula>
    </cfRule>
    <cfRule type="beginsWith" dxfId="213" priority="177" stopIfTrue="1" operator="beginsWith" text="10CX-">
      <formula>LEFT(B231,LEN("10CX-"))="10CX-"</formula>
    </cfRule>
    <cfRule type="beginsWith" dxfId="212" priority="178" stopIfTrue="1" operator="beginsWith" text="12G">
      <formula>LEFT(B231,LEN("12G"))="12G"</formula>
    </cfRule>
    <cfRule type="beginsWith" dxfId="211" priority="179" stopIfTrue="1" operator="beginsWith" text="14GX">
      <formula>LEFT(B231,LEN("14GX"))="14GX"</formula>
    </cfRule>
  </conditionalFormatting>
  <conditionalFormatting sqref="C208">
    <cfRule type="beginsWith" dxfId="210" priority="673" stopIfTrue="1" operator="beginsWith" text="14G">
      <formula>LEFT(C208,LEN("14G"))="14G"</formula>
    </cfRule>
    <cfRule type="beginsWith" dxfId="209" priority="672" stopIfTrue="1" operator="beginsWith" text="14GX">
      <formula>LEFT(C208,LEN("14GX"))="14GX"</formula>
    </cfRule>
    <cfRule type="beginsWith" dxfId="208" priority="671" stopIfTrue="1" operator="beginsWith" text="12G">
      <formula>LEFT(C208,LEN("12G"))="12G"</formula>
    </cfRule>
    <cfRule type="beginsWith" dxfId="207" priority="670" stopIfTrue="1" operator="beginsWith" text="10CX-">
      <formula>LEFT(C208,LEN("10CX-"))="10CX-"</formula>
    </cfRule>
    <cfRule type="beginsWith" dxfId="206" priority="669" stopIfTrue="1" operator="beginsWith" text="10M">
      <formula>LEFT(C208,LEN("10M"))="10M"</formula>
    </cfRule>
    <cfRule type="beginsWith" dxfId="205" priority="668" stopIfTrue="1" operator="beginsWith" text="16GX-">
      <formula>LEFT(C208,LEN("16GX-"))="16GX-"</formula>
    </cfRule>
    <cfRule type="beginsWith" dxfId="204" priority="667" stopIfTrue="1" operator="beginsWith" text="16GQ-">
      <formula>LEFT(C208,LEN("16GQ-"))="16GQ-"</formula>
    </cfRule>
    <cfRule type="beginsWith" dxfId="203" priority="666" stopIfTrue="1" operator="beginsWith" text="12C-">
      <formula>LEFT(C208,LEN("12C-"))="12C-"</formula>
    </cfRule>
    <cfRule type="beginsWith" dxfId="202" priority="665" stopIfTrue="1" operator="beginsWith" text="10G-">
      <formula>LEFT(C208,LEN("10G-"))="10G-"</formula>
    </cfRule>
    <cfRule type="beginsWith" dxfId="201" priority="675" stopIfTrue="1" operator="beginsWith" text="16G">
      <formula>LEFT(C208,LEN("16G"))="16G"</formula>
    </cfRule>
    <cfRule type="beginsWith" dxfId="200" priority="700" stopIfTrue="1" operator="beginsWith" text="12G">
      <formula>LEFT(C208,LEN("12G"))="12G"</formula>
    </cfRule>
    <cfRule type="beginsWith" dxfId="199" priority="731" stopIfTrue="1" operator="beginsWith" text="18GX-">
      <formula>LEFT(C208,LEN("18GX-"))="18GX-"</formula>
    </cfRule>
    <cfRule type="beginsWith" dxfId="198" priority="730" stopIfTrue="1" operator="beginsWith" text="18G-">
      <formula>LEFT(C208,LEN("18G-"))="18G-"</formula>
    </cfRule>
    <cfRule type="beginsWith" dxfId="197" priority="728" stopIfTrue="1" operator="beginsWith" text="16G-">
      <formula>LEFT(C208,LEN("16G-"))="16G-"</formula>
    </cfRule>
    <cfRule type="beginsWith" dxfId="196" priority="727" stopIfTrue="1" operator="beginsWith" text="14G-">
      <formula>LEFT(C208,LEN("14G-"))="14G-"</formula>
    </cfRule>
    <cfRule type="beginsWith" dxfId="195" priority="726" stopIfTrue="1" operator="beginsWith" text="12G-">
      <formula>LEFT(C208,LEN("12G-"))="12G-"</formula>
    </cfRule>
    <cfRule type="beginsWith" dxfId="194" priority="725" stopIfTrue="1" operator="beginsWith" text="10CX-">
      <formula>LEFT(C208,LEN("10CX-"))="10CX-"</formula>
    </cfRule>
    <cfRule type="beginsWith" dxfId="193" priority="724" stopIfTrue="1" operator="beginsWith" text="10C-">
      <formula>LEFT(C208,LEN("10C-"))="10C-"</formula>
    </cfRule>
    <cfRule type="beginsWith" dxfId="192" priority="723" stopIfTrue="1" operator="beginsWith" text="18GX-">
      <formula>LEFT(C208,LEN("18GX-"))="18GX-"</formula>
    </cfRule>
    <cfRule type="beginsWith" dxfId="191" priority="722" stopIfTrue="1" operator="beginsWith" text="18G-">
      <formula>LEFT(C208,LEN("18G-"))="18G-"</formula>
    </cfRule>
    <cfRule type="beginsWith" dxfId="190" priority="721" stopIfTrue="1" operator="beginsWith" text="16GX-">
      <formula>LEFT(C208,LEN("16GX-"))="16GX-"</formula>
    </cfRule>
    <cfRule type="beginsWith" dxfId="189" priority="720" stopIfTrue="1" operator="beginsWith" text="16G-">
      <formula>LEFT(C208,LEN("16G-"))="16G-"</formula>
    </cfRule>
    <cfRule type="beginsWith" dxfId="188" priority="719" stopIfTrue="1" operator="beginsWith" text="14G-">
      <formula>LEFT(C208,LEN("14G-"))="14G-"</formula>
    </cfRule>
    <cfRule type="beginsWith" dxfId="187" priority="718" stopIfTrue="1" operator="beginsWith" text="12G-">
      <formula>LEFT(C208,LEN("12G-"))="12G-"</formula>
    </cfRule>
    <cfRule type="beginsWith" dxfId="186" priority="717" stopIfTrue="1" operator="beginsWith" text="10CX-">
      <formula>LEFT(C208,LEN("10CX-"))="10CX-"</formula>
    </cfRule>
    <cfRule type="beginsWith" dxfId="185" priority="716" stopIfTrue="1" operator="beginsWith" text="10M">
      <formula>LEFT(C208,LEN("10M"))="10M"</formula>
    </cfRule>
    <cfRule type="beginsWith" dxfId="184" priority="715" stopIfTrue="1" operator="beginsWith" text="18G">
      <formula>LEFT(C208,LEN("18G"))="18G"</formula>
    </cfRule>
    <cfRule type="beginsWith" dxfId="183" priority="714" stopIfTrue="1" operator="beginsWith" text="18GX">
      <formula>LEFT(C208,LEN("18GX"))="18GX"</formula>
    </cfRule>
    <cfRule type="beginsWith" dxfId="182" priority="713" stopIfTrue="1" operator="beginsWith" text="16G">
      <formula>LEFT(C208,LEN("16G"))="16G"</formula>
    </cfRule>
    <cfRule type="beginsWith" dxfId="181" priority="712" stopIfTrue="1" operator="beginsWith" text="16GX">
      <formula>LEFT(C208,LEN("16GX"))="16GX"</formula>
    </cfRule>
    <cfRule type="beginsWith" dxfId="180" priority="711" stopIfTrue="1" operator="beginsWith" text="14G">
      <formula>LEFT(C208,LEN("14G"))="14G"</formula>
    </cfRule>
    <cfRule type="beginsWith" dxfId="179" priority="710" stopIfTrue="1" operator="beginsWith" text="14GX">
      <formula>LEFT(C208,LEN("14GX"))="14GX"</formula>
    </cfRule>
    <cfRule type="beginsWith" dxfId="178" priority="709" stopIfTrue="1" operator="beginsWith" text="12G">
      <formula>LEFT(C208,LEN("12G"))="12G"</formula>
    </cfRule>
    <cfRule type="beginsWith" dxfId="177" priority="708" stopIfTrue="1" operator="beginsWith" text="10CX-">
      <formula>LEFT(C208,LEN("10CX-"))="10CX-"</formula>
    </cfRule>
    <cfRule type="beginsWith" dxfId="176" priority="707" stopIfTrue="1" operator="beginsWith" text="10M">
      <formula>LEFT(C208,LEN("10M"))="10M"</formula>
    </cfRule>
    <cfRule type="beginsWith" dxfId="175" priority="706" stopIfTrue="1" operator="beginsWith" text="18G">
      <formula>LEFT(C208,LEN("18G"))="18G"</formula>
    </cfRule>
    <cfRule type="beginsWith" dxfId="174" priority="705" stopIfTrue="1" operator="beginsWith" text="18GX">
      <formula>LEFT(C208,LEN("18GX"))="18GX"</formula>
    </cfRule>
    <cfRule type="beginsWith" dxfId="173" priority="704" stopIfTrue="1" operator="beginsWith" text="16G">
      <formula>LEFT(C208,LEN("16G"))="16G"</formula>
    </cfRule>
    <cfRule type="beginsWith" dxfId="172" priority="703" stopIfTrue="1" operator="beginsWith" text="16GX">
      <formula>LEFT(C208,LEN("16GX"))="16GX"</formula>
    </cfRule>
    <cfRule type="beginsWith" dxfId="171" priority="702" stopIfTrue="1" operator="beginsWith" text="14G">
      <formula>LEFT(C208,LEN("14G"))="14G"</formula>
    </cfRule>
    <cfRule type="beginsWith" dxfId="170" priority="701" stopIfTrue="1" operator="beginsWith" text="14GX">
      <formula>LEFT(C208,LEN("14GX"))="14GX"</formula>
    </cfRule>
    <cfRule type="beginsWith" dxfId="169" priority="699" stopIfTrue="1" operator="beginsWith" text="10CX-">
      <formula>LEFT(C208,LEN("10CX-"))="10CX-"</formula>
    </cfRule>
    <cfRule type="beginsWith" dxfId="168" priority="698" stopIfTrue="1" operator="beginsWith" text="10M">
      <formula>LEFT(C208,LEN("10M"))="10M"</formula>
    </cfRule>
    <cfRule type="beginsWith" dxfId="167" priority="697" stopIfTrue="1" operator="beginsWith" text="16GX-">
      <formula>LEFT(C208,LEN("16GX-"))="16GX-"</formula>
    </cfRule>
    <cfRule type="beginsWith" dxfId="166" priority="693" stopIfTrue="1" operator="beginsWith" text="18GX-">
      <formula>LEFT(C208,LEN("18GX-"))="18GX-"</formula>
    </cfRule>
    <cfRule type="beginsWith" dxfId="165" priority="692" stopIfTrue="1" operator="beginsWith" text="18G-">
      <formula>LEFT(C208,LEN("18G-"))="18G-"</formula>
    </cfRule>
    <cfRule type="beginsWith" dxfId="164" priority="691" stopIfTrue="1" operator="beginsWith" text="16GX-">
      <formula>LEFT(C208,LEN("16GX-"))="16GX-"</formula>
    </cfRule>
    <cfRule type="beginsWith" dxfId="163" priority="690" stopIfTrue="1" operator="beginsWith" text="16G-">
      <formula>LEFT(C208,LEN("16G-"))="16G-"</formula>
    </cfRule>
    <cfRule type="beginsWith" dxfId="162" priority="689" stopIfTrue="1" operator="beginsWith" text="14G-">
      <formula>LEFT(C208,LEN("14G-"))="14G-"</formula>
    </cfRule>
    <cfRule type="beginsWith" dxfId="161" priority="688" stopIfTrue="1" operator="beginsWith" text="12G-">
      <formula>LEFT(C208,LEN("12G-"))="12G-"</formula>
    </cfRule>
    <cfRule type="beginsWith" dxfId="160" priority="687" stopIfTrue="1" operator="beginsWith" text="10CX-">
      <formula>LEFT(C208,LEN("10CX-"))="10CX-"</formula>
    </cfRule>
    <cfRule type="beginsWith" dxfId="159" priority="686" stopIfTrue="1" operator="beginsWith" text="10C-">
      <formula>LEFT(C208,LEN("10C-"))="10C-"</formula>
    </cfRule>
    <cfRule type="beginsWith" dxfId="158" priority="685" stopIfTrue="1" operator="beginsWith" text="18GX-">
      <formula>LEFT(C208,LEN("18GX-"))="18GX-"</formula>
    </cfRule>
    <cfRule type="beginsWith" dxfId="157" priority="684" stopIfTrue="1" operator="beginsWith" text="18G-">
      <formula>LEFT(C208,LEN("18G-"))="18G-"</formula>
    </cfRule>
    <cfRule type="beginsWith" dxfId="156" priority="683" stopIfTrue="1" operator="beginsWith" text="16GX-">
      <formula>LEFT(C208,LEN("16GX-"))="16GX-"</formula>
    </cfRule>
    <cfRule type="beginsWith" dxfId="155" priority="682" stopIfTrue="1" operator="beginsWith" text="16G-">
      <formula>LEFT(C208,LEN("16G-"))="16G-"</formula>
    </cfRule>
    <cfRule type="beginsWith" dxfId="154" priority="681" stopIfTrue="1" operator="beginsWith" text="14G-">
      <formula>LEFT(C208,LEN("14G-"))="14G-"</formula>
    </cfRule>
    <cfRule type="beginsWith" dxfId="153" priority="680" stopIfTrue="1" operator="beginsWith" text="12G-">
      <formula>LEFT(C208,LEN("12G-"))="12G-"</formula>
    </cfRule>
    <cfRule type="beginsWith" dxfId="152" priority="679" stopIfTrue="1" operator="beginsWith" text="10CX-">
      <formula>LEFT(C208,LEN("10CX-"))="10CX-"</formula>
    </cfRule>
    <cfRule type="beginsWith" dxfId="151" priority="678" stopIfTrue="1" operator="beginsWith" text="10M">
      <formula>LEFT(C208,LEN("10M"))="10M"</formula>
    </cfRule>
    <cfRule type="beginsWith" dxfId="150" priority="677" stopIfTrue="1" operator="beginsWith" text="18G">
      <formula>LEFT(C208,LEN("18G"))="18G"</formula>
    </cfRule>
    <cfRule type="beginsWith" dxfId="149" priority="676" stopIfTrue="1" operator="beginsWith" text="18GX">
      <formula>LEFT(C208,LEN("18GX"))="18GX"</formula>
    </cfRule>
    <cfRule type="beginsWith" dxfId="148" priority="674" stopIfTrue="1" operator="beginsWith" text="16GX">
      <formula>LEFT(C208,LEN("16GX"))="16GX"</formula>
    </cfRule>
  </conditionalFormatting>
  <conditionalFormatting sqref="C208:C211">
    <cfRule type="beginsWith" dxfId="147" priority="696" stopIfTrue="1" operator="beginsWith" text="16GQ-">
      <formula>LEFT(C208,LEN("16GQ-"))="16GQ-"</formula>
    </cfRule>
    <cfRule type="beginsWith" dxfId="146" priority="729" stopIfTrue="1" operator="beginsWith" text="16GX-">
      <formula>LEFT(C208,LEN("16GX-"))="16GX-"</formula>
    </cfRule>
    <cfRule type="beginsWith" dxfId="145" priority="694" stopIfTrue="1" operator="beginsWith" text="10G-">
      <formula>LEFT(C208,LEN("10G-"))="10G-"</formula>
    </cfRule>
    <cfRule type="beginsWith" dxfId="144" priority="695" stopIfTrue="1" operator="beginsWith" text="12C-">
      <formula>LEFT(C208,LEN("12C-"))="12C-"</formula>
    </cfRule>
  </conditionalFormatting>
  <conditionalFormatting sqref="E210:E212">
    <cfRule type="beginsWith" dxfId="143" priority="3078" stopIfTrue="1" operator="beginsWith" text="16GQ-">
      <formula>LEFT(E210,LEN("16GQ-"))="16GQ-"</formula>
    </cfRule>
    <cfRule type="beginsWith" dxfId="142" priority="3135" stopIfTrue="1" operator="beginsWith" text="10C-">
      <formula>LEFT(E210,LEN("10C-"))="10C-"</formula>
    </cfRule>
    <cfRule type="beginsWith" dxfId="141" priority="3104" stopIfTrue="1" operator="beginsWith" text="18GX-">
      <formula>LEFT(E210,LEN("18GX-"))="18GX-"</formula>
    </cfRule>
    <cfRule type="beginsWith" dxfId="140" priority="3105" stopIfTrue="1" operator="beginsWith" text="10G-">
      <formula>LEFT(E210,LEN("10G-"))="10G-"</formula>
    </cfRule>
    <cfRule type="beginsWith" dxfId="139" priority="3106" stopIfTrue="1" operator="beginsWith" text="12C-">
      <formula>LEFT(E210,LEN("12C-"))="12C-"</formula>
    </cfRule>
    <cfRule type="beginsWith" dxfId="138" priority="3107" stopIfTrue="1" operator="beginsWith" text="16GQ-">
      <formula>LEFT(E210,LEN("16GQ-"))="16GQ-"</formula>
    </cfRule>
    <cfRule type="beginsWith" dxfId="137" priority="3109" stopIfTrue="1" operator="beginsWith" text="10M">
      <formula>LEFT(E210,LEN("10M"))="10M"</formula>
    </cfRule>
    <cfRule type="beginsWith" dxfId="136" priority="3110" stopIfTrue="1" operator="beginsWith" text="10CX-">
      <formula>LEFT(E210,LEN("10CX-"))="10CX-"</formula>
    </cfRule>
    <cfRule type="beginsWith" dxfId="135" priority="3111" stopIfTrue="1" operator="beginsWith" text="12G">
      <formula>LEFT(E210,LEN("12G"))="12G"</formula>
    </cfRule>
    <cfRule type="beginsWith" dxfId="134" priority="3112" stopIfTrue="1" operator="beginsWith" text="14GX">
      <formula>LEFT(E210,LEN("14GX"))="14GX"</formula>
    </cfRule>
    <cfRule type="beginsWith" dxfId="133" priority="3113" stopIfTrue="1" operator="beginsWith" text="14G">
      <formula>LEFT(E210,LEN("14G"))="14G"</formula>
    </cfRule>
    <cfRule type="beginsWith" dxfId="132" priority="3114" stopIfTrue="1" operator="beginsWith" text="16GX">
      <formula>LEFT(E210,LEN("16GX"))="16GX"</formula>
    </cfRule>
    <cfRule type="beginsWith" dxfId="131" priority="3115" stopIfTrue="1" operator="beginsWith" text="16G">
      <formula>LEFT(E210,LEN("16G"))="16G"</formula>
    </cfRule>
    <cfRule type="beginsWith" dxfId="130" priority="3116" stopIfTrue="1" operator="beginsWith" text="18GX">
      <formula>LEFT(E210,LEN("18GX"))="18GX"</formula>
    </cfRule>
    <cfRule type="beginsWith" dxfId="129" priority="3117" stopIfTrue="1" operator="beginsWith" text="18G">
      <formula>LEFT(E210,LEN("18G"))="18G"</formula>
    </cfRule>
    <cfRule type="beginsWith" dxfId="128" priority="3118" stopIfTrue="1" operator="beginsWith" text="10M">
      <formula>LEFT(E210,LEN("10M"))="10M"</formula>
    </cfRule>
    <cfRule type="beginsWith" dxfId="127" priority="3076" stopIfTrue="1" operator="beginsWith" text="10G-">
      <formula>LEFT(E210,LEN("10G-"))="10G-"</formula>
    </cfRule>
    <cfRule type="beginsWith" dxfId="126" priority="3077" stopIfTrue="1" operator="beginsWith" text="12C-">
      <formula>LEFT(E210,LEN("12C-"))="12C-"</formula>
    </cfRule>
    <cfRule type="beginsWith" dxfId="125" priority="3095" stopIfTrue="1" operator="beginsWith" text="18G-">
      <formula>LEFT(E210,LEN("18G-"))="18G-"</formula>
    </cfRule>
    <cfRule type="beginsWith" dxfId="124" priority="3079" stopIfTrue="1" operator="beginsWith" text="16GX-">
      <formula>LEFT(E210,LEN("16GX-"))="16GX-"</formula>
    </cfRule>
    <cfRule type="beginsWith" dxfId="123" priority="3080" stopIfTrue="1" operator="beginsWith" text="10M">
      <formula>LEFT(E210,LEN("10M"))="10M"</formula>
    </cfRule>
    <cfRule type="beginsWith" dxfId="122" priority="3081" stopIfTrue="1" operator="beginsWith" text="10CX-">
      <formula>LEFT(E210,LEN("10CX-"))="10CX-"</formula>
    </cfRule>
    <cfRule type="beginsWith" dxfId="121" priority="3082" stopIfTrue="1" operator="beginsWith" text="12G">
      <formula>LEFT(E210,LEN("12G"))="12G"</formula>
    </cfRule>
    <cfRule type="beginsWith" dxfId="120" priority="3083" stopIfTrue="1" operator="beginsWith" text="14GX">
      <formula>LEFT(E210,LEN("14GX"))="14GX"</formula>
    </cfRule>
    <cfRule type="beginsWith" dxfId="119" priority="3084" stopIfTrue="1" operator="beginsWith" text="14G">
      <formula>LEFT(E210,LEN("14G"))="14G"</formula>
    </cfRule>
    <cfRule type="beginsWith" dxfId="118" priority="3085" stopIfTrue="1" operator="beginsWith" text="16GX">
      <formula>LEFT(E210,LEN("16GX"))="16GX"</formula>
    </cfRule>
    <cfRule type="beginsWith" dxfId="117" priority="3086" stopIfTrue="1" operator="beginsWith" text="16G">
      <formula>LEFT(E210,LEN("16G"))="16G"</formula>
    </cfRule>
    <cfRule type="beginsWith" dxfId="116" priority="3087" stopIfTrue="1" operator="beginsWith" text="18GX">
      <formula>LEFT(E210,LEN("18GX"))="18GX"</formula>
    </cfRule>
    <cfRule type="beginsWith" dxfId="115" priority="3088" stopIfTrue="1" operator="beginsWith" text="18G">
      <formula>LEFT(E210,LEN("18G"))="18G"</formula>
    </cfRule>
    <cfRule type="beginsWith" dxfId="114" priority="3089" stopIfTrue="1" operator="beginsWith" text="10M">
      <formula>LEFT(E210,LEN("10M"))="10M"</formula>
    </cfRule>
    <cfRule type="beginsWith" dxfId="113" priority="3090" stopIfTrue="1" operator="beginsWith" text="10CX-">
      <formula>LEFT(E210,LEN("10CX-"))="10CX-"</formula>
    </cfRule>
    <cfRule type="beginsWith" dxfId="112" priority="3091" stopIfTrue="1" operator="beginsWith" text="12G-">
      <formula>LEFT(E210,LEN("12G-"))="12G-"</formula>
    </cfRule>
    <cfRule type="beginsWith" dxfId="111" priority="3092" stopIfTrue="1" operator="beginsWith" text="14G-">
      <formula>LEFT(E210,LEN("14G-"))="14G-"</formula>
    </cfRule>
    <cfRule type="beginsWith" dxfId="110" priority="3093" stopIfTrue="1" operator="beginsWith" text="16G-">
      <formula>LEFT(E210,LEN("16G-"))="16G-"</formula>
    </cfRule>
    <cfRule type="beginsWith" dxfId="109" priority="3094" stopIfTrue="1" operator="beginsWith" text="16GX-">
      <formula>LEFT(E210,LEN("16GX-"))="16GX-"</formula>
    </cfRule>
    <cfRule type="beginsWith" dxfId="108" priority="3119" stopIfTrue="1" operator="beginsWith" text="10CX-">
      <formula>LEFT(E210,LEN("10CX-"))="10CX-"</formula>
    </cfRule>
    <cfRule type="beginsWith" dxfId="107" priority="3108" stopIfTrue="1" operator="beginsWith" text="16GX-">
      <formula>LEFT(E210,LEN("16GX-"))="16GX-"</formula>
    </cfRule>
    <cfRule type="beginsWith" dxfId="106" priority="3096" stopIfTrue="1" operator="beginsWith" text="18GX-">
      <formula>LEFT(E210,LEN("18GX-"))="18GX-"</formula>
    </cfRule>
    <cfRule type="beginsWith" dxfId="105" priority="3097" stopIfTrue="1" operator="beginsWith" text="10C-">
      <formula>LEFT(E210,LEN("10C-"))="10C-"</formula>
    </cfRule>
    <cfRule type="beginsWith" dxfId="104" priority="3120" stopIfTrue="1" operator="beginsWith" text="12G">
      <formula>LEFT(E210,LEN("12G"))="12G"</formula>
    </cfRule>
    <cfRule type="beginsWith" dxfId="103" priority="3121" stopIfTrue="1" operator="beginsWith" text="14GX">
      <formula>LEFT(E210,LEN("14GX"))="14GX"</formula>
    </cfRule>
    <cfRule type="beginsWith" dxfId="102" priority="3123" stopIfTrue="1" operator="beginsWith" text="16GX">
      <formula>LEFT(E210,LEN("16GX"))="16GX"</formula>
    </cfRule>
    <cfRule type="beginsWith" dxfId="101" priority="3124" stopIfTrue="1" operator="beginsWith" text="16G">
      <formula>LEFT(E210,LEN("16G"))="16G"</formula>
    </cfRule>
    <cfRule type="beginsWith" dxfId="100" priority="3125" stopIfTrue="1" operator="beginsWith" text="18GX">
      <formula>LEFT(E210,LEN("18GX"))="18GX"</formula>
    </cfRule>
    <cfRule type="beginsWith" dxfId="99" priority="3126" stopIfTrue="1" operator="beginsWith" text="18G">
      <formula>LEFT(E210,LEN("18G"))="18G"</formula>
    </cfRule>
    <cfRule type="beginsWith" dxfId="98" priority="3127" stopIfTrue="1" operator="beginsWith" text="10M">
      <formula>LEFT(E210,LEN("10M"))="10M"</formula>
    </cfRule>
    <cfRule type="beginsWith" dxfId="97" priority="3128" stopIfTrue="1" operator="beginsWith" text="10CX-">
      <formula>LEFT(E210,LEN("10CX-"))="10CX-"</formula>
    </cfRule>
    <cfRule type="beginsWith" dxfId="96" priority="3129" stopIfTrue="1" operator="beginsWith" text="12G-">
      <formula>LEFT(E210,LEN("12G-"))="12G-"</formula>
    </cfRule>
    <cfRule type="beginsWith" dxfId="95" priority="3130" stopIfTrue="1" operator="beginsWith" text="14G-">
      <formula>LEFT(E210,LEN("14G-"))="14G-"</formula>
    </cfRule>
    <cfRule type="beginsWith" dxfId="94" priority="3131" stopIfTrue="1" operator="beginsWith" text="16G-">
      <formula>LEFT(E210,LEN("16G-"))="16G-"</formula>
    </cfRule>
    <cfRule type="beginsWith" dxfId="93" priority="3132" stopIfTrue="1" operator="beginsWith" text="16GX-">
      <formula>LEFT(E210,LEN("16GX-"))="16GX-"</formula>
    </cfRule>
    <cfRule type="beginsWith" dxfId="92" priority="3133" stopIfTrue="1" operator="beginsWith" text="18G-">
      <formula>LEFT(E210,LEN("18G-"))="18G-"</formula>
    </cfRule>
    <cfRule type="beginsWith" dxfId="91" priority="3134" stopIfTrue="1" operator="beginsWith" text="18GX-">
      <formula>LEFT(E210,LEN("18GX-"))="18GX-"</formula>
    </cfRule>
    <cfRule type="beginsWith" dxfId="90" priority="3142" stopIfTrue="1" operator="beginsWith" text="18GX-">
      <formula>LEFT(E210,LEN("18GX-"))="18GX-"</formula>
    </cfRule>
    <cfRule type="beginsWith" dxfId="89" priority="3141" stopIfTrue="1" operator="beginsWith" text="18G-">
      <formula>LEFT(E210,LEN("18G-"))="18G-"</formula>
    </cfRule>
    <cfRule type="beginsWith" dxfId="88" priority="3140" stopIfTrue="1" operator="beginsWith" text="16GX-">
      <formula>LEFT(E210,LEN("16GX-"))="16GX-"</formula>
    </cfRule>
    <cfRule type="beginsWith" dxfId="87" priority="3139" stopIfTrue="1" operator="beginsWith" text="16G-">
      <formula>LEFT(E210,LEN("16G-"))="16G-"</formula>
    </cfRule>
    <cfRule type="beginsWith" dxfId="86" priority="3138" stopIfTrue="1" operator="beginsWith" text="14G-">
      <formula>LEFT(E210,LEN("14G-"))="14G-"</formula>
    </cfRule>
    <cfRule type="beginsWith" dxfId="85" priority="3137" stopIfTrue="1" operator="beginsWith" text="12G-">
      <formula>LEFT(E210,LEN("12G-"))="12G-"</formula>
    </cfRule>
    <cfRule type="beginsWith" dxfId="84" priority="3136" stopIfTrue="1" operator="beginsWith" text="10CX-">
      <formula>LEFT(E210,LEN("10CX-"))="10CX-"</formula>
    </cfRule>
    <cfRule type="beginsWith" dxfId="83" priority="3098" stopIfTrue="1" operator="beginsWith" text="10CX-">
      <formula>LEFT(E210,LEN("10CX-"))="10CX-"</formula>
    </cfRule>
    <cfRule type="beginsWith" dxfId="82" priority="3099" stopIfTrue="1" operator="beginsWith" text="12G-">
      <formula>LEFT(E210,LEN("12G-"))="12G-"</formula>
    </cfRule>
    <cfRule type="beginsWith" dxfId="81" priority="3122" stopIfTrue="1" operator="beginsWith" text="14G">
      <formula>LEFT(E210,LEN("14G"))="14G"</formula>
    </cfRule>
    <cfRule type="beginsWith" dxfId="80" priority="3100" stopIfTrue="1" operator="beginsWith" text="14G-">
      <formula>LEFT(E210,LEN("14G-"))="14G-"</formula>
    </cfRule>
    <cfRule type="beginsWith" dxfId="79" priority="3101" stopIfTrue="1" operator="beginsWith" text="16G-">
      <formula>LEFT(E210,LEN("16G-"))="16G-"</formula>
    </cfRule>
    <cfRule type="beginsWith" dxfId="78" priority="3102" stopIfTrue="1" operator="beginsWith" text="16GX-">
      <formula>LEFT(E210,LEN("16GX-"))="16GX-"</formula>
    </cfRule>
    <cfRule type="beginsWith" dxfId="77" priority="3103" stopIfTrue="1" operator="beginsWith" text="18G-">
      <formula>LEFT(E210,LEN("18G-"))="18G-"</formula>
    </cfRule>
  </conditionalFormatting>
  <conditionalFormatting sqref="E191:K194 A192:C192 A193:A194 C193:C194 B199 A204 C204 E204:K204">
    <cfRule type="beginsWith" dxfId="76" priority="3069" stopIfTrue="1" operator="beginsWith" text="10CX-">
      <formula>LEFT(A191,LEN("10CX-"))="10CX-"</formula>
    </cfRule>
    <cfRule type="beginsWith" dxfId="75" priority="3051" stopIfTrue="1" operator="beginsWith" text="10M">
      <formula>LEFT(A191,LEN("10M"))="10M"</formula>
    </cfRule>
  </conditionalFormatting>
  <conditionalFormatting sqref="E261:K262 A262 C262">
    <cfRule type="beginsWith" dxfId="74" priority="2671" stopIfTrue="1" operator="beginsWith" text="16GX-">
      <formula>LEFT(A261,LEN("16GX-"))="16GX-"</formula>
    </cfRule>
    <cfRule type="beginsWith" dxfId="73" priority="2638" stopIfTrue="1" operator="beginsWith" text="16GQ-">
      <formula>LEFT(A261,LEN("16GQ-"))="16GQ-"</formula>
    </cfRule>
    <cfRule type="beginsWith" dxfId="72" priority="2637" stopIfTrue="1" operator="beginsWith" text="12C-">
      <formula>LEFT(A261,LEN("12C-"))="12C-"</formula>
    </cfRule>
    <cfRule type="beginsWith" dxfId="71" priority="2636" stopIfTrue="1" operator="beginsWith" text="10G-">
      <formula>LEFT(A261,LEN("10G-"))="10G-"</formula>
    </cfRule>
  </conditionalFormatting>
  <conditionalFormatting sqref="E270:K273 E207:K211 C212:K212 A6:F6 E199:K199">
    <cfRule type="beginsWith" dxfId="70" priority="3880" stopIfTrue="1" operator="beginsWith" text="10G-">
      <formula>LEFT(A6,LEN("10G-"))="10G-"</formula>
    </cfRule>
  </conditionalFormatting>
  <conditionalFormatting sqref="I260:K262 A261:A262 C261:C262 A260:C260 B261:B264">
    <cfRule type="beginsWith" dxfId="69" priority="3746" stopIfTrue="1" operator="beginsWith" text="10G-">
      <formula>LEFT(A260,LEN("10G-"))="10G-"</formula>
    </cfRule>
  </conditionalFormatting>
  <conditionalFormatting sqref="I270:K273 B268:B275 B190:B199 B203:B212 B216:B225 B229:B237 A270:A273 C270:C273 E270:G273">
    <cfRule type="beginsWith" dxfId="68" priority="3814" stopIfTrue="1" operator="beginsWith" text="12C-">
      <formula>LEFT(A190,LEN("12C-"))="12C-"</formula>
    </cfRule>
  </conditionalFormatting>
  <conditionalFormatting sqref="I270:K273">
    <cfRule type="beginsWith" dxfId="67" priority="3813" stopIfTrue="1" operator="beginsWith" text="10G-">
      <formula>LEFT(I270,LEN("10G-"))="10G-"</formula>
    </cfRule>
  </conditionalFormatting>
  <conditionalFormatting sqref="J211:K212">
    <cfRule type="beginsWith" dxfId="66" priority="2036" stopIfTrue="1" operator="beginsWith" text="16GX-">
      <formula>LEFT(J211,LEN("16GX-"))="16GX-"</formula>
    </cfRule>
    <cfRule type="beginsWith" dxfId="65" priority="2035" stopIfTrue="1" operator="beginsWith" text="16GQ-">
      <formula>LEFT(J211,LEN("16GQ-"))="16GQ-"</formula>
    </cfRule>
    <cfRule type="beginsWith" dxfId="64" priority="2034" stopIfTrue="1" operator="beginsWith" text="12C-">
      <formula>LEFT(J211,LEN("12C-"))="12C-"</formula>
    </cfRule>
    <cfRule type="beginsWith" dxfId="63" priority="2033" stopIfTrue="1" operator="beginsWith" text="10G-">
      <formula>LEFT(J211,LEN("10G-"))="10G-"</formula>
    </cfRule>
    <cfRule type="beginsWith" dxfId="62" priority="2032" stopIfTrue="1" operator="beginsWith" text="18GX-">
      <formula>LEFT(J211,LEN("18GX-"))="18GX-"</formula>
    </cfRule>
    <cfRule type="beginsWith" dxfId="61" priority="2031" stopIfTrue="1" operator="beginsWith" text="18G-">
      <formula>LEFT(J211,LEN("18G-"))="18G-"</formula>
    </cfRule>
    <cfRule type="beginsWith" dxfId="60" priority="2039" stopIfTrue="1" operator="beginsWith" text="12G">
      <formula>LEFT(J211,LEN("12G"))="12G"</formula>
    </cfRule>
    <cfRule type="beginsWith" dxfId="59" priority="2029" stopIfTrue="1" operator="beginsWith" text="16G-">
      <formula>LEFT(J211,LEN("16G-"))="16G-"</formula>
    </cfRule>
    <cfRule type="beginsWith" dxfId="58" priority="2030" stopIfTrue="1" operator="beginsWith" text="16GX-">
      <formula>LEFT(J211,LEN("16GX-"))="16GX-"</formula>
    </cfRule>
    <cfRule type="beginsWith" dxfId="57" priority="2028" stopIfTrue="1" operator="beginsWith" text="14G-">
      <formula>LEFT(J211,LEN("14G-"))="14G-"</formula>
    </cfRule>
    <cfRule type="beginsWith" dxfId="56" priority="2040" stopIfTrue="1" operator="beginsWith" text="14GX">
      <formula>LEFT(J211,LEN("14GX"))="14GX"</formula>
    </cfRule>
    <cfRule type="beginsWith" dxfId="55" priority="2027" stopIfTrue="1" operator="beginsWith" text="12G-">
      <formula>LEFT(J211,LEN("12G-"))="12G-"</formula>
    </cfRule>
    <cfRule type="beginsWith" dxfId="54" priority="2026" stopIfTrue="1" operator="beginsWith" text="10CX-">
      <formula>LEFT(J211,LEN("10CX-"))="10CX-"</formula>
    </cfRule>
    <cfRule type="beginsWith" dxfId="53" priority="2025" stopIfTrue="1" operator="beginsWith" text="10C-">
      <formula>LEFT(J211,LEN("10C-"))="10C-"</formula>
    </cfRule>
    <cfRule type="beginsWith" dxfId="52" priority="2024" stopIfTrue="1" operator="beginsWith" text="18GX-">
      <formula>LEFT(J211,LEN("18GX-"))="18GX-"</formula>
    </cfRule>
    <cfRule type="beginsWith" dxfId="51" priority="2023" stopIfTrue="1" operator="beginsWith" text="18G-">
      <formula>LEFT(J211,LEN("18G-"))="18G-"</formula>
    </cfRule>
    <cfRule type="beginsWith" dxfId="50" priority="2022" stopIfTrue="1" operator="beginsWith" text="16GX-">
      <formula>LEFT(J211,LEN("16GX-"))="16GX-"</formula>
    </cfRule>
    <cfRule type="beginsWith" dxfId="49" priority="2021" stopIfTrue="1" operator="beginsWith" text="16G-">
      <formula>LEFT(J211,LEN("16G-"))="16G-"</formula>
    </cfRule>
    <cfRule type="beginsWith" dxfId="48" priority="2020" stopIfTrue="1" operator="beginsWith" text="14G-">
      <formula>LEFT(J211,LEN("14G-"))="14G-"</formula>
    </cfRule>
    <cfRule type="beginsWith" dxfId="47" priority="2019" stopIfTrue="1" operator="beginsWith" text="12G-">
      <formula>LEFT(J211,LEN("12G-"))="12G-"</formula>
    </cfRule>
    <cfRule type="beginsWith" dxfId="46" priority="2018" stopIfTrue="1" operator="beginsWith" text="10CX-">
      <formula>LEFT(J211,LEN("10CX-"))="10CX-"</formula>
    </cfRule>
    <cfRule type="beginsWith" dxfId="45" priority="2017" stopIfTrue="1" operator="beginsWith" text="10M">
      <formula>LEFT(J211,LEN("10M"))="10M"</formula>
    </cfRule>
    <cfRule type="beginsWith" dxfId="44" priority="2016" stopIfTrue="1" operator="beginsWith" text="18G">
      <formula>LEFT(J211,LEN("18G"))="18G"</formula>
    </cfRule>
    <cfRule type="beginsWith" dxfId="43" priority="2015" stopIfTrue="1" operator="beginsWith" text="18GX">
      <formula>LEFT(J211,LEN("18GX"))="18GX"</formula>
    </cfRule>
    <cfRule type="beginsWith" dxfId="42" priority="2007" stopIfTrue="1" operator="beginsWith" text="16GX-">
      <formula>LEFT(J211,LEN("16GX-"))="16GX-"</formula>
    </cfRule>
    <cfRule type="beginsWith" dxfId="41" priority="2013" stopIfTrue="1" operator="beginsWith" text="16GX">
      <formula>LEFT(J211,LEN("16GX"))="16GX"</formula>
    </cfRule>
    <cfRule type="beginsWith" dxfId="40" priority="2012" stopIfTrue="1" operator="beginsWith" text="14G">
      <formula>LEFT(J211,LEN("14G"))="14G"</formula>
    </cfRule>
    <cfRule type="beginsWith" dxfId="39" priority="2011" stopIfTrue="1" operator="beginsWith" text="14GX">
      <formula>LEFT(J211,LEN("14GX"))="14GX"</formula>
    </cfRule>
    <cfRule type="beginsWith" dxfId="38" priority="2010" stopIfTrue="1" operator="beginsWith" text="12G">
      <formula>LEFT(J211,LEN("12G"))="12G"</formula>
    </cfRule>
    <cfRule type="beginsWith" dxfId="37" priority="2009" stopIfTrue="1" operator="beginsWith" text="10CX-">
      <formula>LEFT(J211,LEN("10CX-"))="10CX-"</formula>
    </cfRule>
    <cfRule type="beginsWith" dxfId="36" priority="2006" stopIfTrue="1" operator="beginsWith" text="16GQ-">
      <formula>LEFT(J211,LEN("16GQ-"))="16GQ-"</formula>
    </cfRule>
    <cfRule type="beginsWith" dxfId="35" priority="2005" stopIfTrue="1" operator="beginsWith" text="12C-">
      <formula>LEFT(J211,LEN("12C-"))="12C-"</formula>
    </cfRule>
    <cfRule type="beginsWith" dxfId="34" priority="2004" stopIfTrue="1" operator="beginsWith" text="10G-">
      <formula>LEFT(J211,LEN("10G-"))="10G-"</formula>
    </cfRule>
    <cfRule type="beginsWith" dxfId="33" priority="2041" stopIfTrue="1" operator="beginsWith" text="14G">
      <formula>LEFT(J211,LEN("14G"))="14G"</formula>
    </cfRule>
    <cfRule type="beginsWith" dxfId="32" priority="2042" stopIfTrue="1" operator="beginsWith" text="16GX">
      <formula>LEFT(J211,LEN("16GX"))="16GX"</formula>
    </cfRule>
    <cfRule type="beginsWith" dxfId="31" priority="2070" stopIfTrue="1" operator="beginsWith" text="18GX-">
      <formula>LEFT(J211,LEN("18GX-"))="18GX-"</formula>
    </cfRule>
    <cfRule type="beginsWith" dxfId="30" priority="2038" stopIfTrue="1" operator="beginsWith" text="10CX-">
      <formula>LEFT(J211,LEN("10CX-"))="10CX-"</formula>
    </cfRule>
    <cfRule type="beginsWith" dxfId="29" priority="2014" stopIfTrue="1" operator="beginsWith" text="16G">
      <formula>LEFT(J211,LEN("16G"))="16G"</formula>
    </cfRule>
    <cfRule type="beginsWith" dxfId="28" priority="2043" stopIfTrue="1" operator="beginsWith" text="16G">
      <formula>LEFT(J211,LEN("16G"))="16G"</formula>
    </cfRule>
    <cfRule type="beginsWith" dxfId="27" priority="2069" stopIfTrue="1" operator="beginsWith" text="18G-">
      <formula>LEFT(J211,LEN("18G-"))="18G-"</formula>
    </cfRule>
    <cfRule type="beginsWith" dxfId="26" priority="2045" stopIfTrue="1" operator="beginsWith" text="18G">
      <formula>LEFT(J211,LEN("18G"))="18G"</formula>
    </cfRule>
    <cfRule type="beginsWith" dxfId="25" priority="2008" stopIfTrue="1" operator="beginsWith" text="10M">
      <formula>LEFT(J211,LEN("10M"))="10M"</formula>
    </cfRule>
    <cfRule type="beginsWith" dxfId="24" priority="2044" stopIfTrue="1" operator="beginsWith" text="18GX">
      <formula>LEFT(J211,LEN("18GX"))="18GX"</formula>
    </cfRule>
    <cfRule type="beginsWith" dxfId="23" priority="2068" stopIfTrue="1" operator="beginsWith" text="16GX-">
      <formula>LEFT(J211,LEN("16GX-"))="16GX-"</formula>
    </cfRule>
    <cfRule type="beginsWith" dxfId="22" priority="2067" stopIfTrue="1" operator="beginsWith" text="16G-">
      <formula>LEFT(J211,LEN("16G-"))="16G-"</formula>
    </cfRule>
    <cfRule type="beginsWith" dxfId="21" priority="2066" stopIfTrue="1" operator="beginsWith" text="14G-">
      <formula>LEFT(J211,LEN("14G-"))="14G-"</formula>
    </cfRule>
    <cfRule type="beginsWith" dxfId="20" priority="2065" stopIfTrue="1" operator="beginsWith" text="12G-">
      <formula>LEFT(J211,LEN("12G-"))="12G-"</formula>
    </cfRule>
    <cfRule type="beginsWith" dxfId="19" priority="2064" stopIfTrue="1" operator="beginsWith" text="10CX-">
      <formula>LEFT(J211,LEN("10CX-"))="10CX-"</formula>
    </cfRule>
    <cfRule type="beginsWith" dxfId="18" priority="2037" stopIfTrue="1" operator="beginsWith" text="10M">
      <formula>LEFT(J211,LEN("10M"))="10M"</formula>
    </cfRule>
    <cfRule type="beginsWith" dxfId="17" priority="2062" stopIfTrue="1" operator="beginsWith" text="18GX-">
      <formula>LEFT(J211,LEN("18GX-"))="18GX-"</formula>
    </cfRule>
    <cfRule type="beginsWith" dxfId="16" priority="2061" stopIfTrue="1" operator="beginsWith" text="18G-">
      <formula>LEFT(J211,LEN("18G-"))="18G-"</formula>
    </cfRule>
    <cfRule type="beginsWith" dxfId="15" priority="2060" stopIfTrue="1" operator="beginsWith" text="16GX-">
      <formula>LEFT(J211,LEN("16GX-"))="16GX-"</formula>
    </cfRule>
    <cfRule type="beginsWith" dxfId="14" priority="2059" stopIfTrue="1" operator="beginsWith" text="16G-">
      <formula>LEFT(J211,LEN("16G-"))="16G-"</formula>
    </cfRule>
    <cfRule type="beginsWith" dxfId="13" priority="2058" stopIfTrue="1" operator="beginsWith" text="14G-">
      <formula>LEFT(J211,LEN("14G-"))="14G-"</formula>
    </cfRule>
    <cfRule type="beginsWith" dxfId="12" priority="2057" stopIfTrue="1" operator="beginsWith" text="12G-">
      <formula>LEFT(J211,LEN("12G-"))="12G-"</formula>
    </cfRule>
    <cfRule type="beginsWith" dxfId="11" priority="2056" stopIfTrue="1" operator="beginsWith" text="10CX-">
      <formula>LEFT(J211,LEN("10CX-"))="10CX-"</formula>
    </cfRule>
    <cfRule type="beginsWith" dxfId="10" priority="2055" stopIfTrue="1" operator="beginsWith" text="10M">
      <formula>LEFT(J211,LEN("10M"))="10M"</formula>
    </cfRule>
    <cfRule type="beginsWith" dxfId="9" priority="2054" stopIfTrue="1" operator="beginsWith" text="18G">
      <formula>LEFT(J211,LEN("18G"))="18G"</formula>
    </cfRule>
    <cfRule type="beginsWith" dxfId="8" priority="2053" stopIfTrue="1" operator="beginsWith" text="18GX">
      <formula>LEFT(J211,LEN("18GX"))="18GX"</formula>
    </cfRule>
    <cfRule type="beginsWith" dxfId="7" priority="2052" stopIfTrue="1" operator="beginsWith" text="16G">
      <formula>LEFT(J211,LEN("16G"))="16G"</formula>
    </cfRule>
    <cfRule type="beginsWith" dxfId="6" priority="2051" stopIfTrue="1" operator="beginsWith" text="16GX">
      <formula>LEFT(J211,LEN("16GX"))="16GX"</formula>
    </cfRule>
    <cfRule type="beginsWith" dxfId="5" priority="2050" stopIfTrue="1" operator="beginsWith" text="14G">
      <formula>LEFT(J211,LEN("14G"))="14G"</formula>
    </cfRule>
    <cfRule type="beginsWith" dxfId="4" priority="2049" stopIfTrue="1" operator="beginsWith" text="14GX">
      <formula>LEFT(J211,LEN("14GX"))="14GX"</formula>
    </cfRule>
    <cfRule type="beginsWith" dxfId="3" priority="2048" stopIfTrue="1" operator="beginsWith" text="12G">
      <formula>LEFT(J211,LEN("12G"))="12G"</formula>
    </cfRule>
    <cfRule type="beginsWith" dxfId="2" priority="2047" stopIfTrue="1" operator="beginsWith" text="10CX-">
      <formula>LEFT(J211,LEN("10CX-"))="10CX-"</formula>
    </cfRule>
    <cfRule type="beginsWith" dxfId="1" priority="2046" stopIfTrue="1" operator="beginsWith" text="10M">
      <formula>LEFT(J211,LEN("10M"))="10M"</formula>
    </cfRule>
    <cfRule type="beginsWith" dxfId="0" priority="2063" stopIfTrue="1" operator="beginsWith" text="10C-">
      <formula>LEFT(J211,LEN("10C-"))="10C-"</formula>
    </cfRule>
  </conditionalFormatting>
  <printOptions horizontalCentered="1"/>
  <pageMargins left="0.25" right="0.25" top="0.75" bottom="0.5" header="0.3" footer="0.3"/>
  <pageSetup fitToHeight="0" orientation="portrait" r:id="rId1"/>
  <headerFooter alignWithMargins="0">
    <oddHeader>&amp;C&amp;"Arial Narrow,Regular"&amp;12&amp;K000000Male 16U Challenge</oddHeader>
    <oddFooter>&amp;C&amp;"Arial Narrow,Regular"&amp;8&amp;K000000Page &amp;P of &amp;N</oddFooter>
  </headerFooter>
  <rowBreaks count="2" manualBreakCount="2">
    <brk id="91" max="16383" man="1"/>
    <brk id="185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3D18D-2287-4C38-A0F7-4E77960FCC1D}">
  <sheetPr>
    <tabColor rgb="FFFF9933"/>
  </sheetPr>
  <dimension ref="A1:Z994"/>
  <sheetViews>
    <sheetView workbookViewId="0"/>
  </sheetViews>
  <sheetFormatPr defaultColWidth="12.5" defaultRowHeight="15" customHeight="1"/>
  <cols>
    <col min="1" max="1" width="19.19921875" style="340" customWidth="1"/>
    <col min="2" max="2" width="21" style="340" customWidth="1"/>
    <col min="3" max="3" width="24.296875" style="340" customWidth="1"/>
    <col min="4" max="4" width="20.796875" style="340" customWidth="1"/>
    <col min="5" max="5" width="24" style="340" bestFit="1" customWidth="1"/>
    <col min="6" max="6" width="22.5" style="340" bestFit="1" customWidth="1"/>
    <col min="7" max="7" width="5.69921875" style="340" customWidth="1"/>
    <col min="8" max="8" width="24" style="340" bestFit="1" customWidth="1"/>
    <col min="9" max="9" width="3.5" style="340" customWidth="1"/>
    <col min="10" max="11" width="14.19921875" style="340" customWidth="1"/>
    <col min="12" max="12" width="7.19921875" style="340" customWidth="1"/>
    <col min="13" max="13" width="3.796875" style="340" customWidth="1"/>
    <col min="14" max="14" width="12.5" style="340" customWidth="1"/>
    <col min="15" max="26" width="3.796875" style="340" customWidth="1"/>
    <col min="27" max="16384" width="12.5" style="340"/>
  </cols>
  <sheetData>
    <row r="1" spans="1:26" ht="13.5" customHeight="1" thickTop="1" thickBot="1">
      <c r="A1" s="105" t="s">
        <v>61</v>
      </c>
      <c r="B1" s="2" t="s">
        <v>62</v>
      </c>
      <c r="C1" s="2" t="s">
        <v>63</v>
      </c>
      <c r="D1" s="49" t="s">
        <v>64</v>
      </c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 spans="1:26" ht="13.5" customHeight="1" thickBot="1">
      <c r="A2" s="108">
        <v>46221</v>
      </c>
      <c r="B2" s="2"/>
      <c r="C2" s="2"/>
      <c r="D2" s="51" t="s">
        <v>1241</v>
      </c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</row>
    <row r="3" spans="1:26" ht="13.5" customHeight="1">
      <c r="A3" s="109"/>
      <c r="B3" s="109"/>
      <c r="C3" s="109"/>
      <c r="D3" s="109"/>
      <c r="E3" s="109"/>
      <c r="F3" s="106"/>
      <c r="G3" s="110"/>
      <c r="H3" s="106"/>
      <c r="I3" s="106"/>
      <c r="J3" s="106"/>
      <c r="K3" s="106"/>
      <c r="L3" s="106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</row>
    <row r="4" spans="1:26" ht="12" customHeight="1">
      <c r="A4" s="280" t="s">
        <v>85</v>
      </c>
      <c r="B4" s="280" t="s">
        <v>86</v>
      </c>
      <c r="C4" s="280" t="s">
        <v>87</v>
      </c>
      <c r="D4" s="280" t="s">
        <v>88</v>
      </c>
      <c r="E4" s="280" t="s">
        <v>89</v>
      </c>
      <c r="F4" s="280" t="s">
        <v>90</v>
      </c>
      <c r="G4" s="109"/>
      <c r="H4" s="341"/>
      <c r="I4" s="341"/>
      <c r="J4" s="163" t="s">
        <v>599</v>
      </c>
      <c r="K4" s="341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</row>
    <row r="5" spans="1:26" ht="12" customHeight="1">
      <c r="A5" s="126" t="s">
        <v>1561</v>
      </c>
      <c r="B5" s="126" t="s">
        <v>1562</v>
      </c>
      <c r="C5" s="126" t="s">
        <v>1563</v>
      </c>
      <c r="D5" s="126" t="s">
        <v>1564</v>
      </c>
      <c r="E5" s="126" t="s">
        <v>1565</v>
      </c>
      <c r="F5" s="126" t="s">
        <v>1566</v>
      </c>
      <c r="G5" s="109"/>
      <c r="H5" s="341"/>
      <c r="I5" s="109"/>
      <c r="J5" s="109" t="s">
        <v>606</v>
      </c>
      <c r="K5" s="341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</row>
    <row r="6" spans="1:26" ht="12" customHeight="1">
      <c r="A6" s="126" t="s">
        <v>1567</v>
      </c>
      <c r="B6" s="126" t="s">
        <v>1568</v>
      </c>
      <c r="C6" s="126" t="s">
        <v>1569</v>
      </c>
      <c r="D6" s="126" t="s">
        <v>1570</v>
      </c>
      <c r="E6" s="126" t="s">
        <v>1571</v>
      </c>
      <c r="F6" s="126" t="s">
        <v>1572</v>
      </c>
      <c r="G6" s="109"/>
      <c r="H6" s="341"/>
      <c r="I6" s="109"/>
      <c r="J6" s="109"/>
      <c r="K6" s="341"/>
      <c r="L6" s="109"/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</row>
    <row r="7" spans="1:26" ht="12" customHeight="1">
      <c r="A7" s="126" t="s">
        <v>1573</v>
      </c>
      <c r="B7" s="126" t="s">
        <v>1574</v>
      </c>
      <c r="C7" s="126" t="s">
        <v>1575</v>
      </c>
      <c r="D7" s="126" t="s">
        <v>1576</v>
      </c>
      <c r="E7" s="126" t="s">
        <v>1577</v>
      </c>
      <c r="F7" s="126" t="s">
        <v>1578</v>
      </c>
      <c r="G7" s="109"/>
      <c r="H7" s="341"/>
      <c r="I7" s="109"/>
      <c r="J7" s="109"/>
      <c r="K7" s="341"/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</row>
    <row r="8" spans="1:26" ht="12" customHeight="1">
      <c r="A8" s="126"/>
      <c r="B8" s="126" t="s">
        <v>1579</v>
      </c>
      <c r="C8" s="126" t="s">
        <v>1580</v>
      </c>
      <c r="D8" s="126"/>
      <c r="E8" s="126" t="s">
        <v>1581</v>
      </c>
      <c r="F8" s="126" t="s">
        <v>1582</v>
      </c>
      <c r="G8" s="109"/>
      <c r="H8" s="341"/>
      <c r="I8" s="109"/>
      <c r="J8" s="109"/>
      <c r="K8" s="341"/>
      <c r="L8" s="109"/>
      <c r="M8" s="109"/>
      <c r="N8" s="109"/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</row>
    <row r="9" spans="1:26" ht="12" customHeight="1">
      <c r="A9" s="109"/>
      <c r="B9" s="109"/>
      <c r="C9" s="109"/>
      <c r="D9" s="109"/>
      <c r="E9" s="109"/>
      <c r="F9" s="109"/>
      <c r="G9" s="109"/>
      <c r="H9" s="341"/>
      <c r="I9" s="109"/>
      <c r="J9" s="109"/>
      <c r="K9" s="341"/>
      <c r="L9" s="109"/>
      <c r="M9" s="109"/>
      <c r="N9" s="109"/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</row>
    <row r="10" spans="1:26" ht="12" customHeight="1">
      <c r="A10" s="280" t="s">
        <v>246</v>
      </c>
      <c r="B10" s="280" t="s">
        <v>247</v>
      </c>
      <c r="C10" s="280" t="s">
        <v>248</v>
      </c>
      <c r="D10" s="280" t="s">
        <v>249</v>
      </c>
      <c r="E10" s="280" t="s">
        <v>250</v>
      </c>
      <c r="F10" s="280" t="s">
        <v>251</v>
      </c>
      <c r="G10" s="109"/>
      <c r="H10" s="341"/>
      <c r="I10" s="109"/>
      <c r="J10" s="109"/>
      <c r="K10" s="341"/>
      <c r="L10" s="109"/>
      <c r="M10" s="109"/>
      <c r="N10" s="109"/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</row>
    <row r="11" spans="1:26" ht="12" customHeight="1">
      <c r="A11" s="126" t="s">
        <v>1583</v>
      </c>
      <c r="B11" s="126" t="s">
        <v>1584</v>
      </c>
      <c r="C11" s="126" t="s">
        <v>1585</v>
      </c>
      <c r="D11" s="126" t="s">
        <v>1586</v>
      </c>
      <c r="E11" s="126" t="s">
        <v>1587</v>
      </c>
      <c r="F11" s="126" t="s">
        <v>1588</v>
      </c>
      <c r="G11" s="109"/>
      <c r="H11" s="341"/>
      <c r="I11" s="109"/>
      <c r="J11" s="109"/>
      <c r="K11" s="341"/>
      <c r="L11" s="109"/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</row>
    <row r="12" spans="1:26" ht="12" customHeight="1">
      <c r="A12" s="126" t="s">
        <v>1589</v>
      </c>
      <c r="B12" s="126" t="s">
        <v>1590</v>
      </c>
      <c r="C12" s="126" t="s">
        <v>1591</v>
      </c>
      <c r="D12" s="126" t="s">
        <v>1592</v>
      </c>
      <c r="E12" s="126" t="s">
        <v>1593</v>
      </c>
      <c r="F12" s="126" t="s">
        <v>1594</v>
      </c>
      <c r="G12" s="109"/>
      <c r="H12" s="341"/>
      <c r="I12" s="109"/>
      <c r="J12" s="109"/>
      <c r="K12" s="341"/>
      <c r="L12" s="109"/>
      <c r="M12" s="109"/>
      <c r="N12" s="109"/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</row>
    <row r="13" spans="1:26" ht="12" customHeight="1">
      <c r="A13" s="126" t="s">
        <v>1595</v>
      </c>
      <c r="B13" s="126" t="s">
        <v>1596</v>
      </c>
      <c r="C13" s="126" t="s">
        <v>1597</v>
      </c>
      <c r="D13" s="126" t="s">
        <v>1598</v>
      </c>
      <c r="E13" s="126" t="s">
        <v>1599</v>
      </c>
      <c r="F13" s="126" t="s">
        <v>1600</v>
      </c>
      <c r="G13" s="109"/>
      <c r="H13" s="341"/>
      <c r="I13" s="342"/>
      <c r="J13" s="109"/>
      <c r="K13" s="341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</row>
    <row r="14" spans="1:26" ht="12" customHeight="1">
      <c r="A14" s="126"/>
      <c r="B14" s="126" t="s">
        <v>1601</v>
      </c>
      <c r="C14" s="126" t="s">
        <v>1602</v>
      </c>
      <c r="D14" s="126" t="s">
        <v>1603</v>
      </c>
      <c r="E14" s="126" t="s">
        <v>1604</v>
      </c>
      <c r="F14" s="126" t="s">
        <v>1605</v>
      </c>
      <c r="G14" s="109"/>
      <c r="H14" s="341"/>
      <c r="I14" s="342"/>
      <c r="J14" s="343" t="s">
        <v>227</v>
      </c>
      <c r="K14" s="341"/>
      <c r="L14" s="109"/>
      <c r="M14" s="109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</row>
    <row r="15" spans="1:26" ht="12" customHeight="1" thickBot="1">
      <c r="A15" s="109"/>
      <c r="B15" s="109"/>
      <c r="C15" s="109"/>
      <c r="D15" s="109"/>
      <c r="E15" s="109"/>
      <c r="F15" s="109"/>
      <c r="G15" s="109"/>
      <c r="H15" s="109"/>
      <c r="I15" s="109"/>
      <c r="J15" s="109"/>
      <c r="K15" s="109"/>
      <c r="L15" s="109"/>
      <c r="M15" s="109"/>
      <c r="N15" s="109"/>
      <c r="O15" s="109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</row>
    <row r="16" spans="1:26" ht="12" customHeight="1" thickTop="1" thickBot="1">
      <c r="A16" s="105" t="s">
        <v>646</v>
      </c>
      <c r="B16" s="165"/>
      <c r="C16" s="165" t="s">
        <v>647</v>
      </c>
      <c r="D16" s="165"/>
      <c r="E16" s="165"/>
      <c r="F16" s="165"/>
      <c r="G16" s="165"/>
      <c r="H16" s="165"/>
      <c r="I16" s="165"/>
      <c r="J16" s="165"/>
      <c r="K16" s="165"/>
      <c r="L16" s="165"/>
      <c r="M16" s="109"/>
      <c r="N16" s="109"/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</row>
    <row r="17" spans="1:26" ht="12" customHeight="1" thickBot="1">
      <c r="A17" s="108">
        <v>46221</v>
      </c>
      <c r="B17" s="341"/>
      <c r="C17" s="341"/>
      <c r="D17" s="341"/>
      <c r="E17" s="341"/>
      <c r="F17" s="109"/>
      <c r="G17" s="109"/>
      <c r="H17" s="109"/>
      <c r="I17" s="109"/>
      <c r="J17" s="109"/>
      <c r="K17" s="109"/>
      <c r="L17" s="109" t="s">
        <v>1606</v>
      </c>
      <c r="M17" s="109"/>
      <c r="N17" s="109"/>
      <c r="O17" s="109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</row>
    <row r="18" spans="1:26" ht="12" customHeight="1" thickBot="1">
      <c r="A18" s="117"/>
      <c r="B18" s="118"/>
      <c r="C18" s="341"/>
      <c r="D18" s="119" t="str">
        <f>'CHICLETS MASTER S1'!$AG$3</f>
        <v>GOLDEN WEST COLLEGE 1</v>
      </c>
      <c r="E18" s="106"/>
      <c r="F18" s="341"/>
      <c r="G18" s="341"/>
      <c r="H18" s="341"/>
      <c r="I18" s="341"/>
      <c r="J18" s="341"/>
      <c r="K18" s="341"/>
      <c r="L18" s="341"/>
      <c r="M18" s="341"/>
      <c r="N18" s="341"/>
      <c r="O18" s="341"/>
      <c r="P18" s="341"/>
      <c r="Q18" s="341"/>
      <c r="R18" s="341"/>
      <c r="S18" s="341"/>
      <c r="T18" s="341"/>
      <c r="U18" s="341"/>
      <c r="V18" s="341"/>
      <c r="W18" s="341"/>
      <c r="X18" s="341"/>
      <c r="Y18" s="341"/>
      <c r="Z18" s="341"/>
    </row>
    <row r="19" spans="1:26" ht="12" customHeight="1">
      <c r="A19" s="280" t="s">
        <v>110</v>
      </c>
      <c r="B19" s="281" t="s">
        <v>111</v>
      </c>
      <c r="C19" s="280" t="s">
        <v>112</v>
      </c>
      <c r="D19" s="280" t="s">
        <v>113</v>
      </c>
      <c r="E19" s="280" t="s">
        <v>114</v>
      </c>
      <c r="F19" s="280" t="s">
        <v>115</v>
      </c>
      <c r="G19" s="280" t="s">
        <v>116</v>
      </c>
      <c r="H19" s="280" t="s">
        <v>117</v>
      </c>
      <c r="I19" s="280" t="s">
        <v>116</v>
      </c>
      <c r="J19" s="280" t="s">
        <v>118</v>
      </c>
      <c r="K19" s="280" t="s">
        <v>119</v>
      </c>
      <c r="L19" s="280" t="s">
        <v>120</v>
      </c>
      <c r="M19" s="109"/>
      <c r="N19" s="109"/>
      <c r="O19" s="109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</row>
    <row r="20" spans="1:26" ht="12" customHeight="1">
      <c r="A20" s="309">
        <f t="shared" ref="A20:A30" si="0">$A$17</f>
        <v>46221</v>
      </c>
      <c r="B20" s="156">
        <f>'CHICLETS MASTER S1'!Z4</f>
        <v>0.29166666666666669</v>
      </c>
      <c r="C20" s="122" t="s">
        <v>163</v>
      </c>
      <c r="D20" s="122" t="str">
        <f t="shared" ref="D20:D30" si="1">$D$18</f>
        <v>GOLDEN WEST COLLEGE 1</v>
      </c>
      <c r="E20" s="122">
        <v>1</v>
      </c>
      <c r="F20" s="156" t="str">
        <f t="shared" ref="F20:F21" si="2">C5</f>
        <v>3-SET</v>
      </c>
      <c r="G20" s="156"/>
      <c r="H20" s="156" t="str">
        <f>C8</f>
        <v>44-PACIFIC VALLEY PREMIER</v>
      </c>
      <c r="I20" s="156"/>
      <c r="J20" s="122">
        <v>25</v>
      </c>
      <c r="K20" s="122">
        <v>29</v>
      </c>
      <c r="L20" s="122" t="str">
        <f t="shared" ref="L20:L34" si="3">IF(E20="","",$L$17&amp;"-"&amp;TEXT(E20,"000"))</f>
        <v>16GX-001</v>
      </c>
      <c r="M20" s="109"/>
      <c r="N20" s="109"/>
      <c r="O20" s="109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</row>
    <row r="21" spans="1:26" ht="12" customHeight="1">
      <c r="A21" s="309">
        <f t="shared" si="0"/>
        <v>46221</v>
      </c>
      <c r="B21" s="156">
        <f>'CHICLETS MASTER S1'!Z5</f>
        <v>0.3263888888888889</v>
      </c>
      <c r="C21" s="122" t="s">
        <v>163</v>
      </c>
      <c r="D21" s="122" t="str">
        <f t="shared" si="1"/>
        <v>GOLDEN WEST COLLEGE 1</v>
      </c>
      <c r="E21" s="122">
        <v>5</v>
      </c>
      <c r="F21" s="156" t="str">
        <f t="shared" si="2"/>
        <v>22-680 BLUE</v>
      </c>
      <c r="G21" s="156"/>
      <c r="H21" s="156" t="str">
        <f>C7</f>
        <v>27-LAMORINDA BRENTWOOD</v>
      </c>
      <c r="I21" s="156"/>
      <c r="J21" s="122">
        <v>25</v>
      </c>
      <c r="K21" s="122">
        <v>29</v>
      </c>
      <c r="L21" s="122" t="str">
        <f t="shared" si="3"/>
        <v>16GX-005</v>
      </c>
      <c r="M21" s="109"/>
      <c r="N21" s="109"/>
      <c r="O21" s="109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</row>
    <row r="22" spans="1:26" ht="12" customHeight="1">
      <c r="A22" s="309">
        <f t="shared" si="0"/>
        <v>46221</v>
      </c>
      <c r="B22" s="156">
        <f>'CHICLETS MASTER S1'!Z6</f>
        <v>0.36111111111111099</v>
      </c>
      <c r="C22" s="122" t="s">
        <v>163</v>
      </c>
      <c r="D22" s="122" t="str">
        <f t="shared" si="1"/>
        <v>GOLDEN WEST COLLEGE 1</v>
      </c>
      <c r="E22" s="122">
        <v>9</v>
      </c>
      <c r="F22" s="156" t="str">
        <f>A5</f>
        <v>A1(1)-REGENCY</v>
      </c>
      <c r="G22" s="156"/>
      <c r="H22" s="156" t="str">
        <f>A7</f>
        <v>A3(25)-LEGACY ORANGE</v>
      </c>
      <c r="I22" s="156"/>
      <c r="J22" s="122" t="s">
        <v>649</v>
      </c>
      <c r="K22" s="122"/>
      <c r="L22" s="122" t="str">
        <f t="shared" si="3"/>
        <v>16GX-009</v>
      </c>
      <c r="M22" s="109"/>
      <c r="N22" s="109"/>
      <c r="O22" s="109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</row>
    <row r="23" spans="1:26" ht="12" customHeight="1">
      <c r="A23" s="309">
        <f t="shared" si="0"/>
        <v>46221</v>
      </c>
      <c r="B23" s="156">
        <f>'CHICLETS MASTER S1'!Z7</f>
        <v>0.39583333333333398</v>
      </c>
      <c r="C23" s="122" t="s">
        <v>163</v>
      </c>
      <c r="D23" s="122" t="str">
        <f t="shared" si="1"/>
        <v>GOLDEN WEST COLLEGE 1</v>
      </c>
      <c r="E23" s="122">
        <v>17</v>
      </c>
      <c r="F23" s="156" t="str">
        <f t="shared" ref="F23:F24" si="4">B5</f>
        <v>2-SAN CLEMENTE</v>
      </c>
      <c r="G23" s="156"/>
      <c r="H23" s="156" t="str">
        <f>B8</f>
        <v>45-BURLINGAME</v>
      </c>
      <c r="I23" s="156"/>
      <c r="J23" s="122">
        <v>41</v>
      </c>
      <c r="K23" s="122">
        <v>45</v>
      </c>
      <c r="L23" s="122" t="str">
        <f t="shared" si="3"/>
        <v>16GX-017</v>
      </c>
      <c r="M23" s="109"/>
      <c r="N23" s="109"/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</row>
    <row r="24" spans="1:26" ht="12" customHeight="1">
      <c r="A24" s="309">
        <f t="shared" si="0"/>
        <v>46221</v>
      </c>
      <c r="B24" s="156">
        <f>'CHICLETS MASTER S1'!Z8</f>
        <v>0.43055555555555602</v>
      </c>
      <c r="C24" s="122" t="s">
        <v>163</v>
      </c>
      <c r="D24" s="122" t="str">
        <f t="shared" si="1"/>
        <v>GOLDEN WEST COLLEGE 1</v>
      </c>
      <c r="E24" s="122">
        <v>21</v>
      </c>
      <c r="F24" s="156" t="str">
        <f t="shared" si="4"/>
        <v>23-ALAMEDA</v>
      </c>
      <c r="G24" s="156"/>
      <c r="H24" s="156" t="str">
        <f>B7</f>
        <v>26-TURUL</v>
      </c>
      <c r="I24" s="156"/>
      <c r="J24" s="122">
        <v>41</v>
      </c>
      <c r="K24" s="122">
        <v>45</v>
      </c>
      <c r="L24" s="122" t="str">
        <f t="shared" si="3"/>
        <v>16GX-021</v>
      </c>
      <c r="M24" s="109"/>
      <c r="N24" s="109"/>
      <c r="O24" s="109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</row>
    <row r="25" spans="1:26" ht="12" customHeight="1">
      <c r="A25" s="309">
        <f t="shared" si="0"/>
        <v>46221</v>
      </c>
      <c r="B25" s="156">
        <f>'CHICLETS MASTER S1'!Z9</f>
        <v>0.46527777777777801</v>
      </c>
      <c r="C25" s="122" t="s">
        <v>163</v>
      </c>
      <c r="D25" s="122" t="str">
        <f t="shared" si="1"/>
        <v>GOLDEN WEST COLLEGE 1</v>
      </c>
      <c r="E25" s="122">
        <v>25</v>
      </c>
      <c r="F25" s="156" t="s">
        <v>650</v>
      </c>
      <c r="G25" s="156"/>
      <c r="H25" s="156" t="s">
        <v>651</v>
      </c>
      <c r="I25" s="156"/>
      <c r="J25" s="122" t="s">
        <v>1607</v>
      </c>
      <c r="K25" s="122">
        <v>50</v>
      </c>
      <c r="L25" s="122" t="str">
        <f t="shared" si="3"/>
        <v>16GX-025</v>
      </c>
      <c r="M25" s="109"/>
      <c r="N25" s="109"/>
      <c r="O25" s="109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</row>
    <row r="26" spans="1:26" ht="12" customHeight="1">
      <c r="A26" s="309">
        <f t="shared" si="0"/>
        <v>46221</v>
      </c>
      <c r="B26" s="156">
        <f>'CHICLETS MASTER S1'!Z10</f>
        <v>0.5</v>
      </c>
      <c r="C26" s="122" t="s">
        <v>163</v>
      </c>
      <c r="D26" s="122" t="str">
        <f t="shared" si="1"/>
        <v>GOLDEN WEST COLLEGE 1</v>
      </c>
      <c r="E26" s="122">
        <v>33</v>
      </c>
      <c r="F26" s="156" t="str">
        <f>A6</f>
        <v>A2(24)-ROSE BOWL BLACK</v>
      </c>
      <c r="G26" s="156"/>
      <c r="H26" s="156" t="str">
        <f>A7</f>
        <v>A3(25)-LEGACY ORANGE</v>
      </c>
      <c r="I26" s="156"/>
      <c r="J26" s="122" t="s">
        <v>649</v>
      </c>
      <c r="K26" s="122"/>
      <c r="L26" s="122" t="str">
        <f t="shared" si="3"/>
        <v>16GX-033</v>
      </c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</row>
    <row r="27" spans="1:26" ht="12" customHeight="1">
      <c r="A27" s="309">
        <f t="shared" si="0"/>
        <v>46221</v>
      </c>
      <c r="B27" s="156">
        <f>'CHICLETS MASTER S1'!Z11</f>
        <v>0.53472222222222199</v>
      </c>
      <c r="C27" s="122" t="s">
        <v>163</v>
      </c>
      <c r="D27" s="122" t="str">
        <f t="shared" si="1"/>
        <v>GOLDEN WEST COLLEGE 1</v>
      </c>
      <c r="E27" s="122">
        <v>29</v>
      </c>
      <c r="F27" s="156" t="s">
        <v>652</v>
      </c>
      <c r="G27" s="156"/>
      <c r="H27" s="156" t="s">
        <v>653</v>
      </c>
      <c r="I27" s="156"/>
      <c r="J27" s="122">
        <v>49</v>
      </c>
      <c r="K27" s="122" t="s">
        <v>1608</v>
      </c>
      <c r="L27" s="122" t="str">
        <f t="shared" si="3"/>
        <v>16GX-029</v>
      </c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</row>
    <row r="28" spans="1:26" ht="12" customHeight="1">
      <c r="A28" s="309">
        <f t="shared" si="0"/>
        <v>46221</v>
      </c>
      <c r="B28" s="156">
        <f>'CHICLETS MASTER S1'!Z12</f>
        <v>0.56944444444444497</v>
      </c>
      <c r="C28" s="122" t="s">
        <v>163</v>
      </c>
      <c r="D28" s="122" t="str">
        <f t="shared" si="1"/>
        <v>GOLDEN WEST COLLEGE 1</v>
      </c>
      <c r="E28" s="122">
        <v>41</v>
      </c>
      <c r="F28" s="156" t="s">
        <v>655</v>
      </c>
      <c r="G28" s="156"/>
      <c r="H28" s="156" t="s">
        <v>656</v>
      </c>
      <c r="I28" s="156"/>
      <c r="J28" s="122" t="s">
        <v>1609</v>
      </c>
      <c r="K28" s="122">
        <v>53</v>
      </c>
      <c r="L28" s="122" t="str">
        <f t="shared" si="3"/>
        <v>16GX-041</v>
      </c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</row>
    <row r="29" spans="1:26" ht="12" customHeight="1">
      <c r="A29" s="309">
        <f t="shared" si="0"/>
        <v>46221</v>
      </c>
      <c r="B29" s="156">
        <f>'CHICLETS MASTER S1'!Z13</f>
        <v>0.60416666666666696</v>
      </c>
      <c r="C29" s="122" t="s">
        <v>163</v>
      </c>
      <c r="D29" s="122" t="str">
        <f t="shared" si="1"/>
        <v>GOLDEN WEST COLLEGE 1</v>
      </c>
      <c r="E29" s="122">
        <v>45</v>
      </c>
      <c r="F29" s="156" t="s">
        <v>658</v>
      </c>
      <c r="G29" s="156"/>
      <c r="H29" s="156" t="s">
        <v>659</v>
      </c>
      <c r="I29" s="156"/>
      <c r="J29" s="122">
        <v>57</v>
      </c>
      <c r="K29" s="122" t="s">
        <v>1610</v>
      </c>
      <c r="L29" s="122" t="str">
        <f t="shared" si="3"/>
        <v>16GX-045</v>
      </c>
      <c r="M29" s="109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</row>
    <row r="30" spans="1:26" ht="12" customHeight="1">
      <c r="A30" s="309">
        <f t="shared" si="0"/>
        <v>46221</v>
      </c>
      <c r="B30" s="156">
        <f>'CHICLETS MASTER S1'!Z14</f>
        <v>0.63888888888888895</v>
      </c>
      <c r="C30" s="122" t="s">
        <v>163</v>
      </c>
      <c r="D30" s="122" t="str">
        <f t="shared" si="1"/>
        <v>GOLDEN WEST COLLEGE 1</v>
      </c>
      <c r="E30" s="122">
        <v>37</v>
      </c>
      <c r="F30" s="156" t="str">
        <f>A5</f>
        <v>A1(1)-REGENCY</v>
      </c>
      <c r="G30" s="156"/>
      <c r="H30" s="156" t="str">
        <f>A6</f>
        <v>A2(24)-ROSE BOWL BLACK</v>
      </c>
      <c r="I30" s="156"/>
      <c r="J30" s="122" t="s">
        <v>649</v>
      </c>
      <c r="K30" s="122"/>
      <c r="L30" s="122" t="str">
        <f t="shared" si="3"/>
        <v>16GX-037</v>
      </c>
      <c r="M30" s="109"/>
      <c r="N30" s="109"/>
      <c r="O30" s="109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</row>
    <row r="31" spans="1:26" ht="12" customHeight="1">
      <c r="A31" s="106"/>
      <c r="B31" s="106" t="s">
        <v>204</v>
      </c>
      <c r="C31" s="106"/>
      <c r="D31" s="106"/>
      <c r="E31" s="106"/>
      <c r="F31" s="106"/>
      <c r="G31" s="106"/>
      <c r="H31" s="106"/>
      <c r="I31" s="106"/>
      <c r="J31" s="106"/>
      <c r="K31" s="106"/>
      <c r="L31" s="122" t="str">
        <f t="shared" si="3"/>
        <v/>
      </c>
      <c r="M31" s="109"/>
      <c r="N31" s="109"/>
      <c r="O31" s="109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</row>
    <row r="32" spans="1:26" ht="12" customHeight="1">
      <c r="A32" s="309">
        <f t="shared" ref="A32:A34" si="5">$A$17</f>
        <v>46221</v>
      </c>
      <c r="B32" s="156">
        <f>'CHICLETS MASTER S1'!Z16</f>
        <v>0.70833333333333404</v>
      </c>
      <c r="C32" s="122" t="s">
        <v>275</v>
      </c>
      <c r="D32" s="122" t="str">
        <f t="shared" ref="D32:D34" si="6">$D$18</f>
        <v>GOLDEN WEST COLLEGE 1</v>
      </c>
      <c r="E32" s="122">
        <v>49</v>
      </c>
      <c r="F32" s="344" t="s">
        <v>143</v>
      </c>
      <c r="G32" s="156"/>
      <c r="H32" s="156" t="s">
        <v>661</v>
      </c>
      <c r="I32" s="156"/>
      <c r="J32" s="122" t="s">
        <v>1484</v>
      </c>
      <c r="K32" s="122" t="s">
        <v>1485</v>
      </c>
      <c r="L32" s="122" t="str">
        <f t="shared" si="3"/>
        <v>16GX-049</v>
      </c>
      <c r="M32" s="109"/>
      <c r="N32" s="109"/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</row>
    <row r="33" spans="1:26" ht="12" customHeight="1">
      <c r="A33" s="309">
        <f t="shared" si="5"/>
        <v>46221</v>
      </c>
      <c r="B33" s="156">
        <f>'CHICLETS MASTER S1'!Z17</f>
        <v>0.74305555555555602</v>
      </c>
      <c r="C33" s="122" t="s">
        <v>275</v>
      </c>
      <c r="D33" s="122" t="str">
        <f t="shared" si="6"/>
        <v>GOLDEN WEST COLLEGE 1</v>
      </c>
      <c r="E33" s="122">
        <v>53</v>
      </c>
      <c r="F33" s="156" t="s">
        <v>662</v>
      </c>
      <c r="G33" s="156"/>
      <c r="H33" s="156" t="s">
        <v>128</v>
      </c>
      <c r="I33" s="156"/>
      <c r="J33" s="122" t="s">
        <v>1488</v>
      </c>
      <c r="K33" s="122" t="s">
        <v>1489</v>
      </c>
      <c r="L33" s="122" t="str">
        <f t="shared" si="3"/>
        <v>16GX-053</v>
      </c>
      <c r="M33" s="109"/>
      <c r="N33" s="109"/>
      <c r="O33" s="109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</row>
    <row r="34" spans="1:26" ht="12" customHeight="1">
      <c r="A34" s="309">
        <f t="shared" si="5"/>
        <v>46221</v>
      </c>
      <c r="B34" s="156">
        <f>'CHICLETS MASTER S1'!Z18</f>
        <v>0.77777777777777801</v>
      </c>
      <c r="C34" s="122" t="s">
        <v>275</v>
      </c>
      <c r="D34" s="122" t="str">
        <f t="shared" si="6"/>
        <v>GOLDEN WEST COLLEGE 1</v>
      </c>
      <c r="E34" s="122">
        <v>57</v>
      </c>
      <c r="F34" s="156" t="s">
        <v>123</v>
      </c>
      <c r="G34" s="156"/>
      <c r="H34" s="156" t="s">
        <v>663</v>
      </c>
      <c r="I34" s="156"/>
      <c r="J34" s="122" t="s">
        <v>1492</v>
      </c>
      <c r="K34" s="122" t="s">
        <v>1493</v>
      </c>
      <c r="L34" s="122" t="str">
        <f t="shared" si="3"/>
        <v>16GX-057</v>
      </c>
      <c r="M34" s="109"/>
      <c r="N34" s="109"/>
      <c r="O34" s="109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</row>
    <row r="35" spans="1:26" ht="12" customHeight="1" thickBot="1">
      <c r="A35" s="106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9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</row>
    <row r="36" spans="1:26" ht="12" customHeight="1" thickBot="1">
      <c r="A36" s="117"/>
      <c r="B36" s="118"/>
      <c r="C36" s="341"/>
      <c r="D36" s="119" t="str">
        <f>'CHICLETS MASTER S1'!$AF$3</f>
        <v>MARINA HS</v>
      </c>
      <c r="E36" s="106"/>
      <c r="F36" s="341"/>
      <c r="G36" s="341"/>
      <c r="H36" s="341"/>
      <c r="I36" s="341"/>
      <c r="J36" s="341"/>
      <c r="K36" s="341"/>
      <c r="L36" s="341"/>
      <c r="M36" s="109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09"/>
    </row>
    <row r="37" spans="1:26" ht="12" customHeight="1">
      <c r="A37" s="280" t="s">
        <v>110</v>
      </c>
      <c r="B37" s="281" t="s">
        <v>111</v>
      </c>
      <c r="C37" s="280" t="s">
        <v>112</v>
      </c>
      <c r="D37" s="280" t="s">
        <v>113</v>
      </c>
      <c r="E37" s="280" t="s">
        <v>114</v>
      </c>
      <c r="F37" s="280" t="s">
        <v>115</v>
      </c>
      <c r="G37" s="280" t="s">
        <v>116</v>
      </c>
      <c r="H37" s="280" t="s">
        <v>117</v>
      </c>
      <c r="I37" s="280" t="s">
        <v>116</v>
      </c>
      <c r="J37" s="280" t="s">
        <v>118</v>
      </c>
      <c r="K37" s="280" t="s">
        <v>119</v>
      </c>
      <c r="L37" s="280" t="s">
        <v>120</v>
      </c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</row>
    <row r="38" spans="1:26" ht="12" customHeight="1">
      <c r="A38" s="309">
        <f t="shared" ref="A38:A49" si="7">$A$17</f>
        <v>46221</v>
      </c>
      <c r="B38" s="156">
        <f>'CHICLETS MASTER S1'!Z4</f>
        <v>0.29166666666666669</v>
      </c>
      <c r="C38" s="122" t="s">
        <v>163</v>
      </c>
      <c r="D38" s="122" t="str">
        <f t="shared" ref="D38:D49" si="8">$D$36</f>
        <v>MARINA HS</v>
      </c>
      <c r="E38" s="122">
        <v>4</v>
      </c>
      <c r="F38" s="156" t="str">
        <f t="shared" ref="F38:F39" si="9">D11</f>
        <v>10-WCAC UNITED A</v>
      </c>
      <c r="G38" s="156"/>
      <c r="H38" s="156" t="str">
        <f>D14</f>
        <v>39-TRI VALLEY TRITONS</v>
      </c>
      <c r="I38" s="156"/>
      <c r="J38" s="122">
        <v>28</v>
      </c>
      <c r="K38" s="122">
        <v>32</v>
      </c>
      <c r="L38" s="122" t="str">
        <f t="shared" ref="L38:L53" si="10">IF(E38="","",$L$17&amp;"-"&amp;TEXT(E38,"000"))</f>
        <v>16GX-004</v>
      </c>
      <c r="M38" s="109"/>
      <c r="N38" s="109"/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09"/>
      <c r="Z38" s="109"/>
    </row>
    <row r="39" spans="1:26" ht="12" customHeight="1">
      <c r="A39" s="309">
        <f t="shared" si="7"/>
        <v>46221</v>
      </c>
      <c r="B39" s="156">
        <f>'CHICLETS MASTER S1'!Z5</f>
        <v>0.3263888888888889</v>
      </c>
      <c r="C39" s="122" t="s">
        <v>163</v>
      </c>
      <c r="D39" s="122" t="str">
        <f t="shared" si="8"/>
        <v>MARINA HS</v>
      </c>
      <c r="E39" s="122">
        <v>8</v>
      </c>
      <c r="F39" s="156" t="str">
        <f t="shared" si="9"/>
        <v>15-LAMORINDA B</v>
      </c>
      <c r="G39" s="156"/>
      <c r="H39" s="156" t="str">
        <f>D13</f>
        <v>34-LOYOLA VENICE</v>
      </c>
      <c r="I39" s="156"/>
      <c r="J39" s="122">
        <v>28</v>
      </c>
      <c r="K39" s="122">
        <v>32</v>
      </c>
      <c r="L39" s="122" t="str">
        <f t="shared" si="10"/>
        <v>16GX-008</v>
      </c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</row>
    <row r="40" spans="1:26" ht="12" customHeight="1">
      <c r="A40" s="309">
        <f t="shared" si="7"/>
        <v>46221</v>
      </c>
      <c r="B40" s="156">
        <f>'CHICLETS MASTER S1'!Z6</f>
        <v>0.36111111111111099</v>
      </c>
      <c r="C40" s="122" t="s">
        <v>163</v>
      </c>
      <c r="D40" s="122" t="str">
        <f t="shared" si="8"/>
        <v>MARINA HS</v>
      </c>
      <c r="E40" s="122">
        <v>12</v>
      </c>
      <c r="F40" s="156" t="str">
        <f t="shared" ref="F40:F41" si="11">E11</f>
        <v>11-SOCAL BLACK</v>
      </c>
      <c r="G40" s="156"/>
      <c r="H40" s="156" t="str">
        <f>E14</f>
        <v>38-LB SHORE</v>
      </c>
      <c r="I40" s="156"/>
      <c r="J40" s="122">
        <v>36</v>
      </c>
      <c r="K40" s="122">
        <v>40</v>
      </c>
      <c r="L40" s="122" t="str">
        <f t="shared" si="10"/>
        <v>16GX-012</v>
      </c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</row>
    <row r="41" spans="1:26" ht="12" customHeight="1">
      <c r="A41" s="309">
        <f t="shared" si="7"/>
        <v>46221</v>
      </c>
      <c r="B41" s="156">
        <f>'CHICLETS MASTER S1'!Z7</f>
        <v>0.39583333333333398</v>
      </c>
      <c r="C41" s="122" t="s">
        <v>163</v>
      </c>
      <c r="D41" s="122" t="str">
        <f t="shared" si="8"/>
        <v>MARINA HS</v>
      </c>
      <c r="E41" s="122">
        <v>16</v>
      </c>
      <c r="F41" s="156" t="str">
        <f t="shared" si="11"/>
        <v>14-LA JOLLA UNITED</v>
      </c>
      <c r="G41" s="156"/>
      <c r="H41" s="156" t="str">
        <f>E13</f>
        <v>35-SACRAMENTO ORANGE</v>
      </c>
      <c r="I41" s="156"/>
      <c r="J41" s="122">
        <v>36</v>
      </c>
      <c r="K41" s="122">
        <v>40</v>
      </c>
      <c r="L41" s="122" t="str">
        <f t="shared" si="10"/>
        <v>16GX-016</v>
      </c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</row>
    <row r="42" spans="1:26" ht="12" customHeight="1">
      <c r="A42" s="309">
        <f t="shared" si="7"/>
        <v>46221</v>
      </c>
      <c r="B42" s="156">
        <f>'CHICLETS MASTER S1'!Z8</f>
        <v>0.43055555555555602</v>
      </c>
      <c r="C42" s="122" t="s">
        <v>163</v>
      </c>
      <c r="D42" s="122" t="str">
        <f t="shared" si="8"/>
        <v>MARINA HS</v>
      </c>
      <c r="E42" s="122">
        <v>20</v>
      </c>
      <c r="F42" s="156" t="str">
        <f t="shared" ref="F42:F43" si="12">F11</f>
        <v>12-OAHU</v>
      </c>
      <c r="G42" s="156"/>
      <c r="H42" s="156" t="str">
        <f>F14</f>
        <v>37-SAN JOSE EXPRESS GOLD</v>
      </c>
      <c r="I42" s="156"/>
      <c r="J42" s="122">
        <v>44</v>
      </c>
      <c r="K42" s="122">
        <v>48</v>
      </c>
      <c r="L42" s="122" t="str">
        <f t="shared" si="10"/>
        <v>16GX-020</v>
      </c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</row>
    <row r="43" spans="1:26" ht="12" customHeight="1">
      <c r="A43" s="309">
        <f t="shared" si="7"/>
        <v>46221</v>
      </c>
      <c r="B43" s="156">
        <f>'CHICLETS MASTER S1'!Z9</f>
        <v>0.46527777777777801</v>
      </c>
      <c r="C43" s="122" t="s">
        <v>163</v>
      </c>
      <c r="D43" s="122" t="str">
        <f t="shared" si="8"/>
        <v>MARINA HS</v>
      </c>
      <c r="E43" s="122">
        <v>24</v>
      </c>
      <c r="F43" s="156" t="str">
        <f t="shared" si="12"/>
        <v>13-STANFORD B</v>
      </c>
      <c r="G43" s="156"/>
      <c r="H43" s="156" t="str">
        <f>F13</f>
        <v>36-SHAQ WHITE</v>
      </c>
      <c r="I43" s="156"/>
      <c r="J43" s="122">
        <v>44</v>
      </c>
      <c r="K43" s="122">
        <v>48</v>
      </c>
      <c r="L43" s="122" t="str">
        <f t="shared" si="10"/>
        <v>16GX-024</v>
      </c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109"/>
      <c r="Y43" s="109"/>
      <c r="Z43" s="109"/>
    </row>
    <row r="44" spans="1:26" ht="12" customHeight="1">
      <c r="A44" s="309">
        <f t="shared" si="7"/>
        <v>46221</v>
      </c>
      <c r="B44" s="156">
        <f>'CHICLETS MASTER S1'!Z10</f>
        <v>0.5</v>
      </c>
      <c r="C44" s="122" t="s">
        <v>163</v>
      </c>
      <c r="D44" s="122" t="str">
        <f t="shared" si="8"/>
        <v>MARINA HS</v>
      </c>
      <c r="E44" s="122">
        <v>28</v>
      </c>
      <c r="F44" s="156" t="s">
        <v>664</v>
      </c>
      <c r="G44" s="156"/>
      <c r="H44" s="156" t="s">
        <v>665</v>
      </c>
      <c r="I44" s="156"/>
      <c r="J44" s="122" t="s">
        <v>1611</v>
      </c>
      <c r="K44" s="122">
        <v>51</v>
      </c>
      <c r="L44" s="122" t="str">
        <f t="shared" si="10"/>
        <v>16GX-028</v>
      </c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</row>
    <row r="45" spans="1:26" ht="12" customHeight="1">
      <c r="A45" s="309">
        <f t="shared" si="7"/>
        <v>46221</v>
      </c>
      <c r="B45" s="156">
        <f>'CHICLETS MASTER S1'!Z11</f>
        <v>0.53472222222222199</v>
      </c>
      <c r="C45" s="122" t="s">
        <v>163</v>
      </c>
      <c r="D45" s="122" t="str">
        <f t="shared" si="8"/>
        <v>MARINA HS</v>
      </c>
      <c r="E45" s="122">
        <v>32</v>
      </c>
      <c r="F45" s="156" t="s">
        <v>666</v>
      </c>
      <c r="G45" s="156"/>
      <c r="H45" s="156" t="s">
        <v>667</v>
      </c>
      <c r="I45" s="156"/>
      <c r="J45" s="122">
        <v>52</v>
      </c>
      <c r="K45" s="122" t="s">
        <v>1612</v>
      </c>
      <c r="L45" s="122" t="str">
        <f t="shared" si="10"/>
        <v>16GX-032</v>
      </c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</row>
    <row r="46" spans="1:26" ht="12" customHeight="1">
      <c r="A46" s="309">
        <f t="shared" si="7"/>
        <v>46221</v>
      </c>
      <c r="B46" s="156">
        <f>'CHICLETS MASTER S1'!Z12</f>
        <v>0.56944444444444497</v>
      </c>
      <c r="C46" s="122" t="s">
        <v>163</v>
      </c>
      <c r="D46" s="122" t="str">
        <f t="shared" si="8"/>
        <v>MARINA HS</v>
      </c>
      <c r="E46" s="122">
        <v>36</v>
      </c>
      <c r="F46" s="156" t="s">
        <v>669</v>
      </c>
      <c r="G46" s="156"/>
      <c r="H46" s="156" t="s">
        <v>670</v>
      </c>
      <c r="I46" s="156"/>
      <c r="J46" s="122" t="s">
        <v>1613</v>
      </c>
      <c r="K46" s="122" t="s">
        <v>1614</v>
      </c>
      <c r="L46" s="122" t="str">
        <f t="shared" si="10"/>
        <v>16GX-036</v>
      </c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</row>
    <row r="47" spans="1:26" ht="12" customHeight="1">
      <c r="A47" s="309">
        <f t="shared" si="7"/>
        <v>46221</v>
      </c>
      <c r="B47" s="156">
        <f>'CHICLETS MASTER S1'!Z13</f>
        <v>0.60416666666666696</v>
      </c>
      <c r="C47" s="122" t="s">
        <v>163</v>
      </c>
      <c r="D47" s="122" t="str">
        <f t="shared" si="8"/>
        <v>MARINA HS</v>
      </c>
      <c r="E47" s="122">
        <v>40</v>
      </c>
      <c r="F47" s="156" t="s">
        <v>671</v>
      </c>
      <c r="G47" s="156"/>
      <c r="H47" s="156" t="s">
        <v>672</v>
      </c>
      <c r="I47" s="156"/>
      <c r="J47" s="125">
        <v>56</v>
      </c>
      <c r="K47" s="122" t="s">
        <v>1615</v>
      </c>
      <c r="L47" s="122" t="str">
        <f t="shared" si="10"/>
        <v>16GX-040</v>
      </c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</row>
    <row r="48" spans="1:26" ht="12" customHeight="1">
      <c r="A48" s="309">
        <f t="shared" si="7"/>
        <v>46221</v>
      </c>
      <c r="B48" s="156">
        <f>'CHICLETS MASTER S1'!Z14</f>
        <v>0.63888888888888895</v>
      </c>
      <c r="C48" s="122" t="s">
        <v>163</v>
      </c>
      <c r="D48" s="122" t="str">
        <f t="shared" si="8"/>
        <v>MARINA HS</v>
      </c>
      <c r="E48" s="122">
        <v>44</v>
      </c>
      <c r="F48" s="156" t="s">
        <v>674</v>
      </c>
      <c r="G48" s="156"/>
      <c r="H48" s="156" t="s">
        <v>675</v>
      </c>
      <c r="I48" s="156"/>
      <c r="J48" s="122" t="s">
        <v>1459</v>
      </c>
      <c r="K48" s="122">
        <v>56</v>
      </c>
      <c r="L48" s="122" t="str">
        <f t="shared" si="10"/>
        <v>16GX-044</v>
      </c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</row>
    <row r="49" spans="1:26" ht="12" customHeight="1">
      <c r="A49" s="309">
        <f t="shared" si="7"/>
        <v>46221</v>
      </c>
      <c r="B49" s="156">
        <f>'CHICLETS MASTER S1'!Z15</f>
        <v>0.67361111111111105</v>
      </c>
      <c r="C49" s="122" t="s">
        <v>163</v>
      </c>
      <c r="D49" s="122" t="str">
        <f t="shared" si="8"/>
        <v>MARINA HS</v>
      </c>
      <c r="E49" s="122">
        <v>48</v>
      </c>
      <c r="F49" s="156" t="s">
        <v>676</v>
      </c>
      <c r="G49" s="156"/>
      <c r="H49" s="156" t="s">
        <v>677</v>
      </c>
      <c r="I49" s="156"/>
      <c r="J49" s="122">
        <v>60</v>
      </c>
      <c r="K49" s="122" t="s">
        <v>1616</v>
      </c>
      <c r="L49" s="122" t="str">
        <f t="shared" si="10"/>
        <v>16GX-048</v>
      </c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</row>
    <row r="50" spans="1:26" ht="12" customHeight="1">
      <c r="A50" s="106"/>
      <c r="B50" s="106" t="s">
        <v>204</v>
      </c>
      <c r="C50" s="106"/>
      <c r="D50" s="106"/>
      <c r="E50" s="106"/>
      <c r="F50" s="106"/>
      <c r="G50" s="106"/>
      <c r="H50" s="106"/>
      <c r="I50" s="106"/>
      <c r="J50" s="106"/>
      <c r="K50" s="106"/>
      <c r="L50" s="122" t="str">
        <f t="shared" si="10"/>
        <v/>
      </c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</row>
    <row r="51" spans="1:26" ht="12" customHeight="1">
      <c r="A51" s="309">
        <f t="shared" ref="A51:A53" si="13">$A$17</f>
        <v>46221</v>
      </c>
      <c r="B51" s="156">
        <f>'CHICLETS MASTER S1'!Z17</f>
        <v>0.74305555555555602</v>
      </c>
      <c r="C51" s="122" t="s">
        <v>275</v>
      </c>
      <c r="D51" s="122" t="str">
        <f t="shared" ref="D51:D53" si="14">$D$36</f>
        <v>MARINA HS</v>
      </c>
      <c r="E51" s="122">
        <v>52</v>
      </c>
      <c r="F51" s="344" t="s">
        <v>679</v>
      </c>
      <c r="G51" s="156"/>
      <c r="H51" s="156" t="s">
        <v>680</v>
      </c>
      <c r="I51" s="156"/>
      <c r="J51" s="122" t="s">
        <v>1457</v>
      </c>
      <c r="K51" s="122" t="s">
        <v>1463</v>
      </c>
      <c r="L51" s="122" t="str">
        <f t="shared" si="10"/>
        <v>16GX-052</v>
      </c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</row>
    <row r="52" spans="1:26" ht="12" customHeight="1">
      <c r="A52" s="309">
        <f t="shared" si="13"/>
        <v>46221</v>
      </c>
      <c r="B52" s="156">
        <f>'CHICLETS MASTER S1'!Z18</f>
        <v>0.77777777777777801</v>
      </c>
      <c r="C52" s="122" t="s">
        <v>275</v>
      </c>
      <c r="D52" s="122" t="str">
        <f t="shared" si="14"/>
        <v>MARINA HS</v>
      </c>
      <c r="E52" s="122">
        <v>56</v>
      </c>
      <c r="F52" s="156" t="s">
        <v>681</v>
      </c>
      <c r="G52" s="156"/>
      <c r="H52" s="156" t="s">
        <v>682</v>
      </c>
      <c r="I52" s="156"/>
      <c r="J52" s="122" t="s">
        <v>1462</v>
      </c>
      <c r="K52" s="122" t="s">
        <v>1460</v>
      </c>
      <c r="L52" s="122" t="str">
        <f t="shared" si="10"/>
        <v>16GX-056</v>
      </c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Z52" s="109"/>
    </row>
    <row r="53" spans="1:26" ht="12" customHeight="1">
      <c r="A53" s="309">
        <f t="shared" si="13"/>
        <v>46221</v>
      </c>
      <c r="B53" s="156">
        <f>'CHICLETS MASTER S1'!Z19</f>
        <v>0.8125</v>
      </c>
      <c r="C53" s="122" t="s">
        <v>275</v>
      </c>
      <c r="D53" s="122" t="str">
        <f t="shared" si="14"/>
        <v>MARINA HS</v>
      </c>
      <c r="E53" s="122">
        <v>60</v>
      </c>
      <c r="F53" s="156" t="s">
        <v>683</v>
      </c>
      <c r="G53" s="156"/>
      <c r="H53" s="156" t="s">
        <v>684</v>
      </c>
      <c r="I53" s="156"/>
      <c r="J53" s="122" t="s">
        <v>1469</v>
      </c>
      <c r="K53" s="122" t="s">
        <v>1470</v>
      </c>
      <c r="L53" s="122" t="str">
        <f t="shared" si="10"/>
        <v>16GX-060</v>
      </c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109"/>
      <c r="Y53" s="109"/>
      <c r="Z53" s="109"/>
    </row>
    <row r="54" spans="1:26" ht="12" customHeight="1" thickBot="1">
      <c r="A54" s="106"/>
      <c r="B54" s="106"/>
      <c r="C54" s="106"/>
      <c r="D54" s="106"/>
      <c r="E54" s="106"/>
      <c r="F54" s="106"/>
      <c r="G54" s="106"/>
      <c r="H54" s="106"/>
      <c r="I54" s="106"/>
      <c r="J54" s="106"/>
      <c r="K54" s="106"/>
      <c r="L54" s="106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/>
    </row>
    <row r="55" spans="1:26" ht="12" customHeight="1" thickBot="1">
      <c r="A55" s="117"/>
      <c r="B55" s="118"/>
      <c r="C55" s="341"/>
      <c r="D55" s="119" t="str">
        <f>'CHICLETS MASTER S1'!$AI$3</f>
        <v>PORTOLA HS 1</v>
      </c>
      <c r="E55" s="106"/>
      <c r="F55" s="341"/>
      <c r="G55" s="341"/>
      <c r="H55" s="341"/>
      <c r="I55" s="341"/>
      <c r="J55" s="341"/>
      <c r="K55" s="341"/>
      <c r="L55" s="341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109"/>
      <c r="Y55" s="109"/>
      <c r="Z55" s="109"/>
    </row>
    <row r="56" spans="1:26" ht="12" customHeight="1">
      <c r="A56" s="280" t="s">
        <v>110</v>
      </c>
      <c r="B56" s="281" t="s">
        <v>111</v>
      </c>
      <c r="C56" s="280" t="s">
        <v>112</v>
      </c>
      <c r="D56" s="280" t="s">
        <v>113</v>
      </c>
      <c r="E56" s="280" t="s">
        <v>114</v>
      </c>
      <c r="F56" s="280" t="s">
        <v>115</v>
      </c>
      <c r="G56" s="280" t="s">
        <v>116</v>
      </c>
      <c r="H56" s="280" t="s">
        <v>117</v>
      </c>
      <c r="I56" s="280" t="s">
        <v>116</v>
      </c>
      <c r="J56" s="280" t="s">
        <v>118</v>
      </c>
      <c r="K56" s="280" t="s">
        <v>119</v>
      </c>
      <c r="L56" s="280" t="s">
        <v>120</v>
      </c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09"/>
      <c r="Y56" s="109"/>
      <c r="Z56" s="109"/>
    </row>
    <row r="57" spans="1:26" ht="12" customHeight="1">
      <c r="A57" s="309">
        <f t="shared" ref="A57:A67" si="15">$A$17</f>
        <v>46221</v>
      </c>
      <c r="B57" s="156">
        <f>'CHICLETS MASTER S1'!Z4</f>
        <v>0.29166666666666669</v>
      </c>
      <c r="C57" s="122" t="s">
        <v>649</v>
      </c>
      <c r="D57" s="122" t="str">
        <f t="shared" ref="D57:D67" si="16">$D$55</f>
        <v>PORTOLA HS 1</v>
      </c>
      <c r="E57" s="122">
        <v>3</v>
      </c>
      <c r="F57" s="156" t="str">
        <f>A11</f>
        <v>G1(7)-CAL REPUBLIC</v>
      </c>
      <c r="G57" s="156"/>
      <c r="H57" s="156" t="str">
        <f>A13</f>
        <v>G3(31)-CHAWP BLUE</v>
      </c>
      <c r="I57" s="156"/>
      <c r="J57" s="122" t="s">
        <v>649</v>
      </c>
      <c r="K57" s="122"/>
      <c r="L57" s="122" t="str">
        <f t="shared" ref="L57:L71" si="17">IF(E57="","",$L$17&amp;"-"&amp;TEXT(E57,"000"))</f>
        <v>16GX-003</v>
      </c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  <c r="Z57" s="109"/>
    </row>
    <row r="58" spans="1:26" ht="12" customHeight="1">
      <c r="A58" s="309">
        <f t="shared" si="15"/>
        <v>46221</v>
      </c>
      <c r="B58" s="156">
        <f>'CHICLETS MASTER S1'!Z5</f>
        <v>0.3263888888888889</v>
      </c>
      <c r="C58" s="122" t="s">
        <v>163</v>
      </c>
      <c r="D58" s="122" t="str">
        <f t="shared" si="16"/>
        <v>PORTOLA HS 1</v>
      </c>
      <c r="E58" s="122">
        <v>11</v>
      </c>
      <c r="F58" s="156" t="str">
        <f t="shared" ref="F58:F59" si="18">B11</f>
        <v>8-COMMERCE</v>
      </c>
      <c r="G58" s="156"/>
      <c r="H58" s="156" t="str">
        <f>B14</f>
        <v>41-MID VALLEY WHITE</v>
      </c>
      <c r="I58" s="156"/>
      <c r="J58" s="122">
        <v>35</v>
      </c>
      <c r="K58" s="122">
        <v>39</v>
      </c>
      <c r="L58" s="122" t="str">
        <f t="shared" si="17"/>
        <v>16GX-011</v>
      </c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109"/>
      <c r="Y58" s="109"/>
      <c r="Z58" s="109"/>
    </row>
    <row r="59" spans="1:26" ht="12" customHeight="1">
      <c r="A59" s="309">
        <f t="shared" si="15"/>
        <v>46221</v>
      </c>
      <c r="B59" s="156">
        <f>'CHICLETS MASTER S1'!Z6</f>
        <v>0.36111111111111099</v>
      </c>
      <c r="C59" s="122" t="s">
        <v>163</v>
      </c>
      <c r="D59" s="122" t="str">
        <f t="shared" si="16"/>
        <v>PORTOLA HS 1</v>
      </c>
      <c r="E59" s="122">
        <v>15</v>
      </c>
      <c r="F59" s="156" t="str">
        <f t="shared" si="18"/>
        <v>17-AMERICAN RIVER</v>
      </c>
      <c r="G59" s="156"/>
      <c r="H59" s="156" t="str">
        <f>B13</f>
        <v>32-CC UNITED</v>
      </c>
      <c r="I59" s="156"/>
      <c r="J59" s="122">
        <v>35</v>
      </c>
      <c r="K59" s="122">
        <v>39</v>
      </c>
      <c r="L59" s="122" t="str">
        <f t="shared" si="17"/>
        <v>16GX-015</v>
      </c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  <c r="Y59" s="109"/>
      <c r="Z59" s="109"/>
    </row>
    <row r="60" spans="1:26" ht="12" customHeight="1">
      <c r="A60" s="309">
        <f t="shared" si="15"/>
        <v>46221</v>
      </c>
      <c r="B60" s="156">
        <f>'CHICLETS MASTER S1'!Z7</f>
        <v>0.39583333333333398</v>
      </c>
      <c r="C60" s="122" t="s">
        <v>163</v>
      </c>
      <c r="D60" s="122" t="str">
        <f t="shared" si="16"/>
        <v>PORTOLA HS 1</v>
      </c>
      <c r="E60" s="122">
        <v>19</v>
      </c>
      <c r="F60" s="156" t="str">
        <f>C11</f>
        <v>9-ASPHALT GREEN</v>
      </c>
      <c r="G60" s="156"/>
      <c r="H60" s="156" t="str">
        <f>C14</f>
        <v>40-TRI VALLEY</v>
      </c>
      <c r="I60" s="156"/>
      <c r="J60" s="122">
        <v>43</v>
      </c>
      <c r="K60" s="122">
        <v>47</v>
      </c>
      <c r="L60" s="122" t="str">
        <f t="shared" si="17"/>
        <v>16GX-019</v>
      </c>
      <c r="M60" s="109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109"/>
      <c r="Y60" s="109"/>
      <c r="Z60" s="109"/>
    </row>
    <row r="61" spans="1:26" ht="12" customHeight="1">
      <c r="A61" s="309">
        <f t="shared" si="15"/>
        <v>46221</v>
      </c>
      <c r="B61" s="156">
        <f>'CHICLETS MASTER S1'!Z8</f>
        <v>0.43055555555555602</v>
      </c>
      <c r="C61" s="122" t="s">
        <v>649</v>
      </c>
      <c r="D61" s="122" t="str">
        <f t="shared" si="16"/>
        <v>PORTOLA HS 1</v>
      </c>
      <c r="E61" s="122">
        <v>27</v>
      </c>
      <c r="F61" s="156" t="str">
        <f>A12</f>
        <v>G2(18)-SACRAMENTO BLACK</v>
      </c>
      <c r="G61" s="156"/>
      <c r="H61" s="156" t="str">
        <f>A13</f>
        <v>G3(31)-CHAWP BLUE</v>
      </c>
      <c r="I61" s="156"/>
      <c r="J61" s="122" t="s">
        <v>649</v>
      </c>
      <c r="K61" s="122"/>
      <c r="L61" s="122" t="str">
        <f t="shared" si="17"/>
        <v>16GX-027</v>
      </c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109"/>
      <c r="Z61" s="109"/>
    </row>
    <row r="62" spans="1:26" ht="12" customHeight="1">
      <c r="A62" s="309">
        <f t="shared" si="15"/>
        <v>46221</v>
      </c>
      <c r="B62" s="156">
        <f>'CHICLETS MASTER S1'!Z9</f>
        <v>0.46527777777777801</v>
      </c>
      <c r="C62" s="122" t="s">
        <v>163</v>
      </c>
      <c r="D62" s="122" t="str">
        <f t="shared" si="16"/>
        <v>PORTOLA HS 1</v>
      </c>
      <c r="E62" s="122">
        <v>23</v>
      </c>
      <c r="F62" s="156" t="str">
        <f>C12</f>
        <v>16-FOOTHILL</v>
      </c>
      <c r="G62" s="156"/>
      <c r="H62" s="156" t="str">
        <f>C13</f>
        <v>33-SURF CITY</v>
      </c>
      <c r="I62" s="156"/>
      <c r="J62" s="122">
        <v>43</v>
      </c>
      <c r="K62" s="122">
        <v>47</v>
      </c>
      <c r="L62" s="122" t="str">
        <f t="shared" si="17"/>
        <v>16GX-023</v>
      </c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109"/>
    </row>
    <row r="63" spans="1:26" ht="12" customHeight="1">
      <c r="A63" s="309">
        <f t="shared" si="15"/>
        <v>46221</v>
      </c>
      <c r="B63" s="156">
        <f>'CHICLETS MASTER S1'!Z10</f>
        <v>0.5</v>
      </c>
      <c r="C63" s="122" t="s">
        <v>163</v>
      </c>
      <c r="D63" s="122" t="str">
        <f t="shared" si="16"/>
        <v>PORTOLA HS 1</v>
      </c>
      <c r="E63" s="122">
        <v>35</v>
      </c>
      <c r="F63" s="156" t="s">
        <v>685</v>
      </c>
      <c r="G63" s="156"/>
      <c r="H63" s="156" t="s">
        <v>686</v>
      </c>
      <c r="I63" s="156"/>
      <c r="J63" s="122" t="s">
        <v>1447</v>
      </c>
      <c r="K63" s="122">
        <v>59</v>
      </c>
      <c r="L63" s="122" t="str">
        <f t="shared" si="17"/>
        <v>16GX-035</v>
      </c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109"/>
      <c r="Y63" s="109"/>
      <c r="Z63" s="109"/>
    </row>
    <row r="64" spans="1:26" ht="12" customHeight="1">
      <c r="A64" s="309">
        <f t="shared" si="15"/>
        <v>46221</v>
      </c>
      <c r="B64" s="156">
        <f>'CHICLETS MASTER S1'!Z11</f>
        <v>0.53472222222222199</v>
      </c>
      <c r="C64" s="122" t="s">
        <v>163</v>
      </c>
      <c r="D64" s="122" t="str">
        <f t="shared" si="16"/>
        <v>PORTOLA HS 1</v>
      </c>
      <c r="E64" s="122">
        <v>39</v>
      </c>
      <c r="F64" s="156" t="s">
        <v>687</v>
      </c>
      <c r="G64" s="156"/>
      <c r="H64" s="156" t="s">
        <v>688</v>
      </c>
      <c r="I64" s="156"/>
      <c r="J64" s="125">
        <v>55</v>
      </c>
      <c r="K64" s="122" t="s">
        <v>1617</v>
      </c>
      <c r="L64" s="122" t="str">
        <f t="shared" si="17"/>
        <v>16GX-039</v>
      </c>
      <c r="M64" s="109"/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109"/>
      <c r="Y64" s="109"/>
      <c r="Z64" s="109"/>
    </row>
    <row r="65" spans="1:26" ht="12" customHeight="1">
      <c r="A65" s="309">
        <f t="shared" si="15"/>
        <v>46221</v>
      </c>
      <c r="B65" s="156">
        <f>'CHICLETS MASTER S1'!Z12</f>
        <v>0.56944444444444497</v>
      </c>
      <c r="C65" s="122" t="s">
        <v>649</v>
      </c>
      <c r="D65" s="122" t="str">
        <f t="shared" si="16"/>
        <v>PORTOLA HS 1</v>
      </c>
      <c r="E65" s="126">
        <v>31</v>
      </c>
      <c r="F65" s="126" t="str">
        <f>A11</f>
        <v>G1(7)-CAL REPUBLIC</v>
      </c>
      <c r="G65" s="126"/>
      <c r="H65" s="126" t="str">
        <f>A12</f>
        <v>G2(18)-SACRAMENTO BLACK</v>
      </c>
      <c r="I65" s="126"/>
      <c r="J65" s="126" t="s">
        <v>649</v>
      </c>
      <c r="K65" s="126"/>
      <c r="L65" s="122" t="str">
        <f t="shared" si="17"/>
        <v>16GX-031</v>
      </c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109"/>
      <c r="Y65" s="109"/>
      <c r="Z65" s="109"/>
    </row>
    <row r="66" spans="1:26" ht="12" customHeight="1">
      <c r="A66" s="309">
        <f t="shared" si="15"/>
        <v>46221</v>
      </c>
      <c r="B66" s="156">
        <f>'CHICLETS MASTER S1'!Z13</f>
        <v>0.60416666666666696</v>
      </c>
      <c r="C66" s="122" t="s">
        <v>163</v>
      </c>
      <c r="D66" s="122" t="str">
        <f t="shared" si="16"/>
        <v>PORTOLA HS 1</v>
      </c>
      <c r="E66" s="122">
        <v>43</v>
      </c>
      <c r="F66" s="156" t="s">
        <v>690</v>
      </c>
      <c r="G66" s="156"/>
      <c r="H66" s="156" t="s">
        <v>691</v>
      </c>
      <c r="I66" s="156"/>
      <c r="J66" s="122" t="s">
        <v>1618</v>
      </c>
      <c r="K66" s="122">
        <v>55</v>
      </c>
      <c r="L66" s="122" t="str">
        <f t="shared" si="17"/>
        <v>16GX-043</v>
      </c>
      <c r="M66" s="109"/>
      <c r="N66" s="109"/>
      <c r="O66" s="109"/>
      <c r="P66" s="109"/>
      <c r="Q66" s="109"/>
      <c r="R66" s="109"/>
      <c r="S66" s="109"/>
      <c r="T66" s="109"/>
      <c r="U66" s="109"/>
      <c r="V66" s="109"/>
      <c r="W66" s="109"/>
      <c r="X66" s="109"/>
      <c r="Y66" s="109"/>
      <c r="Z66" s="109"/>
    </row>
    <row r="67" spans="1:26" ht="12" customHeight="1">
      <c r="A67" s="309">
        <f t="shared" si="15"/>
        <v>46221</v>
      </c>
      <c r="B67" s="156">
        <f>'CHICLETS MASTER S1'!Z14</f>
        <v>0.63888888888888895</v>
      </c>
      <c r="C67" s="122" t="s">
        <v>163</v>
      </c>
      <c r="D67" s="122" t="str">
        <f t="shared" si="16"/>
        <v>PORTOLA HS 1</v>
      </c>
      <c r="E67" s="122">
        <v>47</v>
      </c>
      <c r="F67" s="156" t="s">
        <v>692</v>
      </c>
      <c r="G67" s="156"/>
      <c r="H67" s="156" t="s">
        <v>693</v>
      </c>
      <c r="I67" s="156"/>
      <c r="J67" s="122">
        <v>59</v>
      </c>
      <c r="K67" s="122" t="s">
        <v>1619</v>
      </c>
      <c r="L67" s="122" t="str">
        <f t="shared" si="17"/>
        <v>16GX-047</v>
      </c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</row>
    <row r="68" spans="1:26" ht="12" customHeight="1">
      <c r="A68" s="106"/>
      <c r="B68" s="106" t="s">
        <v>204</v>
      </c>
      <c r="C68" s="106"/>
      <c r="D68" s="106"/>
      <c r="E68" s="106"/>
      <c r="F68" s="106"/>
      <c r="G68" s="106"/>
      <c r="H68" s="106"/>
      <c r="I68" s="106"/>
      <c r="J68" s="106"/>
      <c r="K68" s="106"/>
      <c r="L68" s="122" t="str">
        <f t="shared" si="17"/>
        <v/>
      </c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9"/>
      <c r="Z68" s="109"/>
    </row>
    <row r="69" spans="1:26" ht="12" customHeight="1">
      <c r="A69" s="309">
        <f t="shared" ref="A69:A71" si="19">$A$17</f>
        <v>46221</v>
      </c>
      <c r="B69" s="156">
        <f>'CHICLETS MASTER S1'!Z16</f>
        <v>0.70833333333333404</v>
      </c>
      <c r="C69" s="122" t="s">
        <v>275</v>
      </c>
      <c r="D69" s="122" t="str">
        <f t="shared" ref="D69:D71" si="20">$D$55</f>
        <v>PORTOLA HS 1</v>
      </c>
      <c r="E69" s="122">
        <v>51</v>
      </c>
      <c r="F69" s="344" t="s">
        <v>695</v>
      </c>
      <c r="G69" s="156"/>
      <c r="H69" s="156" t="s">
        <v>696</v>
      </c>
      <c r="I69" s="156"/>
      <c r="J69" s="122" t="s">
        <v>1454</v>
      </c>
      <c r="K69" s="122" t="s">
        <v>1451</v>
      </c>
      <c r="L69" s="122" t="str">
        <f t="shared" si="17"/>
        <v>16GX-051</v>
      </c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</row>
    <row r="70" spans="1:26" ht="12" customHeight="1">
      <c r="A70" s="309">
        <f t="shared" si="19"/>
        <v>46221</v>
      </c>
      <c r="B70" s="156">
        <f>'CHICLETS MASTER S1'!Z17</f>
        <v>0.74305555555555602</v>
      </c>
      <c r="C70" s="122" t="s">
        <v>275</v>
      </c>
      <c r="D70" s="122" t="str">
        <f t="shared" si="20"/>
        <v>PORTOLA HS 1</v>
      </c>
      <c r="E70" s="122">
        <v>55</v>
      </c>
      <c r="F70" s="156" t="s">
        <v>697</v>
      </c>
      <c r="G70" s="156"/>
      <c r="H70" s="156" t="s">
        <v>698</v>
      </c>
      <c r="I70" s="156"/>
      <c r="J70" s="122" t="s">
        <v>1466</v>
      </c>
      <c r="K70" s="122" t="s">
        <v>1458</v>
      </c>
      <c r="L70" s="122" t="str">
        <f t="shared" si="17"/>
        <v>16GX-055</v>
      </c>
      <c r="M70" s="109"/>
      <c r="N70" s="109"/>
      <c r="O70" s="109"/>
      <c r="P70" s="109"/>
      <c r="Q70" s="109"/>
      <c r="R70" s="109"/>
      <c r="S70" s="109"/>
      <c r="T70" s="109"/>
      <c r="U70" s="109"/>
      <c r="V70" s="109"/>
      <c r="W70" s="109"/>
      <c r="X70" s="109"/>
      <c r="Y70" s="109"/>
      <c r="Z70" s="109"/>
    </row>
    <row r="71" spans="1:26" ht="12" customHeight="1">
      <c r="A71" s="309">
        <f t="shared" si="19"/>
        <v>46221</v>
      </c>
      <c r="B71" s="156">
        <f>'CHICLETS MASTER S1'!Z18</f>
        <v>0.77777777777777801</v>
      </c>
      <c r="C71" s="122" t="s">
        <v>275</v>
      </c>
      <c r="D71" s="122" t="str">
        <f t="shared" si="20"/>
        <v>PORTOLA HS 1</v>
      </c>
      <c r="E71" s="122">
        <v>59</v>
      </c>
      <c r="F71" s="156" t="s">
        <v>699</v>
      </c>
      <c r="G71" s="156"/>
      <c r="H71" s="156" t="s">
        <v>700</v>
      </c>
      <c r="I71" s="156"/>
      <c r="J71" s="122" t="s">
        <v>1450</v>
      </c>
      <c r="K71" s="122" t="s">
        <v>1455</v>
      </c>
      <c r="L71" s="122" t="str">
        <f t="shared" si="17"/>
        <v>16GX-059</v>
      </c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109"/>
      <c r="Y71" s="109"/>
      <c r="Z71" s="109"/>
    </row>
    <row r="72" spans="1:26" ht="12" customHeight="1" thickBot="1">
      <c r="A72" s="106"/>
      <c r="B72" s="106"/>
      <c r="C72" s="106"/>
      <c r="D72" s="106"/>
      <c r="E72" s="106"/>
      <c r="F72" s="160"/>
      <c r="G72" s="160"/>
      <c r="H72" s="160"/>
      <c r="I72" s="160"/>
      <c r="J72" s="106"/>
      <c r="K72" s="106"/>
      <c r="L72" s="160"/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109"/>
      <c r="Y72" s="109"/>
      <c r="Z72" s="109"/>
    </row>
    <row r="73" spans="1:26" ht="12" customHeight="1" thickBot="1">
      <c r="A73" s="117"/>
      <c r="B73" s="118"/>
      <c r="C73" s="341"/>
      <c r="D73" s="119" t="str">
        <f>'CHICLETS MASTER S1'!$AH$3</f>
        <v>CAPISTRANO VALLEY HS 1</v>
      </c>
      <c r="E73" s="106"/>
      <c r="F73" s="341"/>
      <c r="G73" s="341"/>
      <c r="H73" s="341"/>
      <c r="I73" s="341"/>
      <c r="J73" s="341"/>
      <c r="K73" s="341"/>
      <c r="L73" s="341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</row>
    <row r="74" spans="1:26" ht="12" customHeight="1">
      <c r="A74" s="280" t="s">
        <v>110</v>
      </c>
      <c r="B74" s="281" t="s">
        <v>111</v>
      </c>
      <c r="C74" s="280" t="s">
        <v>112</v>
      </c>
      <c r="D74" s="280" t="s">
        <v>113</v>
      </c>
      <c r="E74" s="280" t="s">
        <v>114</v>
      </c>
      <c r="F74" s="280" t="s">
        <v>115</v>
      </c>
      <c r="G74" s="280" t="s">
        <v>116</v>
      </c>
      <c r="H74" s="280" t="s">
        <v>117</v>
      </c>
      <c r="I74" s="280" t="s">
        <v>116</v>
      </c>
      <c r="J74" s="280" t="s">
        <v>118</v>
      </c>
      <c r="K74" s="280" t="s">
        <v>119</v>
      </c>
      <c r="L74" s="280" t="s">
        <v>120</v>
      </c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</row>
    <row r="75" spans="1:26" ht="12" customHeight="1">
      <c r="A75" s="309">
        <f t="shared" ref="A75:A85" si="21">$A$17</f>
        <v>46221</v>
      </c>
      <c r="B75" s="156">
        <f>'CHICLETS MASTER S1'!Z4</f>
        <v>0.29166666666666669</v>
      </c>
      <c r="C75" s="122" t="s">
        <v>649</v>
      </c>
      <c r="D75" s="122" t="str">
        <f t="shared" ref="D75:D85" si="22">$D$73</f>
        <v>CAPISTRANO VALLEY HS 1</v>
      </c>
      <c r="E75" s="122">
        <v>2</v>
      </c>
      <c r="F75" s="156" t="str">
        <f>D5</f>
        <v>D1 (4)-CORONA DEL MAR</v>
      </c>
      <c r="G75" s="156"/>
      <c r="H75" s="156" t="str">
        <f>D7</f>
        <v>D3(28)-WCAC UNITED B</v>
      </c>
      <c r="I75" s="156"/>
      <c r="J75" s="122" t="s">
        <v>649</v>
      </c>
      <c r="K75" s="122"/>
      <c r="L75" s="122" t="str">
        <f t="shared" ref="L75:L89" si="23">IF(E75="","",$L$17&amp;"-"&amp;TEXT(E75,"000"))</f>
        <v>16GX-002</v>
      </c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109"/>
      <c r="Y75" s="109"/>
      <c r="Z75" s="109"/>
    </row>
    <row r="76" spans="1:26" ht="12" customHeight="1">
      <c r="A76" s="309">
        <f t="shared" si="21"/>
        <v>46221</v>
      </c>
      <c r="B76" s="156">
        <f>'CHICLETS MASTER S1'!Z5</f>
        <v>0.3263888888888889</v>
      </c>
      <c r="C76" s="122" t="s">
        <v>163</v>
      </c>
      <c r="D76" s="122" t="str">
        <f t="shared" si="22"/>
        <v>CAPISTRANO VALLEY HS 1</v>
      </c>
      <c r="E76" s="122">
        <v>10</v>
      </c>
      <c r="F76" s="156" t="str">
        <f t="shared" ref="F76:F77" si="24">E5</f>
        <v>5-ROSE BOWL RED A</v>
      </c>
      <c r="G76" s="156"/>
      <c r="H76" s="156" t="str">
        <f>E8</f>
        <v>43-SAN FRANCISCO WARRIORS</v>
      </c>
      <c r="I76" s="156"/>
      <c r="J76" s="122">
        <v>34</v>
      </c>
      <c r="K76" s="122">
        <v>38</v>
      </c>
      <c r="L76" s="122" t="str">
        <f t="shared" si="23"/>
        <v>16GX-010</v>
      </c>
      <c r="M76" s="109"/>
      <c r="N76" s="109"/>
      <c r="O76" s="109"/>
      <c r="P76" s="109"/>
      <c r="Q76" s="109"/>
      <c r="R76" s="109"/>
      <c r="S76" s="109"/>
      <c r="T76" s="109"/>
      <c r="U76" s="109"/>
      <c r="V76" s="109"/>
      <c r="W76" s="109"/>
      <c r="X76" s="109"/>
      <c r="Y76" s="109"/>
      <c r="Z76" s="109"/>
    </row>
    <row r="77" spans="1:26" ht="12" customHeight="1">
      <c r="A77" s="309">
        <f t="shared" si="21"/>
        <v>46221</v>
      </c>
      <c r="B77" s="156">
        <f>'CHICLETS MASTER S1'!Z6</f>
        <v>0.36111111111111099</v>
      </c>
      <c r="C77" s="122" t="s">
        <v>163</v>
      </c>
      <c r="D77" s="122" t="str">
        <f t="shared" si="22"/>
        <v>CAPISTRANO VALLEY HS 1</v>
      </c>
      <c r="E77" s="122">
        <v>14</v>
      </c>
      <c r="F77" s="156" t="str">
        <f t="shared" si="24"/>
        <v>20-MIDVALLEY BLUE</v>
      </c>
      <c r="G77" s="156"/>
      <c r="H77" s="156" t="str">
        <f>E7</f>
        <v>29-SOUTH COAST WHITE</v>
      </c>
      <c r="I77" s="156"/>
      <c r="J77" s="122">
        <v>34</v>
      </c>
      <c r="K77" s="122">
        <v>38</v>
      </c>
      <c r="L77" s="122" t="str">
        <f t="shared" si="23"/>
        <v>16GX-014</v>
      </c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109"/>
      <c r="Y77" s="109"/>
      <c r="Z77" s="109"/>
    </row>
    <row r="78" spans="1:26" ht="12" customHeight="1">
      <c r="A78" s="309">
        <f t="shared" si="21"/>
        <v>46221</v>
      </c>
      <c r="B78" s="156">
        <f>'CHICLETS MASTER S1'!Z7</f>
        <v>0.39583333333333398</v>
      </c>
      <c r="C78" s="122" t="s">
        <v>163</v>
      </c>
      <c r="D78" s="122" t="str">
        <f t="shared" si="22"/>
        <v>CAPISTRANO VALLEY HS 1</v>
      </c>
      <c r="E78" s="122">
        <v>18</v>
      </c>
      <c r="F78" s="156" t="str">
        <f>F5</f>
        <v>6-TRILOGY</v>
      </c>
      <c r="G78" s="156"/>
      <c r="H78" s="156" t="str">
        <f>F8</f>
        <v>42-NORCAL TEAL</v>
      </c>
      <c r="I78" s="156"/>
      <c r="J78" s="122">
        <v>42</v>
      </c>
      <c r="K78" s="122">
        <v>46</v>
      </c>
      <c r="L78" s="122" t="str">
        <f t="shared" si="23"/>
        <v>16GX-018</v>
      </c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109"/>
      <c r="Y78" s="109"/>
      <c r="Z78" s="109"/>
    </row>
    <row r="79" spans="1:26" ht="12" customHeight="1">
      <c r="A79" s="309">
        <f t="shared" si="21"/>
        <v>46221</v>
      </c>
      <c r="B79" s="156">
        <f>'CHICLETS MASTER S1'!Z8</f>
        <v>0.43055555555555602</v>
      </c>
      <c r="C79" s="122" t="s">
        <v>649</v>
      </c>
      <c r="D79" s="122" t="str">
        <f t="shared" si="22"/>
        <v>CAPISTRANO VALLEY HS 1</v>
      </c>
      <c r="E79" s="122">
        <v>6</v>
      </c>
      <c r="F79" s="156" t="str">
        <f>D6</f>
        <v>D2(21)-SOUTH VALLEY</v>
      </c>
      <c r="G79" s="156"/>
      <c r="H79" s="156" t="str">
        <f>D7</f>
        <v>D3(28)-WCAC UNITED B</v>
      </c>
      <c r="I79" s="156"/>
      <c r="J79" s="122" t="s">
        <v>649</v>
      </c>
      <c r="K79" s="122"/>
      <c r="L79" s="122" t="str">
        <f t="shared" si="23"/>
        <v>16GX-006</v>
      </c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109"/>
      <c r="Y79" s="109"/>
      <c r="Z79" s="109"/>
    </row>
    <row r="80" spans="1:26" ht="12" customHeight="1">
      <c r="A80" s="309">
        <f t="shared" si="21"/>
        <v>46221</v>
      </c>
      <c r="B80" s="156">
        <f>'CHICLETS MASTER S1'!Z9</f>
        <v>0.46527777777777801</v>
      </c>
      <c r="C80" s="122" t="s">
        <v>163</v>
      </c>
      <c r="D80" s="122" t="str">
        <f t="shared" si="22"/>
        <v>CAPISTRANO VALLEY HS 1</v>
      </c>
      <c r="E80" s="122">
        <v>22</v>
      </c>
      <c r="F80" s="156" t="str">
        <f>F6</f>
        <v>19-BIG VALLEY</v>
      </c>
      <c r="G80" s="156"/>
      <c r="H80" s="156" t="str">
        <f>F7</f>
        <v>30-SHARKS</v>
      </c>
      <c r="I80" s="156"/>
      <c r="J80" s="122">
        <v>42</v>
      </c>
      <c r="K80" s="122">
        <v>46</v>
      </c>
      <c r="L80" s="122" t="str">
        <f t="shared" si="23"/>
        <v>16GX-022</v>
      </c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109"/>
      <c r="Y80" s="109"/>
      <c r="Z80" s="109"/>
    </row>
    <row r="81" spans="1:26" ht="12" customHeight="1">
      <c r="A81" s="309">
        <f t="shared" si="21"/>
        <v>46221</v>
      </c>
      <c r="B81" s="156">
        <f>'CHICLETS MASTER S1'!Z10</f>
        <v>0.5</v>
      </c>
      <c r="C81" s="122" t="s">
        <v>163</v>
      </c>
      <c r="D81" s="122" t="str">
        <f t="shared" si="22"/>
        <v>CAPISTRANO VALLEY HS 1</v>
      </c>
      <c r="E81" s="122">
        <v>34</v>
      </c>
      <c r="F81" s="156" t="s">
        <v>701</v>
      </c>
      <c r="G81" s="156"/>
      <c r="H81" s="156" t="s">
        <v>702</v>
      </c>
      <c r="I81" s="156"/>
      <c r="J81" s="122" t="s">
        <v>1620</v>
      </c>
      <c r="K81" s="122">
        <v>58</v>
      </c>
      <c r="L81" s="122" t="str">
        <f t="shared" si="23"/>
        <v>16GX-034</v>
      </c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109"/>
      <c r="Y81" s="109"/>
      <c r="Z81" s="109"/>
    </row>
    <row r="82" spans="1:26" ht="12" customHeight="1">
      <c r="A82" s="309">
        <f t="shared" si="21"/>
        <v>46221</v>
      </c>
      <c r="B82" s="156">
        <f>'CHICLETS MASTER S1'!Z11</f>
        <v>0.53472222222222199</v>
      </c>
      <c r="C82" s="122" t="s">
        <v>163</v>
      </c>
      <c r="D82" s="122" t="str">
        <f t="shared" si="22"/>
        <v>CAPISTRANO VALLEY HS 1</v>
      </c>
      <c r="E82" s="122">
        <v>38</v>
      </c>
      <c r="F82" s="156" t="s">
        <v>703</v>
      </c>
      <c r="G82" s="156"/>
      <c r="H82" s="156" t="s">
        <v>704</v>
      </c>
      <c r="I82" s="156"/>
      <c r="J82" s="125">
        <v>54</v>
      </c>
      <c r="K82" s="122" t="s">
        <v>1621</v>
      </c>
      <c r="L82" s="122" t="str">
        <f t="shared" si="23"/>
        <v>16GX-038</v>
      </c>
      <c r="M82" s="109"/>
      <c r="N82" s="109"/>
      <c r="O82" s="109"/>
      <c r="P82" s="109"/>
      <c r="Q82" s="109"/>
      <c r="R82" s="109"/>
      <c r="S82" s="109"/>
      <c r="T82" s="109"/>
      <c r="U82" s="109"/>
      <c r="V82" s="109"/>
      <c r="W82" s="109"/>
      <c r="X82" s="109"/>
      <c r="Y82" s="109"/>
      <c r="Z82" s="109"/>
    </row>
    <row r="83" spans="1:26" ht="12" customHeight="1">
      <c r="A83" s="309">
        <f t="shared" si="21"/>
        <v>46221</v>
      </c>
      <c r="B83" s="156">
        <f>'CHICLETS MASTER S1'!Z12</f>
        <v>0.56944444444444497</v>
      </c>
      <c r="C83" s="122" t="s">
        <v>649</v>
      </c>
      <c r="D83" s="122" t="str">
        <f t="shared" si="22"/>
        <v>CAPISTRANO VALLEY HS 1</v>
      </c>
      <c r="E83" s="122">
        <v>26</v>
      </c>
      <c r="F83" s="156" t="str">
        <f>D5</f>
        <v>D1 (4)-CORONA DEL MAR</v>
      </c>
      <c r="G83" s="156"/>
      <c r="H83" s="156" t="str">
        <f>D6</f>
        <v>D2(21)-SOUTH VALLEY</v>
      </c>
      <c r="I83" s="156"/>
      <c r="J83" s="122" t="s">
        <v>649</v>
      </c>
      <c r="K83" s="122"/>
      <c r="L83" s="122" t="str">
        <f t="shared" si="23"/>
        <v>16GX-026</v>
      </c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109"/>
      <c r="Y83" s="109"/>
      <c r="Z83" s="109"/>
    </row>
    <row r="84" spans="1:26" ht="12" customHeight="1">
      <c r="A84" s="309">
        <f t="shared" si="21"/>
        <v>46221</v>
      </c>
      <c r="B84" s="156">
        <f>'CHICLETS MASTER S1'!Z13</f>
        <v>0.60416666666666696</v>
      </c>
      <c r="C84" s="122" t="s">
        <v>163</v>
      </c>
      <c r="D84" s="122" t="str">
        <f t="shared" si="22"/>
        <v>CAPISTRANO VALLEY HS 1</v>
      </c>
      <c r="E84" s="122">
        <v>42</v>
      </c>
      <c r="F84" s="156" t="s">
        <v>706</v>
      </c>
      <c r="G84" s="156"/>
      <c r="H84" s="156" t="s">
        <v>707</v>
      </c>
      <c r="I84" s="156"/>
      <c r="J84" s="122" t="s">
        <v>1471</v>
      </c>
      <c r="K84" s="122">
        <v>54</v>
      </c>
      <c r="L84" s="122" t="str">
        <f t="shared" si="23"/>
        <v>16GX-042</v>
      </c>
      <c r="M84" s="109"/>
      <c r="N84" s="109"/>
      <c r="O84" s="109"/>
      <c r="P84" s="109"/>
      <c r="Q84" s="109"/>
      <c r="R84" s="109"/>
      <c r="S84" s="109"/>
      <c r="T84" s="109"/>
      <c r="U84" s="109"/>
      <c r="V84" s="109"/>
      <c r="W84" s="109"/>
      <c r="X84" s="109"/>
      <c r="Y84" s="109"/>
      <c r="Z84" s="109"/>
    </row>
    <row r="85" spans="1:26" ht="12" customHeight="1">
      <c r="A85" s="309">
        <f t="shared" si="21"/>
        <v>46221</v>
      </c>
      <c r="B85" s="156">
        <f>'CHICLETS MASTER S1'!Z14</f>
        <v>0.63888888888888895</v>
      </c>
      <c r="C85" s="122" t="s">
        <v>163</v>
      </c>
      <c r="D85" s="122" t="str">
        <f t="shared" si="22"/>
        <v>CAPISTRANO VALLEY HS 1</v>
      </c>
      <c r="E85" s="122">
        <v>46</v>
      </c>
      <c r="F85" s="156" t="s">
        <v>708</v>
      </c>
      <c r="G85" s="156"/>
      <c r="H85" s="156" t="s">
        <v>709</v>
      </c>
      <c r="I85" s="156"/>
      <c r="J85" s="122">
        <v>58</v>
      </c>
      <c r="K85" s="122" t="s">
        <v>1622</v>
      </c>
      <c r="L85" s="122" t="str">
        <f t="shared" si="23"/>
        <v>16GX-046</v>
      </c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109"/>
      <c r="Y85" s="109"/>
      <c r="Z85" s="109"/>
    </row>
    <row r="86" spans="1:26" ht="12" customHeight="1">
      <c r="A86" s="106"/>
      <c r="B86" s="106" t="s">
        <v>204</v>
      </c>
      <c r="C86" s="106"/>
      <c r="D86" s="106"/>
      <c r="E86" s="106"/>
      <c r="F86" s="106"/>
      <c r="G86" s="106"/>
      <c r="H86" s="106"/>
      <c r="I86" s="106"/>
      <c r="J86" s="106"/>
      <c r="K86" s="106"/>
      <c r="L86" s="122" t="str">
        <f t="shared" si="23"/>
        <v/>
      </c>
      <c r="M86" s="109"/>
      <c r="N86" s="109"/>
      <c r="O86" s="109"/>
      <c r="P86" s="109"/>
      <c r="Q86" s="109"/>
      <c r="R86" s="109"/>
      <c r="S86" s="109"/>
      <c r="T86" s="109"/>
      <c r="U86" s="109"/>
      <c r="V86" s="109"/>
      <c r="W86" s="109"/>
      <c r="X86" s="109"/>
      <c r="Y86" s="109"/>
      <c r="Z86" s="109"/>
    </row>
    <row r="87" spans="1:26" ht="12" customHeight="1">
      <c r="A87" s="309">
        <f t="shared" ref="A87:A89" si="25">$A$17</f>
        <v>46221</v>
      </c>
      <c r="B87" s="156">
        <f>'CHICLETS MASTER S1'!Z16</f>
        <v>0.70833333333333404</v>
      </c>
      <c r="C87" s="122" t="s">
        <v>275</v>
      </c>
      <c r="D87" s="122" t="str">
        <f t="shared" ref="D87:D89" si="26">$D$73</f>
        <v>CAPISTRANO VALLEY HS 1</v>
      </c>
      <c r="E87" s="122">
        <v>50</v>
      </c>
      <c r="F87" s="344" t="s">
        <v>711</v>
      </c>
      <c r="G87" s="156"/>
      <c r="H87" s="156" t="s">
        <v>132</v>
      </c>
      <c r="I87" s="156"/>
      <c r="J87" s="122" t="s">
        <v>1475</v>
      </c>
      <c r="K87" s="122" t="s">
        <v>1476</v>
      </c>
      <c r="L87" s="122" t="str">
        <f t="shared" si="23"/>
        <v>16GX-050</v>
      </c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109"/>
      <c r="Y87" s="109"/>
      <c r="Z87" s="109"/>
    </row>
    <row r="88" spans="1:26" ht="12" customHeight="1">
      <c r="A88" s="309">
        <f t="shared" si="25"/>
        <v>46221</v>
      </c>
      <c r="B88" s="156">
        <f>'CHICLETS MASTER S1'!Z17</f>
        <v>0.74305555555555602</v>
      </c>
      <c r="C88" s="122" t="s">
        <v>275</v>
      </c>
      <c r="D88" s="122" t="str">
        <f t="shared" si="26"/>
        <v>CAPISTRANO VALLEY HS 1</v>
      </c>
      <c r="E88" s="122">
        <v>54</v>
      </c>
      <c r="F88" s="156" t="s">
        <v>712</v>
      </c>
      <c r="G88" s="156"/>
      <c r="H88" s="156" t="s">
        <v>713</v>
      </c>
      <c r="I88" s="156"/>
      <c r="J88" s="122" t="s">
        <v>1478</v>
      </c>
      <c r="K88" s="122" t="s">
        <v>1479</v>
      </c>
      <c r="L88" s="122" t="str">
        <f t="shared" si="23"/>
        <v>16GX-054</v>
      </c>
      <c r="M88" s="109"/>
      <c r="N88" s="109"/>
      <c r="O88" s="109"/>
      <c r="P88" s="109"/>
      <c r="Q88" s="109"/>
      <c r="R88" s="109"/>
      <c r="S88" s="109"/>
      <c r="T88" s="109"/>
      <c r="U88" s="109"/>
      <c r="V88" s="109"/>
      <c r="W88" s="109"/>
      <c r="X88" s="109"/>
      <c r="Y88" s="109"/>
      <c r="Z88" s="109"/>
    </row>
    <row r="89" spans="1:26" ht="12" customHeight="1">
      <c r="A89" s="309">
        <f t="shared" si="25"/>
        <v>46221</v>
      </c>
      <c r="B89" s="156">
        <f>'CHICLETS MASTER S1'!Z18</f>
        <v>0.77777777777777801</v>
      </c>
      <c r="C89" s="122" t="s">
        <v>275</v>
      </c>
      <c r="D89" s="122" t="str">
        <f t="shared" si="26"/>
        <v>CAPISTRANO VALLEY HS 1</v>
      </c>
      <c r="E89" s="122">
        <v>58</v>
      </c>
      <c r="F89" s="156" t="s">
        <v>714</v>
      </c>
      <c r="G89" s="156"/>
      <c r="H89" s="156" t="s">
        <v>715</v>
      </c>
      <c r="I89" s="156"/>
      <c r="J89" s="122" t="s">
        <v>1481</v>
      </c>
      <c r="K89" s="122" t="s">
        <v>1482</v>
      </c>
      <c r="L89" s="122" t="str">
        <f t="shared" si="23"/>
        <v>16GX-058</v>
      </c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109"/>
      <c r="Y89" s="109"/>
      <c r="Z89" s="109"/>
    </row>
    <row r="90" spans="1:26" ht="12" customHeight="1">
      <c r="A90" s="345"/>
      <c r="B90" s="342"/>
      <c r="C90" s="342"/>
      <c r="D90" s="109"/>
      <c r="E90" s="109"/>
      <c r="F90" s="342"/>
      <c r="G90" s="342"/>
      <c r="H90" s="342"/>
      <c r="I90" s="342"/>
      <c r="J90" s="109"/>
      <c r="K90" s="109"/>
      <c r="L90" s="109"/>
      <c r="M90" s="109"/>
      <c r="N90" s="109"/>
      <c r="O90" s="109"/>
      <c r="P90" s="109"/>
      <c r="Q90" s="109"/>
      <c r="R90" s="109"/>
      <c r="S90" s="109"/>
      <c r="T90" s="109"/>
      <c r="U90" s="109"/>
      <c r="V90" s="109"/>
      <c r="W90" s="109"/>
      <c r="X90" s="109"/>
      <c r="Y90" s="109"/>
      <c r="Z90" s="109"/>
    </row>
    <row r="91" spans="1:26" ht="12" customHeight="1" thickBot="1">
      <c r="A91" s="109"/>
      <c r="B91" s="109"/>
      <c r="C91" s="109"/>
      <c r="D91" s="109"/>
      <c r="E91" s="109"/>
      <c r="F91" s="109"/>
      <c r="G91" s="109"/>
      <c r="H91" s="109"/>
      <c r="I91" s="109"/>
      <c r="J91" s="109"/>
      <c r="K91" s="109"/>
      <c r="L91" s="109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109"/>
      <c r="Y91" s="109"/>
      <c r="Z91" s="109"/>
    </row>
    <row r="92" spans="1:26" ht="12" customHeight="1" thickTop="1" thickBot="1">
      <c r="A92" s="105" t="s">
        <v>716</v>
      </c>
      <c r="B92" s="165"/>
      <c r="C92" s="165" t="s">
        <v>647</v>
      </c>
      <c r="D92" s="165"/>
      <c r="E92" s="165"/>
      <c r="F92" s="165"/>
      <c r="G92" s="165"/>
      <c r="H92" s="165"/>
      <c r="I92" s="165"/>
      <c r="J92" s="165"/>
      <c r="K92" s="165"/>
      <c r="L92" s="165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</row>
    <row r="93" spans="1:26" ht="12" customHeight="1">
      <c r="A93" s="108">
        <v>46222</v>
      </c>
      <c r="B93" s="341"/>
      <c r="C93" s="341"/>
      <c r="D93" s="341"/>
      <c r="E93" s="341"/>
      <c r="F93" s="109"/>
      <c r="G93" s="109"/>
      <c r="H93" s="109"/>
      <c r="I93" s="109"/>
      <c r="J93" s="109"/>
      <c r="K93" s="109"/>
      <c r="L93" s="109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109"/>
      <c r="Y93" s="109"/>
      <c r="Z93" s="109"/>
    </row>
    <row r="94" spans="1:26" ht="12" customHeight="1">
      <c r="A94" s="163" t="s">
        <v>717</v>
      </c>
      <c r="B94" s="346" t="s">
        <v>1494</v>
      </c>
      <c r="C94" s="346" t="s">
        <v>1495</v>
      </c>
      <c r="D94" s="347" t="s">
        <v>1496</v>
      </c>
      <c r="E94" s="346" t="s">
        <v>1497</v>
      </c>
      <c r="F94" s="109"/>
      <c r="G94" s="109"/>
      <c r="H94" s="109"/>
      <c r="I94" s="109"/>
      <c r="J94" s="109"/>
      <c r="K94" s="109"/>
      <c r="L94" s="109"/>
      <c r="M94" s="109"/>
      <c r="N94" s="109"/>
      <c r="O94" s="109"/>
      <c r="P94" s="109"/>
      <c r="Q94" s="109"/>
      <c r="R94" s="109"/>
      <c r="S94" s="109"/>
      <c r="T94" s="109"/>
      <c r="U94" s="109"/>
      <c r="V94" s="109"/>
      <c r="W94" s="109"/>
      <c r="X94" s="109"/>
      <c r="Y94" s="109"/>
      <c r="Z94" s="109"/>
    </row>
    <row r="95" spans="1:26" ht="12" customHeight="1">
      <c r="A95" s="345"/>
      <c r="B95" s="126" t="s">
        <v>153</v>
      </c>
      <c r="C95" s="126" t="s">
        <v>718</v>
      </c>
      <c r="D95" s="126" t="s">
        <v>719</v>
      </c>
      <c r="E95" s="126" t="s">
        <v>156</v>
      </c>
      <c r="F95" s="109"/>
      <c r="G95" s="109"/>
      <c r="H95" s="109"/>
      <c r="I95" s="109"/>
      <c r="J95" s="109"/>
      <c r="K95" s="109"/>
      <c r="L95" s="109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109"/>
      <c r="Y95" s="109"/>
      <c r="Z95" s="109"/>
    </row>
    <row r="96" spans="1:26" ht="12" customHeight="1">
      <c r="A96" s="345"/>
      <c r="B96" s="126" t="s">
        <v>720</v>
      </c>
      <c r="C96" s="126" t="s">
        <v>721</v>
      </c>
      <c r="D96" s="126" t="s">
        <v>722</v>
      </c>
      <c r="E96" s="126" t="s">
        <v>723</v>
      </c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</row>
    <row r="97" spans="1:26" ht="12" customHeight="1">
      <c r="A97" s="345"/>
      <c r="B97" s="126" t="s">
        <v>724</v>
      </c>
      <c r="C97" s="126" t="s">
        <v>725</v>
      </c>
      <c r="D97" s="126" t="s">
        <v>726</v>
      </c>
      <c r="E97" s="126" t="s">
        <v>727</v>
      </c>
      <c r="F97" s="109"/>
      <c r="G97" s="109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</row>
    <row r="98" spans="1:26" ht="12" customHeight="1">
      <c r="A98" s="345"/>
      <c r="B98" s="342"/>
      <c r="C98" s="342"/>
      <c r="D98" s="109"/>
      <c r="E98" s="342"/>
      <c r="F98" s="109"/>
      <c r="G98" s="342"/>
      <c r="H98" s="342"/>
      <c r="I98" s="342"/>
      <c r="J98" s="109"/>
      <c r="K98" s="109"/>
      <c r="L98" s="109"/>
      <c r="M98" s="109"/>
      <c r="N98" s="109"/>
      <c r="O98" s="109"/>
      <c r="P98" s="109"/>
      <c r="Q98" s="109"/>
      <c r="R98" s="109"/>
      <c r="S98" s="109"/>
      <c r="T98" s="109"/>
      <c r="U98" s="109"/>
      <c r="V98" s="109"/>
      <c r="W98" s="109"/>
      <c r="X98" s="109"/>
      <c r="Y98" s="109"/>
      <c r="Z98" s="109"/>
    </row>
    <row r="99" spans="1:26" ht="12" customHeight="1">
      <c r="A99" s="163" t="s">
        <v>717</v>
      </c>
      <c r="B99" s="346" t="s">
        <v>1507</v>
      </c>
      <c r="C99" s="346" t="s">
        <v>1508</v>
      </c>
      <c r="D99" s="347" t="s">
        <v>1509</v>
      </c>
      <c r="E99" s="346" t="s">
        <v>1510</v>
      </c>
      <c r="F99" s="109"/>
      <c r="G99" s="342"/>
      <c r="H99" s="342"/>
      <c r="I99" s="342"/>
      <c r="J99" s="109"/>
      <c r="K99" s="109"/>
      <c r="L99" s="109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109"/>
      <c r="Y99" s="109"/>
      <c r="Z99" s="109"/>
    </row>
    <row r="100" spans="1:26" ht="12" customHeight="1">
      <c r="A100" s="345"/>
      <c r="B100" s="126" t="s">
        <v>728</v>
      </c>
      <c r="C100" s="126" t="s">
        <v>729</v>
      </c>
      <c r="D100" s="126" t="s">
        <v>730</v>
      </c>
      <c r="E100" s="126" t="s">
        <v>552</v>
      </c>
      <c r="F100" s="109"/>
      <c r="G100" s="342"/>
      <c r="H100" s="342"/>
      <c r="I100" s="342"/>
      <c r="J100" s="109"/>
      <c r="K100" s="109"/>
      <c r="L100" s="109"/>
      <c r="M100" s="109"/>
      <c r="N100" s="109"/>
      <c r="O100" s="109"/>
      <c r="P100" s="109"/>
      <c r="Q100" s="109"/>
      <c r="R100" s="109"/>
      <c r="S100" s="109"/>
      <c r="T100" s="109"/>
      <c r="U100" s="109"/>
      <c r="V100" s="109"/>
      <c r="W100" s="109"/>
      <c r="X100" s="109"/>
      <c r="Y100" s="109"/>
      <c r="Z100" s="109"/>
    </row>
    <row r="101" spans="1:26" ht="12" customHeight="1">
      <c r="A101" s="345"/>
      <c r="B101" s="126" t="s">
        <v>731</v>
      </c>
      <c r="C101" s="126" t="s">
        <v>732</v>
      </c>
      <c r="D101" s="126" t="s">
        <v>733</v>
      </c>
      <c r="E101" s="126" t="s">
        <v>556</v>
      </c>
      <c r="F101" s="109"/>
      <c r="G101" s="342"/>
      <c r="H101" s="342"/>
      <c r="I101" s="342"/>
      <c r="J101" s="109"/>
      <c r="K101" s="109"/>
      <c r="L101" s="109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109"/>
      <c r="Y101" s="109"/>
      <c r="Z101" s="109"/>
    </row>
    <row r="102" spans="1:26" ht="12" customHeight="1">
      <c r="A102" s="345"/>
      <c r="B102" s="126" t="s">
        <v>734</v>
      </c>
      <c r="C102" s="126" t="s">
        <v>735</v>
      </c>
      <c r="D102" s="126" t="s">
        <v>551</v>
      </c>
      <c r="E102" s="126" t="s">
        <v>555</v>
      </c>
      <c r="F102" s="109"/>
      <c r="G102" s="342"/>
      <c r="H102" s="342"/>
      <c r="I102" s="342"/>
      <c r="J102" s="109"/>
      <c r="K102" s="109"/>
      <c r="L102" s="109"/>
      <c r="M102" s="109"/>
      <c r="N102" s="109"/>
      <c r="O102" s="109"/>
      <c r="P102" s="109"/>
      <c r="Q102" s="109"/>
      <c r="R102" s="109"/>
      <c r="S102" s="109"/>
      <c r="T102" s="109"/>
      <c r="U102" s="109"/>
      <c r="V102" s="109"/>
      <c r="W102" s="109"/>
      <c r="X102" s="109"/>
      <c r="Y102" s="109"/>
      <c r="Z102" s="109"/>
    </row>
    <row r="103" spans="1:26" ht="12" customHeight="1">
      <c r="A103" s="345"/>
      <c r="B103" s="342"/>
      <c r="C103" s="342"/>
      <c r="D103" s="109"/>
      <c r="E103" s="342"/>
      <c r="F103" s="109"/>
      <c r="G103" s="342"/>
      <c r="H103" s="342"/>
      <c r="I103" s="342"/>
      <c r="J103" s="109"/>
      <c r="K103" s="109"/>
      <c r="L103" s="109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109"/>
      <c r="Y103" s="109"/>
      <c r="Z103" s="109"/>
    </row>
    <row r="104" spans="1:26" ht="12" customHeight="1">
      <c r="A104" s="163" t="s">
        <v>736</v>
      </c>
      <c r="B104" s="282" t="s">
        <v>1511</v>
      </c>
      <c r="C104" s="282" t="s">
        <v>1512</v>
      </c>
      <c r="D104" s="283" t="s">
        <v>1513</v>
      </c>
      <c r="E104" s="282" t="s">
        <v>1514</v>
      </c>
      <c r="F104" s="109"/>
      <c r="G104" s="109"/>
      <c r="H104" s="109"/>
      <c r="I104" s="109"/>
      <c r="J104" s="109"/>
      <c r="K104" s="109"/>
      <c r="L104" s="109"/>
      <c r="M104" s="109"/>
      <c r="N104" s="109"/>
      <c r="O104" s="109"/>
      <c r="P104" s="109"/>
      <c r="Q104" s="109"/>
      <c r="R104" s="109"/>
      <c r="S104" s="109"/>
      <c r="T104" s="109"/>
      <c r="U104" s="109"/>
      <c r="V104" s="109"/>
      <c r="W104" s="109"/>
      <c r="X104" s="109"/>
      <c r="Y104" s="109"/>
      <c r="Z104" s="109"/>
    </row>
    <row r="105" spans="1:26" ht="12" customHeight="1">
      <c r="A105" s="345"/>
      <c r="B105" s="126" t="s">
        <v>558</v>
      </c>
      <c r="C105" s="126" t="s">
        <v>560</v>
      </c>
      <c r="D105" s="126" t="s">
        <v>737</v>
      </c>
      <c r="E105" s="126" t="s">
        <v>738</v>
      </c>
      <c r="F105" s="109"/>
      <c r="G105" s="109"/>
      <c r="H105" s="109"/>
      <c r="I105" s="109"/>
      <c r="J105" s="109"/>
      <c r="K105" s="109"/>
      <c r="L105" s="109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109"/>
      <c r="Y105" s="109"/>
      <c r="Z105" s="109"/>
    </row>
    <row r="106" spans="1:26" ht="12" customHeight="1">
      <c r="A106" s="345"/>
      <c r="B106" s="126" t="s">
        <v>557</v>
      </c>
      <c r="C106" s="126" t="s">
        <v>739</v>
      </c>
      <c r="D106" s="126" t="s">
        <v>740</v>
      </c>
      <c r="E106" s="126" t="s">
        <v>741</v>
      </c>
      <c r="F106" s="109"/>
      <c r="G106" s="109"/>
      <c r="H106" s="109"/>
      <c r="I106" s="109"/>
      <c r="J106" s="109"/>
      <c r="K106" s="109"/>
      <c r="L106" s="109"/>
      <c r="M106" s="109"/>
      <c r="N106" s="109"/>
      <c r="O106" s="109"/>
      <c r="P106" s="109"/>
      <c r="Q106" s="109"/>
      <c r="R106" s="109"/>
      <c r="S106" s="109"/>
      <c r="T106" s="109"/>
      <c r="U106" s="109"/>
      <c r="V106" s="109"/>
      <c r="W106" s="109"/>
      <c r="X106" s="109"/>
      <c r="Y106" s="109"/>
      <c r="Z106" s="109"/>
    </row>
    <row r="107" spans="1:26" ht="12" customHeight="1">
      <c r="A107" s="345"/>
      <c r="B107" s="126" t="s">
        <v>559</v>
      </c>
      <c r="C107" s="126" t="s">
        <v>742</v>
      </c>
      <c r="D107" s="126" t="s">
        <v>743</v>
      </c>
      <c r="E107" s="126" t="s">
        <v>744</v>
      </c>
      <c r="F107" s="109"/>
      <c r="G107" s="109"/>
      <c r="H107" s="109"/>
      <c r="I107" s="109"/>
      <c r="J107" s="109"/>
      <c r="K107" s="109"/>
      <c r="L107" s="109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109"/>
      <c r="Y107" s="109"/>
      <c r="Z107" s="109"/>
    </row>
    <row r="108" spans="1:26" ht="12" customHeight="1">
      <c r="A108" s="345"/>
      <c r="B108" s="342"/>
      <c r="C108" s="342"/>
      <c r="D108" s="109"/>
      <c r="E108" s="342"/>
      <c r="F108" s="109"/>
      <c r="G108" s="342"/>
      <c r="H108" s="342"/>
      <c r="I108" s="342"/>
      <c r="J108" s="109"/>
      <c r="K108" s="109"/>
      <c r="L108" s="109"/>
      <c r="M108" s="109"/>
      <c r="N108" s="109"/>
      <c r="O108" s="109"/>
      <c r="P108" s="109"/>
      <c r="Q108" s="109"/>
      <c r="R108" s="109"/>
      <c r="S108" s="109"/>
      <c r="T108" s="109"/>
      <c r="U108" s="109"/>
      <c r="V108" s="109"/>
      <c r="W108" s="109"/>
      <c r="X108" s="109"/>
      <c r="Y108" s="109"/>
      <c r="Z108" s="109"/>
    </row>
    <row r="109" spans="1:26" ht="12" customHeight="1">
      <c r="A109" s="163" t="s">
        <v>736</v>
      </c>
      <c r="B109" s="282" t="s">
        <v>1623</v>
      </c>
      <c r="C109" s="282" t="s">
        <v>1624</v>
      </c>
      <c r="D109" s="283" t="s">
        <v>1625</v>
      </c>
      <c r="E109" s="282" t="s">
        <v>1626</v>
      </c>
      <c r="F109" s="109"/>
      <c r="G109" s="342"/>
      <c r="H109" s="342"/>
      <c r="I109" s="342"/>
      <c r="J109" s="109"/>
      <c r="K109" s="109"/>
      <c r="L109" s="109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109"/>
      <c r="Y109" s="109"/>
      <c r="Z109" s="109"/>
    </row>
    <row r="110" spans="1:26" ht="12" customHeight="1">
      <c r="A110" s="345"/>
      <c r="B110" s="126" t="s">
        <v>749</v>
      </c>
      <c r="C110" s="126" t="s">
        <v>750</v>
      </c>
      <c r="D110" s="126" t="s">
        <v>751</v>
      </c>
      <c r="E110" s="126"/>
      <c r="F110" s="109"/>
      <c r="G110" s="342"/>
      <c r="H110" s="342"/>
      <c r="I110" s="342"/>
      <c r="J110" s="109"/>
      <c r="K110" s="109"/>
      <c r="L110" s="109"/>
      <c r="M110" s="109"/>
      <c r="N110" s="109"/>
      <c r="O110" s="109"/>
      <c r="P110" s="109"/>
      <c r="Q110" s="109"/>
      <c r="R110" s="109"/>
      <c r="S110" s="109"/>
      <c r="T110" s="109"/>
      <c r="U110" s="109"/>
      <c r="V110" s="109"/>
      <c r="W110" s="109"/>
      <c r="X110" s="109"/>
      <c r="Y110" s="109"/>
      <c r="Z110" s="109"/>
    </row>
    <row r="111" spans="1:26" ht="12" customHeight="1">
      <c r="A111" s="345"/>
      <c r="B111" s="126" t="s">
        <v>752</v>
      </c>
      <c r="C111" s="126" t="s">
        <v>753</v>
      </c>
      <c r="D111" s="126" t="s">
        <v>754</v>
      </c>
      <c r="E111" s="126"/>
      <c r="F111" s="109"/>
      <c r="G111" s="342"/>
      <c r="H111" s="342"/>
      <c r="I111" s="342"/>
      <c r="J111" s="109"/>
      <c r="K111" s="109"/>
      <c r="L111" s="109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109"/>
      <c r="Y111" s="109"/>
      <c r="Z111" s="109"/>
    </row>
    <row r="112" spans="1:26" ht="12" customHeight="1">
      <c r="A112" s="345"/>
      <c r="B112" s="126" t="s">
        <v>755</v>
      </c>
      <c r="C112" s="126" t="s">
        <v>756</v>
      </c>
      <c r="D112" s="126" t="s">
        <v>757</v>
      </c>
      <c r="E112" s="126"/>
      <c r="F112" s="109"/>
      <c r="G112" s="342"/>
      <c r="H112" s="342"/>
      <c r="I112" s="342"/>
      <c r="J112" s="109"/>
      <c r="K112" s="109"/>
      <c r="L112" s="109" t="s">
        <v>516</v>
      </c>
      <c r="M112" s="109"/>
      <c r="N112" s="109"/>
      <c r="O112" s="109"/>
      <c r="P112" s="109"/>
      <c r="Q112" s="109"/>
      <c r="R112" s="109"/>
      <c r="S112" s="109"/>
      <c r="T112" s="109"/>
      <c r="U112" s="109"/>
      <c r="V112" s="109"/>
      <c r="W112" s="109"/>
      <c r="X112" s="109"/>
      <c r="Y112" s="109"/>
      <c r="Z112" s="109"/>
    </row>
    <row r="113" spans="1:26" ht="12" customHeight="1" thickBot="1">
      <c r="A113" s="345"/>
      <c r="B113" s="345"/>
      <c r="C113" s="345"/>
      <c r="D113" s="109"/>
      <c r="E113" s="109"/>
      <c r="F113" s="345"/>
      <c r="G113" s="345"/>
      <c r="H113" s="345"/>
      <c r="I113" s="345"/>
      <c r="J113" s="109"/>
      <c r="K113" s="109"/>
      <c r="L113" s="109" t="s">
        <v>517</v>
      </c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  <c r="Y113" s="109"/>
      <c r="Z113" s="109"/>
    </row>
    <row r="114" spans="1:26" ht="12" customHeight="1" thickBot="1">
      <c r="A114" s="117"/>
      <c r="B114" s="118"/>
      <c r="C114" s="341"/>
      <c r="D114" s="119" t="str">
        <f>'CHICLETS MASTER S1'!AF27</f>
        <v>MARINA HS</v>
      </c>
      <c r="E114" s="106"/>
      <c r="F114" s="341"/>
      <c r="G114" s="341"/>
      <c r="H114" s="341"/>
      <c r="I114" s="341"/>
      <c r="J114" s="341"/>
      <c r="K114" s="341"/>
      <c r="L114" s="341"/>
      <c r="M114" s="109"/>
      <c r="N114" s="109"/>
      <c r="O114" s="109"/>
      <c r="P114" s="109"/>
      <c r="Q114" s="109"/>
      <c r="R114" s="109"/>
      <c r="S114" s="109"/>
      <c r="T114" s="109"/>
      <c r="U114" s="109"/>
      <c r="V114" s="109"/>
      <c r="W114" s="109"/>
      <c r="X114" s="109"/>
      <c r="Y114" s="109"/>
      <c r="Z114" s="109"/>
    </row>
    <row r="115" spans="1:26" ht="12" customHeight="1">
      <c r="A115" s="280" t="s">
        <v>110</v>
      </c>
      <c r="B115" s="281" t="s">
        <v>111</v>
      </c>
      <c r="C115" s="280" t="s">
        <v>112</v>
      </c>
      <c r="D115" s="280" t="s">
        <v>113</v>
      </c>
      <c r="E115" s="280" t="s">
        <v>114</v>
      </c>
      <c r="F115" s="280" t="s">
        <v>115</v>
      </c>
      <c r="G115" s="280" t="s">
        <v>116</v>
      </c>
      <c r="H115" s="280" t="s">
        <v>117</v>
      </c>
      <c r="I115" s="280" t="s">
        <v>116</v>
      </c>
      <c r="J115" s="280" t="s">
        <v>118</v>
      </c>
      <c r="K115" s="280" t="s">
        <v>119</v>
      </c>
      <c r="L115" s="280" t="s">
        <v>120</v>
      </c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109"/>
      <c r="Y115" s="109"/>
      <c r="Z115" s="109"/>
    </row>
    <row r="116" spans="1:26" ht="12" customHeight="1">
      <c r="A116" s="135">
        <f t="shared" ref="A116:A127" si="27">$A$93</f>
        <v>46222</v>
      </c>
      <c r="B116" s="136">
        <f>'CHICLETS MASTER S1'!Z28</f>
        <v>0.29166666666666669</v>
      </c>
      <c r="C116" s="136" t="s">
        <v>163</v>
      </c>
      <c r="D116" s="137" t="str">
        <f t="shared" ref="D116:D127" si="28">$D$114</f>
        <v>MARINA HS</v>
      </c>
      <c r="E116" s="137">
        <v>64</v>
      </c>
      <c r="F116" s="136" t="s">
        <v>1620</v>
      </c>
      <c r="G116" s="136"/>
      <c r="H116" s="136" t="s">
        <v>1459</v>
      </c>
      <c r="I116" s="136"/>
      <c r="J116" s="137" t="s">
        <v>121</v>
      </c>
      <c r="K116" s="137"/>
      <c r="L116" s="136" t="str">
        <f t="shared" ref="L116:L130" si="29">IF(E116="","",$L$17&amp;"-"&amp;TEXT(E116,"000"))</f>
        <v>16GX-064</v>
      </c>
      <c r="M116" s="109"/>
      <c r="N116" s="109" t="str">
        <f>$L$112&amp;C116</f>
        <v>ag_Group</v>
      </c>
      <c r="O116" s="109"/>
      <c r="P116" s="109"/>
      <c r="Q116" s="109"/>
      <c r="R116" s="109"/>
      <c r="S116" s="109"/>
      <c r="T116" s="109"/>
      <c r="U116" s="109"/>
      <c r="V116" s="109"/>
      <c r="W116" s="109"/>
      <c r="X116" s="109"/>
      <c r="Y116" s="109"/>
      <c r="Z116" s="109"/>
    </row>
    <row r="117" spans="1:26" ht="12" customHeight="1">
      <c r="A117" s="284">
        <f t="shared" si="27"/>
        <v>46222</v>
      </c>
      <c r="B117" s="285">
        <f>'CHICLETS MASTER S1'!Z29</f>
        <v>0.3263888888888889</v>
      </c>
      <c r="C117" s="285" t="s">
        <v>163</v>
      </c>
      <c r="D117" s="286" t="str">
        <f t="shared" si="28"/>
        <v>MARINA HS</v>
      </c>
      <c r="E117" s="286">
        <v>68</v>
      </c>
      <c r="F117" s="285" t="s">
        <v>1612</v>
      </c>
      <c r="G117" s="286"/>
      <c r="H117" s="285" t="s">
        <v>1619</v>
      </c>
      <c r="I117" s="286"/>
      <c r="J117" s="286" t="s">
        <v>121</v>
      </c>
      <c r="K117" s="286"/>
      <c r="L117" s="285" t="str">
        <f t="shared" si="29"/>
        <v>16GX-068</v>
      </c>
      <c r="M117" s="109"/>
      <c r="N117" s="109" t="str">
        <f>$L$113&amp;C117</f>
        <v>bz_Group</v>
      </c>
      <c r="O117" s="109"/>
      <c r="P117" s="109"/>
      <c r="Q117" s="109"/>
      <c r="R117" s="109"/>
      <c r="S117" s="109"/>
      <c r="T117" s="109"/>
      <c r="U117" s="109"/>
      <c r="V117" s="109"/>
      <c r="W117" s="109"/>
      <c r="X117" s="109"/>
      <c r="Y117" s="109"/>
      <c r="Z117" s="109"/>
    </row>
    <row r="118" spans="1:26" ht="12" customHeight="1">
      <c r="A118" s="135">
        <f t="shared" si="27"/>
        <v>46222</v>
      </c>
      <c r="B118" s="136">
        <f>'CHICLETS MASTER S1'!Z30</f>
        <v>0.36111111111111099</v>
      </c>
      <c r="C118" s="136" t="s">
        <v>163</v>
      </c>
      <c r="D118" s="137" t="str">
        <f t="shared" si="28"/>
        <v>MARINA HS</v>
      </c>
      <c r="E118" s="137">
        <v>72</v>
      </c>
      <c r="F118" s="136" t="s">
        <v>1454</v>
      </c>
      <c r="G118" s="136"/>
      <c r="H118" s="136" t="s">
        <v>1457</v>
      </c>
      <c r="I118" s="136"/>
      <c r="J118" s="137" t="s">
        <v>121</v>
      </c>
      <c r="K118" s="137"/>
      <c r="L118" s="136" t="str">
        <f t="shared" si="29"/>
        <v>16GX-072</v>
      </c>
      <c r="M118" s="109"/>
      <c r="N118" s="109" t="str">
        <f>$L$112&amp;C118</f>
        <v>ag_Group</v>
      </c>
      <c r="O118" s="109"/>
      <c r="P118" s="109"/>
      <c r="Q118" s="109"/>
      <c r="R118" s="109"/>
      <c r="S118" s="109"/>
      <c r="T118" s="109"/>
      <c r="U118" s="109"/>
      <c r="V118" s="109"/>
      <c r="W118" s="109"/>
      <c r="X118" s="109"/>
      <c r="Y118" s="109"/>
      <c r="Z118" s="109"/>
    </row>
    <row r="119" spans="1:26" ht="12" customHeight="1">
      <c r="A119" s="284">
        <f t="shared" si="27"/>
        <v>46222</v>
      </c>
      <c r="B119" s="285">
        <f>'CHICLETS MASTER S1'!Z31</f>
        <v>0.39583333333333398</v>
      </c>
      <c r="C119" s="285" t="s">
        <v>163</v>
      </c>
      <c r="D119" s="286" t="str">
        <f t="shared" si="28"/>
        <v>MARINA HS</v>
      </c>
      <c r="E119" s="286">
        <v>76</v>
      </c>
      <c r="F119" s="285" t="s">
        <v>1479</v>
      </c>
      <c r="G119" s="286"/>
      <c r="H119" s="285" t="s">
        <v>1470</v>
      </c>
      <c r="I119" s="286"/>
      <c r="J119" s="286" t="s">
        <v>121</v>
      </c>
      <c r="K119" s="286"/>
      <c r="L119" s="285" t="str">
        <f t="shared" si="29"/>
        <v>16GX-076</v>
      </c>
      <c r="M119" s="109"/>
      <c r="N119" s="109" t="str">
        <f>$L$113&amp;C119</f>
        <v>bz_Group</v>
      </c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</row>
    <row r="120" spans="1:26" ht="12" customHeight="1">
      <c r="A120" s="135">
        <f t="shared" si="27"/>
        <v>46222</v>
      </c>
      <c r="B120" s="136">
        <f>'CHICLETS MASTER S1'!Z32</f>
        <v>0.43055555555555602</v>
      </c>
      <c r="C120" s="136" t="s">
        <v>163</v>
      </c>
      <c r="D120" s="137" t="str">
        <f t="shared" si="28"/>
        <v>MARINA HS</v>
      </c>
      <c r="E120" s="137">
        <v>80</v>
      </c>
      <c r="F120" s="136" t="s">
        <v>1627</v>
      </c>
      <c r="G120" s="136"/>
      <c r="H120" s="136" t="s">
        <v>1459</v>
      </c>
      <c r="I120" s="136"/>
      <c r="J120" s="137" t="s">
        <v>121</v>
      </c>
      <c r="K120" s="137"/>
      <c r="L120" s="136" t="str">
        <f t="shared" si="29"/>
        <v>16GX-080</v>
      </c>
      <c r="M120" s="109"/>
      <c r="N120" s="109" t="str">
        <f>$L$112&amp;C120</f>
        <v>ag_Group</v>
      </c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</row>
    <row r="121" spans="1:26" ht="12" customHeight="1">
      <c r="A121" s="284">
        <f t="shared" si="27"/>
        <v>46222</v>
      </c>
      <c r="B121" s="285">
        <f>'CHICLETS MASTER S1'!Z33</f>
        <v>0.46527777777777801</v>
      </c>
      <c r="C121" s="285" t="s">
        <v>163</v>
      </c>
      <c r="D121" s="286" t="str">
        <f t="shared" si="28"/>
        <v>MARINA HS</v>
      </c>
      <c r="E121" s="286">
        <v>84</v>
      </c>
      <c r="F121" s="285" t="s">
        <v>1612</v>
      </c>
      <c r="G121" s="286"/>
      <c r="H121" s="285" t="s">
        <v>1610</v>
      </c>
      <c r="I121" s="286"/>
      <c r="J121" s="286" t="s">
        <v>121</v>
      </c>
      <c r="K121" s="286"/>
      <c r="L121" s="285" t="str">
        <f t="shared" si="29"/>
        <v>16GX-084</v>
      </c>
      <c r="M121" s="109"/>
      <c r="N121" s="109" t="str">
        <f>$L$113&amp;C121</f>
        <v>bz_Group</v>
      </c>
      <c r="O121" s="109"/>
      <c r="P121" s="109"/>
      <c r="Q121" s="109"/>
      <c r="R121" s="109"/>
      <c r="S121" s="109"/>
      <c r="T121" s="109"/>
      <c r="U121" s="109"/>
      <c r="V121" s="109"/>
      <c r="W121" s="109"/>
      <c r="X121" s="109"/>
      <c r="Y121" s="109"/>
      <c r="Z121" s="109"/>
    </row>
    <row r="122" spans="1:26" ht="12" customHeight="1">
      <c r="A122" s="135">
        <f t="shared" si="27"/>
        <v>46222</v>
      </c>
      <c r="B122" s="136">
        <f>'CHICLETS MASTER S1'!Z34</f>
        <v>0.5</v>
      </c>
      <c r="C122" s="136" t="s">
        <v>163</v>
      </c>
      <c r="D122" s="137" t="str">
        <f t="shared" si="28"/>
        <v>MARINA HS</v>
      </c>
      <c r="E122" s="137">
        <v>88</v>
      </c>
      <c r="F122" s="136" t="s">
        <v>1454</v>
      </c>
      <c r="G122" s="136"/>
      <c r="H122" s="136" t="s">
        <v>1488</v>
      </c>
      <c r="I122" s="136"/>
      <c r="J122" s="137" t="s">
        <v>121</v>
      </c>
      <c r="K122" s="137"/>
      <c r="L122" s="136" t="str">
        <f t="shared" si="29"/>
        <v>16GX-088</v>
      </c>
      <c r="M122" s="109"/>
      <c r="N122" s="109" t="str">
        <f>$L$112&amp;C122</f>
        <v>ag_Group</v>
      </c>
      <c r="O122" s="109"/>
      <c r="P122" s="109"/>
      <c r="Q122" s="109"/>
      <c r="R122" s="109"/>
      <c r="S122" s="109"/>
      <c r="T122" s="109"/>
      <c r="U122" s="109"/>
      <c r="V122" s="109"/>
      <c r="W122" s="109"/>
      <c r="X122" s="109"/>
      <c r="Y122" s="109"/>
      <c r="Z122" s="109"/>
    </row>
    <row r="123" spans="1:26" ht="12" customHeight="1">
      <c r="A123" s="284">
        <f t="shared" si="27"/>
        <v>46222</v>
      </c>
      <c r="B123" s="285">
        <f>'CHICLETS MASTER S1'!Z35</f>
        <v>0.53472222222222199</v>
      </c>
      <c r="C123" s="285" t="s">
        <v>163</v>
      </c>
      <c r="D123" s="286" t="str">
        <f t="shared" si="28"/>
        <v>MARINA HS</v>
      </c>
      <c r="E123" s="286">
        <v>92</v>
      </c>
      <c r="F123" s="285" t="s">
        <v>1476</v>
      </c>
      <c r="G123" s="286"/>
      <c r="H123" s="285" t="s">
        <v>1470</v>
      </c>
      <c r="I123" s="286"/>
      <c r="J123" s="286" t="s">
        <v>121</v>
      </c>
      <c r="K123" s="286"/>
      <c r="L123" s="285" t="str">
        <f t="shared" si="29"/>
        <v>16GX-092</v>
      </c>
      <c r="M123" s="109"/>
      <c r="N123" s="109" t="str">
        <f>$L$113&amp;C123</f>
        <v>bz_Group</v>
      </c>
      <c r="O123" s="109"/>
      <c r="P123" s="109"/>
      <c r="Q123" s="109"/>
      <c r="R123" s="109"/>
      <c r="S123" s="109"/>
      <c r="T123" s="109"/>
      <c r="U123" s="109"/>
      <c r="V123" s="109"/>
      <c r="W123" s="109"/>
      <c r="X123" s="109"/>
      <c r="Y123" s="109"/>
      <c r="Z123" s="109"/>
    </row>
    <row r="124" spans="1:26" ht="12" customHeight="1">
      <c r="A124" s="135">
        <f t="shared" si="27"/>
        <v>46222</v>
      </c>
      <c r="B124" s="136">
        <f>'CHICLETS MASTER S1'!Z36</f>
        <v>0.56944444444444497</v>
      </c>
      <c r="C124" s="136" t="s">
        <v>163</v>
      </c>
      <c r="D124" s="137" t="str">
        <f t="shared" si="28"/>
        <v>MARINA HS</v>
      </c>
      <c r="E124" s="137">
        <v>96</v>
      </c>
      <c r="F124" s="136" t="s">
        <v>1627</v>
      </c>
      <c r="G124" s="136"/>
      <c r="H124" s="136" t="s">
        <v>1620</v>
      </c>
      <c r="I124" s="136"/>
      <c r="J124" s="137" t="s">
        <v>121</v>
      </c>
      <c r="K124" s="137"/>
      <c r="L124" s="136" t="str">
        <f t="shared" si="29"/>
        <v>16GX-096</v>
      </c>
      <c r="M124" s="109"/>
      <c r="N124" s="109" t="str">
        <f>$L$112&amp;C124</f>
        <v>ag_Group</v>
      </c>
      <c r="O124" s="109"/>
      <c r="P124" s="109"/>
      <c r="Q124" s="109"/>
      <c r="R124" s="109"/>
      <c r="S124" s="109"/>
      <c r="T124" s="109"/>
      <c r="U124" s="109"/>
      <c r="V124" s="109"/>
      <c r="W124" s="109"/>
      <c r="X124" s="109"/>
      <c r="Y124" s="109"/>
      <c r="Z124" s="109"/>
    </row>
    <row r="125" spans="1:26" ht="12" customHeight="1">
      <c r="A125" s="284">
        <f t="shared" si="27"/>
        <v>46222</v>
      </c>
      <c r="B125" s="285">
        <f>'CHICLETS MASTER S1'!Z37</f>
        <v>0.60416666666666696</v>
      </c>
      <c r="C125" s="285" t="s">
        <v>163</v>
      </c>
      <c r="D125" s="286" t="str">
        <f t="shared" si="28"/>
        <v>MARINA HS</v>
      </c>
      <c r="E125" s="286">
        <v>100</v>
      </c>
      <c r="F125" s="285" t="s">
        <v>1619</v>
      </c>
      <c r="G125" s="286"/>
      <c r="H125" s="285" t="s">
        <v>1610</v>
      </c>
      <c r="I125" s="286"/>
      <c r="J125" s="286" t="s">
        <v>121</v>
      </c>
      <c r="K125" s="286"/>
      <c r="L125" s="285" t="str">
        <f t="shared" si="29"/>
        <v>16GX-100</v>
      </c>
      <c r="M125" s="109"/>
      <c r="N125" s="109" t="str">
        <f>$L$113&amp;C125</f>
        <v>bz_Group</v>
      </c>
      <c r="O125" s="109"/>
      <c r="P125" s="109"/>
      <c r="Q125" s="109"/>
      <c r="R125" s="109"/>
      <c r="S125" s="109"/>
      <c r="T125" s="109"/>
      <c r="U125" s="109"/>
      <c r="V125" s="109"/>
      <c r="W125" s="109"/>
      <c r="X125" s="109"/>
      <c r="Y125" s="109"/>
      <c r="Z125" s="109"/>
    </row>
    <row r="126" spans="1:26" ht="12" customHeight="1">
      <c r="A126" s="135">
        <f t="shared" si="27"/>
        <v>46222</v>
      </c>
      <c r="B126" s="136">
        <f>'CHICLETS MASTER S1'!Z38</f>
        <v>0.63888888888888895</v>
      </c>
      <c r="C126" s="136" t="s">
        <v>163</v>
      </c>
      <c r="D126" s="137" t="str">
        <f t="shared" si="28"/>
        <v>MARINA HS</v>
      </c>
      <c r="E126" s="137">
        <v>104</v>
      </c>
      <c r="F126" s="136" t="s">
        <v>1457</v>
      </c>
      <c r="G126" s="136"/>
      <c r="H126" s="136" t="s">
        <v>1488</v>
      </c>
      <c r="I126" s="136"/>
      <c r="J126" s="137" t="s">
        <v>121</v>
      </c>
      <c r="K126" s="137"/>
      <c r="L126" s="136" t="str">
        <f t="shared" si="29"/>
        <v>16GX-104</v>
      </c>
      <c r="M126" s="109"/>
      <c r="N126" s="109" t="str">
        <f>$L$112&amp;C126</f>
        <v>ag_Group</v>
      </c>
      <c r="O126" s="109"/>
      <c r="P126" s="109"/>
      <c r="Q126" s="109"/>
      <c r="R126" s="109"/>
      <c r="S126" s="109"/>
      <c r="T126" s="109"/>
      <c r="U126" s="109"/>
      <c r="V126" s="109"/>
      <c r="W126" s="109"/>
      <c r="X126" s="109"/>
      <c r="Y126" s="109"/>
      <c r="Z126" s="109"/>
    </row>
    <row r="127" spans="1:26" ht="12" customHeight="1">
      <c r="A127" s="284">
        <f t="shared" si="27"/>
        <v>46222</v>
      </c>
      <c r="B127" s="285">
        <f>'CHICLETS MASTER S1'!Z39</f>
        <v>0.67361111111111105</v>
      </c>
      <c r="C127" s="285" t="s">
        <v>163</v>
      </c>
      <c r="D127" s="286" t="str">
        <f t="shared" si="28"/>
        <v>MARINA HS</v>
      </c>
      <c r="E127" s="286">
        <v>108</v>
      </c>
      <c r="F127" s="285" t="s">
        <v>1476</v>
      </c>
      <c r="G127" s="286"/>
      <c r="H127" s="285" t="s">
        <v>1479</v>
      </c>
      <c r="I127" s="286"/>
      <c r="J127" s="286" t="s">
        <v>121</v>
      </c>
      <c r="K127" s="286"/>
      <c r="L127" s="285" t="str">
        <f t="shared" si="29"/>
        <v>16GX-108</v>
      </c>
      <c r="M127" s="109"/>
      <c r="N127" s="109" t="str">
        <f>$L$113&amp;C127</f>
        <v>bz_Group</v>
      </c>
      <c r="O127" s="109"/>
      <c r="P127" s="109"/>
      <c r="Q127" s="109"/>
      <c r="R127" s="109"/>
      <c r="S127" s="109"/>
      <c r="T127" s="109"/>
      <c r="U127" s="109"/>
      <c r="V127" s="109"/>
      <c r="W127" s="109"/>
      <c r="X127" s="109"/>
      <c r="Y127" s="109"/>
      <c r="Z127" s="109"/>
    </row>
    <row r="128" spans="1:26" ht="12" customHeight="1">
      <c r="A128" s="106"/>
      <c r="B128" s="106" t="s">
        <v>204</v>
      </c>
      <c r="C128" s="106"/>
      <c r="D128" s="106"/>
      <c r="E128" s="106"/>
      <c r="F128" s="106"/>
      <c r="G128" s="106"/>
      <c r="H128" s="106"/>
      <c r="I128" s="106"/>
      <c r="J128" s="106"/>
      <c r="K128" s="106"/>
      <c r="L128" s="106" t="str">
        <f t="shared" si="29"/>
        <v/>
      </c>
      <c r="M128" s="109"/>
      <c r="N128" s="109"/>
      <c r="O128" s="109"/>
      <c r="P128" s="109"/>
      <c r="Q128" s="109"/>
      <c r="R128" s="109"/>
      <c r="S128" s="109"/>
      <c r="T128" s="109"/>
      <c r="U128" s="109"/>
      <c r="V128" s="109"/>
      <c r="W128" s="109"/>
      <c r="X128" s="109"/>
      <c r="Y128" s="109"/>
      <c r="Z128" s="109"/>
    </row>
    <row r="129" spans="1:26" ht="12" customHeight="1">
      <c r="A129" s="135">
        <f t="shared" ref="A129:A130" si="30">$A$93</f>
        <v>46222</v>
      </c>
      <c r="B129" s="136">
        <f>'CHICLETS MASTER S1'!Z41</f>
        <v>0.74305555555555602</v>
      </c>
      <c r="C129" s="136" t="s">
        <v>758</v>
      </c>
      <c r="D129" s="137" t="str">
        <f t="shared" ref="D129:D130" si="31">$D$114</f>
        <v>MARINA HS</v>
      </c>
      <c r="E129" s="137">
        <v>112</v>
      </c>
      <c r="F129" s="136" t="s">
        <v>1628</v>
      </c>
      <c r="G129" s="136"/>
      <c r="H129" s="136" t="s">
        <v>1629</v>
      </c>
      <c r="I129" s="136"/>
      <c r="J129" s="137">
        <v>126</v>
      </c>
      <c r="K129" s="137">
        <v>137</v>
      </c>
      <c r="L129" s="136" t="str">
        <f t="shared" si="29"/>
        <v>16GX-112</v>
      </c>
      <c r="M129" s="109"/>
      <c r="N129" s="109" t="str">
        <f>$L$112&amp;C129</f>
        <v>ag_play-in</v>
      </c>
      <c r="O129" s="109"/>
      <c r="P129" s="109"/>
      <c r="Q129" s="109"/>
      <c r="R129" s="109"/>
      <c r="S129" s="109"/>
      <c r="T129" s="109"/>
      <c r="U129" s="109"/>
      <c r="V129" s="109"/>
      <c r="W129" s="109"/>
      <c r="X129" s="109"/>
      <c r="Y129" s="109"/>
      <c r="Z129" s="109"/>
    </row>
    <row r="130" spans="1:26" ht="12" customHeight="1">
      <c r="A130" s="284">
        <f t="shared" si="30"/>
        <v>46222</v>
      </c>
      <c r="B130" s="285">
        <f>'CHICLETS MASTER S1'!Z42</f>
        <v>0.77777777777777801</v>
      </c>
      <c r="C130" s="285" t="s">
        <v>758</v>
      </c>
      <c r="D130" s="286" t="str">
        <f t="shared" si="31"/>
        <v>MARINA HS</v>
      </c>
      <c r="E130" s="286">
        <v>116</v>
      </c>
      <c r="F130" s="285" t="s">
        <v>1630</v>
      </c>
      <c r="G130" s="286"/>
      <c r="H130" s="285" t="s">
        <v>1631</v>
      </c>
      <c r="I130" s="286"/>
      <c r="J130" s="286">
        <v>128</v>
      </c>
      <c r="K130" s="286" t="s">
        <v>1632</v>
      </c>
      <c r="L130" s="285" t="str">
        <f t="shared" si="29"/>
        <v>16GX-116</v>
      </c>
      <c r="M130" s="109"/>
      <c r="N130" s="109" t="str">
        <f>$L$113&amp;C130</f>
        <v>bz_play-in</v>
      </c>
      <c r="O130" s="109"/>
      <c r="P130" s="109"/>
      <c r="Q130" s="109"/>
      <c r="R130" s="109"/>
      <c r="S130" s="109"/>
      <c r="T130" s="109"/>
      <c r="U130" s="109"/>
      <c r="V130" s="109"/>
      <c r="W130" s="109"/>
      <c r="X130" s="109"/>
      <c r="Y130" s="109"/>
      <c r="Z130" s="109"/>
    </row>
    <row r="131" spans="1:26" ht="12" customHeight="1" thickBot="1">
      <c r="A131" s="109"/>
      <c r="B131" s="109"/>
      <c r="C131" s="109"/>
      <c r="D131" s="109"/>
      <c r="E131" s="109"/>
      <c r="F131" s="109"/>
      <c r="G131" s="109"/>
      <c r="H131" s="109"/>
      <c r="I131" s="109"/>
      <c r="J131" s="109"/>
      <c r="K131" s="109"/>
      <c r="L131" s="109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109"/>
      <c r="Y131" s="109"/>
      <c r="Z131" s="109"/>
    </row>
    <row r="132" spans="1:26" ht="12" customHeight="1" thickBot="1">
      <c r="A132" s="117"/>
      <c r="B132" s="118"/>
      <c r="C132" s="341"/>
      <c r="D132" s="119" t="str">
        <f>'CHICLETS MASTER S1'!AH27</f>
        <v>CAPISTRANO VALLEY HS 1</v>
      </c>
      <c r="E132" s="106"/>
      <c r="F132" s="341"/>
      <c r="G132" s="341"/>
      <c r="H132" s="341"/>
      <c r="I132" s="341"/>
      <c r="J132" s="341"/>
      <c r="K132" s="341"/>
      <c r="L132" s="341"/>
      <c r="M132" s="109"/>
      <c r="N132" s="109"/>
      <c r="O132" s="109"/>
      <c r="P132" s="109"/>
      <c r="Q132" s="109"/>
      <c r="R132" s="109"/>
      <c r="S132" s="109"/>
      <c r="T132" s="109"/>
      <c r="U132" s="109"/>
      <c r="V132" s="109"/>
      <c r="W132" s="109"/>
      <c r="X132" s="109"/>
      <c r="Y132" s="109"/>
      <c r="Z132" s="109"/>
    </row>
    <row r="133" spans="1:26" ht="12" customHeight="1">
      <c r="A133" s="280" t="s">
        <v>110</v>
      </c>
      <c r="B133" s="281" t="s">
        <v>111</v>
      </c>
      <c r="C133" s="280" t="s">
        <v>112</v>
      </c>
      <c r="D133" s="280" t="s">
        <v>113</v>
      </c>
      <c r="E133" s="280" t="s">
        <v>114</v>
      </c>
      <c r="F133" s="280" t="s">
        <v>115</v>
      </c>
      <c r="G133" s="280" t="s">
        <v>116</v>
      </c>
      <c r="H133" s="280" t="s">
        <v>117</v>
      </c>
      <c r="I133" s="280" t="s">
        <v>116</v>
      </c>
      <c r="J133" s="280" t="s">
        <v>118</v>
      </c>
      <c r="K133" s="280" t="s">
        <v>119</v>
      </c>
      <c r="L133" s="280" t="s">
        <v>120</v>
      </c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109"/>
      <c r="Y133" s="109"/>
      <c r="Z133" s="109"/>
    </row>
    <row r="134" spans="1:26" ht="12" customHeight="1">
      <c r="A134" s="135">
        <f t="shared" ref="A134:A137" si="32">$A$93</f>
        <v>46222</v>
      </c>
      <c r="B134" s="136">
        <f>'CHICLETS MASTER S1'!Z28</f>
        <v>0.29166666666666669</v>
      </c>
      <c r="C134" s="136" t="s">
        <v>163</v>
      </c>
      <c r="D134" s="137" t="str">
        <f t="shared" ref="D134:D137" si="33">$D$132</f>
        <v>CAPISTRANO VALLEY HS 1</v>
      </c>
      <c r="E134" s="137">
        <v>63</v>
      </c>
      <c r="F134" s="136" t="s">
        <v>1471</v>
      </c>
      <c r="G134" s="136"/>
      <c r="H134" s="136" t="s">
        <v>1613</v>
      </c>
      <c r="I134" s="136"/>
      <c r="J134" s="137" t="s">
        <v>121</v>
      </c>
      <c r="K134" s="137"/>
      <c r="L134" s="136" t="str">
        <f t="shared" ref="L134:L146" si="34">IF(E134="","",$L$17&amp;"-"&amp;TEXT(E134,"000"))</f>
        <v>16GX-063</v>
      </c>
      <c r="M134" s="109"/>
      <c r="N134" s="109" t="str">
        <f>$L$112&amp;C134</f>
        <v>ag_Group</v>
      </c>
      <c r="O134" s="109"/>
      <c r="P134" s="109"/>
      <c r="Q134" s="109"/>
      <c r="R134" s="109"/>
      <c r="S134" s="109"/>
      <c r="T134" s="109"/>
      <c r="U134" s="109"/>
      <c r="V134" s="109"/>
      <c r="W134" s="109"/>
      <c r="X134" s="109"/>
      <c r="Y134" s="109"/>
      <c r="Z134" s="109"/>
    </row>
    <row r="135" spans="1:26" ht="12" customHeight="1">
      <c r="A135" s="135">
        <f t="shared" si="32"/>
        <v>46222</v>
      </c>
      <c r="B135" s="136">
        <f>'CHICLETS MASTER S1'!Z29</f>
        <v>0.3263888888888889</v>
      </c>
      <c r="C135" s="136" t="s">
        <v>163</v>
      </c>
      <c r="D135" s="137" t="str">
        <f t="shared" si="33"/>
        <v>CAPISTRANO VALLEY HS 1</v>
      </c>
      <c r="E135" s="137">
        <v>71</v>
      </c>
      <c r="F135" s="136" t="s">
        <v>1466</v>
      </c>
      <c r="G135" s="136"/>
      <c r="H135" s="136" t="s">
        <v>1450</v>
      </c>
      <c r="I135" s="136"/>
      <c r="J135" s="137" t="s">
        <v>121</v>
      </c>
      <c r="K135" s="137"/>
      <c r="L135" s="136" t="str">
        <f t="shared" si="34"/>
        <v>16GX-071</v>
      </c>
      <c r="M135" s="109"/>
      <c r="N135" s="109" t="str">
        <f>$L$112&amp;C135</f>
        <v>ag_Group</v>
      </c>
      <c r="O135" s="109"/>
      <c r="P135" s="109"/>
      <c r="Q135" s="109"/>
      <c r="R135" s="109"/>
      <c r="S135" s="109"/>
      <c r="T135" s="109"/>
      <c r="U135" s="109"/>
      <c r="V135" s="109"/>
      <c r="W135" s="109"/>
      <c r="X135" s="109"/>
      <c r="Y135" s="109"/>
      <c r="Z135" s="109"/>
    </row>
    <row r="136" spans="1:26" ht="12" customHeight="1">
      <c r="A136" s="284">
        <f t="shared" si="32"/>
        <v>46222</v>
      </c>
      <c r="B136" s="285">
        <f>'CHICLETS MASTER S1'!Z30</f>
        <v>0.36111111111111099</v>
      </c>
      <c r="C136" s="285" t="s">
        <v>163</v>
      </c>
      <c r="D136" s="286" t="str">
        <f t="shared" si="33"/>
        <v>CAPISTRANO VALLEY HS 1</v>
      </c>
      <c r="E136" s="286">
        <v>75</v>
      </c>
      <c r="F136" s="285" t="s">
        <v>1482</v>
      </c>
      <c r="G136" s="286"/>
      <c r="H136" s="285" t="s">
        <v>1460</v>
      </c>
      <c r="I136" s="286"/>
      <c r="J136" s="286" t="s">
        <v>121</v>
      </c>
      <c r="K136" s="286"/>
      <c r="L136" s="285" t="str">
        <f t="shared" si="34"/>
        <v>16GX-075</v>
      </c>
      <c r="M136" s="109"/>
      <c r="N136" s="109" t="str">
        <f>$L$113&amp;C136</f>
        <v>bz_Group</v>
      </c>
      <c r="O136" s="109"/>
      <c r="P136" s="109"/>
      <c r="Q136" s="109"/>
      <c r="R136" s="109"/>
      <c r="S136" s="109"/>
      <c r="T136" s="109"/>
      <c r="U136" s="109"/>
      <c r="V136" s="109"/>
      <c r="W136" s="109"/>
      <c r="X136" s="109"/>
      <c r="Y136" s="109"/>
      <c r="Z136" s="109"/>
    </row>
    <row r="137" spans="1:26" ht="12" customHeight="1">
      <c r="A137" s="135">
        <f t="shared" si="32"/>
        <v>46222</v>
      </c>
      <c r="B137" s="136">
        <f>'CHICLETS MASTER S1'!Z31</f>
        <v>0.39583333333333398</v>
      </c>
      <c r="C137" s="136" t="s">
        <v>163</v>
      </c>
      <c r="D137" s="137" t="str">
        <f t="shared" si="33"/>
        <v>CAPISTRANO VALLEY HS 1</v>
      </c>
      <c r="E137" s="137">
        <v>79</v>
      </c>
      <c r="F137" s="136" t="s">
        <v>1607</v>
      </c>
      <c r="G137" s="136"/>
      <c r="H137" s="136" t="s">
        <v>1613</v>
      </c>
      <c r="I137" s="136"/>
      <c r="J137" s="137" t="s">
        <v>121</v>
      </c>
      <c r="K137" s="137"/>
      <c r="L137" s="136" t="str">
        <f t="shared" si="34"/>
        <v>16GX-079</v>
      </c>
      <c r="M137" s="109"/>
      <c r="N137" s="109" t="str">
        <f>$L$112&amp;C137</f>
        <v>ag_Group</v>
      </c>
      <c r="O137" s="109"/>
      <c r="P137" s="109"/>
      <c r="Q137" s="109"/>
      <c r="R137" s="109"/>
      <c r="S137" s="109"/>
      <c r="T137" s="109"/>
      <c r="U137" s="109"/>
      <c r="V137" s="109"/>
      <c r="W137" s="109"/>
      <c r="X137" s="109"/>
      <c r="Y137" s="109"/>
      <c r="Z137" s="109"/>
    </row>
    <row r="138" spans="1:26" ht="12" customHeight="1">
      <c r="A138" s="106"/>
      <c r="B138" s="106" t="s">
        <v>204</v>
      </c>
      <c r="C138" s="106"/>
      <c r="D138" s="106"/>
      <c r="E138" s="106"/>
      <c r="F138" s="106"/>
      <c r="G138" s="106"/>
      <c r="H138" s="106"/>
      <c r="I138" s="106"/>
      <c r="J138" s="106"/>
      <c r="K138" s="106"/>
      <c r="L138" s="106" t="str">
        <f t="shared" si="34"/>
        <v/>
      </c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109"/>
      <c r="Y138" s="109"/>
      <c r="Z138" s="109"/>
    </row>
    <row r="139" spans="1:26" ht="12" customHeight="1">
      <c r="A139" s="135">
        <f t="shared" ref="A139:A141" si="35">$A$93</f>
        <v>46222</v>
      </c>
      <c r="B139" s="136">
        <f>'CHICLETS MASTER S1'!Z33</f>
        <v>0.46527777777777801</v>
      </c>
      <c r="C139" s="136" t="s">
        <v>163</v>
      </c>
      <c r="D139" s="137" t="str">
        <f t="shared" ref="D139:D141" si="36">$D$132</f>
        <v>CAPISTRANO VALLEY HS 1</v>
      </c>
      <c r="E139" s="137">
        <v>87</v>
      </c>
      <c r="F139" s="136" t="s">
        <v>1466</v>
      </c>
      <c r="G139" s="136"/>
      <c r="H139" s="136" t="s">
        <v>1492</v>
      </c>
      <c r="I139" s="136"/>
      <c r="J139" s="137" t="s">
        <v>121</v>
      </c>
      <c r="K139" s="137"/>
      <c r="L139" s="136" t="str">
        <f t="shared" si="34"/>
        <v>16GX-087</v>
      </c>
      <c r="M139" s="109"/>
      <c r="N139" s="109" t="str">
        <f>$L$112&amp;C139</f>
        <v>ag_Group</v>
      </c>
      <c r="O139" s="109"/>
      <c r="P139" s="109"/>
      <c r="Q139" s="109"/>
      <c r="R139" s="109"/>
      <c r="S139" s="109"/>
      <c r="T139" s="109"/>
      <c r="U139" s="109"/>
      <c r="V139" s="109"/>
      <c r="W139" s="109"/>
      <c r="X139" s="109"/>
      <c r="Y139" s="109"/>
      <c r="Z139" s="109"/>
    </row>
    <row r="140" spans="1:26" ht="12" customHeight="1">
      <c r="A140" s="284">
        <f t="shared" si="35"/>
        <v>46222</v>
      </c>
      <c r="B140" s="285">
        <f>'CHICLETS MASTER S1'!Z34</f>
        <v>0.5</v>
      </c>
      <c r="C140" s="285" t="s">
        <v>163</v>
      </c>
      <c r="D140" s="286" t="str">
        <f t="shared" si="36"/>
        <v>CAPISTRANO VALLEY HS 1</v>
      </c>
      <c r="E140" s="286">
        <v>91</v>
      </c>
      <c r="F140" s="285" t="s">
        <v>1485</v>
      </c>
      <c r="G140" s="286"/>
      <c r="H140" s="285" t="s">
        <v>1460</v>
      </c>
      <c r="I140" s="286"/>
      <c r="J140" s="286" t="s">
        <v>121</v>
      </c>
      <c r="K140" s="286"/>
      <c r="L140" s="285" t="str">
        <f t="shared" si="34"/>
        <v>16GX-091</v>
      </c>
      <c r="M140" s="109"/>
      <c r="N140" s="109" t="str">
        <f>$L$113&amp;C140</f>
        <v>bz_Group</v>
      </c>
      <c r="O140" s="109"/>
      <c r="P140" s="109"/>
      <c r="Q140" s="109"/>
      <c r="R140" s="109"/>
      <c r="S140" s="109"/>
      <c r="T140" s="109"/>
      <c r="U140" s="109"/>
      <c r="V140" s="109"/>
      <c r="W140" s="109"/>
      <c r="X140" s="109"/>
      <c r="Y140" s="109"/>
      <c r="Z140" s="109"/>
    </row>
    <row r="141" spans="1:26" ht="12" customHeight="1">
      <c r="A141" s="135">
        <f t="shared" si="35"/>
        <v>46222</v>
      </c>
      <c r="B141" s="136">
        <f>'CHICLETS MASTER S1'!Z35</f>
        <v>0.53472222222222199</v>
      </c>
      <c r="C141" s="136" t="s">
        <v>163</v>
      </c>
      <c r="D141" s="137" t="str">
        <f t="shared" si="36"/>
        <v>CAPISTRANO VALLEY HS 1</v>
      </c>
      <c r="E141" s="137">
        <v>95</v>
      </c>
      <c r="F141" s="136" t="s">
        <v>1607</v>
      </c>
      <c r="G141" s="136"/>
      <c r="H141" s="136" t="s">
        <v>1471</v>
      </c>
      <c r="I141" s="136"/>
      <c r="J141" s="137" t="s">
        <v>121</v>
      </c>
      <c r="K141" s="137"/>
      <c r="L141" s="136" t="str">
        <f t="shared" si="34"/>
        <v>16GX-095</v>
      </c>
      <c r="M141" s="109"/>
      <c r="N141" s="109" t="str">
        <f>$L$112&amp;C141</f>
        <v>ag_Group</v>
      </c>
      <c r="O141" s="109"/>
      <c r="P141" s="109"/>
      <c r="Q141" s="109"/>
      <c r="R141" s="109"/>
      <c r="S141" s="109"/>
      <c r="T141" s="109"/>
      <c r="U141" s="109"/>
      <c r="V141" s="109"/>
      <c r="W141" s="109"/>
      <c r="X141" s="109"/>
      <c r="Y141" s="109"/>
      <c r="Z141" s="109"/>
    </row>
    <row r="142" spans="1:26" ht="12" customHeight="1">
      <c r="A142" s="106"/>
      <c r="B142" s="106" t="s">
        <v>204</v>
      </c>
      <c r="C142" s="106"/>
      <c r="D142" s="106"/>
      <c r="E142" s="106"/>
      <c r="F142" s="106"/>
      <c r="G142" s="106"/>
      <c r="H142" s="106"/>
      <c r="I142" s="106"/>
      <c r="J142" s="106"/>
      <c r="K142" s="106"/>
      <c r="L142" s="106" t="str">
        <f t="shared" si="34"/>
        <v/>
      </c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</row>
    <row r="143" spans="1:26" ht="12" customHeight="1">
      <c r="A143" s="135">
        <f t="shared" ref="A143:A146" si="37">$A$93</f>
        <v>46222</v>
      </c>
      <c r="B143" s="136">
        <f>'CHICLETS MASTER S1'!Z37</f>
        <v>0.60416666666666696</v>
      </c>
      <c r="C143" s="136" t="s">
        <v>163</v>
      </c>
      <c r="D143" s="137" t="str">
        <f t="shared" ref="D143:D146" si="38">$D$132</f>
        <v>CAPISTRANO VALLEY HS 1</v>
      </c>
      <c r="E143" s="137">
        <v>103</v>
      </c>
      <c r="F143" s="136" t="s">
        <v>1450</v>
      </c>
      <c r="G143" s="136"/>
      <c r="H143" s="136" t="s">
        <v>1492</v>
      </c>
      <c r="I143" s="136"/>
      <c r="J143" s="137" t="s">
        <v>121</v>
      </c>
      <c r="K143" s="137"/>
      <c r="L143" s="136" t="str">
        <f t="shared" si="34"/>
        <v>16GX-103</v>
      </c>
      <c r="M143" s="109"/>
      <c r="N143" s="109" t="str">
        <f>$L$112&amp;C143</f>
        <v>ag_Group</v>
      </c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</row>
    <row r="144" spans="1:26" ht="12" customHeight="1">
      <c r="A144" s="284">
        <f t="shared" si="37"/>
        <v>46222</v>
      </c>
      <c r="B144" s="285">
        <f>'CHICLETS MASTER S1'!Z38</f>
        <v>0.63888888888888895</v>
      </c>
      <c r="C144" s="285" t="s">
        <v>163</v>
      </c>
      <c r="D144" s="286" t="str">
        <f t="shared" si="38"/>
        <v>CAPISTRANO VALLEY HS 1</v>
      </c>
      <c r="E144" s="286">
        <v>107</v>
      </c>
      <c r="F144" s="285" t="s">
        <v>1485</v>
      </c>
      <c r="G144" s="286"/>
      <c r="H144" s="285" t="s">
        <v>1482</v>
      </c>
      <c r="I144" s="286"/>
      <c r="J144" s="286" t="s">
        <v>121</v>
      </c>
      <c r="K144" s="286"/>
      <c r="L144" s="285" t="str">
        <f t="shared" si="34"/>
        <v>16GX-107</v>
      </c>
      <c r="M144" s="109"/>
      <c r="N144" s="109" t="str">
        <f>$L$113&amp;C144</f>
        <v>bz_Group</v>
      </c>
      <c r="O144" s="109"/>
      <c r="P144" s="109"/>
      <c r="Q144" s="109"/>
      <c r="R144" s="109"/>
      <c r="S144" s="109"/>
      <c r="T144" s="109"/>
      <c r="U144" s="109"/>
      <c r="V144" s="109"/>
      <c r="W144" s="109"/>
      <c r="X144" s="109"/>
      <c r="Y144" s="109"/>
      <c r="Z144" s="109"/>
    </row>
    <row r="145" spans="1:26" ht="12" customHeight="1">
      <c r="A145" s="135">
        <f t="shared" si="37"/>
        <v>46222</v>
      </c>
      <c r="B145" s="136">
        <f>'CHICLETS MASTER S1'!Z39</f>
        <v>0.67361111111111105</v>
      </c>
      <c r="C145" s="136" t="s">
        <v>758</v>
      </c>
      <c r="D145" s="137" t="str">
        <f t="shared" si="38"/>
        <v>CAPISTRANO VALLEY HS 1</v>
      </c>
      <c r="E145" s="137">
        <v>111</v>
      </c>
      <c r="F145" s="136" t="s">
        <v>1633</v>
      </c>
      <c r="G145" s="136"/>
      <c r="H145" s="136" t="s">
        <v>1634</v>
      </c>
      <c r="I145" s="136"/>
      <c r="J145" s="137">
        <v>125</v>
      </c>
      <c r="K145" s="137">
        <v>138</v>
      </c>
      <c r="L145" s="136" t="str">
        <f t="shared" si="34"/>
        <v>16GX-111</v>
      </c>
      <c r="M145" s="109"/>
      <c r="N145" s="109" t="str">
        <f>$L$112&amp;C145</f>
        <v>ag_play-in</v>
      </c>
      <c r="O145" s="109"/>
      <c r="P145" s="109"/>
      <c r="Q145" s="109"/>
      <c r="R145" s="109"/>
      <c r="S145" s="109"/>
      <c r="T145" s="109"/>
      <c r="U145" s="109"/>
      <c r="V145" s="109"/>
      <c r="W145" s="109"/>
      <c r="X145" s="109"/>
      <c r="Y145" s="109"/>
      <c r="Z145" s="109"/>
    </row>
    <row r="146" spans="1:26" ht="12" customHeight="1">
      <c r="A146" s="284">
        <f t="shared" si="37"/>
        <v>46222</v>
      </c>
      <c r="B146" s="285">
        <f>'CHICLETS MASTER S1'!Z40</f>
        <v>0.70833333333333404</v>
      </c>
      <c r="C146" s="285" t="s">
        <v>758</v>
      </c>
      <c r="D146" s="286" t="str">
        <f t="shared" si="38"/>
        <v>CAPISTRANO VALLEY HS 1</v>
      </c>
      <c r="E146" s="286">
        <v>115</v>
      </c>
      <c r="F146" s="285" t="s">
        <v>1635</v>
      </c>
      <c r="G146" s="286"/>
      <c r="H146" s="285" t="s">
        <v>1636</v>
      </c>
      <c r="I146" s="286"/>
      <c r="J146" s="286" t="s">
        <v>1637</v>
      </c>
      <c r="K146" s="286" t="s">
        <v>1517</v>
      </c>
      <c r="L146" s="285" t="str">
        <f t="shared" si="34"/>
        <v>16GX-115</v>
      </c>
      <c r="M146" s="109"/>
      <c r="N146" s="109" t="str">
        <f>$L$113&amp;C146</f>
        <v>bz_play-in</v>
      </c>
      <c r="O146" s="109"/>
      <c r="P146" s="109"/>
      <c r="Q146" s="109"/>
      <c r="R146" s="109"/>
      <c r="S146" s="109"/>
      <c r="T146" s="109"/>
      <c r="U146" s="109"/>
      <c r="V146" s="109"/>
      <c r="W146" s="109"/>
      <c r="X146" s="109"/>
      <c r="Y146" s="109"/>
      <c r="Z146" s="109"/>
    </row>
    <row r="147" spans="1:26" ht="12" customHeight="1" thickBot="1">
      <c r="A147" s="109"/>
      <c r="B147" s="109"/>
      <c r="C147" s="109"/>
      <c r="D147" s="109"/>
      <c r="E147" s="109"/>
      <c r="F147" s="109"/>
      <c r="G147" s="109"/>
      <c r="H147" s="109"/>
      <c r="I147" s="109"/>
      <c r="J147" s="109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  <c r="X147" s="109"/>
      <c r="Y147" s="109"/>
      <c r="Z147" s="109"/>
    </row>
    <row r="148" spans="1:26" ht="12" customHeight="1" thickBot="1">
      <c r="A148" s="117"/>
      <c r="B148" s="118"/>
      <c r="C148" s="341"/>
      <c r="D148" s="119" t="str">
        <f>'CHICLETS MASTER S1'!AI27</f>
        <v>PORTOLA HS 1</v>
      </c>
      <c r="E148" s="106"/>
      <c r="F148" s="341"/>
      <c r="G148" s="341"/>
      <c r="H148" s="341"/>
      <c r="I148" s="341"/>
      <c r="J148" s="341"/>
      <c r="K148" s="341"/>
      <c r="L148" s="341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109"/>
      <c r="Y148" s="109"/>
      <c r="Z148" s="109"/>
    </row>
    <row r="149" spans="1:26" ht="12" customHeight="1">
      <c r="A149" s="280" t="s">
        <v>110</v>
      </c>
      <c r="B149" s="281" t="s">
        <v>111</v>
      </c>
      <c r="C149" s="280" t="s">
        <v>112</v>
      </c>
      <c r="D149" s="280" t="s">
        <v>113</v>
      </c>
      <c r="E149" s="280" t="s">
        <v>114</v>
      </c>
      <c r="F149" s="280" t="s">
        <v>115</v>
      </c>
      <c r="G149" s="280" t="s">
        <v>116</v>
      </c>
      <c r="H149" s="280" t="s">
        <v>117</v>
      </c>
      <c r="I149" s="280" t="s">
        <v>116</v>
      </c>
      <c r="J149" s="280" t="s">
        <v>118</v>
      </c>
      <c r="K149" s="280" t="s">
        <v>119</v>
      </c>
      <c r="L149" s="280" t="s">
        <v>120</v>
      </c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109"/>
      <c r="Y149" s="109"/>
      <c r="Z149" s="109"/>
    </row>
    <row r="150" spans="1:26" ht="12" customHeight="1">
      <c r="A150" s="135">
        <f t="shared" ref="A150:A161" si="39">$A$93</f>
        <v>46222</v>
      </c>
      <c r="B150" s="136">
        <f>'CHICLETS MASTER S1'!Z28</f>
        <v>0.29166666666666669</v>
      </c>
      <c r="C150" s="136" t="s">
        <v>163</v>
      </c>
      <c r="D150" s="137" t="str">
        <f t="shared" ref="D150:D161" si="40">$D$148</f>
        <v>PORTOLA HS 1</v>
      </c>
      <c r="E150" s="137">
        <v>62</v>
      </c>
      <c r="F150" s="136" t="s">
        <v>1638</v>
      </c>
      <c r="G150" s="136"/>
      <c r="H150" s="136" t="s">
        <v>1611</v>
      </c>
      <c r="I150" s="136"/>
      <c r="J150" s="137" t="s">
        <v>121</v>
      </c>
      <c r="K150" s="137"/>
      <c r="L150" s="136" t="str">
        <f t="shared" ref="L150:L165" si="41">IF(E150="","",$L$17&amp;"-"&amp;TEXT(E150,"000"))</f>
        <v>16GX-062</v>
      </c>
      <c r="M150" s="109"/>
      <c r="N150" s="109" t="str">
        <f>$L$112&amp;C150</f>
        <v>ag_Group</v>
      </c>
      <c r="O150" s="109"/>
      <c r="P150" s="109"/>
      <c r="Q150" s="109"/>
      <c r="R150" s="109"/>
      <c r="S150" s="109"/>
      <c r="T150" s="109"/>
      <c r="U150" s="109"/>
      <c r="V150" s="109"/>
      <c r="W150" s="109"/>
      <c r="X150" s="109"/>
      <c r="Y150" s="109"/>
      <c r="Z150" s="109"/>
    </row>
    <row r="151" spans="1:26" ht="12" customHeight="1">
      <c r="A151" s="284">
        <f t="shared" si="39"/>
        <v>46222</v>
      </c>
      <c r="B151" s="285">
        <f>'CHICLETS MASTER S1'!Z29</f>
        <v>0.3263888888888889</v>
      </c>
      <c r="C151" s="285" t="s">
        <v>163</v>
      </c>
      <c r="D151" s="286" t="str">
        <f t="shared" si="40"/>
        <v>PORTOLA HS 1</v>
      </c>
      <c r="E151" s="286">
        <v>66</v>
      </c>
      <c r="F151" s="285" t="s">
        <v>1616</v>
      </c>
      <c r="G151" s="286"/>
      <c r="H151" s="285" t="s">
        <v>1622</v>
      </c>
      <c r="I151" s="286"/>
      <c r="J151" s="286" t="s">
        <v>121</v>
      </c>
      <c r="K151" s="286"/>
      <c r="L151" s="285" t="str">
        <f t="shared" si="41"/>
        <v>16GX-066</v>
      </c>
      <c r="M151" s="109"/>
      <c r="N151" s="109" t="str">
        <f>$L$113&amp;C151</f>
        <v>bz_Group</v>
      </c>
      <c r="O151" s="109"/>
      <c r="P151" s="109"/>
      <c r="Q151" s="109"/>
      <c r="R151" s="109"/>
      <c r="S151" s="109"/>
      <c r="T151" s="109"/>
      <c r="U151" s="109"/>
      <c r="V151" s="109"/>
      <c r="W151" s="109"/>
      <c r="X151" s="109"/>
      <c r="Y151" s="109"/>
      <c r="Z151" s="109"/>
    </row>
    <row r="152" spans="1:26" ht="12" customHeight="1">
      <c r="A152" s="135">
        <f t="shared" si="39"/>
        <v>46222</v>
      </c>
      <c r="B152" s="136">
        <f>'CHICLETS MASTER S1'!Z30</f>
        <v>0.36111111111111099</v>
      </c>
      <c r="C152" s="136" t="s">
        <v>163</v>
      </c>
      <c r="D152" s="137" t="str">
        <f t="shared" si="40"/>
        <v>PORTOLA HS 1</v>
      </c>
      <c r="E152" s="137">
        <v>70</v>
      </c>
      <c r="F152" s="136" t="s">
        <v>1462</v>
      </c>
      <c r="G152" s="136"/>
      <c r="H152" s="136" t="s">
        <v>1481</v>
      </c>
      <c r="I152" s="136"/>
      <c r="J152" s="137" t="s">
        <v>121</v>
      </c>
      <c r="K152" s="137"/>
      <c r="L152" s="136" t="str">
        <f t="shared" si="41"/>
        <v>16GX-070</v>
      </c>
      <c r="M152" s="109"/>
      <c r="N152" s="109" t="str">
        <f>$L$112&amp;C152</f>
        <v>ag_Group</v>
      </c>
      <c r="O152" s="109"/>
      <c r="P152" s="109"/>
      <c r="Q152" s="109"/>
      <c r="R152" s="109"/>
      <c r="S152" s="109"/>
      <c r="T152" s="109"/>
      <c r="U152" s="109"/>
      <c r="V152" s="109"/>
      <c r="W152" s="109"/>
      <c r="X152" s="109"/>
      <c r="Y152" s="109"/>
      <c r="Z152" s="109"/>
    </row>
    <row r="153" spans="1:26" ht="12" customHeight="1">
      <c r="A153" s="284">
        <f t="shared" si="39"/>
        <v>46222</v>
      </c>
      <c r="B153" s="285">
        <f>'CHICLETS MASTER S1'!Z31</f>
        <v>0.39583333333333398</v>
      </c>
      <c r="C153" s="285" t="s">
        <v>163</v>
      </c>
      <c r="D153" s="286" t="str">
        <f t="shared" si="40"/>
        <v>PORTOLA HS 1</v>
      </c>
      <c r="E153" s="286">
        <v>74</v>
      </c>
      <c r="F153" s="285" t="s">
        <v>1451</v>
      </c>
      <c r="G153" s="286"/>
      <c r="H153" s="285" t="s">
        <v>1463</v>
      </c>
      <c r="I153" s="286"/>
      <c r="J153" s="286" t="s">
        <v>121</v>
      </c>
      <c r="K153" s="286"/>
      <c r="L153" s="285" t="str">
        <f t="shared" si="41"/>
        <v>16GX-074</v>
      </c>
      <c r="M153" s="109"/>
      <c r="N153" s="109" t="str">
        <f>$L$113&amp;C153</f>
        <v>bz_Group</v>
      </c>
      <c r="O153" s="109"/>
      <c r="P153" s="109"/>
      <c r="Q153" s="109"/>
      <c r="R153" s="109"/>
      <c r="S153" s="109"/>
      <c r="T153" s="109"/>
      <c r="U153" s="109"/>
      <c r="V153" s="109"/>
      <c r="W153" s="109"/>
      <c r="X153" s="109"/>
      <c r="Y153" s="109"/>
      <c r="Z153" s="109"/>
    </row>
    <row r="154" spans="1:26" ht="12" customHeight="1">
      <c r="A154" s="135">
        <f t="shared" si="39"/>
        <v>46222</v>
      </c>
      <c r="B154" s="136">
        <f>'CHICLETS MASTER S1'!Z32</f>
        <v>0.43055555555555602</v>
      </c>
      <c r="C154" s="136" t="s">
        <v>163</v>
      </c>
      <c r="D154" s="137" t="str">
        <f t="shared" si="40"/>
        <v>PORTOLA HS 1</v>
      </c>
      <c r="E154" s="137">
        <v>78</v>
      </c>
      <c r="F154" s="136" t="s">
        <v>1639</v>
      </c>
      <c r="G154" s="136"/>
      <c r="H154" s="136" t="s">
        <v>1611</v>
      </c>
      <c r="I154" s="136"/>
      <c r="J154" s="137" t="s">
        <v>121</v>
      </c>
      <c r="K154" s="137"/>
      <c r="L154" s="136" t="str">
        <f t="shared" si="41"/>
        <v>16GX-078</v>
      </c>
      <c r="M154" s="109"/>
      <c r="N154" s="109" t="str">
        <f>$L$112&amp;C154</f>
        <v>ag_Group</v>
      </c>
      <c r="O154" s="109"/>
      <c r="P154" s="109"/>
      <c r="Q154" s="109"/>
      <c r="R154" s="109"/>
      <c r="S154" s="109"/>
      <c r="T154" s="109"/>
      <c r="U154" s="109"/>
      <c r="V154" s="109"/>
      <c r="W154" s="109"/>
      <c r="X154" s="109"/>
      <c r="Y154" s="109"/>
      <c r="Z154" s="109"/>
    </row>
    <row r="155" spans="1:26" ht="12" customHeight="1">
      <c r="A155" s="284">
        <f t="shared" si="39"/>
        <v>46222</v>
      </c>
      <c r="B155" s="285">
        <f>'CHICLETS MASTER S1'!Z33</f>
        <v>0.46527777777777801</v>
      </c>
      <c r="C155" s="285" t="s">
        <v>163</v>
      </c>
      <c r="D155" s="286" t="str">
        <f t="shared" si="40"/>
        <v>PORTOLA HS 1</v>
      </c>
      <c r="E155" s="286">
        <v>82</v>
      </c>
      <c r="F155" s="285" t="s">
        <v>1616</v>
      </c>
      <c r="G155" s="286"/>
      <c r="H155" s="285" t="s">
        <v>1621</v>
      </c>
      <c r="I155" s="286"/>
      <c r="J155" s="286" t="s">
        <v>121</v>
      </c>
      <c r="K155" s="286"/>
      <c r="L155" s="285" t="str">
        <f t="shared" si="41"/>
        <v>16GX-082</v>
      </c>
      <c r="M155" s="109"/>
      <c r="N155" s="109" t="str">
        <f>$L$113&amp;C155</f>
        <v>bz_Group</v>
      </c>
      <c r="O155" s="109"/>
      <c r="P155" s="109"/>
      <c r="Q155" s="109"/>
      <c r="R155" s="109"/>
      <c r="S155" s="109"/>
      <c r="T155" s="109"/>
      <c r="U155" s="109"/>
      <c r="V155" s="109"/>
      <c r="W155" s="109"/>
      <c r="X155" s="109"/>
      <c r="Y155" s="109"/>
      <c r="Z155" s="109"/>
    </row>
    <row r="156" spans="1:26" ht="12" customHeight="1">
      <c r="A156" s="135">
        <f t="shared" si="39"/>
        <v>46222</v>
      </c>
      <c r="B156" s="136">
        <f>'CHICLETS MASTER S1'!Z34</f>
        <v>0.5</v>
      </c>
      <c r="C156" s="136" t="s">
        <v>163</v>
      </c>
      <c r="D156" s="137" t="str">
        <f t="shared" si="40"/>
        <v>PORTOLA HS 1</v>
      </c>
      <c r="E156" s="137">
        <v>86</v>
      </c>
      <c r="F156" s="136" t="s">
        <v>1462</v>
      </c>
      <c r="G156" s="136"/>
      <c r="H156" s="136" t="s">
        <v>1484</v>
      </c>
      <c r="I156" s="136"/>
      <c r="J156" s="137" t="s">
        <v>121</v>
      </c>
      <c r="K156" s="137"/>
      <c r="L156" s="136" t="str">
        <f t="shared" si="41"/>
        <v>16GX-086</v>
      </c>
      <c r="M156" s="109"/>
      <c r="N156" s="109" t="str">
        <f>$L$112&amp;C156</f>
        <v>ag_Group</v>
      </c>
      <c r="O156" s="109"/>
      <c r="P156" s="109"/>
      <c r="Q156" s="109"/>
      <c r="R156" s="109"/>
      <c r="S156" s="109"/>
      <c r="T156" s="109"/>
      <c r="U156" s="109"/>
      <c r="V156" s="109"/>
      <c r="W156" s="109"/>
      <c r="X156" s="109"/>
      <c r="Y156" s="109"/>
      <c r="Z156" s="109"/>
    </row>
    <row r="157" spans="1:26" ht="12" customHeight="1">
      <c r="A157" s="284">
        <f t="shared" si="39"/>
        <v>46222</v>
      </c>
      <c r="B157" s="285">
        <f>'CHICLETS MASTER S1'!Z35</f>
        <v>0.53472222222222199</v>
      </c>
      <c r="C157" s="285" t="s">
        <v>163</v>
      </c>
      <c r="D157" s="286" t="str">
        <f t="shared" si="40"/>
        <v>PORTOLA HS 1</v>
      </c>
      <c r="E157" s="286">
        <v>90</v>
      </c>
      <c r="F157" s="285" t="s">
        <v>1493</v>
      </c>
      <c r="G157" s="286"/>
      <c r="H157" s="285" t="s">
        <v>1463</v>
      </c>
      <c r="I157" s="286"/>
      <c r="J157" s="286" t="s">
        <v>121</v>
      </c>
      <c r="K157" s="286"/>
      <c r="L157" s="285" t="str">
        <f t="shared" si="41"/>
        <v>16GX-090</v>
      </c>
      <c r="M157" s="109"/>
      <c r="N157" s="109" t="str">
        <f>$L$113&amp;C157</f>
        <v>bz_Group</v>
      </c>
      <c r="O157" s="109"/>
      <c r="P157" s="109"/>
      <c r="Q157" s="109"/>
      <c r="R157" s="109"/>
      <c r="S157" s="109"/>
      <c r="T157" s="109"/>
      <c r="U157" s="109"/>
      <c r="V157" s="109"/>
      <c r="W157" s="109"/>
      <c r="X157" s="109"/>
      <c r="Y157" s="109"/>
      <c r="Z157" s="109"/>
    </row>
    <row r="158" spans="1:26" ht="12" customHeight="1">
      <c r="A158" s="135">
        <f t="shared" si="39"/>
        <v>46222</v>
      </c>
      <c r="B158" s="136">
        <f>'CHICLETS MASTER S1'!Z36</f>
        <v>0.56944444444444497</v>
      </c>
      <c r="C158" s="136" t="s">
        <v>163</v>
      </c>
      <c r="D158" s="137" t="str">
        <f t="shared" si="40"/>
        <v>PORTOLA HS 1</v>
      </c>
      <c r="E158" s="137">
        <v>94</v>
      </c>
      <c r="F158" s="136" t="s">
        <v>1639</v>
      </c>
      <c r="G158" s="136"/>
      <c r="H158" s="136" t="s">
        <v>1638</v>
      </c>
      <c r="I158" s="136"/>
      <c r="J158" s="137" t="s">
        <v>121</v>
      </c>
      <c r="K158" s="137"/>
      <c r="L158" s="136" t="str">
        <f t="shared" si="41"/>
        <v>16GX-094</v>
      </c>
      <c r="M158" s="109"/>
      <c r="N158" s="109" t="str">
        <f>$L$112&amp;C158</f>
        <v>ag_Group</v>
      </c>
      <c r="O158" s="109"/>
      <c r="P158" s="109"/>
      <c r="Q158" s="109"/>
      <c r="R158" s="109"/>
      <c r="S158" s="109"/>
      <c r="T158" s="109"/>
      <c r="U158" s="109"/>
      <c r="V158" s="109"/>
      <c r="W158" s="109"/>
      <c r="X158" s="109"/>
      <c r="Y158" s="109"/>
      <c r="Z158" s="109"/>
    </row>
    <row r="159" spans="1:26" ht="12" customHeight="1">
      <c r="A159" s="284">
        <f t="shared" si="39"/>
        <v>46222</v>
      </c>
      <c r="B159" s="285">
        <f>'CHICLETS MASTER S1'!Z37</f>
        <v>0.60416666666666696</v>
      </c>
      <c r="C159" s="285" t="s">
        <v>163</v>
      </c>
      <c r="D159" s="286" t="str">
        <f t="shared" si="40"/>
        <v>PORTOLA HS 1</v>
      </c>
      <c r="E159" s="286">
        <v>98</v>
      </c>
      <c r="F159" s="285" t="s">
        <v>1622</v>
      </c>
      <c r="G159" s="286"/>
      <c r="H159" s="285" t="s">
        <v>1621</v>
      </c>
      <c r="I159" s="286"/>
      <c r="J159" s="286" t="s">
        <v>121</v>
      </c>
      <c r="K159" s="286"/>
      <c r="L159" s="285" t="str">
        <f t="shared" si="41"/>
        <v>16GX-098</v>
      </c>
      <c r="M159" s="109"/>
      <c r="N159" s="109" t="str">
        <f>$L$113&amp;C159</f>
        <v>bz_Group</v>
      </c>
      <c r="O159" s="109"/>
      <c r="P159" s="109"/>
      <c r="Q159" s="109"/>
      <c r="R159" s="109"/>
      <c r="S159" s="109"/>
      <c r="T159" s="109"/>
      <c r="U159" s="109"/>
      <c r="V159" s="109"/>
      <c r="W159" s="109"/>
      <c r="X159" s="109"/>
      <c r="Y159" s="109"/>
      <c r="Z159" s="109"/>
    </row>
    <row r="160" spans="1:26" ht="12" customHeight="1">
      <c r="A160" s="135">
        <f t="shared" si="39"/>
        <v>46222</v>
      </c>
      <c r="B160" s="136">
        <f>'CHICLETS MASTER S1'!Z38</f>
        <v>0.63888888888888895</v>
      </c>
      <c r="C160" s="136" t="s">
        <v>163</v>
      </c>
      <c r="D160" s="137" t="str">
        <f t="shared" si="40"/>
        <v>PORTOLA HS 1</v>
      </c>
      <c r="E160" s="137">
        <v>102</v>
      </c>
      <c r="F160" s="136" t="s">
        <v>1481</v>
      </c>
      <c r="G160" s="136"/>
      <c r="H160" s="136" t="s">
        <v>1484</v>
      </c>
      <c r="I160" s="136"/>
      <c r="J160" s="137" t="s">
        <v>121</v>
      </c>
      <c r="K160" s="137"/>
      <c r="L160" s="136" t="str">
        <f t="shared" si="41"/>
        <v>16GX-102</v>
      </c>
      <c r="M160" s="109"/>
      <c r="N160" s="109" t="str">
        <f>$L$112&amp;C160</f>
        <v>ag_Group</v>
      </c>
      <c r="O160" s="109"/>
      <c r="P160" s="109"/>
      <c r="Q160" s="109"/>
      <c r="R160" s="109"/>
      <c r="S160" s="109"/>
      <c r="T160" s="109"/>
      <c r="U160" s="109"/>
      <c r="V160" s="109"/>
      <c r="W160" s="109"/>
      <c r="X160" s="109"/>
      <c r="Y160" s="109"/>
      <c r="Z160" s="109"/>
    </row>
    <row r="161" spans="1:26" ht="12" customHeight="1">
      <c r="A161" s="284">
        <f t="shared" si="39"/>
        <v>46222</v>
      </c>
      <c r="B161" s="285">
        <f>'CHICLETS MASTER S1'!Z39</f>
        <v>0.67361111111111105</v>
      </c>
      <c r="C161" s="285" t="s">
        <v>163</v>
      </c>
      <c r="D161" s="286" t="str">
        <f t="shared" si="40"/>
        <v>PORTOLA HS 1</v>
      </c>
      <c r="E161" s="286">
        <v>106</v>
      </c>
      <c r="F161" s="285" t="s">
        <v>1493</v>
      </c>
      <c r="G161" s="286"/>
      <c r="H161" s="285" t="s">
        <v>1451</v>
      </c>
      <c r="I161" s="286"/>
      <c r="J161" s="286" t="s">
        <v>121</v>
      </c>
      <c r="K161" s="286"/>
      <c r="L161" s="285" t="str">
        <f t="shared" si="41"/>
        <v>16GX-106</v>
      </c>
      <c r="M161" s="109"/>
      <c r="N161" s="109" t="str">
        <f>$L$113&amp;C161</f>
        <v>bz_Group</v>
      </c>
      <c r="O161" s="109"/>
      <c r="P161" s="109"/>
      <c r="Q161" s="109"/>
      <c r="R161" s="109"/>
      <c r="S161" s="109"/>
      <c r="T161" s="109"/>
      <c r="U161" s="109"/>
      <c r="V161" s="109"/>
      <c r="W161" s="109"/>
      <c r="X161" s="109"/>
      <c r="Y161" s="109"/>
      <c r="Z161" s="109"/>
    </row>
    <row r="162" spans="1:26" ht="12" customHeight="1">
      <c r="A162" s="106"/>
      <c r="B162" s="106" t="s">
        <v>204</v>
      </c>
      <c r="C162" s="106"/>
      <c r="D162" s="106"/>
      <c r="E162" s="106"/>
      <c r="F162" s="106"/>
      <c r="G162" s="106"/>
      <c r="H162" s="106"/>
      <c r="I162" s="106"/>
      <c r="J162" s="106"/>
      <c r="K162" s="106"/>
      <c r="L162" s="106" t="str">
        <f t="shared" si="41"/>
        <v/>
      </c>
      <c r="M162" s="109"/>
      <c r="N162" s="109"/>
      <c r="O162" s="109"/>
      <c r="P162" s="109"/>
      <c r="Q162" s="109"/>
      <c r="R162" s="109"/>
      <c r="S162" s="109"/>
      <c r="T162" s="109"/>
      <c r="U162" s="109"/>
      <c r="V162" s="109"/>
      <c r="W162" s="109"/>
      <c r="X162" s="109"/>
      <c r="Y162" s="109"/>
      <c r="Z162" s="109"/>
    </row>
    <row r="163" spans="1:26" ht="12" customHeight="1">
      <c r="A163" s="135">
        <f t="shared" ref="A163:A165" si="42">$A$93</f>
        <v>46222</v>
      </c>
      <c r="B163" s="136">
        <f>'CHICLETS MASTER S1'!Z41</f>
        <v>0.74305555555555602</v>
      </c>
      <c r="C163" s="136" t="s">
        <v>758</v>
      </c>
      <c r="D163" s="137" t="str">
        <f t="shared" ref="D163:D165" si="43">$D$148</f>
        <v>PORTOLA HS 1</v>
      </c>
      <c r="E163" s="137">
        <v>110</v>
      </c>
      <c r="F163" s="136" t="s">
        <v>1640</v>
      </c>
      <c r="G163" s="136"/>
      <c r="H163" s="136" t="s">
        <v>1641</v>
      </c>
      <c r="I163" s="136"/>
      <c r="J163" s="137">
        <v>129</v>
      </c>
      <c r="K163" s="137">
        <v>133</v>
      </c>
      <c r="L163" s="136" t="str">
        <f t="shared" si="41"/>
        <v>16GX-110</v>
      </c>
      <c r="M163" s="109"/>
      <c r="N163" s="109" t="str">
        <f>$L$112&amp;C163</f>
        <v>ag_play-in</v>
      </c>
      <c r="O163" s="109"/>
      <c r="P163" s="109"/>
      <c r="Q163" s="109"/>
      <c r="R163" s="109"/>
      <c r="S163" s="109"/>
      <c r="T163" s="109"/>
      <c r="U163" s="109"/>
      <c r="V163" s="109"/>
      <c r="W163" s="109"/>
      <c r="X163" s="109"/>
      <c r="Y163" s="109"/>
      <c r="Z163" s="109"/>
    </row>
    <row r="164" spans="1:26" ht="12" customHeight="1">
      <c r="A164" s="284">
        <f t="shared" si="42"/>
        <v>46222</v>
      </c>
      <c r="B164" s="285">
        <f>'CHICLETS MASTER S1'!Z42</f>
        <v>0.77777777777777801</v>
      </c>
      <c r="C164" s="285" t="s">
        <v>758</v>
      </c>
      <c r="D164" s="286" t="str">
        <f t="shared" si="43"/>
        <v>PORTOLA HS 1</v>
      </c>
      <c r="E164" s="286">
        <v>114</v>
      </c>
      <c r="F164" s="285" t="s">
        <v>1642</v>
      </c>
      <c r="G164" s="286"/>
      <c r="H164" s="285" t="s">
        <v>1643</v>
      </c>
      <c r="I164" s="286"/>
      <c r="J164" s="286">
        <v>131</v>
      </c>
      <c r="K164" s="286" t="s">
        <v>1644</v>
      </c>
      <c r="L164" s="285" t="str">
        <f t="shared" si="41"/>
        <v>16GX-114</v>
      </c>
      <c r="M164" s="109"/>
      <c r="N164" s="109" t="str">
        <f t="shared" ref="N164:N165" si="44">$L$113&amp;C164</f>
        <v>bz_play-in</v>
      </c>
      <c r="O164" s="109"/>
      <c r="P164" s="109"/>
      <c r="Q164" s="109"/>
      <c r="R164" s="109"/>
      <c r="S164" s="109"/>
      <c r="T164" s="109"/>
      <c r="U164" s="109"/>
      <c r="V164" s="109"/>
      <c r="W164" s="109"/>
      <c r="X164" s="109"/>
      <c r="Y164" s="109"/>
      <c r="Z164" s="109"/>
    </row>
    <row r="165" spans="1:26" ht="12" customHeight="1">
      <c r="A165" s="284">
        <f t="shared" si="42"/>
        <v>46222</v>
      </c>
      <c r="B165" s="285">
        <f>'CHICLETS MASTER S1'!Z43</f>
        <v>0.8125</v>
      </c>
      <c r="C165" s="285" t="s">
        <v>758</v>
      </c>
      <c r="D165" s="286" t="str">
        <f t="shared" si="43"/>
        <v>PORTOLA HS 1</v>
      </c>
      <c r="E165" s="286">
        <v>83</v>
      </c>
      <c r="F165" s="285" t="s">
        <v>1645</v>
      </c>
      <c r="G165" s="286"/>
      <c r="H165" s="285" t="s">
        <v>1646</v>
      </c>
      <c r="I165" s="286"/>
      <c r="J165" s="286" t="s">
        <v>1647</v>
      </c>
      <c r="K165" s="286" t="s">
        <v>1531</v>
      </c>
      <c r="L165" s="285" t="str">
        <f t="shared" si="41"/>
        <v>16GX-083</v>
      </c>
      <c r="M165" s="342"/>
      <c r="N165" s="109" t="str">
        <f t="shared" si="44"/>
        <v>bz_play-in</v>
      </c>
      <c r="O165" s="342"/>
      <c r="P165" s="342"/>
      <c r="Q165" s="342"/>
      <c r="R165" s="342"/>
      <c r="S165" s="342"/>
      <c r="T165" s="342"/>
      <c r="U165" s="342"/>
      <c r="V165" s="109"/>
      <c r="W165" s="109"/>
      <c r="X165" s="109"/>
      <c r="Y165" s="109"/>
      <c r="Z165" s="109"/>
    </row>
    <row r="166" spans="1:26" ht="12" customHeight="1" thickBot="1">
      <c r="A166" s="342"/>
      <c r="B166" s="342"/>
      <c r="C166" s="342"/>
      <c r="D166" s="109"/>
      <c r="E166" s="342"/>
      <c r="F166" s="342"/>
      <c r="G166" s="342"/>
      <c r="H166" s="342"/>
      <c r="I166" s="342"/>
      <c r="J166" s="342"/>
      <c r="K166" s="342"/>
      <c r="L166" s="342"/>
      <c r="M166" s="342"/>
      <c r="N166" s="342"/>
      <c r="O166" s="342"/>
      <c r="P166" s="342"/>
      <c r="Q166" s="342"/>
      <c r="R166" s="342"/>
      <c r="S166" s="342"/>
      <c r="T166" s="342"/>
      <c r="U166" s="342"/>
      <c r="V166" s="109"/>
      <c r="W166" s="109"/>
      <c r="X166" s="109"/>
      <c r="Y166" s="109"/>
      <c r="Z166" s="109"/>
    </row>
    <row r="167" spans="1:26" ht="12" customHeight="1" thickBot="1">
      <c r="A167" s="117"/>
      <c r="B167" s="118"/>
      <c r="C167" s="341"/>
      <c r="D167" s="119" t="str">
        <f>'CHICLETS MASTER S1'!$AG$27</f>
        <v>GOLDEN WEST COLLEGE 1</v>
      </c>
      <c r="E167" s="106"/>
      <c r="F167" s="341"/>
      <c r="G167" s="341"/>
      <c r="H167" s="341"/>
      <c r="I167" s="341"/>
      <c r="J167" s="341"/>
      <c r="K167" s="341"/>
      <c r="L167" s="341"/>
      <c r="M167" s="342"/>
      <c r="N167" s="342"/>
      <c r="O167" s="342"/>
      <c r="P167" s="342"/>
      <c r="Q167" s="342"/>
      <c r="R167" s="342"/>
      <c r="S167" s="342"/>
      <c r="T167" s="342"/>
      <c r="U167" s="342"/>
      <c r="V167" s="109"/>
      <c r="W167" s="109"/>
      <c r="X167" s="109"/>
      <c r="Y167" s="109"/>
      <c r="Z167" s="109"/>
    </row>
    <row r="168" spans="1:26" ht="12" customHeight="1">
      <c r="A168" s="280" t="s">
        <v>110</v>
      </c>
      <c r="B168" s="281" t="s">
        <v>111</v>
      </c>
      <c r="C168" s="280" t="s">
        <v>112</v>
      </c>
      <c r="D168" s="280" t="s">
        <v>113</v>
      </c>
      <c r="E168" s="280" t="s">
        <v>114</v>
      </c>
      <c r="F168" s="280" t="s">
        <v>115</v>
      </c>
      <c r="G168" s="280" t="s">
        <v>116</v>
      </c>
      <c r="H168" s="280" t="s">
        <v>117</v>
      </c>
      <c r="I168" s="280" t="s">
        <v>116</v>
      </c>
      <c r="J168" s="280" t="s">
        <v>118</v>
      </c>
      <c r="K168" s="280" t="s">
        <v>119</v>
      </c>
      <c r="L168" s="280" t="s">
        <v>120</v>
      </c>
      <c r="M168" s="342"/>
      <c r="N168" s="342"/>
      <c r="O168" s="342"/>
      <c r="P168" s="342"/>
      <c r="Q168" s="342"/>
      <c r="R168" s="342"/>
      <c r="S168" s="342"/>
      <c r="T168" s="342"/>
      <c r="U168" s="342"/>
      <c r="V168" s="109"/>
      <c r="W168" s="109"/>
      <c r="X168" s="109"/>
      <c r="Y168" s="109"/>
      <c r="Z168" s="109"/>
    </row>
    <row r="169" spans="1:26" ht="12" customHeight="1">
      <c r="A169" s="135">
        <f t="shared" ref="A169:A180" si="45">$A$93</f>
        <v>46222</v>
      </c>
      <c r="B169" s="136">
        <f>'CHICLETS MASTER S1'!Z28</f>
        <v>0.29166666666666669</v>
      </c>
      <c r="C169" s="136" t="s">
        <v>163</v>
      </c>
      <c r="D169" s="137" t="str">
        <f t="shared" ref="D169:D180" si="46">$D$167</f>
        <v>GOLDEN WEST COLLEGE 1</v>
      </c>
      <c r="E169" s="137">
        <v>61</v>
      </c>
      <c r="F169" s="136" t="s">
        <v>1447</v>
      </c>
      <c r="G169" s="136"/>
      <c r="H169" s="136" t="s">
        <v>1618</v>
      </c>
      <c r="I169" s="136"/>
      <c r="J169" s="137" t="s">
        <v>121</v>
      </c>
      <c r="K169" s="137"/>
      <c r="L169" s="136" t="str">
        <f t="shared" ref="L169:L184" si="47">IF(E169="","",$L$17&amp;"-"&amp;TEXT(E169,"000"))</f>
        <v>16GX-061</v>
      </c>
      <c r="M169" s="109"/>
      <c r="N169" s="109" t="str">
        <f>$L$112&amp;C169</f>
        <v>ag_Group</v>
      </c>
      <c r="O169" s="109"/>
      <c r="P169" s="109"/>
      <c r="Q169" s="109"/>
      <c r="R169" s="109"/>
      <c r="S169" s="109"/>
      <c r="T169" s="109"/>
      <c r="U169" s="109"/>
      <c r="V169" s="109"/>
      <c r="W169" s="109"/>
      <c r="X169" s="109"/>
      <c r="Y169" s="109"/>
      <c r="Z169" s="109"/>
    </row>
    <row r="170" spans="1:26" ht="12" customHeight="1">
      <c r="A170" s="284">
        <f t="shared" si="45"/>
        <v>46222</v>
      </c>
      <c r="B170" s="285">
        <f>'CHICLETS MASTER S1'!Z29</f>
        <v>0.3263888888888889</v>
      </c>
      <c r="C170" s="285" t="s">
        <v>163</v>
      </c>
      <c r="D170" s="286" t="str">
        <f t="shared" si="46"/>
        <v>GOLDEN WEST COLLEGE 1</v>
      </c>
      <c r="E170" s="286">
        <v>65</v>
      </c>
      <c r="F170" s="285" t="s">
        <v>1615</v>
      </c>
      <c r="G170" s="286"/>
      <c r="H170" s="285" t="s">
        <v>1617</v>
      </c>
      <c r="I170" s="286"/>
      <c r="J170" s="286" t="s">
        <v>121</v>
      </c>
      <c r="K170" s="286"/>
      <c r="L170" s="285" t="str">
        <f t="shared" si="47"/>
        <v>16GX-065</v>
      </c>
      <c r="M170" s="109"/>
      <c r="N170" s="109" t="str">
        <f>$L$113&amp;C170</f>
        <v>bz_Group</v>
      </c>
      <c r="O170" s="109"/>
      <c r="P170" s="109"/>
      <c r="Q170" s="109"/>
      <c r="R170" s="109"/>
      <c r="S170" s="109"/>
      <c r="T170" s="109"/>
      <c r="U170" s="109"/>
      <c r="V170" s="109"/>
      <c r="W170" s="109"/>
      <c r="X170" s="109"/>
      <c r="Y170" s="109"/>
      <c r="Z170" s="109"/>
    </row>
    <row r="171" spans="1:26" ht="12" customHeight="1">
      <c r="A171" s="135">
        <f t="shared" si="45"/>
        <v>46222</v>
      </c>
      <c r="B171" s="136">
        <f>'CHICLETS MASTER S1'!Z30</f>
        <v>0.36111111111111099</v>
      </c>
      <c r="C171" s="136" t="s">
        <v>163</v>
      </c>
      <c r="D171" s="137" t="str">
        <f t="shared" si="46"/>
        <v>GOLDEN WEST COLLEGE 1</v>
      </c>
      <c r="E171" s="137">
        <v>69</v>
      </c>
      <c r="F171" s="136" t="s">
        <v>1469</v>
      </c>
      <c r="G171" s="136"/>
      <c r="H171" s="136" t="s">
        <v>1478</v>
      </c>
      <c r="I171" s="136"/>
      <c r="J171" s="137" t="s">
        <v>121</v>
      </c>
      <c r="K171" s="137"/>
      <c r="L171" s="136" t="str">
        <f t="shared" si="47"/>
        <v>16GX-069</v>
      </c>
      <c r="M171" s="109"/>
      <c r="N171" s="109" t="str">
        <f>$L$112&amp;C171</f>
        <v>ag_Group</v>
      </c>
      <c r="O171" s="109"/>
      <c r="P171" s="109"/>
      <c r="Q171" s="109"/>
      <c r="R171" s="109"/>
      <c r="S171" s="109"/>
      <c r="T171" s="109"/>
      <c r="U171" s="109"/>
      <c r="V171" s="109"/>
      <c r="W171" s="109"/>
      <c r="X171" s="109"/>
      <c r="Y171" s="109"/>
      <c r="Z171" s="109"/>
    </row>
    <row r="172" spans="1:26" ht="12" customHeight="1">
      <c r="A172" s="284">
        <f t="shared" si="45"/>
        <v>46222</v>
      </c>
      <c r="B172" s="285">
        <f>'CHICLETS MASTER S1'!Z31</f>
        <v>0.39583333333333398</v>
      </c>
      <c r="C172" s="285" t="s">
        <v>163</v>
      </c>
      <c r="D172" s="286" t="str">
        <f t="shared" si="46"/>
        <v>GOLDEN WEST COLLEGE 1</v>
      </c>
      <c r="E172" s="286">
        <v>73</v>
      </c>
      <c r="F172" s="285" t="s">
        <v>1458</v>
      </c>
      <c r="G172" s="286"/>
      <c r="H172" s="285" t="s">
        <v>1455</v>
      </c>
      <c r="I172" s="286"/>
      <c r="J172" s="286" t="s">
        <v>121</v>
      </c>
      <c r="K172" s="286"/>
      <c r="L172" s="285" t="str">
        <f t="shared" si="47"/>
        <v>16GX-073</v>
      </c>
      <c r="M172" s="109"/>
      <c r="N172" s="109" t="str">
        <f>$L$113&amp;C172</f>
        <v>bz_Group</v>
      </c>
      <c r="O172" s="109"/>
      <c r="P172" s="109"/>
      <c r="Q172" s="109"/>
      <c r="R172" s="109"/>
      <c r="S172" s="109"/>
      <c r="T172" s="109"/>
      <c r="U172" s="109"/>
      <c r="V172" s="109"/>
      <c r="W172" s="109"/>
      <c r="X172" s="109"/>
      <c r="Y172" s="109"/>
      <c r="Z172" s="109"/>
    </row>
    <row r="173" spans="1:26" ht="12" customHeight="1">
      <c r="A173" s="135">
        <f t="shared" si="45"/>
        <v>46222</v>
      </c>
      <c r="B173" s="136">
        <f>'CHICLETS MASTER S1'!Z32</f>
        <v>0.43055555555555602</v>
      </c>
      <c r="C173" s="136" t="s">
        <v>163</v>
      </c>
      <c r="D173" s="137" t="str">
        <f t="shared" si="46"/>
        <v>GOLDEN WEST COLLEGE 1</v>
      </c>
      <c r="E173" s="137">
        <v>77</v>
      </c>
      <c r="F173" s="136" t="s">
        <v>1648</v>
      </c>
      <c r="G173" s="136"/>
      <c r="H173" s="136" t="s">
        <v>1618</v>
      </c>
      <c r="I173" s="136"/>
      <c r="J173" s="137" t="s">
        <v>121</v>
      </c>
      <c r="K173" s="137"/>
      <c r="L173" s="136" t="str">
        <f t="shared" si="47"/>
        <v>16GX-077</v>
      </c>
      <c r="M173" s="109"/>
      <c r="N173" s="109" t="str">
        <f>$L$112&amp;C173</f>
        <v>ag_Group</v>
      </c>
      <c r="O173" s="109"/>
      <c r="P173" s="109"/>
      <c r="Q173" s="109"/>
      <c r="R173" s="109"/>
      <c r="S173" s="109"/>
      <c r="T173" s="109"/>
      <c r="U173" s="109"/>
      <c r="V173" s="109"/>
      <c r="W173" s="109"/>
      <c r="X173" s="109"/>
      <c r="Y173" s="109"/>
      <c r="Z173" s="109"/>
    </row>
    <row r="174" spans="1:26" ht="12" customHeight="1">
      <c r="A174" s="284">
        <f t="shared" si="45"/>
        <v>46222</v>
      </c>
      <c r="B174" s="285">
        <f>'CHICLETS MASTER S1'!Z33</f>
        <v>0.46527777777777801</v>
      </c>
      <c r="C174" s="285" t="s">
        <v>163</v>
      </c>
      <c r="D174" s="286" t="str">
        <f t="shared" si="46"/>
        <v>GOLDEN WEST COLLEGE 1</v>
      </c>
      <c r="E174" s="286">
        <v>81</v>
      </c>
      <c r="F174" s="285" t="s">
        <v>1615</v>
      </c>
      <c r="G174" s="286"/>
      <c r="H174" s="285" t="s">
        <v>1608</v>
      </c>
      <c r="I174" s="286"/>
      <c r="J174" s="286" t="s">
        <v>121</v>
      </c>
      <c r="K174" s="286"/>
      <c r="L174" s="285" t="str">
        <f t="shared" si="47"/>
        <v>16GX-081</v>
      </c>
      <c r="M174" s="109"/>
      <c r="N174" s="109" t="str">
        <f>$L$113&amp;C174</f>
        <v>bz_Group</v>
      </c>
      <c r="O174" s="109"/>
      <c r="P174" s="109"/>
      <c r="Q174" s="109"/>
      <c r="R174" s="109"/>
      <c r="S174" s="109"/>
      <c r="T174" s="109"/>
      <c r="U174" s="109"/>
      <c r="V174" s="109"/>
      <c r="W174" s="109"/>
      <c r="X174" s="109"/>
      <c r="Y174" s="109"/>
      <c r="Z174" s="109"/>
    </row>
    <row r="175" spans="1:26" ht="12" customHeight="1">
      <c r="A175" s="135">
        <f t="shared" si="45"/>
        <v>46222</v>
      </c>
      <c r="B175" s="136">
        <f>'CHICLETS MASTER S1'!Z34</f>
        <v>0.5</v>
      </c>
      <c r="C175" s="136" t="s">
        <v>163</v>
      </c>
      <c r="D175" s="137" t="str">
        <f t="shared" si="46"/>
        <v>GOLDEN WEST COLLEGE 1</v>
      </c>
      <c r="E175" s="137">
        <v>85</v>
      </c>
      <c r="F175" s="136" t="s">
        <v>1469</v>
      </c>
      <c r="G175" s="136"/>
      <c r="H175" s="136" t="s">
        <v>1475</v>
      </c>
      <c r="I175" s="136"/>
      <c r="J175" s="137" t="s">
        <v>121</v>
      </c>
      <c r="K175" s="137"/>
      <c r="L175" s="136" t="str">
        <f t="shared" si="47"/>
        <v>16GX-085</v>
      </c>
      <c r="M175" s="109"/>
      <c r="N175" s="109" t="str">
        <f>$L$112&amp;C175</f>
        <v>ag_Group</v>
      </c>
      <c r="O175" s="109"/>
      <c r="P175" s="109"/>
      <c r="Q175" s="109"/>
      <c r="R175" s="109"/>
      <c r="S175" s="109"/>
      <c r="T175" s="109"/>
      <c r="U175" s="109"/>
      <c r="V175" s="109"/>
      <c r="W175" s="109"/>
      <c r="X175" s="109"/>
      <c r="Y175" s="109"/>
      <c r="Z175" s="109"/>
    </row>
    <row r="176" spans="1:26" ht="12" customHeight="1">
      <c r="A176" s="284">
        <f t="shared" si="45"/>
        <v>46222</v>
      </c>
      <c r="B176" s="285">
        <f>'CHICLETS MASTER S1'!Z35</f>
        <v>0.53472222222222199</v>
      </c>
      <c r="C176" s="285" t="s">
        <v>163</v>
      </c>
      <c r="D176" s="286" t="str">
        <f t="shared" si="46"/>
        <v>GOLDEN WEST COLLEGE 1</v>
      </c>
      <c r="E176" s="286">
        <v>89</v>
      </c>
      <c r="F176" s="285" t="s">
        <v>1489</v>
      </c>
      <c r="G176" s="286"/>
      <c r="H176" s="285" t="s">
        <v>1455</v>
      </c>
      <c r="I176" s="286"/>
      <c r="J176" s="286" t="s">
        <v>121</v>
      </c>
      <c r="K176" s="286"/>
      <c r="L176" s="285" t="str">
        <f t="shared" si="47"/>
        <v>16GX-089</v>
      </c>
      <c r="M176" s="109"/>
      <c r="N176" s="109" t="str">
        <f>$L$113&amp;C176</f>
        <v>bz_Group</v>
      </c>
      <c r="O176" s="109"/>
      <c r="P176" s="109"/>
      <c r="Q176" s="109"/>
      <c r="R176" s="109"/>
      <c r="S176" s="109"/>
      <c r="T176" s="109"/>
      <c r="U176" s="109"/>
      <c r="V176" s="109"/>
      <c r="W176" s="109"/>
      <c r="X176" s="109"/>
      <c r="Y176" s="109"/>
      <c r="Z176" s="109"/>
    </row>
    <row r="177" spans="1:26" ht="12" customHeight="1">
      <c r="A177" s="135">
        <f t="shared" si="45"/>
        <v>46222</v>
      </c>
      <c r="B177" s="136">
        <f>'CHICLETS MASTER S1'!Z36</f>
        <v>0.56944444444444497</v>
      </c>
      <c r="C177" s="136" t="s">
        <v>163</v>
      </c>
      <c r="D177" s="137" t="str">
        <f t="shared" si="46"/>
        <v>GOLDEN WEST COLLEGE 1</v>
      </c>
      <c r="E177" s="137">
        <v>93</v>
      </c>
      <c r="F177" s="136" t="s">
        <v>1648</v>
      </c>
      <c r="G177" s="136"/>
      <c r="H177" s="136" t="s">
        <v>1447</v>
      </c>
      <c r="I177" s="136"/>
      <c r="J177" s="137" t="s">
        <v>121</v>
      </c>
      <c r="K177" s="137"/>
      <c r="L177" s="136" t="str">
        <f t="shared" si="47"/>
        <v>16GX-093</v>
      </c>
      <c r="M177" s="109"/>
      <c r="N177" s="109" t="str">
        <f>$L$112&amp;C177</f>
        <v>ag_Group</v>
      </c>
      <c r="O177" s="109"/>
      <c r="P177" s="109"/>
      <c r="Q177" s="109"/>
      <c r="R177" s="109"/>
      <c r="S177" s="109"/>
      <c r="T177" s="109"/>
      <c r="U177" s="109"/>
      <c r="V177" s="109"/>
      <c r="W177" s="109"/>
      <c r="X177" s="109"/>
      <c r="Y177" s="109"/>
      <c r="Z177" s="109"/>
    </row>
    <row r="178" spans="1:26" ht="12" customHeight="1">
      <c r="A178" s="284">
        <f t="shared" si="45"/>
        <v>46222</v>
      </c>
      <c r="B178" s="285">
        <f>'CHICLETS MASTER S1'!Z37</f>
        <v>0.60416666666666696</v>
      </c>
      <c r="C178" s="285" t="s">
        <v>163</v>
      </c>
      <c r="D178" s="286" t="str">
        <f t="shared" si="46"/>
        <v>GOLDEN WEST COLLEGE 1</v>
      </c>
      <c r="E178" s="286">
        <v>97</v>
      </c>
      <c r="F178" s="285" t="s">
        <v>1617</v>
      </c>
      <c r="G178" s="286"/>
      <c r="H178" s="285" t="s">
        <v>1608</v>
      </c>
      <c r="I178" s="286"/>
      <c r="J178" s="286" t="s">
        <v>121</v>
      </c>
      <c r="K178" s="286"/>
      <c r="L178" s="285" t="str">
        <f t="shared" si="47"/>
        <v>16GX-097</v>
      </c>
      <c r="M178" s="109"/>
      <c r="N178" s="109" t="str">
        <f>$L$113&amp;C178</f>
        <v>bz_Group</v>
      </c>
      <c r="O178" s="109"/>
      <c r="P178" s="109"/>
      <c r="Q178" s="109"/>
      <c r="R178" s="109"/>
      <c r="S178" s="109"/>
      <c r="T178" s="109"/>
      <c r="U178" s="109"/>
      <c r="V178" s="109"/>
      <c r="W178" s="109"/>
      <c r="X178" s="109"/>
      <c r="Y178" s="109"/>
      <c r="Z178" s="109"/>
    </row>
    <row r="179" spans="1:26" ht="12" customHeight="1">
      <c r="A179" s="135">
        <f t="shared" si="45"/>
        <v>46222</v>
      </c>
      <c r="B179" s="136">
        <f>'CHICLETS MASTER S1'!Z38</f>
        <v>0.63888888888888895</v>
      </c>
      <c r="C179" s="136" t="s">
        <v>163</v>
      </c>
      <c r="D179" s="137" t="str">
        <f t="shared" si="46"/>
        <v>GOLDEN WEST COLLEGE 1</v>
      </c>
      <c r="E179" s="137">
        <v>101</v>
      </c>
      <c r="F179" s="136" t="s">
        <v>1478</v>
      </c>
      <c r="G179" s="136"/>
      <c r="H179" s="136" t="s">
        <v>1475</v>
      </c>
      <c r="I179" s="136"/>
      <c r="J179" s="137" t="s">
        <v>121</v>
      </c>
      <c r="K179" s="137"/>
      <c r="L179" s="136" t="str">
        <f t="shared" si="47"/>
        <v>16GX-101</v>
      </c>
      <c r="M179" s="109"/>
      <c r="N179" s="109" t="str">
        <f>$L$112&amp;C179</f>
        <v>ag_Group</v>
      </c>
      <c r="O179" s="109"/>
      <c r="P179" s="109"/>
      <c r="Q179" s="109"/>
      <c r="R179" s="109"/>
      <c r="S179" s="109"/>
      <c r="T179" s="109"/>
      <c r="U179" s="109"/>
      <c r="V179" s="109"/>
      <c r="W179" s="109"/>
      <c r="X179" s="109"/>
      <c r="Y179" s="109"/>
      <c r="Z179" s="109"/>
    </row>
    <row r="180" spans="1:26" ht="12" customHeight="1">
      <c r="A180" s="284">
        <f t="shared" si="45"/>
        <v>46222</v>
      </c>
      <c r="B180" s="285">
        <f>'CHICLETS MASTER S1'!Z39</f>
        <v>0.67361111111111105</v>
      </c>
      <c r="C180" s="285" t="s">
        <v>163</v>
      </c>
      <c r="D180" s="286" t="str">
        <f t="shared" si="46"/>
        <v>GOLDEN WEST COLLEGE 1</v>
      </c>
      <c r="E180" s="286">
        <v>105</v>
      </c>
      <c r="F180" s="285" t="s">
        <v>1489</v>
      </c>
      <c r="G180" s="286"/>
      <c r="H180" s="285" t="s">
        <v>1458</v>
      </c>
      <c r="I180" s="286"/>
      <c r="J180" s="286" t="s">
        <v>121</v>
      </c>
      <c r="K180" s="286"/>
      <c r="L180" s="285" t="str">
        <f t="shared" si="47"/>
        <v>16GX-105</v>
      </c>
      <c r="M180" s="109"/>
      <c r="N180" s="109" t="str">
        <f>$L$113&amp;C180</f>
        <v>bz_Group</v>
      </c>
      <c r="O180" s="109"/>
      <c r="P180" s="109"/>
      <c r="Q180" s="109"/>
      <c r="R180" s="109"/>
      <c r="S180" s="109"/>
      <c r="T180" s="109"/>
      <c r="U180" s="109"/>
      <c r="V180" s="109"/>
      <c r="W180" s="109"/>
      <c r="X180" s="109"/>
      <c r="Y180" s="109"/>
      <c r="Z180" s="109"/>
    </row>
    <row r="181" spans="1:26" ht="12" customHeight="1">
      <c r="A181" s="106"/>
      <c r="B181" s="106" t="s">
        <v>204</v>
      </c>
      <c r="C181" s="106"/>
      <c r="D181" s="106"/>
      <c r="E181" s="106"/>
      <c r="F181" s="106"/>
      <c r="G181" s="106"/>
      <c r="H181" s="106"/>
      <c r="I181" s="106"/>
      <c r="J181" s="106"/>
      <c r="K181" s="106"/>
      <c r="L181" s="106" t="str">
        <f t="shared" si="47"/>
        <v/>
      </c>
      <c r="M181" s="342"/>
      <c r="N181" s="342"/>
      <c r="O181" s="342"/>
      <c r="P181" s="342"/>
      <c r="Q181" s="342"/>
      <c r="R181" s="342"/>
      <c r="S181" s="342"/>
      <c r="T181" s="342"/>
      <c r="U181" s="342"/>
      <c r="V181" s="109"/>
      <c r="W181" s="109"/>
      <c r="X181" s="109"/>
      <c r="Y181" s="109"/>
      <c r="Z181" s="109"/>
    </row>
    <row r="182" spans="1:26" ht="12" customHeight="1">
      <c r="A182" s="135">
        <f t="shared" ref="A182:A184" si="48">$A$93</f>
        <v>46222</v>
      </c>
      <c r="B182" s="136">
        <f>'CHICLETS MASTER S1'!Z41</f>
        <v>0.74305555555555602</v>
      </c>
      <c r="C182" s="136" t="s">
        <v>758</v>
      </c>
      <c r="D182" s="137" t="str">
        <f t="shared" ref="D182:D184" si="49">$D$167</f>
        <v>GOLDEN WEST COLLEGE 1</v>
      </c>
      <c r="E182" s="137">
        <v>109</v>
      </c>
      <c r="F182" s="136" t="s">
        <v>1649</v>
      </c>
      <c r="G182" s="136"/>
      <c r="H182" s="136" t="s">
        <v>1650</v>
      </c>
      <c r="I182" s="136"/>
      <c r="J182" s="137">
        <v>130</v>
      </c>
      <c r="K182" s="137">
        <v>134</v>
      </c>
      <c r="L182" s="136" t="str">
        <f t="shared" si="47"/>
        <v>16GX-109</v>
      </c>
      <c r="M182" s="109"/>
      <c r="N182" s="109" t="str">
        <f>$L$112&amp;C182</f>
        <v>ag_play-in</v>
      </c>
      <c r="O182" s="109"/>
      <c r="P182" s="109"/>
      <c r="Q182" s="109"/>
      <c r="R182" s="109"/>
      <c r="S182" s="109"/>
      <c r="T182" s="109"/>
      <c r="U182" s="109"/>
      <c r="V182" s="109"/>
      <c r="W182" s="109"/>
      <c r="X182" s="109"/>
      <c r="Y182" s="109"/>
      <c r="Z182" s="109"/>
    </row>
    <row r="183" spans="1:26" ht="12" customHeight="1">
      <c r="A183" s="284">
        <f t="shared" si="48"/>
        <v>46222</v>
      </c>
      <c r="B183" s="285">
        <f>'CHICLETS MASTER S1'!Z42</f>
        <v>0.77777777777777801</v>
      </c>
      <c r="C183" s="285" t="s">
        <v>758</v>
      </c>
      <c r="D183" s="286" t="str">
        <f t="shared" si="49"/>
        <v>GOLDEN WEST COLLEGE 1</v>
      </c>
      <c r="E183" s="286">
        <v>113</v>
      </c>
      <c r="F183" s="285" t="s">
        <v>1651</v>
      </c>
      <c r="G183" s="286"/>
      <c r="H183" s="285" t="s">
        <v>1652</v>
      </c>
      <c r="I183" s="286"/>
      <c r="J183" s="286">
        <v>132</v>
      </c>
      <c r="K183" s="286" t="s">
        <v>1653</v>
      </c>
      <c r="L183" s="285" t="str">
        <f t="shared" si="47"/>
        <v>16GX-113</v>
      </c>
      <c r="M183" s="109"/>
      <c r="N183" s="109" t="str">
        <f t="shared" ref="N183:N184" si="50">$L$113&amp;C183</f>
        <v>bz_play-in</v>
      </c>
      <c r="O183" s="109"/>
      <c r="P183" s="109"/>
      <c r="Q183" s="109"/>
      <c r="R183" s="109"/>
      <c r="S183" s="109"/>
      <c r="T183" s="109"/>
      <c r="U183" s="109"/>
      <c r="V183" s="109"/>
      <c r="W183" s="109"/>
      <c r="X183" s="109"/>
      <c r="Y183" s="109"/>
      <c r="Z183" s="109"/>
    </row>
    <row r="184" spans="1:26" ht="12" customHeight="1">
      <c r="A184" s="284">
        <f t="shared" si="48"/>
        <v>46222</v>
      </c>
      <c r="B184" s="285">
        <f>'CHICLETS MASTER S1'!Z43</f>
        <v>0.8125</v>
      </c>
      <c r="C184" s="285" t="s">
        <v>758</v>
      </c>
      <c r="D184" s="286" t="str">
        <f t="shared" si="49"/>
        <v>GOLDEN WEST COLLEGE 1</v>
      </c>
      <c r="E184" s="286">
        <v>67</v>
      </c>
      <c r="F184" s="285" t="s">
        <v>1654</v>
      </c>
      <c r="G184" s="286"/>
      <c r="H184" s="285" t="s">
        <v>1655</v>
      </c>
      <c r="I184" s="286"/>
      <c r="J184" s="286" t="s">
        <v>1656</v>
      </c>
      <c r="K184" s="286" t="s">
        <v>1523</v>
      </c>
      <c r="L184" s="285" t="str">
        <f t="shared" si="47"/>
        <v>16GX-067</v>
      </c>
      <c r="M184" s="109"/>
      <c r="N184" s="109" t="str">
        <f t="shared" si="50"/>
        <v>bz_play-in</v>
      </c>
      <c r="O184" s="109"/>
      <c r="P184" s="109"/>
      <c r="Q184" s="109"/>
      <c r="R184" s="109"/>
      <c r="S184" s="109"/>
      <c r="T184" s="109"/>
      <c r="U184" s="109"/>
      <c r="V184" s="109"/>
      <c r="W184" s="109"/>
      <c r="X184" s="109"/>
      <c r="Y184" s="109"/>
      <c r="Z184" s="109"/>
    </row>
    <row r="185" spans="1:26" ht="12" customHeight="1" thickBot="1">
      <c r="A185" s="345"/>
      <c r="B185" s="342"/>
      <c r="C185" s="342"/>
      <c r="D185" s="109"/>
      <c r="E185" s="109"/>
      <c r="F185" s="342"/>
      <c r="G185" s="342"/>
      <c r="H185" s="342"/>
      <c r="I185" s="342"/>
      <c r="J185" s="109"/>
      <c r="K185" s="109"/>
      <c r="L185" s="109"/>
      <c r="M185" s="109"/>
      <c r="N185" s="109"/>
      <c r="O185" s="109"/>
      <c r="P185" s="109"/>
      <c r="Q185" s="109"/>
      <c r="R185" s="109"/>
      <c r="S185" s="109"/>
      <c r="T185" s="109"/>
      <c r="U185" s="109"/>
      <c r="V185" s="109"/>
      <c r="W185" s="109"/>
      <c r="X185" s="109"/>
      <c r="Y185" s="109"/>
      <c r="Z185" s="109"/>
    </row>
    <row r="186" spans="1:26" ht="12" customHeight="1" thickTop="1" thickBot="1">
      <c r="A186" s="105" t="s">
        <v>782</v>
      </c>
      <c r="B186" s="165"/>
      <c r="C186" s="165" t="s">
        <v>647</v>
      </c>
      <c r="D186" s="165"/>
      <c r="E186" s="165"/>
      <c r="F186" s="165"/>
      <c r="G186" s="165"/>
      <c r="H186" s="165"/>
      <c r="I186" s="165"/>
      <c r="J186" s="165"/>
      <c r="K186" s="165"/>
      <c r="L186" s="165"/>
      <c r="M186" s="109"/>
      <c r="N186" s="109"/>
      <c r="O186" s="109"/>
      <c r="P186" s="109"/>
      <c r="Q186" s="109"/>
      <c r="R186" s="109"/>
      <c r="S186" s="109"/>
      <c r="T186" s="109"/>
      <c r="U186" s="109"/>
      <c r="V186" s="109"/>
      <c r="W186" s="109"/>
      <c r="X186" s="109"/>
      <c r="Y186" s="109"/>
      <c r="Z186" s="109"/>
    </row>
    <row r="187" spans="1:26" ht="12" customHeight="1" thickBot="1">
      <c r="A187" s="108">
        <v>46223</v>
      </c>
      <c r="B187" s="341"/>
      <c r="C187" s="341"/>
      <c r="D187" s="341"/>
      <c r="E187" s="341"/>
      <c r="F187" s="109"/>
      <c r="G187" s="109"/>
      <c r="H187" s="109"/>
      <c r="I187" s="109"/>
      <c r="J187" s="109"/>
      <c r="K187" s="109"/>
      <c r="L187" s="109"/>
      <c r="M187" s="109"/>
      <c r="N187" s="109"/>
      <c r="O187" s="109"/>
      <c r="P187" s="109"/>
      <c r="Q187" s="109"/>
      <c r="R187" s="109"/>
      <c r="S187" s="109"/>
      <c r="T187" s="109"/>
      <c r="U187" s="109"/>
      <c r="V187" s="109"/>
      <c r="W187" s="109"/>
      <c r="X187" s="109"/>
      <c r="Y187" s="109"/>
      <c r="Z187" s="109"/>
    </row>
    <row r="188" spans="1:26" ht="12" customHeight="1" thickBot="1">
      <c r="A188" s="108"/>
      <c r="B188" s="341"/>
      <c r="C188" s="348"/>
      <c r="D188" s="119" t="str">
        <f>'CHICLETS MASTER S1'!$AI$51</f>
        <v>PORTOLA HS 1</v>
      </c>
      <c r="E188" s="341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</row>
    <row r="189" spans="1:26" ht="12" customHeight="1">
      <c r="A189" s="280" t="s">
        <v>110</v>
      </c>
      <c r="B189" s="281" t="s">
        <v>111</v>
      </c>
      <c r="C189" s="280" t="s">
        <v>112</v>
      </c>
      <c r="D189" s="280" t="s">
        <v>113</v>
      </c>
      <c r="E189" s="280" t="s">
        <v>114</v>
      </c>
      <c r="F189" s="280" t="s">
        <v>115</v>
      </c>
      <c r="G189" s="280" t="s">
        <v>116</v>
      </c>
      <c r="H189" s="280" t="s">
        <v>117</v>
      </c>
      <c r="I189" s="280" t="s">
        <v>116</v>
      </c>
      <c r="J189" s="280" t="s">
        <v>118</v>
      </c>
      <c r="K189" s="280" t="s">
        <v>119</v>
      </c>
      <c r="L189" s="280" t="s">
        <v>120</v>
      </c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  <c r="Y189" s="109"/>
      <c r="Z189" s="109"/>
    </row>
    <row r="190" spans="1:26" ht="12" customHeight="1">
      <c r="A190" s="135">
        <f t="shared" ref="A190:A201" si="51">$A$187</f>
        <v>46223</v>
      </c>
      <c r="B190" s="136">
        <f>'CHICLETS MASTER S1'!Z53</f>
        <v>0.33333333333333331</v>
      </c>
      <c r="C190" s="136" t="s">
        <v>383</v>
      </c>
      <c r="D190" s="137" t="str">
        <f t="shared" ref="D190:D201" si="52">$D$188</f>
        <v>PORTOLA HS 1</v>
      </c>
      <c r="E190" s="137">
        <v>117</v>
      </c>
      <c r="F190" s="136" t="s">
        <v>1657</v>
      </c>
      <c r="G190" s="136"/>
      <c r="H190" s="136" t="s">
        <v>1658</v>
      </c>
      <c r="I190" s="136"/>
      <c r="J190" s="137" t="s">
        <v>1659</v>
      </c>
      <c r="K190" s="137"/>
      <c r="L190" s="136" t="str">
        <f t="shared" ref="L190:L199" si="53">IF(E190="","",$L$17&amp;"-"&amp;TEXT(E190,"000"))</f>
        <v>16GX-117</v>
      </c>
      <c r="M190" s="109"/>
      <c r="N190" s="109" t="str">
        <f t="shared" ref="N190:N201" si="54">$L$112&amp;C190</f>
        <v>ag_21-24 RR</v>
      </c>
      <c r="O190" s="109"/>
      <c r="P190" s="109"/>
      <c r="Q190" s="109"/>
      <c r="R190" s="109"/>
      <c r="S190" s="109"/>
      <c r="T190" s="109"/>
      <c r="U190" s="109"/>
      <c r="V190" s="109"/>
      <c r="W190" s="109"/>
      <c r="X190" s="109"/>
      <c r="Y190" s="109"/>
      <c r="Z190" s="109"/>
    </row>
    <row r="191" spans="1:26" ht="12" customHeight="1">
      <c r="A191" s="135">
        <f t="shared" si="51"/>
        <v>46223</v>
      </c>
      <c r="B191" s="136">
        <f>'CHICLETS MASTER S1'!Z54</f>
        <v>0.375</v>
      </c>
      <c r="C191" s="136" t="s">
        <v>194</v>
      </c>
      <c r="D191" s="137" t="str">
        <f t="shared" si="52"/>
        <v>PORTOLA HS 1</v>
      </c>
      <c r="E191" s="137">
        <v>121</v>
      </c>
      <c r="F191" s="136" t="s">
        <v>1660</v>
      </c>
      <c r="G191" s="136"/>
      <c r="H191" s="136" t="s">
        <v>1661</v>
      </c>
      <c r="I191" s="136"/>
      <c r="J191" s="137">
        <v>174</v>
      </c>
      <c r="K191" s="137">
        <v>161</v>
      </c>
      <c r="L191" s="135" t="str">
        <f t="shared" si="53"/>
        <v>16GX-121</v>
      </c>
      <c r="M191" s="109"/>
      <c r="N191" s="109" t="str">
        <f t="shared" si="54"/>
        <v>ag_1-2 v 3-4</v>
      </c>
      <c r="O191" s="109"/>
      <c r="P191" s="109"/>
      <c r="Q191" s="109"/>
      <c r="R191" s="109"/>
      <c r="S191" s="109"/>
      <c r="T191" s="109"/>
      <c r="U191" s="109"/>
      <c r="V191" s="109"/>
      <c r="W191" s="109"/>
      <c r="X191" s="109"/>
      <c r="Y191" s="109"/>
      <c r="Z191" s="109"/>
    </row>
    <row r="192" spans="1:26" ht="12" customHeight="1">
      <c r="A192" s="135">
        <f t="shared" si="51"/>
        <v>46223</v>
      </c>
      <c r="B192" s="136">
        <f>'CHICLETS MASTER S1'!Z55</f>
        <v>0.41666666666666702</v>
      </c>
      <c r="C192" s="140" t="s">
        <v>189</v>
      </c>
      <c r="D192" s="137" t="str">
        <f t="shared" si="52"/>
        <v>PORTOLA HS 1</v>
      </c>
      <c r="E192" s="137">
        <v>125</v>
      </c>
      <c r="F192" s="135" t="s">
        <v>1662</v>
      </c>
      <c r="G192" s="136"/>
      <c r="H192" s="135" t="s">
        <v>789</v>
      </c>
      <c r="I192" s="136"/>
      <c r="J192" s="137">
        <v>145</v>
      </c>
      <c r="K192" s="137">
        <v>149</v>
      </c>
      <c r="L192" s="135" t="str">
        <f t="shared" si="53"/>
        <v>16GX-125</v>
      </c>
      <c r="M192" s="109"/>
      <c r="N192" s="109" t="str">
        <f t="shared" si="54"/>
        <v>ag_5-8 v 9-12</v>
      </c>
      <c r="O192" s="109"/>
      <c r="P192" s="109"/>
      <c r="Q192" s="109"/>
      <c r="R192" s="109"/>
      <c r="S192" s="109"/>
      <c r="T192" s="109"/>
      <c r="U192" s="109"/>
      <c r="V192" s="109"/>
      <c r="W192" s="109"/>
      <c r="X192" s="109"/>
      <c r="Y192" s="109"/>
      <c r="Z192" s="109"/>
    </row>
    <row r="193" spans="1:26" ht="12" customHeight="1">
      <c r="A193" s="135">
        <f t="shared" si="51"/>
        <v>46223</v>
      </c>
      <c r="B193" s="136">
        <f>'CHICLETS MASTER S1'!Z56</f>
        <v>0.45833333333333298</v>
      </c>
      <c r="C193" s="140" t="s">
        <v>189</v>
      </c>
      <c r="D193" s="137" t="str">
        <f t="shared" si="52"/>
        <v>PORTOLA HS 1</v>
      </c>
      <c r="E193" s="137">
        <v>129</v>
      </c>
      <c r="F193" s="135" t="s">
        <v>1663</v>
      </c>
      <c r="G193" s="136"/>
      <c r="H193" s="135" t="s">
        <v>791</v>
      </c>
      <c r="I193" s="136"/>
      <c r="J193" s="137">
        <v>145</v>
      </c>
      <c r="K193" s="137">
        <v>149</v>
      </c>
      <c r="L193" s="135" t="str">
        <f t="shared" si="53"/>
        <v>16GX-129</v>
      </c>
      <c r="M193" s="109"/>
      <c r="N193" s="109" t="str">
        <f t="shared" si="54"/>
        <v>ag_5-8 v 9-12</v>
      </c>
      <c r="O193" s="109"/>
      <c r="P193" s="109"/>
      <c r="Q193" s="109"/>
      <c r="R193" s="109"/>
      <c r="S193" s="109"/>
      <c r="T193" s="109"/>
      <c r="U193" s="109"/>
      <c r="V193" s="109"/>
      <c r="W193" s="109"/>
      <c r="X193" s="109"/>
      <c r="Y193" s="109"/>
      <c r="Z193" s="109"/>
    </row>
    <row r="194" spans="1:26" ht="12" customHeight="1">
      <c r="A194" s="135">
        <f t="shared" si="51"/>
        <v>46223</v>
      </c>
      <c r="B194" s="136">
        <f>'CHICLETS MASTER S1'!Z57</f>
        <v>0.5</v>
      </c>
      <c r="C194" s="136" t="s">
        <v>388</v>
      </c>
      <c r="D194" s="137" t="str">
        <f t="shared" si="52"/>
        <v>PORTOLA HS 1</v>
      </c>
      <c r="E194" s="137">
        <v>133</v>
      </c>
      <c r="F194" s="136" t="s">
        <v>792</v>
      </c>
      <c r="G194" s="136"/>
      <c r="H194" s="136" t="s">
        <v>1664</v>
      </c>
      <c r="I194" s="136"/>
      <c r="J194" s="137">
        <v>153</v>
      </c>
      <c r="K194" s="137">
        <v>157</v>
      </c>
      <c r="L194" s="136" t="str">
        <f t="shared" si="53"/>
        <v>16GX-133</v>
      </c>
      <c r="M194" s="109"/>
      <c r="N194" s="109" t="str">
        <f t="shared" si="54"/>
        <v>ag_13-20 qtr</v>
      </c>
      <c r="O194" s="109"/>
      <c r="P194" s="109"/>
      <c r="Q194" s="109"/>
      <c r="R194" s="109"/>
      <c r="S194" s="109"/>
      <c r="T194" s="109"/>
      <c r="U194" s="109"/>
      <c r="V194" s="109"/>
      <c r="W194" s="109"/>
      <c r="X194" s="109"/>
      <c r="Y194" s="109"/>
      <c r="Z194" s="109"/>
    </row>
    <row r="195" spans="1:26" ht="12" customHeight="1">
      <c r="A195" s="135">
        <f t="shared" si="51"/>
        <v>46223</v>
      </c>
      <c r="B195" s="136">
        <f>'CHICLETS MASTER S1'!Z58</f>
        <v>0.54166666666666696</v>
      </c>
      <c r="C195" s="136" t="s">
        <v>388</v>
      </c>
      <c r="D195" s="137" t="str">
        <f t="shared" si="52"/>
        <v>PORTOLA HS 1</v>
      </c>
      <c r="E195" s="137">
        <v>137</v>
      </c>
      <c r="F195" s="136" t="s">
        <v>794</v>
      </c>
      <c r="G195" s="136"/>
      <c r="H195" s="136" t="s">
        <v>1665</v>
      </c>
      <c r="I195" s="136"/>
      <c r="J195" s="137">
        <v>153</v>
      </c>
      <c r="K195" s="137">
        <v>157</v>
      </c>
      <c r="L195" s="136" t="str">
        <f t="shared" si="53"/>
        <v>16GX-137</v>
      </c>
      <c r="M195" s="109"/>
      <c r="N195" s="109" t="str">
        <f t="shared" si="54"/>
        <v>ag_13-20 qtr</v>
      </c>
      <c r="O195" s="109"/>
      <c r="P195" s="109"/>
      <c r="Q195" s="109"/>
      <c r="R195" s="109"/>
      <c r="S195" s="109"/>
      <c r="T195" s="109"/>
      <c r="U195" s="109"/>
      <c r="V195" s="109"/>
      <c r="W195" s="109"/>
      <c r="X195" s="109"/>
      <c r="Y195" s="109"/>
      <c r="Z195" s="109"/>
    </row>
    <row r="196" spans="1:26" ht="12" customHeight="1">
      <c r="A196" s="135">
        <f t="shared" si="51"/>
        <v>46223</v>
      </c>
      <c r="B196" s="136">
        <f>'CHICLETS MASTER S1'!Z59</f>
        <v>0.58333333333333304</v>
      </c>
      <c r="C196" s="136" t="s">
        <v>383</v>
      </c>
      <c r="D196" s="137" t="str">
        <f t="shared" si="52"/>
        <v>PORTOLA HS 1</v>
      </c>
      <c r="E196" s="137">
        <v>141</v>
      </c>
      <c r="F196" s="136" t="s">
        <v>1657</v>
      </c>
      <c r="G196" s="136"/>
      <c r="H196" s="344" t="s">
        <v>1666</v>
      </c>
      <c r="I196" s="136"/>
      <c r="J196" s="137" t="s">
        <v>1659</v>
      </c>
      <c r="K196" s="137"/>
      <c r="L196" s="136" t="str">
        <f t="shared" si="53"/>
        <v>16GX-141</v>
      </c>
      <c r="M196" s="109"/>
      <c r="N196" s="109" t="str">
        <f t="shared" si="54"/>
        <v>ag_21-24 RR</v>
      </c>
      <c r="O196" s="109"/>
      <c r="P196" s="109"/>
      <c r="Q196" s="109"/>
      <c r="R196" s="109"/>
      <c r="S196" s="109"/>
      <c r="T196" s="109"/>
      <c r="U196" s="109"/>
      <c r="V196" s="109"/>
      <c r="W196" s="109"/>
      <c r="X196" s="109"/>
      <c r="Y196" s="109"/>
      <c r="Z196" s="109"/>
    </row>
    <row r="197" spans="1:26" ht="12" customHeight="1">
      <c r="A197" s="135">
        <f t="shared" si="51"/>
        <v>46223</v>
      </c>
      <c r="B197" s="136">
        <f>'CHICLETS MASTER S1'!Z60</f>
        <v>0.625</v>
      </c>
      <c r="C197" s="136" t="s">
        <v>199</v>
      </c>
      <c r="D197" s="137" t="str">
        <f t="shared" si="52"/>
        <v>PORTOLA HS 1</v>
      </c>
      <c r="E197" s="137">
        <v>145</v>
      </c>
      <c r="F197" s="136" t="s">
        <v>797</v>
      </c>
      <c r="G197" s="136"/>
      <c r="H197" s="136" t="s">
        <v>798</v>
      </c>
      <c r="I197" s="136"/>
      <c r="J197" s="137">
        <v>161</v>
      </c>
      <c r="K197" s="137">
        <v>185</v>
      </c>
      <c r="L197" s="136" t="str">
        <f t="shared" si="53"/>
        <v>16GX-145</v>
      </c>
      <c r="M197" s="109"/>
      <c r="N197" s="109" t="str">
        <f t="shared" si="54"/>
        <v>ag_5-6 v 7-8</v>
      </c>
      <c r="O197" s="109"/>
      <c r="P197" s="109"/>
      <c r="Q197" s="109"/>
      <c r="R197" s="109"/>
      <c r="S197" s="109"/>
      <c r="T197" s="109"/>
      <c r="U197" s="109"/>
      <c r="V197" s="109"/>
      <c r="W197" s="109"/>
      <c r="X197" s="109"/>
      <c r="Y197" s="109"/>
      <c r="Z197" s="109"/>
    </row>
    <row r="198" spans="1:26" ht="12" customHeight="1">
      <c r="A198" s="135">
        <f t="shared" si="51"/>
        <v>46223</v>
      </c>
      <c r="B198" s="136">
        <f>'CHICLETS MASTER S1'!Z61</f>
        <v>0.66666666666666696</v>
      </c>
      <c r="C198" s="136" t="s">
        <v>200</v>
      </c>
      <c r="D198" s="137" t="str">
        <f t="shared" si="52"/>
        <v>PORTOLA HS 1</v>
      </c>
      <c r="E198" s="137">
        <v>149</v>
      </c>
      <c r="F198" s="136" t="s">
        <v>799</v>
      </c>
      <c r="G198" s="136"/>
      <c r="H198" s="136" t="s">
        <v>800</v>
      </c>
      <c r="I198" s="136"/>
      <c r="J198" s="137">
        <v>182</v>
      </c>
      <c r="K198" s="137">
        <v>181</v>
      </c>
      <c r="L198" s="136" t="str">
        <f t="shared" si="53"/>
        <v>16GX-149</v>
      </c>
      <c r="M198" s="109"/>
      <c r="N198" s="109" t="str">
        <f t="shared" si="54"/>
        <v>ag_9-12 semi</v>
      </c>
      <c r="O198" s="109"/>
      <c r="P198" s="109"/>
      <c r="Q198" s="109"/>
      <c r="R198" s="109"/>
      <c r="S198" s="109"/>
      <c r="T198" s="109"/>
      <c r="U198" s="109"/>
      <c r="V198" s="109"/>
      <c r="W198" s="109"/>
      <c r="X198" s="109"/>
      <c r="Y198" s="109"/>
      <c r="Z198" s="109"/>
    </row>
    <row r="199" spans="1:26" ht="12" customHeight="1">
      <c r="A199" s="135">
        <f t="shared" si="51"/>
        <v>46223</v>
      </c>
      <c r="B199" s="136">
        <f>'CHICLETS MASTER S1'!Z62</f>
        <v>0.70833333333333304</v>
      </c>
      <c r="C199" s="136" t="s">
        <v>393</v>
      </c>
      <c r="D199" s="137" t="str">
        <f t="shared" si="52"/>
        <v>PORTOLA HS 1</v>
      </c>
      <c r="E199" s="137">
        <v>153</v>
      </c>
      <c r="F199" s="136" t="s">
        <v>801</v>
      </c>
      <c r="G199" s="136"/>
      <c r="H199" s="136" t="s">
        <v>802</v>
      </c>
      <c r="I199" s="136"/>
      <c r="J199" s="137">
        <v>178</v>
      </c>
      <c r="K199" s="137">
        <v>177</v>
      </c>
      <c r="L199" s="136" t="str">
        <f t="shared" si="53"/>
        <v>16GX-153</v>
      </c>
      <c r="M199" s="109"/>
      <c r="N199" s="109" t="str">
        <f t="shared" si="54"/>
        <v>ag_13-16 semi</v>
      </c>
      <c r="O199" s="109"/>
      <c r="P199" s="109"/>
      <c r="Q199" s="109"/>
      <c r="R199" s="109"/>
      <c r="S199" s="109"/>
      <c r="T199" s="109"/>
      <c r="U199" s="109"/>
      <c r="V199" s="109"/>
      <c r="W199" s="109"/>
      <c r="X199" s="109"/>
      <c r="Y199" s="109"/>
      <c r="Z199" s="109"/>
    </row>
    <row r="200" spans="1:26" ht="12" customHeight="1">
      <c r="A200" s="135">
        <f t="shared" si="51"/>
        <v>46223</v>
      </c>
      <c r="B200" s="136">
        <f>'CHICLETS MASTER S1'!Z63</f>
        <v>0.75</v>
      </c>
      <c r="C200" s="136" t="s">
        <v>394</v>
      </c>
      <c r="D200" s="137" t="str">
        <f t="shared" si="52"/>
        <v>PORTOLA HS 1</v>
      </c>
      <c r="E200" s="137">
        <v>157</v>
      </c>
      <c r="F200" s="136" t="s">
        <v>803</v>
      </c>
      <c r="G200" s="136"/>
      <c r="H200" s="136" t="s">
        <v>804</v>
      </c>
      <c r="I200" s="136"/>
      <c r="J200" s="137">
        <v>170</v>
      </c>
      <c r="K200" s="137">
        <v>169</v>
      </c>
      <c r="L200" s="136">
        <v>169</v>
      </c>
      <c r="M200" s="109"/>
      <c r="N200" s="109" t="str">
        <f t="shared" si="54"/>
        <v>ag_17-20 semi</v>
      </c>
      <c r="O200" s="109"/>
      <c r="P200" s="109"/>
      <c r="Q200" s="109"/>
      <c r="R200" s="109"/>
      <c r="S200" s="109"/>
      <c r="T200" s="109"/>
      <c r="U200" s="109"/>
      <c r="V200" s="109"/>
      <c r="W200" s="109"/>
      <c r="X200" s="109"/>
      <c r="Y200" s="109"/>
      <c r="Z200" s="109"/>
    </row>
    <row r="201" spans="1:26" ht="12" customHeight="1">
      <c r="A201" s="135">
        <f t="shared" si="51"/>
        <v>46223</v>
      </c>
      <c r="B201" s="136">
        <f>'CHICLETS MASTER S1'!Z64</f>
        <v>0.79166666666666696</v>
      </c>
      <c r="C201" s="136" t="s">
        <v>201</v>
      </c>
      <c r="D201" s="137" t="str">
        <f t="shared" si="52"/>
        <v>PORTOLA HS 1</v>
      </c>
      <c r="E201" s="137">
        <v>161</v>
      </c>
      <c r="F201" s="136" t="s">
        <v>805</v>
      </c>
      <c r="G201" s="136"/>
      <c r="H201" s="136" t="s">
        <v>806</v>
      </c>
      <c r="I201" s="136"/>
      <c r="J201" s="137">
        <v>173</v>
      </c>
      <c r="K201" s="137">
        <v>186</v>
      </c>
      <c r="L201" s="136" t="str">
        <f>IF(E201="","",$L$17&amp;"-"&amp;TEXT(E201,"000"))</f>
        <v>16GX-161</v>
      </c>
      <c r="M201" s="109"/>
      <c r="N201" s="109" t="str">
        <f t="shared" si="54"/>
        <v>ag_play to semi</v>
      </c>
      <c r="O201" s="109"/>
      <c r="P201" s="109"/>
      <c r="Q201" s="109"/>
      <c r="R201" s="109"/>
      <c r="S201" s="109"/>
      <c r="T201" s="109"/>
      <c r="U201" s="109"/>
      <c r="V201" s="109"/>
      <c r="W201" s="109"/>
      <c r="X201" s="109"/>
      <c r="Y201" s="109"/>
      <c r="Z201" s="109"/>
    </row>
    <row r="202" spans="1:26" ht="12" customHeight="1" thickBot="1">
      <c r="A202" s="109"/>
      <c r="B202" s="109"/>
      <c r="C202" s="109"/>
      <c r="D202" s="109"/>
      <c r="E202" s="109"/>
      <c r="F202" s="109"/>
      <c r="G202" s="109"/>
      <c r="H202" s="109"/>
      <c r="I202" s="109"/>
      <c r="J202" s="109"/>
      <c r="K202" s="109"/>
      <c r="L202" s="109"/>
      <c r="M202" s="109"/>
      <c r="N202" s="109"/>
      <c r="O202" s="109"/>
      <c r="P202" s="109"/>
      <c r="Q202" s="109"/>
      <c r="R202" s="109"/>
      <c r="S202" s="109"/>
      <c r="T202" s="109"/>
      <c r="U202" s="109"/>
      <c r="V202" s="109"/>
      <c r="W202" s="109"/>
      <c r="X202" s="109"/>
      <c r="Y202" s="109"/>
      <c r="Z202" s="109"/>
    </row>
    <row r="203" spans="1:26" ht="12" customHeight="1" thickBot="1">
      <c r="A203" s="108"/>
      <c r="B203" s="341"/>
      <c r="C203" s="348"/>
      <c r="D203" s="119" t="str">
        <f>'CHICLETS MASTER S1'!$AG$51</f>
        <v>GOLDEN WEST COLLEGE 1</v>
      </c>
      <c r="E203" s="341"/>
      <c r="F203" s="109"/>
      <c r="G203" s="109"/>
      <c r="H203" s="109"/>
      <c r="I203" s="109"/>
      <c r="J203" s="109"/>
      <c r="K203" s="109"/>
      <c r="L203" s="109"/>
      <c r="M203" s="109"/>
      <c r="N203" s="109"/>
      <c r="O203" s="109"/>
      <c r="P203" s="109"/>
      <c r="Q203" s="109"/>
      <c r="R203" s="109"/>
      <c r="S203" s="109"/>
      <c r="T203" s="109"/>
      <c r="U203" s="109"/>
      <c r="V203" s="109"/>
      <c r="W203" s="109"/>
      <c r="X203" s="109"/>
      <c r="Y203" s="109"/>
      <c r="Z203" s="109"/>
    </row>
    <row r="204" spans="1:26" ht="12" customHeight="1">
      <c r="A204" s="280" t="s">
        <v>110</v>
      </c>
      <c r="B204" s="281" t="s">
        <v>111</v>
      </c>
      <c r="C204" s="280" t="s">
        <v>112</v>
      </c>
      <c r="D204" s="280" t="s">
        <v>113</v>
      </c>
      <c r="E204" s="280" t="s">
        <v>114</v>
      </c>
      <c r="F204" s="280" t="s">
        <v>115</v>
      </c>
      <c r="G204" s="280" t="s">
        <v>116</v>
      </c>
      <c r="H204" s="280" t="s">
        <v>117</v>
      </c>
      <c r="I204" s="280" t="s">
        <v>116</v>
      </c>
      <c r="J204" s="280" t="s">
        <v>118</v>
      </c>
      <c r="K204" s="280" t="s">
        <v>119</v>
      </c>
      <c r="L204" s="280" t="s">
        <v>120</v>
      </c>
      <c r="M204" s="109"/>
      <c r="N204" s="109"/>
      <c r="O204" s="109"/>
      <c r="P204" s="109"/>
      <c r="Q204" s="109"/>
      <c r="R204" s="109"/>
      <c r="S204" s="109"/>
      <c r="T204" s="109"/>
      <c r="U204" s="109"/>
      <c r="V204" s="109"/>
      <c r="W204" s="109"/>
      <c r="X204" s="109"/>
      <c r="Y204" s="109"/>
      <c r="Z204" s="109"/>
    </row>
    <row r="205" spans="1:26" ht="12" customHeight="1">
      <c r="A205" s="135">
        <f t="shared" ref="A205:A216" si="55">$A$187</f>
        <v>46223</v>
      </c>
      <c r="B205" s="136">
        <f>'CHICLETS MASTER S1'!Z53</f>
        <v>0.33333333333333331</v>
      </c>
      <c r="C205" s="136" t="s">
        <v>383</v>
      </c>
      <c r="D205" s="137" t="str">
        <f t="shared" ref="D205:D216" si="56">$D$203</f>
        <v>GOLDEN WEST COLLEGE 1</v>
      </c>
      <c r="E205" s="137">
        <v>118</v>
      </c>
      <c r="F205" s="136" t="s">
        <v>1667</v>
      </c>
      <c r="G205" s="136"/>
      <c r="H205" s="136" t="s">
        <v>1666</v>
      </c>
      <c r="I205" s="136"/>
      <c r="J205" s="137" t="s">
        <v>1659</v>
      </c>
      <c r="K205" s="137"/>
      <c r="L205" s="136" t="str">
        <f t="shared" ref="L205:L216" si="57">IF(E205="","",$L$17&amp;"-"&amp;TEXT(E205,"000"))</f>
        <v>16GX-118</v>
      </c>
      <c r="M205" s="109"/>
      <c r="N205" s="109" t="str">
        <f t="shared" ref="N205:N216" si="58">$L$112&amp;C205</f>
        <v>ag_21-24 RR</v>
      </c>
      <c r="O205" s="109"/>
      <c r="P205" s="109"/>
      <c r="Q205" s="109"/>
      <c r="R205" s="109"/>
      <c r="S205" s="109"/>
      <c r="T205" s="109"/>
      <c r="U205" s="109"/>
      <c r="V205" s="109"/>
      <c r="W205" s="109"/>
      <c r="X205" s="109"/>
      <c r="Y205" s="109"/>
      <c r="Z205" s="109"/>
    </row>
    <row r="206" spans="1:26" ht="12" customHeight="1">
      <c r="A206" s="135">
        <f t="shared" si="55"/>
        <v>46223</v>
      </c>
      <c r="B206" s="136">
        <f>'CHICLETS MASTER S1'!Z54</f>
        <v>0.375</v>
      </c>
      <c r="C206" s="136" t="s">
        <v>201</v>
      </c>
      <c r="D206" s="137" t="str">
        <f t="shared" si="56"/>
        <v>GOLDEN WEST COLLEGE 1</v>
      </c>
      <c r="E206" s="137">
        <v>122</v>
      </c>
      <c r="F206" s="136" t="s">
        <v>1668</v>
      </c>
      <c r="G206" s="136"/>
      <c r="H206" s="136" t="s">
        <v>1669</v>
      </c>
      <c r="I206" s="136"/>
      <c r="J206" s="137">
        <v>173</v>
      </c>
      <c r="K206" s="137">
        <v>162</v>
      </c>
      <c r="L206" s="135" t="str">
        <f t="shared" si="57"/>
        <v>16GX-122</v>
      </c>
      <c r="M206" s="109"/>
      <c r="N206" s="109" t="str">
        <f t="shared" si="58"/>
        <v>ag_play to semi</v>
      </c>
      <c r="O206" s="109"/>
      <c r="P206" s="109"/>
      <c r="Q206" s="109"/>
      <c r="R206" s="109"/>
      <c r="S206" s="109"/>
      <c r="T206" s="109"/>
      <c r="U206" s="109"/>
      <c r="V206" s="109"/>
      <c r="W206" s="109"/>
      <c r="X206" s="109"/>
      <c r="Y206" s="109"/>
      <c r="Z206" s="109"/>
    </row>
    <row r="207" spans="1:26" ht="12" customHeight="1">
      <c r="A207" s="135">
        <f t="shared" si="55"/>
        <v>46223</v>
      </c>
      <c r="B207" s="136">
        <f>'CHICLETS MASTER S1'!Z55</f>
        <v>0.41666666666666702</v>
      </c>
      <c r="C207" s="140" t="s">
        <v>189</v>
      </c>
      <c r="D207" s="137" t="str">
        <f t="shared" si="56"/>
        <v>GOLDEN WEST COLLEGE 1</v>
      </c>
      <c r="E207" s="137">
        <v>126</v>
      </c>
      <c r="F207" s="135" t="s">
        <v>1670</v>
      </c>
      <c r="G207" s="136"/>
      <c r="H207" s="135" t="s">
        <v>811</v>
      </c>
      <c r="I207" s="136"/>
      <c r="J207" s="137">
        <v>146</v>
      </c>
      <c r="K207" s="137">
        <v>150</v>
      </c>
      <c r="L207" s="135" t="str">
        <f t="shared" si="57"/>
        <v>16GX-126</v>
      </c>
      <c r="M207" s="109"/>
      <c r="N207" s="109" t="str">
        <f t="shared" si="58"/>
        <v>ag_5-8 v 9-12</v>
      </c>
      <c r="O207" s="109"/>
      <c r="P207" s="109"/>
      <c r="Q207" s="109"/>
      <c r="R207" s="109"/>
      <c r="S207" s="109"/>
      <c r="T207" s="109"/>
      <c r="U207" s="109"/>
      <c r="V207" s="109"/>
      <c r="W207" s="109"/>
      <c r="X207" s="109"/>
      <c r="Y207" s="109"/>
      <c r="Z207" s="109"/>
    </row>
    <row r="208" spans="1:26" ht="12" customHeight="1">
      <c r="A208" s="135">
        <f t="shared" si="55"/>
        <v>46223</v>
      </c>
      <c r="B208" s="136">
        <f>'CHICLETS MASTER S1'!Z56</f>
        <v>0.45833333333333298</v>
      </c>
      <c r="C208" s="140" t="s">
        <v>189</v>
      </c>
      <c r="D208" s="137" t="str">
        <f t="shared" si="56"/>
        <v>GOLDEN WEST COLLEGE 1</v>
      </c>
      <c r="E208" s="137">
        <v>130</v>
      </c>
      <c r="F208" s="135" t="s">
        <v>1671</v>
      </c>
      <c r="G208" s="136"/>
      <c r="H208" s="135" t="s">
        <v>813</v>
      </c>
      <c r="I208" s="136"/>
      <c r="J208" s="137">
        <v>146</v>
      </c>
      <c r="K208" s="137">
        <v>150</v>
      </c>
      <c r="L208" s="135" t="str">
        <f t="shared" si="57"/>
        <v>16GX-130</v>
      </c>
      <c r="M208" s="109"/>
      <c r="N208" s="109" t="str">
        <f t="shared" si="58"/>
        <v>ag_5-8 v 9-12</v>
      </c>
      <c r="O208" s="109"/>
      <c r="P208" s="109"/>
      <c r="Q208" s="109"/>
      <c r="R208" s="109"/>
      <c r="S208" s="109"/>
      <c r="T208" s="109"/>
      <c r="U208" s="109"/>
      <c r="V208" s="109"/>
      <c r="W208" s="109"/>
      <c r="X208" s="109"/>
      <c r="Y208" s="109"/>
      <c r="Z208" s="109"/>
    </row>
    <row r="209" spans="1:26" ht="12" customHeight="1">
      <c r="A209" s="135">
        <f t="shared" si="55"/>
        <v>46223</v>
      </c>
      <c r="B209" s="136">
        <f>'CHICLETS MASTER S1'!Z57</f>
        <v>0.5</v>
      </c>
      <c r="C209" s="136" t="s">
        <v>388</v>
      </c>
      <c r="D209" s="137" t="str">
        <f t="shared" si="56"/>
        <v>GOLDEN WEST COLLEGE 1</v>
      </c>
      <c r="E209" s="137">
        <v>134</v>
      </c>
      <c r="F209" s="136" t="s">
        <v>814</v>
      </c>
      <c r="G209" s="136"/>
      <c r="H209" s="136" t="s">
        <v>1672</v>
      </c>
      <c r="I209" s="136"/>
      <c r="J209" s="137">
        <v>154</v>
      </c>
      <c r="K209" s="137">
        <v>158</v>
      </c>
      <c r="L209" s="136" t="str">
        <f t="shared" si="57"/>
        <v>16GX-134</v>
      </c>
      <c r="M209" s="109"/>
      <c r="N209" s="109" t="str">
        <f t="shared" si="58"/>
        <v>ag_13-20 qtr</v>
      </c>
      <c r="O209" s="109"/>
      <c r="P209" s="109"/>
      <c r="Q209" s="109"/>
      <c r="R209" s="109"/>
      <c r="S209" s="109"/>
      <c r="T209" s="109"/>
      <c r="U209" s="109"/>
      <c r="V209" s="109"/>
      <c r="W209" s="109"/>
      <c r="X209" s="109"/>
      <c r="Y209" s="109"/>
      <c r="Z209" s="109"/>
    </row>
    <row r="210" spans="1:26" ht="12" customHeight="1">
      <c r="A210" s="135">
        <f t="shared" si="55"/>
        <v>46223</v>
      </c>
      <c r="B210" s="136">
        <f>'CHICLETS MASTER S1'!Z58</f>
        <v>0.54166666666666696</v>
      </c>
      <c r="C210" s="136" t="s">
        <v>388</v>
      </c>
      <c r="D210" s="137" t="str">
        <f t="shared" si="56"/>
        <v>GOLDEN WEST COLLEGE 1</v>
      </c>
      <c r="E210" s="137">
        <v>138</v>
      </c>
      <c r="F210" s="136" t="s">
        <v>816</v>
      </c>
      <c r="G210" s="136"/>
      <c r="H210" s="136" t="s">
        <v>1673</v>
      </c>
      <c r="I210" s="136"/>
      <c r="J210" s="137">
        <v>154</v>
      </c>
      <c r="K210" s="137">
        <v>158</v>
      </c>
      <c r="L210" s="136" t="str">
        <f t="shared" si="57"/>
        <v>16GX-138</v>
      </c>
      <c r="M210" s="109"/>
      <c r="N210" s="109" t="str">
        <f t="shared" si="58"/>
        <v>ag_13-20 qtr</v>
      </c>
      <c r="O210" s="109"/>
      <c r="P210" s="109"/>
      <c r="Q210" s="109"/>
      <c r="R210" s="109"/>
      <c r="S210" s="109"/>
      <c r="T210" s="109"/>
      <c r="U210" s="109"/>
      <c r="V210" s="109"/>
      <c r="W210" s="109"/>
      <c r="X210" s="109"/>
      <c r="Y210" s="109"/>
      <c r="Z210" s="109"/>
    </row>
    <row r="211" spans="1:26" ht="12" customHeight="1">
      <c r="A211" s="135">
        <f t="shared" si="55"/>
        <v>46223</v>
      </c>
      <c r="B211" s="136">
        <f>'CHICLETS MASTER S1'!Z59</f>
        <v>0.58333333333333304</v>
      </c>
      <c r="C211" s="136" t="s">
        <v>383</v>
      </c>
      <c r="D211" s="137" t="str">
        <f t="shared" si="56"/>
        <v>GOLDEN WEST COLLEGE 1</v>
      </c>
      <c r="E211" s="137">
        <v>142</v>
      </c>
      <c r="F211" s="136" t="s">
        <v>1667</v>
      </c>
      <c r="G211" s="136"/>
      <c r="H211" s="344" t="s">
        <v>1658</v>
      </c>
      <c r="I211" s="136"/>
      <c r="J211" s="137" t="s">
        <v>1659</v>
      </c>
      <c r="K211" s="137"/>
      <c r="L211" s="136" t="str">
        <f t="shared" si="57"/>
        <v>16GX-142</v>
      </c>
      <c r="M211" s="109"/>
      <c r="N211" s="109" t="str">
        <f t="shared" si="58"/>
        <v>ag_21-24 RR</v>
      </c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</row>
    <row r="212" spans="1:26" ht="12" customHeight="1">
      <c r="A212" s="135">
        <f t="shared" si="55"/>
        <v>46223</v>
      </c>
      <c r="B212" s="136">
        <f>'CHICLETS MASTER S1'!Z60</f>
        <v>0.625</v>
      </c>
      <c r="C212" s="136" t="s">
        <v>199</v>
      </c>
      <c r="D212" s="137" t="str">
        <f t="shared" si="56"/>
        <v>GOLDEN WEST COLLEGE 1</v>
      </c>
      <c r="E212" s="137">
        <v>146</v>
      </c>
      <c r="F212" s="136" t="s">
        <v>818</v>
      </c>
      <c r="G212" s="136"/>
      <c r="H212" s="136" t="s">
        <v>819</v>
      </c>
      <c r="I212" s="136"/>
      <c r="J212" s="137">
        <v>162</v>
      </c>
      <c r="K212" s="137">
        <v>185</v>
      </c>
      <c r="L212" s="136" t="str">
        <f t="shared" si="57"/>
        <v>16GX-146</v>
      </c>
      <c r="M212" s="109"/>
      <c r="N212" s="109" t="str">
        <f t="shared" si="58"/>
        <v>ag_5-6 v 7-8</v>
      </c>
      <c r="O212" s="109"/>
      <c r="P212" s="109"/>
      <c r="Q212" s="109"/>
      <c r="R212" s="109"/>
      <c r="S212" s="109"/>
      <c r="T212" s="109"/>
      <c r="U212" s="109"/>
      <c r="V212" s="109"/>
      <c r="W212" s="109"/>
      <c r="X212" s="109"/>
      <c r="Y212" s="109"/>
      <c r="Z212" s="109"/>
    </row>
    <row r="213" spans="1:26" ht="12" customHeight="1">
      <c r="A213" s="135">
        <f t="shared" si="55"/>
        <v>46223</v>
      </c>
      <c r="B213" s="136">
        <f>'CHICLETS MASTER S1'!Z61</f>
        <v>0.66666666666666696</v>
      </c>
      <c r="C213" s="136" t="s">
        <v>200</v>
      </c>
      <c r="D213" s="137" t="str">
        <f t="shared" si="56"/>
        <v>GOLDEN WEST COLLEGE 1</v>
      </c>
      <c r="E213" s="137">
        <v>150</v>
      </c>
      <c r="F213" s="136" t="s">
        <v>820</v>
      </c>
      <c r="G213" s="136"/>
      <c r="H213" s="136" t="s">
        <v>821</v>
      </c>
      <c r="I213" s="136"/>
      <c r="J213" s="137">
        <v>182</v>
      </c>
      <c r="K213" s="137">
        <v>181</v>
      </c>
      <c r="L213" s="136" t="str">
        <f t="shared" si="57"/>
        <v>16GX-150</v>
      </c>
      <c r="M213" s="109"/>
      <c r="N213" s="109" t="str">
        <f t="shared" si="58"/>
        <v>ag_9-12 semi</v>
      </c>
      <c r="O213" s="109"/>
      <c r="P213" s="109"/>
      <c r="Q213" s="109"/>
      <c r="R213" s="109"/>
      <c r="S213" s="109"/>
      <c r="T213" s="109"/>
      <c r="U213" s="109"/>
      <c r="V213" s="109"/>
      <c r="W213" s="109"/>
      <c r="X213" s="109"/>
      <c r="Y213" s="109"/>
      <c r="Z213" s="109"/>
    </row>
    <row r="214" spans="1:26" ht="12" customHeight="1">
      <c r="A214" s="135">
        <f t="shared" si="55"/>
        <v>46223</v>
      </c>
      <c r="B214" s="136">
        <f>'CHICLETS MASTER S1'!Z62</f>
        <v>0.70833333333333304</v>
      </c>
      <c r="C214" s="136" t="s">
        <v>393</v>
      </c>
      <c r="D214" s="137" t="str">
        <f t="shared" si="56"/>
        <v>GOLDEN WEST COLLEGE 1</v>
      </c>
      <c r="E214" s="137">
        <v>154</v>
      </c>
      <c r="F214" s="136" t="s">
        <v>822</v>
      </c>
      <c r="G214" s="136"/>
      <c r="H214" s="136" t="s">
        <v>823</v>
      </c>
      <c r="I214" s="136"/>
      <c r="J214" s="137">
        <v>178</v>
      </c>
      <c r="K214" s="137">
        <v>177</v>
      </c>
      <c r="L214" s="136" t="str">
        <f t="shared" si="57"/>
        <v>16GX-154</v>
      </c>
      <c r="M214" s="109"/>
      <c r="N214" s="109" t="str">
        <f t="shared" si="58"/>
        <v>ag_13-16 semi</v>
      </c>
      <c r="O214" s="109"/>
      <c r="P214" s="109"/>
      <c r="Q214" s="109"/>
      <c r="R214" s="109"/>
      <c r="S214" s="109"/>
      <c r="T214" s="109"/>
      <c r="U214" s="109"/>
      <c r="V214" s="109"/>
      <c r="W214" s="109"/>
      <c r="X214" s="109"/>
      <c r="Y214" s="109"/>
      <c r="Z214" s="109"/>
    </row>
    <row r="215" spans="1:26" ht="12" customHeight="1">
      <c r="A215" s="135">
        <f t="shared" si="55"/>
        <v>46223</v>
      </c>
      <c r="B215" s="136">
        <f>'CHICLETS MASTER S1'!Z63</f>
        <v>0.75</v>
      </c>
      <c r="C215" s="136" t="s">
        <v>394</v>
      </c>
      <c r="D215" s="137" t="str">
        <f t="shared" si="56"/>
        <v>GOLDEN WEST COLLEGE 1</v>
      </c>
      <c r="E215" s="137">
        <v>158</v>
      </c>
      <c r="F215" s="136" t="s">
        <v>824</v>
      </c>
      <c r="G215" s="136"/>
      <c r="H215" s="136" t="s">
        <v>825</v>
      </c>
      <c r="I215" s="136"/>
      <c r="J215" s="137">
        <v>170</v>
      </c>
      <c r="K215" s="137">
        <v>169</v>
      </c>
      <c r="L215" s="136" t="str">
        <f t="shared" si="57"/>
        <v>16GX-158</v>
      </c>
      <c r="M215" s="109"/>
      <c r="N215" s="109" t="str">
        <f t="shared" si="58"/>
        <v>ag_17-20 semi</v>
      </c>
      <c r="O215" s="109"/>
      <c r="P215" s="109"/>
      <c r="Q215" s="109"/>
      <c r="R215" s="109"/>
      <c r="S215" s="109"/>
      <c r="T215" s="109"/>
      <c r="U215" s="109"/>
      <c r="V215" s="109"/>
      <c r="W215" s="109"/>
      <c r="X215" s="109"/>
      <c r="Y215" s="109"/>
      <c r="Z215" s="109"/>
    </row>
    <row r="216" spans="1:26" ht="12" customHeight="1">
      <c r="A216" s="135">
        <f t="shared" si="55"/>
        <v>46223</v>
      </c>
      <c r="B216" s="136">
        <f>'CHICLETS MASTER S1'!Z64</f>
        <v>0.79166666666666696</v>
      </c>
      <c r="C216" s="136" t="s">
        <v>201</v>
      </c>
      <c r="D216" s="137" t="str">
        <f t="shared" si="56"/>
        <v>GOLDEN WEST COLLEGE 1</v>
      </c>
      <c r="E216" s="137">
        <v>162</v>
      </c>
      <c r="F216" s="136" t="s">
        <v>826</v>
      </c>
      <c r="G216" s="136"/>
      <c r="H216" s="136" t="s">
        <v>827</v>
      </c>
      <c r="I216" s="136"/>
      <c r="J216" s="137">
        <v>174</v>
      </c>
      <c r="K216" s="137">
        <v>186</v>
      </c>
      <c r="L216" s="136" t="str">
        <f t="shared" si="57"/>
        <v>16GX-162</v>
      </c>
      <c r="M216" s="109"/>
      <c r="N216" s="109" t="str">
        <f t="shared" si="58"/>
        <v>ag_play to semi</v>
      </c>
      <c r="O216" s="109"/>
      <c r="P216" s="109"/>
      <c r="Q216" s="109"/>
      <c r="R216" s="109"/>
      <c r="S216" s="109"/>
      <c r="T216" s="109"/>
      <c r="U216" s="109"/>
      <c r="V216" s="109"/>
      <c r="W216" s="109"/>
      <c r="X216" s="109"/>
      <c r="Y216" s="109"/>
      <c r="Z216" s="109"/>
    </row>
    <row r="217" spans="1:26" ht="12" customHeight="1">
      <c r="A217" s="109"/>
      <c r="B217" s="109"/>
      <c r="C217" s="109"/>
      <c r="D217" s="109"/>
      <c r="E217" s="109"/>
      <c r="F217" s="109"/>
      <c r="G217" s="109"/>
      <c r="H217" s="109"/>
      <c r="I217" s="109"/>
      <c r="J217" s="109"/>
      <c r="K217" s="109"/>
      <c r="L217" s="109"/>
      <c r="M217" s="109"/>
      <c r="N217" s="109"/>
      <c r="O217" s="109"/>
      <c r="P217" s="109"/>
      <c r="Q217" s="109"/>
      <c r="R217" s="109"/>
      <c r="S217" s="109"/>
      <c r="T217" s="109"/>
      <c r="U217" s="109"/>
      <c r="V217" s="109"/>
      <c r="W217" s="109"/>
      <c r="X217" s="109"/>
      <c r="Y217" s="109"/>
      <c r="Z217" s="109"/>
    </row>
    <row r="218" spans="1:26" ht="12" customHeight="1">
      <c r="A218" s="104" t="s">
        <v>1674</v>
      </c>
      <c r="B218" s="104" t="s">
        <v>1675</v>
      </c>
      <c r="C218" s="104" t="s">
        <v>1535</v>
      </c>
      <c r="D218" s="109"/>
      <c r="E218" s="109"/>
      <c r="F218" s="109"/>
      <c r="G218" s="109"/>
      <c r="H218" s="109"/>
      <c r="I218" s="109"/>
      <c r="J218" s="109"/>
      <c r="K218" s="109"/>
      <c r="L218" s="109"/>
      <c r="M218" s="109"/>
      <c r="N218" s="109"/>
      <c r="O218" s="109"/>
      <c r="P218" s="109"/>
      <c r="Q218" s="109"/>
      <c r="R218" s="109"/>
      <c r="S218" s="109"/>
      <c r="T218" s="109"/>
      <c r="U218" s="109"/>
      <c r="V218" s="109"/>
      <c r="W218" s="109"/>
      <c r="X218" s="109"/>
      <c r="Y218" s="109"/>
      <c r="Z218" s="109"/>
    </row>
    <row r="219" spans="1:26" ht="12" customHeight="1">
      <c r="A219" s="337" t="s">
        <v>831</v>
      </c>
      <c r="B219" s="337" t="s">
        <v>832</v>
      </c>
      <c r="C219" s="337" t="s">
        <v>833</v>
      </c>
      <c r="D219" s="109"/>
      <c r="E219" s="109"/>
      <c r="F219" s="109"/>
      <c r="G219" s="109"/>
      <c r="H219" s="109"/>
      <c r="I219" s="109"/>
      <c r="J219" s="109"/>
      <c r="K219" s="109"/>
      <c r="L219" s="109"/>
      <c r="M219" s="109"/>
      <c r="N219" s="109"/>
      <c r="O219" s="109"/>
      <c r="P219" s="109"/>
      <c r="Q219" s="109"/>
      <c r="R219" s="109"/>
      <c r="S219" s="109"/>
      <c r="T219" s="109"/>
      <c r="U219" s="109"/>
      <c r="V219" s="109"/>
      <c r="W219" s="109"/>
      <c r="X219" s="109"/>
      <c r="Y219" s="109"/>
      <c r="Z219" s="109"/>
    </row>
    <row r="220" spans="1:26" ht="12" customHeight="1">
      <c r="A220" s="349" t="s">
        <v>834</v>
      </c>
      <c r="B220" s="349" t="s">
        <v>835</v>
      </c>
      <c r="C220" s="350" t="s">
        <v>568</v>
      </c>
      <c r="D220" s="109"/>
      <c r="E220" s="109"/>
      <c r="F220" s="109"/>
      <c r="G220" s="109"/>
      <c r="H220" s="109"/>
      <c r="I220" s="109"/>
      <c r="J220" s="109"/>
      <c r="K220" s="109"/>
      <c r="L220" s="109"/>
      <c r="M220" s="109"/>
      <c r="N220" s="109"/>
      <c r="O220" s="109"/>
      <c r="P220" s="109"/>
      <c r="Q220" s="109"/>
      <c r="R220" s="109"/>
      <c r="S220" s="109"/>
      <c r="T220" s="109"/>
      <c r="U220" s="109"/>
      <c r="V220" s="109"/>
      <c r="W220" s="109"/>
      <c r="X220" s="109"/>
      <c r="Y220" s="109"/>
      <c r="Z220" s="109"/>
    </row>
    <row r="221" spans="1:26" ht="12" customHeight="1" thickBot="1">
      <c r="A221" s="337" t="s">
        <v>565</v>
      </c>
      <c r="B221" s="337" t="s">
        <v>836</v>
      </c>
      <c r="C221" s="337" t="s">
        <v>837</v>
      </c>
      <c r="D221" s="109"/>
      <c r="E221" s="109"/>
      <c r="F221" s="109"/>
      <c r="G221" s="109"/>
      <c r="H221" s="109"/>
      <c r="I221" s="109"/>
      <c r="J221" s="109"/>
      <c r="K221" s="109"/>
      <c r="L221" s="109"/>
      <c r="M221" s="109"/>
      <c r="N221" s="109"/>
      <c r="O221" s="109"/>
      <c r="P221" s="109"/>
      <c r="Q221" s="109"/>
      <c r="R221" s="109"/>
      <c r="S221" s="109"/>
      <c r="T221" s="109"/>
      <c r="U221" s="109"/>
      <c r="V221" s="109"/>
      <c r="W221" s="109"/>
      <c r="X221" s="109"/>
      <c r="Y221" s="109"/>
      <c r="Z221" s="109"/>
    </row>
    <row r="222" spans="1:26" ht="12" customHeight="1" thickBot="1">
      <c r="A222" s="108"/>
      <c r="B222" s="341"/>
      <c r="C222" s="341"/>
      <c r="D222" s="119" t="str">
        <f>'CHICLETS MASTER S1'!AF51</f>
        <v>MARINA HS</v>
      </c>
      <c r="E222" s="341"/>
      <c r="F222" s="109"/>
      <c r="G222" s="109"/>
      <c r="H222" s="109"/>
      <c r="I222" s="109"/>
      <c r="J222" s="109"/>
      <c r="K222" s="109"/>
      <c r="L222" s="109"/>
      <c r="M222" s="109"/>
      <c r="N222" s="109"/>
      <c r="O222" s="109"/>
      <c r="P222" s="109"/>
      <c r="Q222" s="109"/>
      <c r="R222" s="109"/>
      <c r="S222" s="109"/>
      <c r="T222" s="109"/>
      <c r="U222" s="109"/>
      <c r="V222" s="109"/>
      <c r="W222" s="109"/>
      <c r="X222" s="109"/>
      <c r="Y222" s="109"/>
      <c r="Z222" s="109"/>
    </row>
    <row r="223" spans="1:26" ht="12" customHeight="1">
      <c r="A223" s="280" t="s">
        <v>110</v>
      </c>
      <c r="B223" s="281" t="s">
        <v>111</v>
      </c>
      <c r="C223" s="280" t="s">
        <v>112</v>
      </c>
      <c r="D223" s="280" t="s">
        <v>113</v>
      </c>
      <c r="E223" s="280" t="s">
        <v>114</v>
      </c>
      <c r="F223" s="280" t="s">
        <v>115</v>
      </c>
      <c r="G223" s="280" t="s">
        <v>116</v>
      </c>
      <c r="H223" s="280" t="s">
        <v>117</v>
      </c>
      <c r="I223" s="280" t="s">
        <v>116</v>
      </c>
      <c r="J223" s="280" t="s">
        <v>118</v>
      </c>
      <c r="K223" s="280" t="s">
        <v>119</v>
      </c>
      <c r="L223" s="280" t="s">
        <v>120</v>
      </c>
      <c r="M223" s="109"/>
      <c r="N223" s="109"/>
      <c r="O223" s="109"/>
      <c r="P223" s="109"/>
      <c r="Q223" s="109"/>
      <c r="R223" s="109"/>
      <c r="S223" s="109"/>
      <c r="T223" s="109"/>
      <c r="U223" s="109"/>
      <c r="V223" s="109"/>
      <c r="W223" s="109"/>
      <c r="X223" s="109"/>
      <c r="Y223" s="109"/>
      <c r="Z223" s="109"/>
    </row>
    <row r="224" spans="1:26" ht="12" customHeight="1">
      <c r="A224" s="284">
        <f t="shared" ref="A224:A234" si="59">$A$187</f>
        <v>46223</v>
      </c>
      <c r="B224" s="285">
        <f>'CHICLETS MASTER S1'!Z52</f>
        <v>0.29166666666666669</v>
      </c>
      <c r="C224" s="285" t="s">
        <v>649</v>
      </c>
      <c r="D224" s="286" t="str">
        <f t="shared" ref="D224:D234" si="60">$D$222</f>
        <v>MARINA HS</v>
      </c>
      <c r="E224" s="286">
        <v>136</v>
      </c>
      <c r="F224" s="285" t="s">
        <v>1632</v>
      </c>
      <c r="G224" s="286"/>
      <c r="H224" s="285" t="s">
        <v>1647</v>
      </c>
      <c r="I224" s="286"/>
      <c r="J224" s="286" t="s">
        <v>649</v>
      </c>
      <c r="K224" s="286"/>
      <c r="L224" s="285" t="str">
        <f t="shared" ref="L224:L235" si="61">IF(E224="","",$L$17&amp;"-"&amp;TEXT(E224,"000"))</f>
        <v>16GX-136</v>
      </c>
      <c r="M224" s="109"/>
      <c r="N224" s="109" t="str">
        <f t="shared" ref="N224:N234" si="62">$L$113&amp;C224</f>
        <v>bz_bracket</v>
      </c>
      <c r="O224" s="109"/>
      <c r="P224" s="109"/>
      <c r="Q224" s="109"/>
      <c r="R224" s="109"/>
      <c r="S224" s="109"/>
      <c r="T224" s="109"/>
      <c r="U224" s="109"/>
      <c r="V224" s="109"/>
      <c r="W224" s="109"/>
      <c r="X224" s="109"/>
      <c r="Y224" s="109"/>
      <c r="Z224" s="109"/>
    </row>
    <row r="225" spans="1:26" ht="12" customHeight="1">
      <c r="A225" s="284">
        <f t="shared" si="59"/>
        <v>46223</v>
      </c>
      <c r="B225" s="285">
        <f>'CHICLETS MASTER S1'!Z53</f>
        <v>0.33333333333333331</v>
      </c>
      <c r="C225" s="285" t="s">
        <v>189</v>
      </c>
      <c r="D225" s="286" t="str">
        <f t="shared" si="60"/>
        <v>MARINA HS</v>
      </c>
      <c r="E225" s="286">
        <v>128</v>
      </c>
      <c r="F225" s="285" t="s">
        <v>1676</v>
      </c>
      <c r="G225" s="286"/>
      <c r="H225" s="285" t="s">
        <v>839</v>
      </c>
      <c r="I225" s="286"/>
      <c r="J225" s="286">
        <v>148</v>
      </c>
      <c r="K225" s="286">
        <v>152</v>
      </c>
      <c r="L225" s="285" t="str">
        <f t="shared" si="61"/>
        <v>16GX-128</v>
      </c>
      <c r="M225" s="109"/>
      <c r="N225" s="109" t="str">
        <f t="shared" si="62"/>
        <v>bz_5-8 v 9-12</v>
      </c>
      <c r="O225" s="109"/>
      <c r="P225" s="109"/>
      <c r="Q225" s="109"/>
      <c r="R225" s="109"/>
      <c r="S225" s="109"/>
      <c r="T225" s="109"/>
      <c r="U225" s="109"/>
      <c r="V225" s="109"/>
      <c r="W225" s="109"/>
      <c r="X225" s="109"/>
      <c r="Y225" s="109"/>
      <c r="Z225" s="109"/>
    </row>
    <row r="226" spans="1:26" ht="12" customHeight="1">
      <c r="A226" s="284">
        <f t="shared" si="59"/>
        <v>46223</v>
      </c>
      <c r="B226" s="285">
        <f>'CHICLETS MASTER S1'!Z54</f>
        <v>0.375</v>
      </c>
      <c r="C226" s="285" t="s">
        <v>189</v>
      </c>
      <c r="D226" s="286" t="str">
        <f t="shared" si="60"/>
        <v>MARINA HS</v>
      </c>
      <c r="E226" s="286">
        <v>132</v>
      </c>
      <c r="F226" s="285" t="s">
        <v>1677</v>
      </c>
      <c r="G226" s="286"/>
      <c r="H226" s="285" t="s">
        <v>841</v>
      </c>
      <c r="I226" s="286"/>
      <c r="J226" s="286">
        <v>148</v>
      </c>
      <c r="K226" s="286">
        <v>152</v>
      </c>
      <c r="L226" s="285" t="str">
        <f t="shared" si="61"/>
        <v>16GX-132</v>
      </c>
      <c r="M226" s="109"/>
      <c r="N226" s="109" t="str">
        <f t="shared" si="62"/>
        <v>bz_5-8 v 9-12</v>
      </c>
      <c r="O226" s="109"/>
      <c r="P226" s="109"/>
      <c r="Q226" s="109"/>
      <c r="R226" s="109"/>
      <c r="S226" s="109"/>
      <c r="T226" s="109"/>
      <c r="U226" s="109"/>
      <c r="V226" s="109"/>
      <c r="W226" s="109"/>
      <c r="X226" s="109"/>
      <c r="Y226" s="109"/>
      <c r="Z226" s="109"/>
    </row>
    <row r="227" spans="1:26" ht="12" customHeight="1">
      <c r="A227" s="284">
        <f t="shared" si="59"/>
        <v>46223</v>
      </c>
      <c r="B227" s="285">
        <f>'CHICLETS MASTER S1'!Z55</f>
        <v>0.41666666666666702</v>
      </c>
      <c r="C227" s="285" t="s">
        <v>842</v>
      </c>
      <c r="D227" s="286" t="str">
        <f t="shared" si="60"/>
        <v>MARINA HS</v>
      </c>
      <c r="E227" s="286">
        <v>120</v>
      </c>
      <c r="F227" s="285" t="s">
        <v>1517</v>
      </c>
      <c r="G227" s="286"/>
      <c r="H227" s="285" t="s">
        <v>1523</v>
      </c>
      <c r="I227" s="286"/>
      <c r="J227" s="286" t="s">
        <v>1678</v>
      </c>
      <c r="K227" s="286"/>
      <c r="L227" s="285" t="str">
        <f t="shared" si="61"/>
        <v>16GX-120</v>
      </c>
      <c r="M227" s="109"/>
      <c r="N227" s="109" t="str">
        <f t="shared" si="62"/>
        <v>bz_19-21 RR</v>
      </c>
      <c r="O227" s="109"/>
      <c r="P227" s="109"/>
      <c r="Q227" s="109"/>
      <c r="R227" s="109"/>
      <c r="S227" s="109"/>
      <c r="T227" s="109"/>
      <c r="U227" s="109"/>
      <c r="V227" s="109"/>
      <c r="W227" s="109"/>
      <c r="X227" s="109"/>
      <c r="Y227" s="109"/>
      <c r="Z227" s="109"/>
    </row>
    <row r="228" spans="1:26" ht="12" customHeight="1">
      <c r="A228" s="284">
        <f t="shared" si="59"/>
        <v>46223</v>
      </c>
      <c r="B228" s="285">
        <f>'CHICLETS MASTER S1'!Z56</f>
        <v>0.45833333333333298</v>
      </c>
      <c r="C228" s="285" t="s">
        <v>201</v>
      </c>
      <c r="D228" s="286" t="str">
        <f t="shared" si="60"/>
        <v>MARINA HS</v>
      </c>
      <c r="E228" s="286">
        <v>124</v>
      </c>
      <c r="F228" s="285" t="s">
        <v>1679</v>
      </c>
      <c r="G228" s="286"/>
      <c r="H228" s="285" t="s">
        <v>1680</v>
      </c>
      <c r="I228" s="286"/>
      <c r="J228" s="286">
        <v>171</v>
      </c>
      <c r="K228" s="286">
        <v>164</v>
      </c>
      <c r="L228" s="285" t="str">
        <f t="shared" si="61"/>
        <v>16GX-124</v>
      </c>
      <c r="M228" s="109"/>
      <c r="N228" s="109" t="str">
        <f t="shared" si="62"/>
        <v>bz_play to semi</v>
      </c>
      <c r="O228" s="109"/>
      <c r="P228" s="109"/>
      <c r="Q228" s="109"/>
      <c r="R228" s="109"/>
      <c r="S228" s="109"/>
      <c r="T228" s="109"/>
      <c r="U228" s="109"/>
      <c r="V228" s="109"/>
      <c r="W228" s="109"/>
      <c r="X228" s="109"/>
      <c r="Y228" s="109"/>
      <c r="Z228" s="109"/>
    </row>
    <row r="229" spans="1:26" ht="12" customHeight="1">
      <c r="A229" s="284">
        <f t="shared" si="59"/>
        <v>46223</v>
      </c>
      <c r="B229" s="285">
        <f>'CHICLETS MASTER S1'!Z57</f>
        <v>0.5</v>
      </c>
      <c r="C229" s="285" t="s">
        <v>649</v>
      </c>
      <c r="D229" s="286" t="str">
        <f t="shared" si="60"/>
        <v>MARINA HS</v>
      </c>
      <c r="E229" s="286">
        <v>140</v>
      </c>
      <c r="F229" s="285" t="s">
        <v>1637</v>
      </c>
      <c r="G229" s="286"/>
      <c r="H229" s="285" t="s">
        <v>1647</v>
      </c>
      <c r="I229" s="286"/>
      <c r="J229" s="286" t="s">
        <v>649</v>
      </c>
      <c r="K229" s="286"/>
      <c r="L229" s="285" t="str">
        <f t="shared" si="61"/>
        <v>16GX-140</v>
      </c>
      <c r="M229" s="109"/>
      <c r="N229" s="109" t="str">
        <f t="shared" si="62"/>
        <v>bz_bracket</v>
      </c>
      <c r="O229" s="109"/>
      <c r="P229" s="109"/>
      <c r="Q229" s="109"/>
      <c r="R229" s="109"/>
      <c r="S229" s="109"/>
      <c r="T229" s="109"/>
      <c r="U229" s="109"/>
      <c r="V229" s="109"/>
      <c r="W229" s="109"/>
      <c r="X229" s="109"/>
      <c r="Y229" s="109"/>
      <c r="Z229" s="109"/>
    </row>
    <row r="230" spans="1:26" ht="12" customHeight="1">
      <c r="A230" s="284">
        <f t="shared" si="59"/>
        <v>46223</v>
      </c>
      <c r="B230" s="285">
        <f>'CHICLETS MASTER S1'!Z58</f>
        <v>0.54166666666666696</v>
      </c>
      <c r="C230" s="285" t="s">
        <v>194</v>
      </c>
      <c r="D230" s="286" t="str">
        <f t="shared" si="60"/>
        <v>MARINA HS</v>
      </c>
      <c r="E230" s="286">
        <v>148</v>
      </c>
      <c r="F230" s="285" t="s">
        <v>846</v>
      </c>
      <c r="G230" s="286"/>
      <c r="H230" s="285" t="s">
        <v>847</v>
      </c>
      <c r="I230" s="286"/>
      <c r="J230" s="286">
        <v>164</v>
      </c>
      <c r="K230" s="286">
        <v>188</v>
      </c>
      <c r="L230" s="285" t="str">
        <f t="shared" si="61"/>
        <v>16GX-148</v>
      </c>
      <c r="M230" s="109"/>
      <c r="N230" s="109" t="str">
        <f t="shared" si="62"/>
        <v>bz_1-2 v 3-4</v>
      </c>
      <c r="O230" s="109"/>
      <c r="P230" s="109"/>
      <c r="Q230" s="109"/>
      <c r="R230" s="109"/>
      <c r="S230" s="109"/>
      <c r="T230" s="109"/>
      <c r="U230" s="109"/>
      <c r="V230" s="109"/>
      <c r="W230" s="109"/>
      <c r="X230" s="109"/>
      <c r="Y230" s="109"/>
      <c r="Z230" s="109"/>
    </row>
    <row r="231" spans="1:26" ht="12" customHeight="1">
      <c r="A231" s="284">
        <f t="shared" si="59"/>
        <v>46223</v>
      </c>
      <c r="B231" s="285">
        <f>'CHICLETS MASTER S1'!Z59</f>
        <v>0.58333333333333304</v>
      </c>
      <c r="C231" s="285" t="s">
        <v>842</v>
      </c>
      <c r="D231" s="286" t="str">
        <f t="shared" si="60"/>
        <v>MARINA HS</v>
      </c>
      <c r="E231" s="286">
        <v>144</v>
      </c>
      <c r="F231" s="285" t="s">
        <v>1517</v>
      </c>
      <c r="G231" s="286"/>
      <c r="H231" s="351" t="s">
        <v>1531</v>
      </c>
      <c r="I231" s="286"/>
      <c r="J231" s="286" t="s">
        <v>1678</v>
      </c>
      <c r="K231" s="352"/>
      <c r="L231" s="285" t="str">
        <f t="shared" si="61"/>
        <v>16GX-144</v>
      </c>
      <c r="M231" s="109"/>
      <c r="N231" s="109" t="str">
        <f t="shared" si="62"/>
        <v>bz_19-21 RR</v>
      </c>
      <c r="O231" s="109"/>
      <c r="P231" s="109"/>
      <c r="Q231" s="109"/>
      <c r="R231" s="109"/>
      <c r="S231" s="109"/>
      <c r="T231" s="109"/>
      <c r="U231" s="109"/>
      <c r="V231" s="109"/>
      <c r="W231" s="109"/>
      <c r="X231" s="109"/>
      <c r="Y231" s="109"/>
      <c r="Z231" s="109"/>
    </row>
    <row r="232" spans="1:26" ht="12" customHeight="1">
      <c r="A232" s="284">
        <f t="shared" si="59"/>
        <v>46223</v>
      </c>
      <c r="B232" s="285">
        <f>'CHICLETS MASTER S1'!Z60</f>
        <v>0.625</v>
      </c>
      <c r="C232" s="285" t="s">
        <v>200</v>
      </c>
      <c r="D232" s="286" t="str">
        <f t="shared" si="60"/>
        <v>MARINA HS</v>
      </c>
      <c r="E232" s="286">
        <v>152</v>
      </c>
      <c r="F232" s="285" t="s">
        <v>848</v>
      </c>
      <c r="G232" s="286"/>
      <c r="H232" s="285" t="s">
        <v>849</v>
      </c>
      <c r="I232" s="286"/>
      <c r="J232" s="286">
        <v>183</v>
      </c>
      <c r="K232" s="286">
        <v>184</v>
      </c>
      <c r="L232" s="285" t="str">
        <f t="shared" si="61"/>
        <v>16GX-152</v>
      </c>
      <c r="M232" s="109"/>
      <c r="N232" s="109" t="str">
        <f t="shared" si="62"/>
        <v>bz_9-12 semi</v>
      </c>
      <c r="O232" s="109"/>
      <c r="P232" s="109"/>
      <c r="Q232" s="109"/>
      <c r="R232" s="109"/>
      <c r="S232" s="109"/>
      <c r="T232" s="109"/>
      <c r="U232" s="109"/>
      <c r="V232" s="109"/>
      <c r="W232" s="109"/>
      <c r="X232" s="109"/>
      <c r="Y232" s="109"/>
      <c r="Z232" s="109"/>
    </row>
    <row r="233" spans="1:26" ht="12" customHeight="1">
      <c r="A233" s="284">
        <f t="shared" si="59"/>
        <v>46223</v>
      </c>
      <c r="B233" s="285">
        <f>'CHICLETS MASTER S1'!Z61</f>
        <v>0.66666666666666696</v>
      </c>
      <c r="C233" s="285" t="s">
        <v>649</v>
      </c>
      <c r="D233" s="286" t="str">
        <f t="shared" si="60"/>
        <v>MARINA HS</v>
      </c>
      <c r="E233" s="286">
        <v>156</v>
      </c>
      <c r="F233" s="285" t="s">
        <v>1632</v>
      </c>
      <c r="G233" s="286"/>
      <c r="H233" s="285" t="s">
        <v>1637</v>
      </c>
      <c r="I233" s="286"/>
      <c r="J233" s="286" t="s">
        <v>649</v>
      </c>
      <c r="K233" s="286"/>
      <c r="L233" s="285" t="str">
        <f t="shared" si="61"/>
        <v>16GX-156</v>
      </c>
      <c r="M233" s="109"/>
      <c r="N233" s="109" t="str">
        <f t="shared" si="62"/>
        <v>bz_bracket</v>
      </c>
      <c r="O233" s="109"/>
      <c r="P233" s="109"/>
      <c r="Q233" s="109"/>
      <c r="R233" s="109"/>
      <c r="S233" s="109"/>
      <c r="T233" s="109"/>
      <c r="U233" s="109"/>
      <c r="V233" s="109"/>
      <c r="W233" s="109"/>
      <c r="X233" s="109"/>
      <c r="Y233" s="109"/>
      <c r="Z233" s="109"/>
    </row>
    <row r="234" spans="1:26" ht="12" customHeight="1">
      <c r="A234" s="284">
        <f t="shared" si="59"/>
        <v>46223</v>
      </c>
      <c r="B234" s="285">
        <f>'CHICLETS MASTER S1'!Z62</f>
        <v>0.70833333333333304</v>
      </c>
      <c r="C234" s="285" t="s">
        <v>201</v>
      </c>
      <c r="D234" s="286" t="str">
        <f t="shared" si="60"/>
        <v>MARINA HS</v>
      </c>
      <c r="E234" s="286">
        <v>164</v>
      </c>
      <c r="F234" s="285" t="s">
        <v>850</v>
      </c>
      <c r="G234" s="286"/>
      <c r="H234" s="285" t="s">
        <v>851</v>
      </c>
      <c r="I234" s="286"/>
      <c r="J234" s="286">
        <v>172</v>
      </c>
      <c r="K234" s="286">
        <v>187</v>
      </c>
      <c r="L234" s="285" t="str">
        <f t="shared" si="61"/>
        <v>16GX-164</v>
      </c>
      <c r="M234" s="109"/>
      <c r="N234" s="109" t="str">
        <f t="shared" si="62"/>
        <v>bz_play to semi</v>
      </c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</row>
    <row r="235" spans="1:26" ht="12" customHeight="1" thickBot="1">
      <c r="A235" s="109"/>
      <c r="B235" s="109"/>
      <c r="C235" s="109"/>
      <c r="D235" s="109"/>
      <c r="E235" s="109"/>
      <c r="F235" s="109"/>
      <c r="G235" s="109"/>
      <c r="H235" s="109"/>
      <c r="I235" s="109"/>
      <c r="J235" s="109"/>
      <c r="K235" s="109"/>
      <c r="L235" s="109" t="str">
        <f t="shared" si="61"/>
        <v/>
      </c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109"/>
      <c r="Y235" s="109"/>
      <c r="Z235" s="109"/>
    </row>
    <row r="236" spans="1:26" ht="12" customHeight="1" thickBot="1">
      <c r="A236" s="108"/>
      <c r="B236" s="341"/>
      <c r="C236" s="341"/>
      <c r="D236" s="119" t="str">
        <f>'CHICLETS MASTER S1'!$AH$51</f>
        <v>CAPISTRANO VALLEY HS 1</v>
      </c>
      <c r="E236" s="341"/>
      <c r="F236" s="109"/>
      <c r="G236" s="109"/>
      <c r="H236" s="109"/>
      <c r="I236" s="109"/>
      <c r="J236" s="109"/>
      <c r="K236" s="109"/>
      <c r="L236" s="109"/>
      <c r="M236" s="109"/>
      <c r="N236" s="109"/>
      <c r="O236" s="109"/>
      <c r="P236" s="109"/>
      <c r="Q236" s="109"/>
      <c r="R236" s="109"/>
      <c r="S236" s="109"/>
      <c r="T236" s="109"/>
      <c r="U236" s="109"/>
      <c r="V236" s="109"/>
      <c r="W236" s="109"/>
      <c r="X236" s="109"/>
      <c r="Y236" s="109"/>
      <c r="Z236" s="109"/>
    </row>
    <row r="237" spans="1:26" ht="12" customHeight="1">
      <c r="A237" s="280" t="s">
        <v>110</v>
      </c>
      <c r="B237" s="281" t="s">
        <v>111</v>
      </c>
      <c r="C237" s="280" t="s">
        <v>112</v>
      </c>
      <c r="D237" s="280" t="s">
        <v>113</v>
      </c>
      <c r="E237" s="280" t="s">
        <v>114</v>
      </c>
      <c r="F237" s="280" t="s">
        <v>115</v>
      </c>
      <c r="G237" s="280" t="s">
        <v>116</v>
      </c>
      <c r="H237" s="280" t="s">
        <v>117</v>
      </c>
      <c r="I237" s="280" t="s">
        <v>116</v>
      </c>
      <c r="J237" s="280" t="s">
        <v>118</v>
      </c>
      <c r="K237" s="280" t="s">
        <v>119</v>
      </c>
      <c r="L237" s="280" t="s">
        <v>120</v>
      </c>
      <c r="M237" s="109"/>
      <c r="N237" s="109"/>
      <c r="O237" s="109"/>
      <c r="P237" s="109"/>
      <c r="Q237" s="109"/>
      <c r="R237" s="109"/>
      <c r="S237" s="109"/>
      <c r="T237" s="109"/>
      <c r="U237" s="109"/>
      <c r="V237" s="109"/>
      <c r="W237" s="109"/>
      <c r="X237" s="109"/>
      <c r="Y237" s="109"/>
      <c r="Z237" s="109"/>
    </row>
    <row r="238" spans="1:26" ht="12" customHeight="1">
      <c r="A238" s="284">
        <f t="shared" ref="A238:A240" si="63">$A$187</f>
        <v>46223</v>
      </c>
      <c r="B238" s="285">
        <v>0.33333333333333331</v>
      </c>
      <c r="C238" s="285" t="s">
        <v>649</v>
      </c>
      <c r="D238" s="286" t="str">
        <f t="shared" ref="D238:D240" si="64">$D$236</f>
        <v>CAPISTRANO VALLEY HS 1</v>
      </c>
      <c r="E238" s="286">
        <v>135</v>
      </c>
      <c r="F238" s="285" t="s">
        <v>1653</v>
      </c>
      <c r="G238" s="286"/>
      <c r="H238" s="285" t="s">
        <v>1656</v>
      </c>
      <c r="I238" s="286"/>
      <c r="J238" s="286" t="s">
        <v>649</v>
      </c>
      <c r="K238" s="286"/>
      <c r="L238" s="285" t="str">
        <f t="shared" ref="L238:L248" si="65">IF(E238="","",$L$17&amp;"-"&amp;TEXT(E238,"000"))</f>
        <v>16GX-135</v>
      </c>
      <c r="M238" s="109"/>
      <c r="N238" s="109" t="str">
        <f t="shared" ref="N238:N240" si="66">$L$113&amp;C238</f>
        <v>bz_bracket</v>
      </c>
      <c r="O238" s="109"/>
      <c r="P238" s="109"/>
      <c r="Q238" s="109"/>
      <c r="R238" s="109"/>
      <c r="S238" s="109"/>
      <c r="T238" s="109"/>
      <c r="U238" s="109"/>
      <c r="V238" s="109"/>
      <c r="W238" s="109"/>
      <c r="X238" s="109"/>
      <c r="Y238" s="109"/>
      <c r="Z238" s="109"/>
    </row>
    <row r="239" spans="1:26" ht="12" customHeight="1">
      <c r="A239" s="284">
        <f t="shared" si="63"/>
        <v>46223</v>
      </c>
      <c r="B239" s="285">
        <v>0.375</v>
      </c>
      <c r="C239" s="285" t="s">
        <v>189</v>
      </c>
      <c r="D239" s="286" t="str">
        <f t="shared" si="64"/>
        <v>CAPISTRANO VALLEY HS 1</v>
      </c>
      <c r="E239" s="286">
        <v>127</v>
      </c>
      <c r="F239" s="285" t="s">
        <v>1681</v>
      </c>
      <c r="G239" s="286"/>
      <c r="H239" s="285" t="s">
        <v>835</v>
      </c>
      <c r="I239" s="286"/>
      <c r="J239" s="286">
        <v>147</v>
      </c>
      <c r="K239" s="286">
        <v>151</v>
      </c>
      <c r="L239" s="285" t="str">
        <f t="shared" si="65"/>
        <v>16GX-127</v>
      </c>
      <c r="M239" s="109"/>
      <c r="N239" s="109" t="str">
        <f t="shared" si="66"/>
        <v>bz_5-8 v 9-12</v>
      </c>
      <c r="O239" s="109"/>
      <c r="P239" s="109"/>
      <c r="Q239" s="109"/>
      <c r="R239" s="109"/>
      <c r="S239" s="109"/>
      <c r="T239" s="109"/>
      <c r="U239" s="109"/>
      <c r="V239" s="109"/>
      <c r="W239" s="109"/>
      <c r="X239" s="109"/>
      <c r="Y239" s="109"/>
      <c r="Z239" s="109"/>
    </row>
    <row r="240" spans="1:26" ht="12" customHeight="1">
      <c r="A240" s="284">
        <f t="shared" si="63"/>
        <v>46223</v>
      </c>
      <c r="B240" s="285">
        <v>0.41666666666666702</v>
      </c>
      <c r="C240" s="285" t="s">
        <v>189</v>
      </c>
      <c r="D240" s="286" t="str">
        <f t="shared" si="64"/>
        <v>CAPISTRANO VALLEY HS 1</v>
      </c>
      <c r="E240" s="286">
        <v>131</v>
      </c>
      <c r="F240" s="285" t="s">
        <v>1682</v>
      </c>
      <c r="G240" s="286"/>
      <c r="H240" s="285" t="s">
        <v>855</v>
      </c>
      <c r="I240" s="286"/>
      <c r="J240" s="286">
        <v>147</v>
      </c>
      <c r="K240" s="286">
        <v>151</v>
      </c>
      <c r="L240" s="285" t="str">
        <f t="shared" si="65"/>
        <v>16GX-131</v>
      </c>
      <c r="M240" s="109"/>
      <c r="N240" s="109" t="str">
        <f t="shared" si="66"/>
        <v>bz_5-8 v 9-12</v>
      </c>
      <c r="O240" s="109"/>
      <c r="P240" s="109"/>
      <c r="Q240" s="109"/>
      <c r="R240" s="109"/>
      <c r="S240" s="109"/>
      <c r="T240" s="109"/>
      <c r="U240" s="109"/>
      <c r="V240" s="109"/>
      <c r="W240" s="109"/>
      <c r="X240" s="109"/>
      <c r="Y240" s="109"/>
      <c r="Z240" s="109"/>
    </row>
    <row r="241" spans="1:26" ht="12" customHeight="1">
      <c r="A241" s="109"/>
      <c r="B241" s="109"/>
      <c r="C241" s="109"/>
      <c r="D241" s="109"/>
      <c r="E241" s="109"/>
      <c r="F241" s="109"/>
      <c r="G241" s="109"/>
      <c r="H241" s="109"/>
      <c r="I241" s="109"/>
      <c r="J241" s="109"/>
      <c r="K241" s="109"/>
      <c r="L241" s="109" t="str">
        <f t="shared" si="65"/>
        <v/>
      </c>
      <c r="M241" s="109"/>
      <c r="N241" s="109"/>
      <c r="O241" s="109"/>
      <c r="P241" s="109"/>
      <c r="Q241" s="109"/>
      <c r="R241" s="109"/>
      <c r="S241" s="109"/>
      <c r="T241" s="109"/>
      <c r="U241" s="109"/>
      <c r="V241" s="109"/>
      <c r="W241" s="109"/>
      <c r="X241" s="109"/>
      <c r="Y241" s="109"/>
      <c r="Z241" s="109"/>
    </row>
    <row r="242" spans="1:26" ht="12" customHeight="1">
      <c r="A242" s="284">
        <f t="shared" ref="A242:A244" si="67">$A$187</f>
        <v>46223</v>
      </c>
      <c r="B242" s="285">
        <v>0.5</v>
      </c>
      <c r="C242" s="285" t="s">
        <v>201</v>
      </c>
      <c r="D242" s="286" t="str">
        <f t="shared" ref="D242:D244" si="68">$D$236</f>
        <v>CAPISTRANO VALLEY HS 1</v>
      </c>
      <c r="E242" s="286">
        <v>123</v>
      </c>
      <c r="F242" s="285" t="s">
        <v>1683</v>
      </c>
      <c r="G242" s="286"/>
      <c r="H242" s="285" t="s">
        <v>1684</v>
      </c>
      <c r="I242" s="286"/>
      <c r="J242" s="286">
        <v>172</v>
      </c>
      <c r="K242" s="286">
        <v>163</v>
      </c>
      <c r="L242" s="285" t="str">
        <f t="shared" si="65"/>
        <v>16GX-123</v>
      </c>
      <c r="M242" s="109"/>
      <c r="N242" s="109" t="str">
        <f t="shared" ref="N242:N244" si="69">$L$113&amp;C242</f>
        <v>bz_play to semi</v>
      </c>
      <c r="O242" s="109"/>
      <c r="P242" s="109"/>
      <c r="Q242" s="109"/>
      <c r="R242" s="109"/>
      <c r="S242" s="109"/>
      <c r="T242" s="109"/>
      <c r="U242" s="109"/>
      <c r="V242" s="109"/>
      <c r="W242" s="109"/>
      <c r="X242" s="109"/>
      <c r="Y242" s="109"/>
      <c r="Z242" s="109"/>
    </row>
    <row r="243" spans="1:26" ht="12" customHeight="1">
      <c r="A243" s="284">
        <f t="shared" si="67"/>
        <v>46223</v>
      </c>
      <c r="B243" s="285">
        <v>0.54166666666666696</v>
      </c>
      <c r="C243" s="285" t="s">
        <v>649</v>
      </c>
      <c r="D243" s="286" t="str">
        <f t="shared" si="68"/>
        <v>CAPISTRANO VALLEY HS 1</v>
      </c>
      <c r="E243" s="286">
        <v>139</v>
      </c>
      <c r="F243" s="285" t="s">
        <v>1644</v>
      </c>
      <c r="G243" s="286"/>
      <c r="H243" s="285" t="s">
        <v>1656</v>
      </c>
      <c r="I243" s="286"/>
      <c r="J243" s="286" t="s">
        <v>649</v>
      </c>
      <c r="K243" s="286"/>
      <c r="L243" s="285" t="str">
        <f t="shared" si="65"/>
        <v>16GX-139</v>
      </c>
      <c r="M243" s="109"/>
      <c r="N243" s="109" t="str">
        <f t="shared" si="69"/>
        <v>bz_bracket</v>
      </c>
      <c r="O243" s="109"/>
      <c r="P243" s="109"/>
      <c r="Q243" s="109"/>
      <c r="R243" s="109"/>
      <c r="S243" s="109"/>
      <c r="T243" s="109"/>
      <c r="U243" s="109"/>
      <c r="V243" s="109"/>
      <c r="W243" s="109"/>
      <c r="X243" s="109"/>
      <c r="Y243" s="109"/>
      <c r="Z243" s="109"/>
    </row>
    <row r="244" spans="1:26" ht="12" customHeight="1">
      <c r="A244" s="284">
        <f t="shared" si="67"/>
        <v>46223</v>
      </c>
      <c r="B244" s="285">
        <v>0.58333333333333304</v>
      </c>
      <c r="C244" s="285" t="s">
        <v>194</v>
      </c>
      <c r="D244" s="286" t="str">
        <f t="shared" si="68"/>
        <v>CAPISTRANO VALLEY HS 1</v>
      </c>
      <c r="E244" s="286">
        <v>147</v>
      </c>
      <c r="F244" s="285" t="s">
        <v>858</v>
      </c>
      <c r="G244" s="286"/>
      <c r="H244" s="285" t="s">
        <v>859</v>
      </c>
      <c r="I244" s="286"/>
      <c r="J244" s="286">
        <v>163</v>
      </c>
      <c r="K244" s="286">
        <v>188</v>
      </c>
      <c r="L244" s="285" t="str">
        <f t="shared" si="65"/>
        <v>16GX-147</v>
      </c>
      <c r="M244" s="109"/>
      <c r="N244" s="109" t="str">
        <f t="shared" si="69"/>
        <v>bz_1-2 v 3-4</v>
      </c>
      <c r="O244" s="109"/>
      <c r="P244" s="109"/>
      <c r="Q244" s="109"/>
      <c r="R244" s="109"/>
      <c r="S244" s="109"/>
      <c r="T244" s="109"/>
      <c r="U244" s="109"/>
      <c r="V244" s="109"/>
      <c r="W244" s="109"/>
      <c r="X244" s="109"/>
      <c r="Y244" s="109"/>
      <c r="Z244" s="109"/>
    </row>
    <row r="245" spans="1:26" ht="12" customHeight="1">
      <c r="A245" s="109"/>
      <c r="B245" s="109"/>
      <c r="C245" s="109"/>
      <c r="D245" s="109"/>
      <c r="E245" s="109"/>
      <c r="F245" s="109"/>
      <c r="G245" s="109"/>
      <c r="H245" s="109"/>
      <c r="I245" s="109"/>
      <c r="J245" s="109"/>
      <c r="K245" s="109"/>
      <c r="L245" s="109" t="str">
        <f t="shared" si="65"/>
        <v/>
      </c>
      <c r="M245" s="109"/>
      <c r="N245" s="109"/>
      <c r="O245" s="109"/>
      <c r="P245" s="109"/>
      <c r="Q245" s="109"/>
      <c r="R245" s="109"/>
      <c r="S245" s="109"/>
      <c r="T245" s="109"/>
      <c r="U245" s="109"/>
      <c r="V245" s="109"/>
      <c r="W245" s="109"/>
      <c r="X245" s="109"/>
      <c r="Y245" s="109"/>
      <c r="Z245" s="109"/>
    </row>
    <row r="246" spans="1:26" ht="12" customHeight="1">
      <c r="A246" s="284">
        <f t="shared" ref="A246:A248" si="70">$A$187</f>
        <v>46223</v>
      </c>
      <c r="B246" s="285">
        <v>0.66666666666666663</v>
      </c>
      <c r="C246" s="285" t="s">
        <v>200</v>
      </c>
      <c r="D246" s="286" t="str">
        <f t="shared" ref="D246:D248" si="71">$D$236</f>
        <v>CAPISTRANO VALLEY HS 1</v>
      </c>
      <c r="E246" s="286">
        <v>151</v>
      </c>
      <c r="F246" s="285" t="s">
        <v>860</v>
      </c>
      <c r="G246" s="286"/>
      <c r="H246" s="285" t="s">
        <v>861</v>
      </c>
      <c r="I246" s="286"/>
      <c r="J246" s="286">
        <v>183</v>
      </c>
      <c r="K246" s="286">
        <v>184</v>
      </c>
      <c r="L246" s="285" t="str">
        <f t="shared" si="65"/>
        <v>16GX-151</v>
      </c>
      <c r="M246" s="109"/>
      <c r="N246" s="109" t="str">
        <f t="shared" ref="N246:N248" si="72">$L$113&amp;C246</f>
        <v>bz_9-12 semi</v>
      </c>
      <c r="O246" s="109"/>
      <c r="P246" s="109"/>
      <c r="Q246" s="109"/>
      <c r="R246" s="109"/>
      <c r="S246" s="109"/>
      <c r="T246" s="109"/>
      <c r="U246" s="109"/>
      <c r="V246" s="109"/>
      <c r="W246" s="109"/>
      <c r="X246" s="109"/>
      <c r="Y246" s="109"/>
      <c r="Z246" s="109"/>
    </row>
    <row r="247" spans="1:26" ht="12" customHeight="1">
      <c r="A247" s="284">
        <f t="shared" si="70"/>
        <v>46223</v>
      </c>
      <c r="B247" s="285">
        <v>0.70833333333333304</v>
      </c>
      <c r="C247" s="285" t="s">
        <v>649</v>
      </c>
      <c r="D247" s="286" t="str">
        <f t="shared" si="71"/>
        <v>CAPISTRANO VALLEY HS 1</v>
      </c>
      <c r="E247" s="286">
        <v>155</v>
      </c>
      <c r="F247" s="285" t="s">
        <v>1653</v>
      </c>
      <c r="G247" s="286"/>
      <c r="H247" s="285" t="s">
        <v>1644</v>
      </c>
      <c r="I247" s="286"/>
      <c r="J247" s="286" t="s">
        <v>649</v>
      </c>
      <c r="K247" s="286"/>
      <c r="L247" s="285" t="str">
        <f t="shared" si="65"/>
        <v>16GX-155</v>
      </c>
      <c r="M247" s="109"/>
      <c r="N247" s="109" t="str">
        <f t="shared" si="72"/>
        <v>bz_bracket</v>
      </c>
      <c r="O247" s="109"/>
      <c r="P247" s="109"/>
      <c r="Q247" s="109"/>
      <c r="R247" s="109"/>
      <c r="S247" s="109"/>
      <c r="T247" s="109"/>
      <c r="U247" s="109"/>
      <c r="V247" s="109"/>
      <c r="W247" s="109"/>
      <c r="X247" s="109"/>
      <c r="Y247" s="109"/>
      <c r="Z247" s="109"/>
    </row>
    <row r="248" spans="1:26" ht="12" customHeight="1">
      <c r="A248" s="284">
        <f t="shared" si="70"/>
        <v>46223</v>
      </c>
      <c r="B248" s="285">
        <v>0.75</v>
      </c>
      <c r="C248" s="285" t="s">
        <v>201</v>
      </c>
      <c r="D248" s="286" t="str">
        <f t="shared" si="71"/>
        <v>CAPISTRANO VALLEY HS 1</v>
      </c>
      <c r="E248" s="286">
        <v>163</v>
      </c>
      <c r="F248" s="285" t="s">
        <v>862</v>
      </c>
      <c r="G248" s="286"/>
      <c r="H248" s="285" t="s">
        <v>863</v>
      </c>
      <c r="I248" s="286"/>
      <c r="J248" s="286">
        <v>171</v>
      </c>
      <c r="K248" s="286">
        <v>187</v>
      </c>
      <c r="L248" s="285" t="str">
        <f t="shared" si="65"/>
        <v>16GX-163</v>
      </c>
      <c r="M248" s="109"/>
      <c r="N248" s="109" t="str">
        <f t="shared" si="72"/>
        <v>bz_play to semi</v>
      </c>
      <c r="O248" s="109"/>
      <c r="P248" s="109"/>
      <c r="Q248" s="109"/>
      <c r="R248" s="109"/>
      <c r="S248" s="109"/>
      <c r="T248" s="109"/>
      <c r="U248" s="109"/>
      <c r="V248" s="109"/>
      <c r="W248" s="109"/>
      <c r="X248" s="109"/>
      <c r="Y248" s="109"/>
      <c r="Z248" s="109"/>
    </row>
    <row r="249" spans="1:26" ht="12" customHeight="1">
      <c r="A249" s="109"/>
      <c r="B249" s="109"/>
      <c r="C249" s="109"/>
      <c r="D249" s="109"/>
      <c r="E249" s="109"/>
      <c r="F249" s="109"/>
      <c r="G249" s="109"/>
      <c r="H249" s="109"/>
      <c r="I249" s="109"/>
      <c r="J249" s="109"/>
      <c r="K249" s="109"/>
      <c r="L249" s="109"/>
      <c r="M249" s="109"/>
      <c r="N249" s="109"/>
      <c r="O249" s="109"/>
      <c r="P249" s="109"/>
      <c r="Q249" s="109"/>
      <c r="R249" s="109"/>
      <c r="S249" s="109"/>
      <c r="T249" s="109"/>
      <c r="U249" s="109"/>
      <c r="V249" s="109"/>
      <c r="W249" s="109"/>
      <c r="X249" s="109"/>
      <c r="Y249" s="109"/>
      <c r="Z249" s="109"/>
    </row>
    <row r="250" spans="1:26" ht="12" customHeight="1">
      <c r="A250" s="109"/>
      <c r="B250" s="109"/>
      <c r="C250" s="109"/>
      <c r="D250" s="109"/>
      <c r="E250" s="109"/>
      <c r="F250" s="109"/>
      <c r="G250" s="109"/>
      <c r="H250" s="109"/>
      <c r="I250" s="109"/>
      <c r="J250" s="109"/>
      <c r="K250" s="109"/>
      <c r="L250" s="109"/>
      <c r="M250" s="109"/>
      <c r="N250" s="109"/>
      <c r="O250" s="109"/>
      <c r="P250" s="109"/>
      <c r="Q250" s="109"/>
      <c r="R250" s="109"/>
      <c r="S250" s="109"/>
      <c r="T250" s="109"/>
      <c r="U250" s="109"/>
      <c r="V250" s="109"/>
      <c r="W250" s="109"/>
      <c r="X250" s="109"/>
      <c r="Y250" s="109"/>
      <c r="Z250" s="109"/>
    </row>
    <row r="251" spans="1:26" ht="12" customHeight="1" thickBot="1">
      <c r="A251" s="345"/>
      <c r="B251" s="342"/>
      <c r="C251" s="342"/>
      <c r="D251" s="109"/>
      <c r="E251" s="109"/>
      <c r="F251" s="342"/>
      <c r="G251" s="342"/>
      <c r="H251" s="342"/>
      <c r="I251" s="342"/>
      <c r="J251" s="109"/>
      <c r="K251" s="109"/>
      <c r="L251" s="109"/>
      <c r="M251" s="109"/>
      <c r="N251" s="109"/>
      <c r="O251" s="109"/>
      <c r="P251" s="109"/>
      <c r="Q251" s="109"/>
      <c r="R251" s="109"/>
      <c r="S251" s="109"/>
      <c r="T251" s="109"/>
      <c r="U251" s="109"/>
      <c r="V251" s="109"/>
      <c r="W251" s="109"/>
      <c r="X251" s="109"/>
      <c r="Y251" s="109"/>
      <c r="Z251" s="109"/>
    </row>
    <row r="252" spans="1:26" ht="12" customHeight="1" thickTop="1" thickBot="1">
      <c r="A252" s="105" t="s">
        <v>864</v>
      </c>
      <c r="B252" s="165"/>
      <c r="C252" s="165" t="s">
        <v>647</v>
      </c>
      <c r="D252" s="165"/>
      <c r="E252" s="165"/>
      <c r="F252" s="165"/>
      <c r="G252" s="165"/>
      <c r="H252" s="165"/>
      <c r="I252" s="165"/>
      <c r="J252" s="165"/>
      <c r="K252" s="165"/>
      <c r="L252" s="165"/>
      <c r="M252" s="109"/>
      <c r="N252" s="109"/>
      <c r="O252" s="109"/>
      <c r="P252" s="109"/>
      <c r="Q252" s="109"/>
      <c r="R252" s="109"/>
      <c r="S252" s="109"/>
      <c r="T252" s="109"/>
      <c r="U252" s="109"/>
      <c r="V252" s="109"/>
      <c r="W252" s="109"/>
      <c r="X252" s="109"/>
      <c r="Y252" s="109"/>
      <c r="Z252" s="109"/>
    </row>
    <row r="253" spans="1:26" ht="12" customHeight="1" thickBot="1">
      <c r="A253" s="108">
        <v>46224</v>
      </c>
      <c r="B253" s="341"/>
      <c r="C253" s="341"/>
      <c r="D253" s="109"/>
      <c r="E253" s="109"/>
      <c r="F253" s="109"/>
      <c r="G253" s="109"/>
      <c r="H253" s="109"/>
      <c r="I253" s="109"/>
      <c r="J253" s="109"/>
      <c r="K253" s="109"/>
      <c r="L253" s="109"/>
      <c r="M253" s="109"/>
      <c r="N253" s="109"/>
      <c r="O253" s="109"/>
      <c r="P253" s="109"/>
      <c r="Q253" s="109"/>
      <c r="R253" s="109"/>
      <c r="S253" s="109"/>
      <c r="T253" s="109"/>
      <c r="U253" s="109"/>
      <c r="V253" s="109"/>
      <c r="W253" s="109"/>
      <c r="X253" s="109"/>
      <c r="Y253" s="109"/>
      <c r="Z253" s="109"/>
    </row>
    <row r="254" spans="1:26" ht="12" customHeight="1" thickBot="1">
      <c r="A254" s="108"/>
      <c r="B254" s="341"/>
      <c r="C254" s="341"/>
      <c r="D254" s="119" t="str">
        <f>'CHICLETS MASTER S1'!$AG$51</f>
        <v>GOLDEN WEST COLLEGE 1</v>
      </c>
      <c r="E254" s="341"/>
      <c r="F254" s="109"/>
      <c r="G254" s="109"/>
      <c r="H254" s="109"/>
      <c r="I254" s="109"/>
      <c r="J254" s="109"/>
      <c r="K254" s="109"/>
      <c r="L254" s="109"/>
      <c r="M254" s="109"/>
      <c r="N254" s="109"/>
      <c r="O254" s="109"/>
      <c r="P254" s="109"/>
      <c r="Q254" s="109"/>
      <c r="R254" s="109"/>
      <c r="S254" s="109"/>
      <c r="T254" s="109"/>
      <c r="U254" s="109"/>
      <c r="V254" s="109"/>
      <c r="W254" s="109"/>
      <c r="X254" s="109"/>
      <c r="Y254" s="109"/>
      <c r="Z254" s="109"/>
    </row>
    <row r="255" spans="1:26" ht="12" customHeight="1">
      <c r="A255" s="280" t="s">
        <v>110</v>
      </c>
      <c r="B255" s="281" t="s">
        <v>111</v>
      </c>
      <c r="C255" s="280" t="s">
        <v>112</v>
      </c>
      <c r="D255" s="280" t="s">
        <v>113</v>
      </c>
      <c r="E255" s="280" t="s">
        <v>114</v>
      </c>
      <c r="F255" s="280" t="s">
        <v>115</v>
      </c>
      <c r="G255" s="280" t="s">
        <v>116</v>
      </c>
      <c r="H255" s="280" t="s">
        <v>117</v>
      </c>
      <c r="I255" s="280" t="s">
        <v>116</v>
      </c>
      <c r="J255" s="280" t="s">
        <v>118</v>
      </c>
      <c r="K255" s="280" t="s">
        <v>119</v>
      </c>
      <c r="L255" s="280" t="s">
        <v>120</v>
      </c>
      <c r="M255" s="109"/>
      <c r="N255" s="109"/>
      <c r="O255" s="109"/>
      <c r="P255" s="109"/>
      <c r="Q255" s="109"/>
      <c r="R255" s="109"/>
      <c r="S255" s="109"/>
      <c r="T255" s="109"/>
      <c r="U255" s="109"/>
      <c r="V255" s="109"/>
      <c r="W255" s="109"/>
      <c r="X255" s="109"/>
      <c r="Y255" s="109"/>
      <c r="Z255" s="109"/>
    </row>
    <row r="256" spans="1:26" ht="12" customHeight="1">
      <c r="A256" s="284">
        <f t="shared" ref="A256:A289" si="73">$A$253</f>
        <v>46224</v>
      </c>
      <c r="B256" s="285">
        <f>'CHICLETS MASTER S1'!Z73</f>
        <v>0.29166666666666669</v>
      </c>
      <c r="C256" s="285" t="s">
        <v>224</v>
      </c>
      <c r="D256" s="286" t="str">
        <f t="shared" ref="D256:D263" si="74">$D$254</f>
        <v>GOLDEN WEST COLLEGE 1</v>
      </c>
      <c r="E256" s="286">
        <v>171</v>
      </c>
      <c r="F256" s="285" t="s">
        <v>865</v>
      </c>
      <c r="G256" s="286"/>
      <c r="H256" s="285" t="s">
        <v>866</v>
      </c>
      <c r="I256" s="286"/>
      <c r="J256" s="286">
        <v>191</v>
      </c>
      <c r="K256" s="286">
        <v>192</v>
      </c>
      <c r="L256" s="285" t="str">
        <f t="shared" ref="L256:L257" si="75">IF(E256="","",$L$17&amp;"-"&amp;TEXT(E256,"000"))</f>
        <v>16GX-171</v>
      </c>
      <c r="M256" s="109"/>
      <c r="N256" s="109" t="str">
        <f t="shared" ref="N256:N257" si="76">$L$113&amp;C256</f>
        <v>bz_semi</v>
      </c>
      <c r="O256" s="109"/>
      <c r="P256" s="109"/>
      <c r="Q256" s="109"/>
      <c r="R256" s="109"/>
      <c r="S256" s="109"/>
      <c r="T256" s="109"/>
      <c r="U256" s="109"/>
      <c r="V256" s="109"/>
      <c r="W256" s="109"/>
      <c r="X256" s="109"/>
      <c r="Y256" s="109"/>
      <c r="Z256" s="109"/>
    </row>
    <row r="257" spans="1:26" ht="12" customHeight="1">
      <c r="A257" s="284">
        <f t="shared" si="73"/>
        <v>46224</v>
      </c>
      <c r="B257" s="285">
        <f>'CHICLETS MASTER S1'!Z74</f>
        <v>0.33333333333333298</v>
      </c>
      <c r="C257" s="285" t="s">
        <v>224</v>
      </c>
      <c r="D257" s="286" t="str">
        <f t="shared" si="74"/>
        <v>GOLDEN WEST COLLEGE 1</v>
      </c>
      <c r="E257" s="286">
        <v>172</v>
      </c>
      <c r="F257" s="285" t="s">
        <v>867</v>
      </c>
      <c r="G257" s="286"/>
      <c r="H257" s="285" t="s">
        <v>868</v>
      </c>
      <c r="I257" s="286"/>
      <c r="J257" s="286">
        <v>191</v>
      </c>
      <c r="K257" s="286">
        <v>192</v>
      </c>
      <c r="L257" s="285" t="str">
        <f t="shared" si="75"/>
        <v>16GX-172</v>
      </c>
      <c r="M257" s="109"/>
      <c r="N257" s="109" t="str">
        <f t="shared" si="76"/>
        <v>bz_semi</v>
      </c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</row>
    <row r="258" spans="1:26" ht="12" customHeight="1">
      <c r="A258" s="135">
        <f t="shared" ref="A258:A281" si="77">$A$253</f>
        <v>46224</v>
      </c>
      <c r="B258" s="136">
        <f>'CHICLETS MASTER S1'!Z75</f>
        <v>0.375</v>
      </c>
      <c r="C258" s="136" t="s">
        <v>224</v>
      </c>
      <c r="D258" s="137" t="str">
        <f t="shared" si="74"/>
        <v>GOLDEN WEST COLLEGE 1</v>
      </c>
      <c r="E258" s="137">
        <v>173</v>
      </c>
      <c r="F258" s="136" t="s">
        <v>924</v>
      </c>
      <c r="G258" s="136"/>
      <c r="H258" s="136" t="s">
        <v>925</v>
      </c>
      <c r="I258" s="136"/>
      <c r="J258" s="137">
        <v>189</v>
      </c>
      <c r="K258" s="137">
        <v>190</v>
      </c>
      <c r="L258" s="136" t="str">
        <f t="shared" ref="L258:L263" si="78">IF(E258="","",$L$17&amp;"-"&amp;TEXT(E258,"000"))</f>
        <v>16GX-173</v>
      </c>
      <c r="M258" s="109"/>
      <c r="N258" s="109" t="str">
        <f>$L$112&amp;C258</f>
        <v>ag_semi</v>
      </c>
      <c r="O258" s="109"/>
      <c r="P258" s="109"/>
      <c r="Q258" s="109"/>
      <c r="R258" s="109"/>
      <c r="S258" s="109"/>
      <c r="T258" s="109"/>
      <c r="U258" s="109"/>
      <c r="V258" s="109"/>
      <c r="W258" s="109"/>
      <c r="X258" s="109"/>
      <c r="Y258" s="109"/>
      <c r="Z258" s="109"/>
    </row>
    <row r="259" spans="1:26" ht="12" customHeight="1">
      <c r="A259" s="135">
        <f t="shared" si="77"/>
        <v>46224</v>
      </c>
      <c r="B259" s="136">
        <f>'CHICLETS MASTER S1'!Z76</f>
        <v>0.41666666666666702</v>
      </c>
      <c r="C259" s="136" t="s">
        <v>224</v>
      </c>
      <c r="D259" s="137" t="str">
        <f t="shared" si="74"/>
        <v>GOLDEN WEST COLLEGE 1</v>
      </c>
      <c r="E259" s="137">
        <v>174</v>
      </c>
      <c r="F259" s="136" t="s">
        <v>926</v>
      </c>
      <c r="G259" s="136"/>
      <c r="H259" s="136" t="s">
        <v>927</v>
      </c>
      <c r="I259" s="136"/>
      <c r="J259" s="137">
        <v>189</v>
      </c>
      <c r="K259" s="137">
        <v>190</v>
      </c>
      <c r="L259" s="136" t="str">
        <f t="shared" si="78"/>
        <v>16GX-174</v>
      </c>
      <c r="M259" s="109"/>
      <c r="N259" s="109" t="str">
        <f>$L$112&amp;C259</f>
        <v>ag_semi</v>
      </c>
      <c r="O259" s="109"/>
      <c r="P259" s="109"/>
      <c r="Q259" s="109"/>
      <c r="R259" s="109"/>
      <c r="S259" s="109"/>
      <c r="T259" s="109"/>
      <c r="U259" s="109"/>
      <c r="V259" s="109"/>
      <c r="W259" s="109"/>
      <c r="X259" s="109"/>
      <c r="Y259" s="109"/>
      <c r="Z259" s="109"/>
    </row>
    <row r="260" spans="1:26" ht="12" customHeight="1">
      <c r="A260" s="284">
        <f t="shared" si="73"/>
        <v>46224</v>
      </c>
      <c r="B260" s="285">
        <f>'CHICLETS MASTER S1'!Z77</f>
        <v>0.45833333333333298</v>
      </c>
      <c r="C260" s="285" t="s">
        <v>210</v>
      </c>
      <c r="D260" s="286" t="str">
        <f t="shared" si="74"/>
        <v>GOLDEN WEST COLLEGE 1</v>
      </c>
      <c r="E260" s="286">
        <v>192</v>
      </c>
      <c r="F260" s="285" t="s">
        <v>876</v>
      </c>
      <c r="G260" s="286"/>
      <c r="H260" s="285" t="s">
        <v>877</v>
      </c>
      <c r="I260" s="286"/>
      <c r="J260" s="286" t="s">
        <v>1685</v>
      </c>
      <c r="K260" s="286" t="s">
        <v>1686</v>
      </c>
      <c r="L260" s="285" t="str">
        <f t="shared" si="78"/>
        <v>16GX-192</v>
      </c>
      <c r="M260" s="109"/>
      <c r="N260" s="109" t="str">
        <f>$L$113&amp;C260</f>
        <v>bz_3rd</v>
      </c>
      <c r="O260" s="109"/>
      <c r="P260" s="109"/>
      <c r="Q260" s="109"/>
      <c r="R260" s="109"/>
      <c r="S260" s="109"/>
      <c r="T260" s="109"/>
      <c r="U260" s="109"/>
      <c r="V260" s="109"/>
      <c r="W260" s="109"/>
      <c r="X260" s="109"/>
      <c r="Y260" s="109"/>
      <c r="Z260" s="109"/>
    </row>
    <row r="261" spans="1:26" ht="12" customHeight="1">
      <c r="A261" s="284">
        <f t="shared" si="73"/>
        <v>46224</v>
      </c>
      <c r="B261" s="285">
        <f>'CHICLETS MASTER S1'!Z78</f>
        <v>0.5</v>
      </c>
      <c r="C261" s="285" t="s">
        <v>214</v>
      </c>
      <c r="D261" s="286" t="str">
        <f t="shared" si="74"/>
        <v>GOLDEN WEST COLLEGE 1</v>
      </c>
      <c r="E261" s="286">
        <v>191</v>
      </c>
      <c r="F261" s="285" t="s">
        <v>880</v>
      </c>
      <c r="G261" s="286"/>
      <c r="H261" s="285" t="s">
        <v>881</v>
      </c>
      <c r="I261" s="286"/>
      <c r="J261" s="286" t="s">
        <v>1687</v>
      </c>
      <c r="K261" s="286" t="s">
        <v>1688</v>
      </c>
      <c r="L261" s="285" t="str">
        <f t="shared" si="78"/>
        <v>16GX-191</v>
      </c>
      <c r="M261" s="109"/>
      <c r="N261" s="109" t="str">
        <f>$L$113&amp;C261</f>
        <v>bz_1st</v>
      </c>
      <c r="O261" s="109"/>
      <c r="P261" s="109"/>
      <c r="Q261" s="109"/>
      <c r="R261" s="109"/>
      <c r="S261" s="109"/>
      <c r="T261" s="109"/>
      <c r="U261" s="109"/>
      <c r="V261" s="109"/>
      <c r="W261" s="109"/>
      <c r="X261" s="109"/>
      <c r="Y261" s="109"/>
      <c r="Z261" s="109"/>
    </row>
    <row r="262" spans="1:26" ht="11.25" customHeight="1">
      <c r="A262" s="135">
        <f>$A$253</f>
        <v>46224</v>
      </c>
      <c r="B262" s="136">
        <f>'CHICLETS MASTER S1'!Z79</f>
        <v>0.54166666666666696</v>
      </c>
      <c r="C262" s="136" t="s">
        <v>210</v>
      </c>
      <c r="D262" s="137" t="str">
        <f t="shared" si="74"/>
        <v>GOLDEN WEST COLLEGE 1</v>
      </c>
      <c r="E262" s="137">
        <v>190</v>
      </c>
      <c r="F262" s="136" t="s">
        <v>940</v>
      </c>
      <c r="G262" s="136"/>
      <c r="H262" s="136" t="s">
        <v>941</v>
      </c>
      <c r="I262" s="136"/>
      <c r="J262" s="137" t="s">
        <v>1689</v>
      </c>
      <c r="K262" s="137" t="s">
        <v>1690</v>
      </c>
      <c r="L262" s="136" t="str">
        <f t="shared" si="78"/>
        <v>16GX-190</v>
      </c>
      <c r="M262" s="109"/>
      <c r="N262" s="109" t="str">
        <f>$L$112&amp;C262</f>
        <v>ag_3rd</v>
      </c>
      <c r="O262" s="109"/>
      <c r="P262" s="109"/>
      <c r="Q262" s="109"/>
      <c r="R262" s="109"/>
      <c r="S262" s="109"/>
      <c r="T262" s="109"/>
      <c r="U262" s="109"/>
      <c r="V262" s="109"/>
      <c r="W262" s="109"/>
      <c r="X262" s="109"/>
      <c r="Y262" s="109"/>
      <c r="Z262" s="109"/>
    </row>
    <row r="263" spans="1:26" ht="11.25" customHeight="1">
      <c r="A263" s="135">
        <f>$A$253</f>
        <v>46224</v>
      </c>
      <c r="B263" s="136">
        <f>'CHICLETS MASTER S1'!Z80</f>
        <v>0.58333333333333304</v>
      </c>
      <c r="C263" s="136" t="s">
        <v>214</v>
      </c>
      <c r="D263" s="137" t="str">
        <f t="shared" si="74"/>
        <v>GOLDEN WEST COLLEGE 1</v>
      </c>
      <c r="E263" s="137">
        <v>189</v>
      </c>
      <c r="F263" s="136" t="s">
        <v>944</v>
      </c>
      <c r="G263" s="136"/>
      <c r="H263" s="136" t="s">
        <v>945</v>
      </c>
      <c r="I263" s="136"/>
      <c r="J263" s="137" t="s">
        <v>1691</v>
      </c>
      <c r="K263" s="137" t="s">
        <v>1692</v>
      </c>
      <c r="L263" s="136" t="str">
        <f t="shared" si="78"/>
        <v>16GX-189</v>
      </c>
      <c r="M263" s="109"/>
      <c r="N263" s="109" t="str">
        <f>$L$112&amp;C263</f>
        <v>ag_1st</v>
      </c>
      <c r="O263" s="109"/>
      <c r="P263" s="109"/>
      <c r="Q263" s="109"/>
      <c r="R263" s="109"/>
      <c r="S263" s="109"/>
      <c r="T263" s="109"/>
      <c r="U263" s="109"/>
      <c r="V263" s="109"/>
      <c r="W263" s="109"/>
      <c r="X263" s="109"/>
      <c r="Y263" s="109"/>
      <c r="Z263" s="109"/>
    </row>
    <row r="264" spans="1:26" ht="12" customHeight="1" thickBot="1">
      <c r="A264" s="109"/>
      <c r="B264" s="109"/>
      <c r="C264" s="109"/>
      <c r="D264" s="109"/>
      <c r="E264" s="109"/>
      <c r="F264" s="109"/>
      <c r="G264" s="109"/>
      <c r="H264" s="109"/>
      <c r="I264" s="109"/>
      <c r="J264" s="109"/>
      <c r="K264" s="109"/>
      <c r="L264" s="109"/>
      <c r="M264" s="109"/>
      <c r="N264" s="109"/>
      <c r="O264" s="109"/>
      <c r="P264" s="109"/>
      <c r="Q264" s="109"/>
      <c r="R264" s="109"/>
      <c r="S264" s="109"/>
      <c r="T264" s="109"/>
      <c r="U264" s="109"/>
      <c r="V264" s="109"/>
      <c r="W264" s="109"/>
      <c r="X264" s="109"/>
      <c r="Y264" s="109"/>
      <c r="Z264" s="109"/>
    </row>
    <row r="265" spans="1:26" ht="12" customHeight="1" thickBot="1">
      <c r="A265" s="108"/>
      <c r="B265" s="341"/>
      <c r="C265" s="341"/>
      <c r="D265" s="119" t="str">
        <f>'CHICLETS MASTER S1'!$AD$72</f>
        <v>BUENA PARK HS</v>
      </c>
      <c r="E265" s="341"/>
      <c r="F265" s="109"/>
      <c r="G265" s="109"/>
      <c r="H265" s="109"/>
      <c r="I265" s="109"/>
      <c r="J265" s="109"/>
      <c r="K265" s="109"/>
      <c r="L265" s="109"/>
      <c r="M265" s="109"/>
      <c r="N265" s="109"/>
      <c r="O265" s="109"/>
      <c r="P265" s="109"/>
      <c r="Q265" s="109"/>
      <c r="R265" s="109"/>
      <c r="S265" s="109"/>
      <c r="T265" s="109"/>
      <c r="U265" s="109"/>
      <c r="V265" s="109"/>
      <c r="W265" s="109"/>
      <c r="X265" s="109"/>
      <c r="Y265" s="109"/>
      <c r="Z265" s="109"/>
    </row>
    <row r="266" spans="1:26" ht="12" customHeight="1">
      <c r="A266" s="280" t="s">
        <v>110</v>
      </c>
      <c r="B266" s="281" t="s">
        <v>111</v>
      </c>
      <c r="C266" s="280" t="s">
        <v>112</v>
      </c>
      <c r="D266" s="280" t="s">
        <v>113</v>
      </c>
      <c r="E266" s="280" t="s">
        <v>114</v>
      </c>
      <c r="F266" s="280" t="s">
        <v>115</v>
      </c>
      <c r="G266" s="280" t="s">
        <v>116</v>
      </c>
      <c r="H266" s="280" t="s">
        <v>117</v>
      </c>
      <c r="I266" s="280" t="s">
        <v>116</v>
      </c>
      <c r="J266" s="280" t="s">
        <v>118</v>
      </c>
      <c r="K266" s="280" t="s">
        <v>119</v>
      </c>
      <c r="L266" s="280" t="s">
        <v>120</v>
      </c>
      <c r="M266" s="109"/>
      <c r="N266" s="109"/>
      <c r="O266" s="109"/>
      <c r="P266" s="109"/>
      <c r="Q266" s="109"/>
      <c r="R266" s="109"/>
      <c r="S266" s="109"/>
      <c r="T266" s="109"/>
      <c r="U266" s="109"/>
      <c r="V266" s="109"/>
      <c r="W266" s="109"/>
      <c r="X266" s="109"/>
      <c r="Y266" s="109"/>
      <c r="Z266" s="109"/>
    </row>
    <row r="267" spans="1:26" ht="12" customHeight="1">
      <c r="A267" s="284">
        <f t="shared" ref="A267:A290" si="79">$A$253</f>
        <v>46224</v>
      </c>
      <c r="B267" s="285">
        <f>'CHICLETS MASTER S1'!Z73</f>
        <v>0.29166666666666669</v>
      </c>
      <c r="C267" s="285" t="s">
        <v>842</v>
      </c>
      <c r="D267" s="286" t="str">
        <f t="shared" ref="D267:D272" si="80">$D$265</f>
        <v>BUENA PARK HS</v>
      </c>
      <c r="E267" s="286">
        <v>168</v>
      </c>
      <c r="F267" s="285" t="s">
        <v>1523</v>
      </c>
      <c r="G267" s="286"/>
      <c r="H267" s="285" t="s">
        <v>1531</v>
      </c>
      <c r="I267" s="286"/>
      <c r="J267" s="286" t="s">
        <v>1678</v>
      </c>
      <c r="K267" s="286"/>
      <c r="L267" s="285" t="str">
        <f t="shared" ref="L267:L272" si="81">IF(E267="","",$L$17&amp;"-"&amp;TEXT(E267,"000"))</f>
        <v>16GX-168</v>
      </c>
      <c r="M267" s="109"/>
      <c r="N267" s="109" t="str">
        <f>$L$113&amp;C267</f>
        <v>bz_19-21 RR</v>
      </c>
      <c r="O267" s="109"/>
      <c r="P267" s="109"/>
      <c r="Q267" s="109"/>
      <c r="R267" s="109"/>
      <c r="S267" s="109"/>
      <c r="T267" s="109"/>
      <c r="U267" s="109"/>
      <c r="V267" s="109"/>
      <c r="W267" s="109"/>
      <c r="X267" s="109"/>
      <c r="Y267" s="109"/>
      <c r="Z267" s="109"/>
    </row>
    <row r="268" spans="1:26" ht="12" customHeight="1">
      <c r="A268" s="135">
        <f t="shared" si="79"/>
        <v>46224</v>
      </c>
      <c r="B268" s="136">
        <f>'CHICLETS MASTER S1'!Z74</f>
        <v>0.33333333333333298</v>
      </c>
      <c r="C268" s="136" t="s">
        <v>383</v>
      </c>
      <c r="D268" s="137" t="str">
        <f t="shared" si="80"/>
        <v>BUENA PARK HS</v>
      </c>
      <c r="E268" s="137">
        <v>165</v>
      </c>
      <c r="F268" s="136" t="s">
        <v>1657</v>
      </c>
      <c r="G268" s="136"/>
      <c r="H268" s="136" t="s">
        <v>1667</v>
      </c>
      <c r="I268" s="136"/>
      <c r="J268" s="137" t="s">
        <v>1659</v>
      </c>
      <c r="K268" s="137"/>
      <c r="L268" s="136" t="str">
        <f t="shared" si="81"/>
        <v>16GX-165</v>
      </c>
      <c r="M268" s="109"/>
      <c r="N268" s="109" t="str">
        <f>$L$112&amp;C268</f>
        <v>ag_21-24 RR</v>
      </c>
      <c r="O268" s="109"/>
      <c r="P268" s="109"/>
      <c r="Q268" s="109"/>
      <c r="R268" s="109"/>
      <c r="S268" s="109"/>
      <c r="T268" s="109"/>
      <c r="U268" s="109"/>
      <c r="V268" s="109"/>
      <c r="W268" s="109"/>
      <c r="X268" s="109"/>
      <c r="Y268" s="109"/>
      <c r="Z268" s="109"/>
    </row>
    <row r="269" spans="1:26" ht="12" customHeight="1">
      <c r="A269" s="135">
        <f t="shared" si="79"/>
        <v>46224</v>
      </c>
      <c r="B269" s="136">
        <f>'CHICLETS MASTER S1'!Z75</f>
        <v>0.375</v>
      </c>
      <c r="C269" s="136" t="s">
        <v>383</v>
      </c>
      <c r="D269" s="137" t="str">
        <f t="shared" si="80"/>
        <v>BUENA PARK HS</v>
      </c>
      <c r="E269" s="137">
        <v>166</v>
      </c>
      <c r="F269" s="136" t="s">
        <v>1666</v>
      </c>
      <c r="G269" s="136"/>
      <c r="H269" s="136" t="s">
        <v>1658</v>
      </c>
      <c r="I269" s="136"/>
      <c r="J269" s="137" t="s">
        <v>1659</v>
      </c>
      <c r="K269" s="137"/>
      <c r="L269" s="136" t="str">
        <f t="shared" si="81"/>
        <v>16GX-166</v>
      </c>
      <c r="M269" s="109"/>
      <c r="N269" s="109" t="str">
        <f>$L$112&amp;C269</f>
        <v>ag_21-24 RR</v>
      </c>
      <c r="O269" s="109"/>
      <c r="P269" s="109"/>
      <c r="Q269" s="109"/>
      <c r="R269" s="109"/>
      <c r="S269" s="109"/>
      <c r="T269" s="109"/>
      <c r="U269" s="109"/>
      <c r="V269" s="109"/>
      <c r="W269" s="109"/>
      <c r="X269" s="109"/>
      <c r="Y269" s="109"/>
      <c r="Z269" s="109"/>
    </row>
    <row r="270" spans="1:26" ht="12" customHeight="1">
      <c r="A270" s="284">
        <f t="shared" si="79"/>
        <v>46224</v>
      </c>
      <c r="B270" s="285">
        <f>'CHICLETS MASTER S1'!Z76</f>
        <v>0.41666666666666702</v>
      </c>
      <c r="C270" s="285" t="s">
        <v>411</v>
      </c>
      <c r="D270" s="286" t="str">
        <f t="shared" si="80"/>
        <v>BUENA PARK HS</v>
      </c>
      <c r="E270" s="286">
        <v>175</v>
      </c>
      <c r="F270" s="285" t="s">
        <v>1693</v>
      </c>
      <c r="G270" s="286"/>
      <c r="H270" s="285" t="s">
        <v>1694</v>
      </c>
      <c r="I270" s="286"/>
      <c r="J270" s="286" t="s">
        <v>1695</v>
      </c>
      <c r="K270" s="286" t="s">
        <v>1696</v>
      </c>
      <c r="L270" s="285" t="str">
        <f t="shared" si="81"/>
        <v>16GX-175</v>
      </c>
      <c r="M270" s="109"/>
      <c r="N270" s="109" t="str">
        <f t="shared" ref="N270:N272" si="82">$L$113&amp;C270</f>
        <v>bz_17th</v>
      </c>
      <c r="O270" s="109"/>
      <c r="P270" s="109"/>
      <c r="Q270" s="109"/>
      <c r="R270" s="109"/>
      <c r="S270" s="109"/>
      <c r="T270" s="109"/>
      <c r="U270" s="109"/>
      <c r="V270" s="109"/>
      <c r="W270" s="109"/>
      <c r="X270" s="109"/>
      <c r="Y270" s="109"/>
      <c r="Z270" s="109"/>
    </row>
    <row r="271" spans="1:26" ht="12" customHeight="1">
      <c r="A271" s="284">
        <f t="shared" si="79"/>
        <v>46224</v>
      </c>
      <c r="B271" s="285">
        <f>'CHICLETS MASTER S1'!Z77</f>
        <v>0.45833333333333298</v>
      </c>
      <c r="C271" s="285" t="s">
        <v>413</v>
      </c>
      <c r="D271" s="286" t="str">
        <f t="shared" si="80"/>
        <v>BUENA PARK HS</v>
      </c>
      <c r="E271" s="286">
        <v>179</v>
      </c>
      <c r="F271" s="285" t="s">
        <v>1697</v>
      </c>
      <c r="G271" s="286"/>
      <c r="H271" s="285" t="s">
        <v>1698</v>
      </c>
      <c r="I271" s="286"/>
      <c r="J271" s="286" t="s">
        <v>1699</v>
      </c>
      <c r="K271" s="286" t="s">
        <v>1700</v>
      </c>
      <c r="L271" s="285" t="str">
        <f t="shared" si="81"/>
        <v>16GX-179</v>
      </c>
      <c r="M271" s="109"/>
      <c r="N271" s="109" t="str">
        <f t="shared" si="82"/>
        <v>bz_13th</v>
      </c>
      <c r="O271" s="109"/>
      <c r="P271" s="109"/>
      <c r="Q271" s="109"/>
      <c r="R271" s="109"/>
      <c r="S271" s="109"/>
      <c r="T271" s="109"/>
      <c r="U271" s="109"/>
      <c r="V271" s="109"/>
      <c r="W271" s="109"/>
      <c r="X271" s="109"/>
      <c r="Y271" s="109"/>
      <c r="Z271" s="109"/>
    </row>
    <row r="272" spans="1:26" ht="12" customHeight="1">
      <c r="A272" s="284">
        <f t="shared" si="79"/>
        <v>46224</v>
      </c>
      <c r="B272" s="285">
        <f>'CHICLETS MASTER S1'!Z78</f>
        <v>0.5</v>
      </c>
      <c r="C272" s="285" t="s">
        <v>218</v>
      </c>
      <c r="D272" s="286" t="str">
        <f t="shared" si="80"/>
        <v>BUENA PARK HS</v>
      </c>
      <c r="E272" s="286">
        <v>184</v>
      </c>
      <c r="F272" s="285" t="s">
        <v>892</v>
      </c>
      <c r="G272" s="286"/>
      <c r="H272" s="285" t="s">
        <v>893</v>
      </c>
      <c r="I272" s="286"/>
      <c r="J272" s="286" t="s">
        <v>1701</v>
      </c>
      <c r="K272" s="286" t="s">
        <v>1702</v>
      </c>
      <c r="L272" s="285" t="str">
        <f t="shared" si="81"/>
        <v>16GX-184</v>
      </c>
      <c r="M272" s="109"/>
      <c r="N272" s="109" t="str">
        <f t="shared" si="82"/>
        <v>bz_11th</v>
      </c>
      <c r="O272" s="109"/>
      <c r="P272" s="109"/>
      <c r="Q272" s="109"/>
      <c r="R272" s="109"/>
      <c r="S272" s="109"/>
      <c r="T272" s="109"/>
      <c r="U272" s="109"/>
      <c r="V272" s="109"/>
      <c r="W272" s="109"/>
      <c r="X272" s="109"/>
      <c r="Y272" s="109"/>
      <c r="Z272" s="109"/>
    </row>
    <row r="273" spans="1:26" ht="12" customHeight="1" thickBot="1">
      <c r="A273" s="109"/>
      <c r="B273" s="109"/>
      <c r="C273" s="109"/>
      <c r="D273" s="109"/>
      <c r="E273" s="109"/>
      <c r="F273" s="109"/>
      <c r="G273" s="109"/>
      <c r="H273" s="109"/>
      <c r="I273" s="109"/>
      <c r="J273" s="109"/>
      <c r="K273" s="109"/>
      <c r="L273" s="109"/>
      <c r="M273" s="109"/>
      <c r="N273" s="109"/>
      <c r="O273" s="109"/>
      <c r="P273" s="109"/>
      <c r="Q273" s="109"/>
      <c r="R273" s="109"/>
      <c r="S273" s="109"/>
      <c r="T273" s="109"/>
      <c r="U273" s="109"/>
      <c r="V273" s="109"/>
      <c r="W273" s="109"/>
      <c r="X273" s="109"/>
      <c r="Y273" s="109"/>
      <c r="Z273" s="109"/>
    </row>
    <row r="274" spans="1:26" ht="12" customHeight="1" thickBot="1">
      <c r="A274" s="108"/>
      <c r="B274" s="341"/>
      <c r="C274" s="341"/>
      <c r="D274" s="119" t="str">
        <f>'CHICLETS MASTER S1'!$AI$72</f>
        <v>PORTOLA HS 1</v>
      </c>
      <c r="E274" s="341"/>
      <c r="F274" s="109"/>
      <c r="G274" s="109"/>
      <c r="H274" s="109"/>
      <c r="I274" s="109"/>
      <c r="J274" s="109"/>
      <c r="K274" s="109"/>
      <c r="L274" s="109"/>
      <c r="M274" s="109"/>
      <c r="N274" s="109"/>
      <c r="O274" s="109"/>
      <c r="P274" s="109"/>
      <c r="Q274" s="109"/>
      <c r="R274" s="109"/>
      <c r="S274" s="109"/>
      <c r="T274" s="109"/>
      <c r="U274" s="109"/>
      <c r="V274" s="109"/>
      <c r="W274" s="109"/>
      <c r="X274" s="109"/>
      <c r="Y274" s="109"/>
      <c r="Z274" s="109"/>
    </row>
    <row r="275" spans="1:26" ht="12" customHeight="1">
      <c r="A275" s="280" t="s">
        <v>110</v>
      </c>
      <c r="B275" s="281" t="s">
        <v>111</v>
      </c>
      <c r="C275" s="280" t="s">
        <v>112</v>
      </c>
      <c r="D275" s="280" t="s">
        <v>113</v>
      </c>
      <c r="E275" s="280" t="s">
        <v>114</v>
      </c>
      <c r="F275" s="280" t="s">
        <v>115</v>
      </c>
      <c r="G275" s="280" t="s">
        <v>116</v>
      </c>
      <c r="H275" s="280" t="s">
        <v>117</v>
      </c>
      <c r="I275" s="280" t="s">
        <v>116</v>
      </c>
      <c r="J275" s="280" t="s">
        <v>118</v>
      </c>
      <c r="K275" s="280" t="s">
        <v>119</v>
      </c>
      <c r="L275" s="280" t="s">
        <v>120</v>
      </c>
      <c r="M275" s="109"/>
      <c r="N275" s="109"/>
      <c r="O275" s="109"/>
      <c r="P275" s="109"/>
      <c r="Q275" s="109"/>
      <c r="R275" s="109"/>
      <c r="S275" s="109"/>
      <c r="T275" s="109"/>
      <c r="U275" s="109"/>
      <c r="V275" s="109"/>
      <c r="W275" s="109"/>
      <c r="X275" s="109"/>
      <c r="Y275" s="109"/>
      <c r="Z275" s="109"/>
    </row>
    <row r="276" spans="1:26" ht="12" customHeight="1">
      <c r="A276" s="135">
        <f t="shared" si="77"/>
        <v>46224</v>
      </c>
      <c r="B276" s="136">
        <f>'CHICLETS MASTER S1'!Z73</f>
        <v>0.29166666666666669</v>
      </c>
      <c r="C276" s="136" t="s">
        <v>411</v>
      </c>
      <c r="D276" s="137" t="str">
        <f t="shared" ref="D276:D281" si="83">$D$274</f>
        <v>PORTOLA HS 1</v>
      </c>
      <c r="E276" s="137">
        <v>170</v>
      </c>
      <c r="F276" s="136" t="s">
        <v>920</v>
      </c>
      <c r="G276" s="136"/>
      <c r="H276" s="136" t="s">
        <v>921</v>
      </c>
      <c r="I276" s="136"/>
      <c r="J276" s="137" t="s">
        <v>1703</v>
      </c>
      <c r="K276" s="137" t="s">
        <v>1704</v>
      </c>
      <c r="L276" s="136" t="str">
        <f t="shared" ref="L276:L281" si="84">IF(E276="","",$L$17&amp;"-"&amp;TEXT(E276,"000"))</f>
        <v>16GX-170</v>
      </c>
      <c r="M276" s="109"/>
      <c r="N276" s="109" t="str">
        <f t="shared" ref="N276:N281" si="85">$L$112&amp;C276</f>
        <v>ag_17th</v>
      </c>
      <c r="O276" s="109"/>
      <c r="P276" s="109"/>
      <c r="Q276" s="109"/>
      <c r="R276" s="109"/>
      <c r="S276" s="109"/>
      <c r="T276" s="109"/>
      <c r="U276" s="109"/>
      <c r="V276" s="109"/>
      <c r="W276" s="109"/>
      <c r="X276" s="109"/>
      <c r="Y276" s="109"/>
      <c r="Z276" s="109"/>
    </row>
    <row r="277" spans="1:26" ht="12" customHeight="1">
      <c r="A277" s="135">
        <f t="shared" si="77"/>
        <v>46224</v>
      </c>
      <c r="B277" s="136">
        <f>'CHICLETS MASTER S1'!Z74</f>
        <v>0.33333333333333298</v>
      </c>
      <c r="C277" s="136" t="s">
        <v>407</v>
      </c>
      <c r="D277" s="137" t="str">
        <f t="shared" si="83"/>
        <v>PORTOLA HS 1</v>
      </c>
      <c r="E277" s="137">
        <v>177</v>
      </c>
      <c r="F277" s="136" t="s">
        <v>908</v>
      </c>
      <c r="G277" s="136"/>
      <c r="H277" s="136" t="s">
        <v>909</v>
      </c>
      <c r="I277" s="136"/>
      <c r="J277" s="137" t="s">
        <v>1705</v>
      </c>
      <c r="K277" s="137" t="s">
        <v>1706</v>
      </c>
      <c r="L277" s="136" t="str">
        <f t="shared" si="84"/>
        <v>16GX-177</v>
      </c>
      <c r="M277" s="109"/>
      <c r="N277" s="109" t="str">
        <f t="shared" si="85"/>
        <v>ag_15th</v>
      </c>
      <c r="O277" s="109"/>
      <c r="P277" s="109"/>
      <c r="Q277" s="109"/>
      <c r="R277" s="109"/>
      <c r="S277" s="109"/>
      <c r="T277" s="109"/>
      <c r="U277" s="109"/>
      <c r="V277" s="109"/>
      <c r="W277" s="109"/>
      <c r="X277" s="109"/>
      <c r="Y277" s="109"/>
      <c r="Z277" s="109"/>
    </row>
    <row r="278" spans="1:26" ht="12" customHeight="1">
      <c r="A278" s="135">
        <f t="shared" si="77"/>
        <v>46224</v>
      </c>
      <c r="B278" s="136">
        <f>'CHICLETS MASTER S1'!Z75</f>
        <v>0.375</v>
      </c>
      <c r="C278" s="136" t="s">
        <v>206</v>
      </c>
      <c r="D278" s="137" t="str">
        <f t="shared" si="83"/>
        <v>PORTOLA HS 1</v>
      </c>
      <c r="E278" s="137">
        <v>186</v>
      </c>
      <c r="F278" s="136" t="s">
        <v>928</v>
      </c>
      <c r="G278" s="136"/>
      <c r="H278" s="136" t="s">
        <v>929</v>
      </c>
      <c r="I278" s="136"/>
      <c r="J278" s="137" t="s">
        <v>1707</v>
      </c>
      <c r="K278" s="137" t="s">
        <v>1708</v>
      </c>
      <c r="L278" s="136" t="str">
        <f t="shared" si="84"/>
        <v>16GX-186</v>
      </c>
      <c r="M278" s="109"/>
      <c r="N278" s="109" t="str">
        <f t="shared" si="85"/>
        <v>ag_5th</v>
      </c>
      <c r="O278" s="109"/>
      <c r="P278" s="109"/>
      <c r="Q278" s="109"/>
      <c r="R278" s="109"/>
      <c r="S278" s="109"/>
      <c r="T278" s="109"/>
      <c r="U278" s="109"/>
      <c r="V278" s="109"/>
      <c r="W278" s="109"/>
      <c r="X278" s="109"/>
      <c r="Y278" s="109"/>
      <c r="Z278" s="109"/>
    </row>
    <row r="279" spans="1:26" ht="12" customHeight="1">
      <c r="A279" s="135">
        <f t="shared" si="77"/>
        <v>46224</v>
      </c>
      <c r="B279" s="136">
        <f>'CHICLETS MASTER S1'!Z76</f>
        <v>0.41666666666666702</v>
      </c>
      <c r="C279" s="136" t="s">
        <v>220</v>
      </c>
      <c r="D279" s="137" t="str">
        <f t="shared" si="83"/>
        <v>PORTOLA HS 1</v>
      </c>
      <c r="E279" s="137">
        <v>185</v>
      </c>
      <c r="F279" s="136" t="s">
        <v>932</v>
      </c>
      <c r="G279" s="136"/>
      <c r="H279" s="136" t="s">
        <v>933</v>
      </c>
      <c r="I279" s="136"/>
      <c r="J279" s="137" t="s">
        <v>1709</v>
      </c>
      <c r="K279" s="137" t="s">
        <v>1710</v>
      </c>
      <c r="L279" s="136" t="str">
        <f t="shared" si="84"/>
        <v>16GX-185</v>
      </c>
      <c r="M279" s="109"/>
      <c r="N279" s="109" t="str">
        <f t="shared" si="85"/>
        <v>ag_7th</v>
      </c>
      <c r="O279" s="109"/>
      <c r="P279" s="109"/>
      <c r="Q279" s="109"/>
      <c r="R279" s="109"/>
      <c r="S279" s="109"/>
      <c r="T279" s="109"/>
      <c r="U279" s="109"/>
      <c r="V279" s="109"/>
      <c r="W279" s="109"/>
      <c r="X279" s="109"/>
      <c r="Y279" s="109"/>
      <c r="Z279" s="109"/>
    </row>
    <row r="280" spans="1:26" ht="12" customHeight="1">
      <c r="A280" s="135">
        <f t="shared" si="77"/>
        <v>46224</v>
      </c>
      <c r="B280" s="136">
        <f>'CHICLETS MASTER S1'!Z77</f>
        <v>0.45833333333333298</v>
      </c>
      <c r="C280" s="136" t="s">
        <v>222</v>
      </c>
      <c r="D280" s="137" t="str">
        <f t="shared" si="83"/>
        <v>PORTOLA HS 1</v>
      </c>
      <c r="E280" s="137">
        <v>182</v>
      </c>
      <c r="F280" s="136" t="s">
        <v>936</v>
      </c>
      <c r="G280" s="136"/>
      <c r="H280" s="136" t="s">
        <v>937</v>
      </c>
      <c r="I280" s="136"/>
      <c r="J280" s="137" t="s">
        <v>1711</v>
      </c>
      <c r="K280" s="137" t="s">
        <v>1712</v>
      </c>
      <c r="L280" s="136" t="str">
        <f t="shared" si="84"/>
        <v>16GX-182</v>
      </c>
      <c r="M280" s="109"/>
      <c r="N280" s="109" t="str">
        <f t="shared" si="85"/>
        <v>ag_9th</v>
      </c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</row>
    <row r="281" spans="1:26" ht="12" customHeight="1">
      <c r="A281" s="135">
        <f t="shared" si="77"/>
        <v>46224</v>
      </c>
      <c r="B281" s="136">
        <f>'CHICLETS MASTER S1'!Z78</f>
        <v>0.5</v>
      </c>
      <c r="C281" s="136" t="s">
        <v>413</v>
      </c>
      <c r="D281" s="137" t="str">
        <f t="shared" si="83"/>
        <v>PORTOLA HS 1</v>
      </c>
      <c r="E281" s="137">
        <v>178</v>
      </c>
      <c r="F281" s="136" t="s">
        <v>904</v>
      </c>
      <c r="G281" s="136"/>
      <c r="H281" s="136" t="s">
        <v>905</v>
      </c>
      <c r="I281" s="136"/>
      <c r="J281" s="137" t="s">
        <v>1713</v>
      </c>
      <c r="K281" s="137" t="s">
        <v>1714</v>
      </c>
      <c r="L281" s="136" t="str">
        <f t="shared" si="84"/>
        <v>16GX-178</v>
      </c>
      <c r="M281" s="109"/>
      <c r="N281" s="109" t="str">
        <f t="shared" si="85"/>
        <v>ag_13th</v>
      </c>
      <c r="O281" s="109"/>
      <c r="P281" s="109"/>
      <c r="Q281" s="109"/>
      <c r="R281" s="109"/>
      <c r="S281" s="109"/>
      <c r="T281" s="109"/>
      <c r="U281" s="109"/>
      <c r="V281" s="109"/>
      <c r="W281" s="109"/>
      <c r="X281" s="109"/>
      <c r="Y281" s="109"/>
      <c r="Z281" s="109"/>
    </row>
    <row r="282" spans="1:26" ht="12" customHeight="1" thickBot="1">
      <c r="A282" s="109"/>
      <c r="B282" s="109"/>
      <c r="C282" s="109"/>
      <c r="D282" s="109"/>
      <c r="E282" s="109"/>
      <c r="F282" s="109"/>
      <c r="G282" s="109"/>
      <c r="H282" s="109"/>
      <c r="I282" s="109"/>
      <c r="J282" s="109"/>
      <c r="K282" s="109"/>
      <c r="L282" s="109"/>
      <c r="M282" s="109"/>
      <c r="N282" s="109"/>
      <c r="O282" s="109"/>
      <c r="P282" s="109"/>
      <c r="Q282" s="109"/>
      <c r="R282" s="109"/>
      <c r="S282" s="109"/>
      <c r="T282" s="109"/>
      <c r="U282" s="109"/>
      <c r="V282" s="109"/>
      <c r="W282" s="109"/>
      <c r="X282" s="109"/>
      <c r="Y282" s="109"/>
      <c r="Z282" s="109"/>
    </row>
    <row r="283" spans="1:26" ht="12" customHeight="1" thickBot="1">
      <c r="A283" s="108"/>
      <c r="B283" s="341"/>
      <c r="C283" s="341"/>
      <c r="D283" s="119" t="str">
        <f>'CHICLETS MASTER S1'!$AH$72</f>
        <v>CAPISTRANO VALLEY HS 1</v>
      </c>
      <c r="E283" s="341"/>
      <c r="F283" s="109"/>
      <c r="G283" s="109"/>
      <c r="H283" s="109"/>
      <c r="I283" s="109"/>
      <c r="J283" s="109"/>
      <c r="K283" s="109"/>
      <c r="L283" s="109"/>
      <c r="M283" s="109"/>
      <c r="N283" s="109"/>
      <c r="O283" s="109"/>
      <c r="P283" s="109"/>
      <c r="Q283" s="109"/>
      <c r="R283" s="109"/>
      <c r="S283" s="109"/>
      <c r="T283" s="109"/>
      <c r="U283" s="109"/>
      <c r="V283" s="109"/>
      <c r="W283" s="109"/>
      <c r="X283" s="109"/>
      <c r="Y283" s="109"/>
      <c r="Z283" s="109"/>
    </row>
    <row r="284" spans="1:26" ht="12" customHeight="1">
      <c r="A284" s="280" t="s">
        <v>110</v>
      </c>
      <c r="B284" s="281" t="s">
        <v>111</v>
      </c>
      <c r="C284" s="280" t="s">
        <v>112</v>
      </c>
      <c r="D284" s="280" t="s">
        <v>113</v>
      </c>
      <c r="E284" s="280" t="s">
        <v>114</v>
      </c>
      <c r="F284" s="280" t="s">
        <v>115</v>
      </c>
      <c r="G284" s="280" t="s">
        <v>116</v>
      </c>
      <c r="H284" s="280" t="s">
        <v>117</v>
      </c>
      <c r="I284" s="280" t="s">
        <v>116</v>
      </c>
      <c r="J284" s="280" t="s">
        <v>118</v>
      </c>
      <c r="K284" s="280" t="s">
        <v>119</v>
      </c>
      <c r="L284" s="280" t="s">
        <v>120</v>
      </c>
      <c r="M284" s="109"/>
      <c r="N284" s="109"/>
      <c r="O284" s="109"/>
      <c r="P284" s="109"/>
      <c r="Q284" s="109"/>
      <c r="R284" s="109"/>
      <c r="S284" s="109"/>
      <c r="T284" s="109"/>
      <c r="U284" s="109"/>
      <c r="V284" s="109"/>
      <c r="W284" s="109"/>
      <c r="X284" s="109"/>
      <c r="Y284" s="109"/>
      <c r="Z284" s="109"/>
    </row>
    <row r="285" spans="1:26" ht="12" customHeight="1">
      <c r="A285" s="135">
        <f t="shared" si="73"/>
        <v>46224</v>
      </c>
      <c r="B285" s="136">
        <f>'CHICLETS MASTER S1'!Z73</f>
        <v>0.29166666666666669</v>
      </c>
      <c r="C285" s="136" t="s">
        <v>409</v>
      </c>
      <c r="D285" s="137" t="str">
        <f t="shared" ref="D285:D287" si="86">$D$283</f>
        <v>CAPISTRANO VALLEY HS 1</v>
      </c>
      <c r="E285" s="137">
        <v>169</v>
      </c>
      <c r="F285" s="136" t="s">
        <v>912</v>
      </c>
      <c r="G285" s="136"/>
      <c r="H285" s="136" t="s">
        <v>913</v>
      </c>
      <c r="I285" s="136"/>
      <c r="J285" s="137" t="s">
        <v>1715</v>
      </c>
      <c r="K285" s="137" t="s">
        <v>1716</v>
      </c>
      <c r="L285" s="136" t="str">
        <f t="shared" ref="L285:L290" si="87">IF(E285="","",$L$17&amp;"-"&amp;TEXT(E285,"000"))</f>
        <v>16GX-169</v>
      </c>
      <c r="M285" s="109"/>
      <c r="N285" s="109" t="str">
        <f>$L$112&amp;C285</f>
        <v>ag_19th</v>
      </c>
      <c r="O285" s="109"/>
      <c r="P285" s="109"/>
      <c r="Q285" s="109"/>
      <c r="R285" s="109"/>
      <c r="S285" s="109"/>
      <c r="T285" s="109"/>
      <c r="U285" s="109"/>
      <c r="V285" s="109"/>
      <c r="W285" s="109"/>
      <c r="X285" s="109"/>
      <c r="Y285" s="109"/>
      <c r="Z285" s="109"/>
    </row>
    <row r="286" spans="1:26" ht="12" customHeight="1">
      <c r="A286" s="284">
        <f t="shared" si="73"/>
        <v>46224</v>
      </c>
      <c r="B286" s="285">
        <f>'CHICLETS MASTER S1'!Z74</f>
        <v>0.33333333333333298</v>
      </c>
      <c r="C286" s="285" t="s">
        <v>407</v>
      </c>
      <c r="D286" s="286" t="str">
        <f t="shared" si="86"/>
        <v>CAPISTRANO VALLEY HS 1</v>
      </c>
      <c r="E286" s="286">
        <v>180</v>
      </c>
      <c r="F286" s="285" t="s">
        <v>1717</v>
      </c>
      <c r="G286" s="286"/>
      <c r="H286" s="285" t="s">
        <v>1718</v>
      </c>
      <c r="I286" s="286"/>
      <c r="J286" s="286" t="s">
        <v>1719</v>
      </c>
      <c r="K286" s="286" t="s">
        <v>1720</v>
      </c>
      <c r="L286" s="285" t="str">
        <f t="shared" si="87"/>
        <v>16GX-180</v>
      </c>
      <c r="M286" s="109"/>
      <c r="N286" s="109" t="str">
        <f>$L$113&amp;C286</f>
        <v>bz_15th</v>
      </c>
      <c r="O286" s="109"/>
      <c r="P286" s="109"/>
      <c r="Q286" s="109"/>
      <c r="R286" s="109"/>
      <c r="S286" s="109"/>
      <c r="T286" s="109"/>
      <c r="U286" s="109"/>
      <c r="V286" s="109"/>
      <c r="W286" s="109"/>
      <c r="X286" s="109"/>
      <c r="Y286" s="109"/>
      <c r="Z286" s="109"/>
    </row>
    <row r="287" spans="1:26" ht="12" customHeight="1">
      <c r="A287" s="135">
        <f t="shared" si="73"/>
        <v>46224</v>
      </c>
      <c r="B287" s="136">
        <f>'CHICLETS MASTER S1'!Z75</f>
        <v>0.375</v>
      </c>
      <c r="C287" s="136" t="s">
        <v>218</v>
      </c>
      <c r="D287" s="137" t="str">
        <f t="shared" si="86"/>
        <v>CAPISTRANO VALLEY HS 1</v>
      </c>
      <c r="E287" s="137">
        <v>181</v>
      </c>
      <c r="F287" s="136" t="s">
        <v>900</v>
      </c>
      <c r="G287" s="136"/>
      <c r="H287" s="136" t="s">
        <v>901</v>
      </c>
      <c r="I287" s="136"/>
      <c r="J287" s="137" t="s">
        <v>1721</v>
      </c>
      <c r="K287" s="137" t="s">
        <v>1722</v>
      </c>
      <c r="L287" s="136" t="str">
        <f t="shared" si="87"/>
        <v>16GX-181</v>
      </c>
      <c r="M287" s="109"/>
      <c r="N287" s="109" t="str">
        <f>$L$112&amp;C287</f>
        <v>ag_11th</v>
      </c>
      <c r="O287" s="109"/>
      <c r="P287" s="109"/>
      <c r="Q287" s="109"/>
      <c r="R287" s="109"/>
      <c r="S287" s="109"/>
      <c r="T287" s="109"/>
      <c r="U287" s="109"/>
      <c r="V287" s="109"/>
      <c r="W287" s="109"/>
      <c r="X287" s="109"/>
      <c r="Y287" s="109"/>
      <c r="Z287" s="109"/>
    </row>
    <row r="288" spans="1:26" ht="12" customHeight="1">
      <c r="A288" s="284">
        <f t="shared" si="79"/>
        <v>46224</v>
      </c>
      <c r="B288" s="285">
        <f>'CHICLETS MASTER S1'!Z76</f>
        <v>0.41666666666666702</v>
      </c>
      <c r="C288" s="285" t="s">
        <v>222</v>
      </c>
      <c r="D288" s="286" t="str">
        <f>$D$283</f>
        <v>CAPISTRANO VALLEY HS 1</v>
      </c>
      <c r="E288" s="286">
        <v>183</v>
      </c>
      <c r="F288" s="285" t="s">
        <v>896</v>
      </c>
      <c r="G288" s="286"/>
      <c r="H288" s="285" t="s">
        <v>897</v>
      </c>
      <c r="I288" s="286"/>
      <c r="J288" s="286" t="s">
        <v>1723</v>
      </c>
      <c r="K288" s="286" t="s">
        <v>1724</v>
      </c>
      <c r="L288" s="285" t="str">
        <f t="shared" si="87"/>
        <v>16GX-183</v>
      </c>
      <c r="M288" s="109"/>
      <c r="N288" s="109" t="str">
        <f>$L$113&amp;C288</f>
        <v>bz_9th</v>
      </c>
      <c r="O288" s="109"/>
      <c r="P288" s="109"/>
      <c r="Q288" s="109"/>
      <c r="R288" s="109"/>
      <c r="S288" s="109"/>
      <c r="T288" s="109"/>
      <c r="U288" s="109"/>
      <c r="V288" s="109"/>
      <c r="W288" s="109"/>
      <c r="X288" s="109"/>
      <c r="Y288" s="109"/>
      <c r="Z288" s="109"/>
    </row>
    <row r="289" spans="1:26" ht="12" customHeight="1">
      <c r="A289" s="284">
        <f t="shared" si="73"/>
        <v>46224</v>
      </c>
      <c r="B289" s="285">
        <f>'CHICLETS MASTER S1'!Z77</f>
        <v>0.45833333333333298</v>
      </c>
      <c r="C289" s="285" t="s">
        <v>220</v>
      </c>
      <c r="D289" s="286" t="str">
        <f t="shared" ref="D289:D290" si="88">$D$283</f>
        <v>CAPISTRANO VALLEY HS 1</v>
      </c>
      <c r="E289" s="286">
        <v>188</v>
      </c>
      <c r="F289" s="285" t="s">
        <v>872</v>
      </c>
      <c r="G289" s="286"/>
      <c r="H289" s="285" t="s">
        <v>873</v>
      </c>
      <c r="I289" s="286"/>
      <c r="J289" s="286" t="s">
        <v>1725</v>
      </c>
      <c r="K289" s="286" t="s">
        <v>1726</v>
      </c>
      <c r="L289" s="285" t="str">
        <f t="shared" si="87"/>
        <v>16GX-188</v>
      </c>
      <c r="M289" s="109"/>
      <c r="N289" s="109" t="str">
        <f t="shared" ref="N289" si="89">$L$113&amp;C289</f>
        <v>bz_7th</v>
      </c>
      <c r="O289" s="109"/>
      <c r="P289" s="109"/>
      <c r="Q289" s="109"/>
      <c r="R289" s="109"/>
      <c r="S289" s="109"/>
      <c r="T289" s="109"/>
      <c r="U289" s="109"/>
      <c r="V289" s="109"/>
      <c r="W289" s="109"/>
      <c r="X289" s="109"/>
      <c r="Y289" s="109"/>
      <c r="Z289" s="109"/>
    </row>
    <row r="290" spans="1:26" ht="12" customHeight="1">
      <c r="A290" s="284">
        <f t="shared" si="79"/>
        <v>46224</v>
      </c>
      <c r="B290" s="285">
        <f>'CHICLETS MASTER S1'!Z78</f>
        <v>0.5</v>
      </c>
      <c r="C290" s="285" t="s">
        <v>206</v>
      </c>
      <c r="D290" s="286" t="str">
        <f t="shared" si="88"/>
        <v>CAPISTRANO VALLEY HS 1</v>
      </c>
      <c r="E290" s="286">
        <v>187</v>
      </c>
      <c r="F290" s="285" t="s">
        <v>869</v>
      </c>
      <c r="G290" s="286"/>
      <c r="H290" s="285" t="s">
        <v>870</v>
      </c>
      <c r="I290" s="286"/>
      <c r="J290" s="286" t="s">
        <v>1727</v>
      </c>
      <c r="K290" s="286" t="s">
        <v>1727</v>
      </c>
      <c r="L290" s="285" t="str">
        <f t="shared" si="87"/>
        <v>16GX-187</v>
      </c>
      <c r="M290" s="109"/>
      <c r="N290" s="109" t="str">
        <f>$L$113&amp;C290</f>
        <v>bz_5th</v>
      </c>
      <c r="O290" s="109"/>
      <c r="P290" s="109"/>
      <c r="Q290" s="109"/>
      <c r="R290" s="109"/>
      <c r="S290" s="109"/>
      <c r="T290" s="109"/>
      <c r="U290" s="109"/>
      <c r="V290" s="109"/>
      <c r="W290" s="109"/>
      <c r="X290" s="109"/>
      <c r="Y290" s="109"/>
      <c r="Z290" s="109"/>
    </row>
    <row r="291" spans="1:26" ht="11.25" customHeight="1">
      <c r="A291" s="109"/>
      <c r="B291" s="109"/>
      <c r="C291" s="109"/>
      <c r="D291" s="109"/>
      <c r="E291" s="109"/>
      <c r="F291" s="109"/>
      <c r="G291" s="109"/>
      <c r="H291" s="109"/>
      <c r="I291" s="109"/>
      <c r="J291" s="109"/>
      <c r="K291" s="109"/>
      <c r="L291" s="109"/>
      <c r="M291" s="109"/>
      <c r="N291" s="109"/>
      <c r="O291" s="109"/>
      <c r="P291" s="109"/>
      <c r="Q291" s="109"/>
      <c r="R291" s="109"/>
      <c r="S291" s="109"/>
      <c r="T291" s="109"/>
      <c r="U291" s="109"/>
      <c r="V291" s="109"/>
      <c r="W291" s="109"/>
      <c r="X291" s="109"/>
      <c r="Y291" s="109"/>
      <c r="Z291" s="109"/>
    </row>
    <row r="292" spans="1:26" ht="11.25" customHeight="1">
      <c r="A292" s="109"/>
      <c r="B292" s="109"/>
      <c r="C292" s="109"/>
      <c r="D292" s="109"/>
      <c r="E292" s="109"/>
      <c r="F292" s="109"/>
      <c r="G292" s="109"/>
      <c r="H292" s="109"/>
      <c r="I292" s="109"/>
      <c r="J292" s="109"/>
      <c r="K292" s="109"/>
      <c r="L292" s="109"/>
      <c r="M292" s="109"/>
      <c r="N292" s="109"/>
      <c r="O292" s="109"/>
      <c r="P292" s="109"/>
      <c r="Q292" s="109"/>
      <c r="R292" s="109"/>
      <c r="S292" s="109"/>
      <c r="T292" s="109"/>
      <c r="U292" s="109"/>
      <c r="V292" s="109"/>
      <c r="W292" s="109"/>
      <c r="X292" s="109"/>
      <c r="Y292" s="109"/>
      <c r="Z292" s="109"/>
    </row>
    <row r="293" spans="1:26" ht="11.25" customHeight="1">
      <c r="A293" s="109"/>
      <c r="B293" s="109"/>
      <c r="C293" s="109"/>
      <c r="D293" s="109"/>
      <c r="E293" s="109"/>
      <c r="F293" s="109"/>
      <c r="G293" s="109"/>
      <c r="H293" s="109"/>
      <c r="I293" s="109"/>
      <c r="J293" s="109"/>
      <c r="K293" s="109"/>
      <c r="L293" s="109"/>
      <c r="M293" s="109"/>
      <c r="N293" s="109"/>
      <c r="O293" s="109"/>
      <c r="P293" s="109"/>
      <c r="Q293" s="109"/>
      <c r="R293" s="109"/>
      <c r="S293" s="109"/>
      <c r="T293" s="109"/>
      <c r="U293" s="109"/>
      <c r="V293" s="109"/>
      <c r="W293" s="109"/>
      <c r="X293" s="109"/>
      <c r="Y293" s="109"/>
      <c r="Z293" s="109"/>
    </row>
    <row r="294" spans="1:26" ht="11.25" customHeight="1">
      <c r="A294" s="109"/>
      <c r="B294" s="109"/>
      <c r="C294" s="109"/>
      <c r="D294" s="109"/>
      <c r="E294" s="109"/>
      <c r="F294" s="109"/>
      <c r="G294" s="109"/>
      <c r="H294" s="109"/>
      <c r="I294" s="109"/>
      <c r="J294" s="109"/>
      <c r="K294" s="109"/>
      <c r="L294" s="109"/>
      <c r="M294" s="109"/>
      <c r="N294" s="109"/>
      <c r="O294" s="109"/>
      <c r="P294" s="109"/>
      <c r="Q294" s="109"/>
      <c r="R294" s="109"/>
      <c r="S294" s="109"/>
      <c r="T294" s="109"/>
      <c r="U294" s="109"/>
      <c r="V294" s="109"/>
      <c r="W294" s="109"/>
      <c r="X294" s="109"/>
      <c r="Y294" s="109"/>
      <c r="Z294" s="109"/>
    </row>
    <row r="295" spans="1:26" ht="11.25" customHeight="1">
      <c r="A295" s="109"/>
      <c r="B295" s="109"/>
      <c r="C295" s="109"/>
      <c r="D295" s="109"/>
      <c r="E295" s="109"/>
      <c r="F295" s="109"/>
      <c r="G295" s="109"/>
      <c r="H295" s="109"/>
      <c r="I295" s="109"/>
      <c r="J295" s="109"/>
      <c r="K295" s="109"/>
      <c r="L295" s="109"/>
      <c r="M295" s="109"/>
      <c r="N295" s="109"/>
      <c r="O295" s="109"/>
      <c r="P295" s="109"/>
      <c r="Q295" s="109"/>
      <c r="R295" s="109"/>
      <c r="S295" s="109"/>
      <c r="T295" s="109"/>
      <c r="U295" s="109"/>
      <c r="V295" s="109"/>
      <c r="W295" s="109"/>
      <c r="X295" s="109"/>
      <c r="Y295" s="109"/>
      <c r="Z295" s="109"/>
    </row>
    <row r="296" spans="1:26" ht="11.25" customHeight="1">
      <c r="A296" s="109"/>
      <c r="B296" s="109"/>
      <c r="C296" s="109"/>
      <c r="D296" s="109"/>
      <c r="E296" s="109"/>
      <c r="F296" s="109"/>
      <c r="G296" s="109"/>
      <c r="H296" s="109"/>
      <c r="I296" s="109"/>
      <c r="J296" s="109"/>
      <c r="K296" s="109"/>
      <c r="L296" s="109"/>
      <c r="M296" s="109"/>
      <c r="N296" s="109"/>
      <c r="O296" s="109"/>
      <c r="P296" s="109"/>
      <c r="Q296" s="109"/>
      <c r="R296" s="109"/>
      <c r="S296" s="109"/>
      <c r="T296" s="109"/>
      <c r="U296" s="109"/>
      <c r="V296" s="109"/>
      <c r="W296" s="109"/>
      <c r="X296" s="109"/>
      <c r="Y296" s="109"/>
      <c r="Z296" s="109"/>
    </row>
    <row r="297" spans="1:26" ht="11.25" customHeight="1">
      <c r="A297" s="109"/>
      <c r="B297" s="109"/>
      <c r="C297" s="109"/>
      <c r="D297" s="109"/>
      <c r="E297" s="109"/>
      <c r="F297" s="109"/>
      <c r="G297" s="109"/>
      <c r="H297" s="109"/>
      <c r="I297" s="109"/>
      <c r="J297" s="109"/>
      <c r="K297" s="109"/>
      <c r="L297" s="109"/>
      <c r="M297" s="109"/>
      <c r="N297" s="109"/>
      <c r="O297" s="109"/>
      <c r="P297" s="109"/>
      <c r="Q297" s="109"/>
      <c r="R297" s="109"/>
      <c r="S297" s="109"/>
      <c r="T297" s="109"/>
      <c r="U297" s="109"/>
      <c r="V297" s="109"/>
      <c r="W297" s="109"/>
      <c r="X297" s="109"/>
      <c r="Y297" s="109"/>
      <c r="Z297" s="109"/>
    </row>
    <row r="298" spans="1:26" ht="11.25" customHeight="1">
      <c r="A298" s="109"/>
      <c r="B298" s="109"/>
      <c r="C298" s="109"/>
      <c r="D298" s="109"/>
      <c r="E298" s="109"/>
      <c r="F298" s="109"/>
      <c r="G298" s="109"/>
      <c r="H298" s="109"/>
      <c r="I298" s="109"/>
      <c r="J298" s="109"/>
      <c r="K298" s="109"/>
      <c r="L298" s="109"/>
      <c r="M298" s="109"/>
      <c r="N298" s="109"/>
      <c r="O298" s="109"/>
      <c r="P298" s="109"/>
      <c r="Q298" s="109"/>
      <c r="R298" s="109"/>
      <c r="S298" s="109"/>
      <c r="T298" s="109"/>
      <c r="U298" s="109"/>
      <c r="V298" s="109"/>
      <c r="W298" s="109"/>
      <c r="X298" s="109"/>
      <c r="Y298" s="109"/>
      <c r="Z298" s="109"/>
    </row>
    <row r="299" spans="1:26" ht="11.25" customHeight="1">
      <c r="A299" s="109"/>
      <c r="B299" s="109"/>
      <c r="C299" s="109"/>
      <c r="D299" s="109"/>
      <c r="E299" s="109"/>
      <c r="F299" s="109"/>
      <c r="G299" s="109"/>
      <c r="H299" s="109"/>
      <c r="I299" s="109"/>
      <c r="J299" s="109"/>
      <c r="K299" s="109"/>
      <c r="L299" s="109"/>
      <c r="M299" s="109"/>
      <c r="N299" s="109"/>
      <c r="O299" s="109"/>
      <c r="P299" s="109"/>
      <c r="Q299" s="109"/>
      <c r="R299" s="109"/>
      <c r="S299" s="109"/>
      <c r="T299" s="109"/>
      <c r="U299" s="109"/>
      <c r="V299" s="109"/>
      <c r="W299" s="109"/>
      <c r="X299" s="109"/>
      <c r="Y299" s="109"/>
      <c r="Z299" s="109"/>
    </row>
    <row r="300" spans="1:26" ht="11.25" customHeight="1">
      <c r="A300" s="109"/>
      <c r="B300" s="109"/>
      <c r="C300" s="109"/>
      <c r="D300" s="109"/>
      <c r="E300" s="109"/>
      <c r="F300" s="109"/>
      <c r="G300" s="109"/>
      <c r="H300" s="109"/>
      <c r="I300" s="109"/>
      <c r="J300" s="109"/>
      <c r="K300" s="109"/>
      <c r="L300" s="109"/>
      <c r="M300" s="109"/>
      <c r="N300" s="109"/>
      <c r="O300" s="109"/>
      <c r="P300" s="109"/>
      <c r="Q300" s="109"/>
      <c r="R300" s="109"/>
      <c r="S300" s="109"/>
      <c r="T300" s="109"/>
      <c r="U300" s="109"/>
      <c r="V300" s="109"/>
      <c r="W300" s="109"/>
      <c r="X300" s="109"/>
      <c r="Y300" s="109"/>
      <c r="Z300" s="109"/>
    </row>
    <row r="301" spans="1:26" ht="11.25" customHeight="1">
      <c r="A301" s="109"/>
      <c r="B301" s="109"/>
      <c r="C301" s="109"/>
      <c r="D301" s="109"/>
      <c r="E301" s="109"/>
      <c r="F301" s="109"/>
      <c r="G301" s="109"/>
      <c r="H301" s="109"/>
      <c r="I301" s="109"/>
      <c r="J301" s="109"/>
      <c r="K301" s="109"/>
      <c r="L301" s="109"/>
      <c r="M301" s="109"/>
      <c r="N301" s="109"/>
      <c r="O301" s="109"/>
      <c r="P301" s="109"/>
      <c r="Q301" s="109"/>
      <c r="R301" s="109"/>
      <c r="S301" s="109"/>
      <c r="T301" s="109"/>
      <c r="U301" s="109"/>
      <c r="V301" s="109"/>
      <c r="W301" s="109"/>
      <c r="X301" s="109"/>
      <c r="Y301" s="109"/>
      <c r="Z301" s="109"/>
    </row>
    <row r="302" spans="1:26" ht="11.25" customHeight="1">
      <c r="A302" s="109"/>
      <c r="B302" s="109"/>
      <c r="C302" s="109"/>
      <c r="D302" s="109"/>
      <c r="E302" s="109"/>
      <c r="F302" s="109"/>
      <c r="G302" s="109"/>
      <c r="H302" s="109"/>
      <c r="I302" s="109"/>
      <c r="J302" s="109"/>
      <c r="K302" s="109"/>
      <c r="L302" s="109"/>
      <c r="M302" s="109"/>
      <c r="N302" s="109"/>
      <c r="O302" s="109"/>
      <c r="P302" s="109"/>
      <c r="Q302" s="109"/>
      <c r="R302" s="109"/>
      <c r="S302" s="109"/>
      <c r="T302" s="109"/>
      <c r="U302" s="109"/>
      <c r="V302" s="109"/>
      <c r="W302" s="109"/>
      <c r="X302" s="109"/>
      <c r="Y302" s="109"/>
      <c r="Z302" s="109"/>
    </row>
    <row r="303" spans="1:26" ht="11.25" customHeight="1">
      <c r="A303" s="109"/>
      <c r="B303" s="109"/>
      <c r="C303" s="109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</row>
    <row r="304" spans="1:26" ht="11.25" customHeight="1">
      <c r="A304" s="109"/>
      <c r="B304" s="109"/>
      <c r="C304" s="109"/>
      <c r="D304" s="109"/>
      <c r="E304" s="109"/>
      <c r="F304" s="109"/>
      <c r="G304" s="109"/>
      <c r="H304" s="109"/>
      <c r="I304" s="109"/>
      <c r="J304" s="109"/>
      <c r="K304" s="109"/>
      <c r="L304" s="109"/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109"/>
      <c r="Y304" s="109"/>
      <c r="Z304" s="109"/>
    </row>
    <row r="305" spans="1:26" ht="11.25" customHeight="1">
      <c r="A305" s="109"/>
      <c r="B305" s="109"/>
      <c r="C305" s="109"/>
      <c r="D305" s="109"/>
      <c r="E305" s="109"/>
      <c r="F305" s="109"/>
      <c r="G305" s="109"/>
      <c r="H305" s="109"/>
      <c r="I305" s="109"/>
      <c r="J305" s="109"/>
      <c r="K305" s="109"/>
      <c r="L305" s="109"/>
      <c r="M305" s="109"/>
      <c r="N305" s="109"/>
      <c r="O305" s="109"/>
      <c r="P305" s="109"/>
      <c r="Q305" s="109"/>
      <c r="R305" s="109"/>
      <c r="S305" s="109"/>
      <c r="T305" s="109"/>
      <c r="U305" s="109"/>
      <c r="V305" s="109"/>
      <c r="W305" s="109"/>
      <c r="X305" s="109"/>
      <c r="Y305" s="109"/>
      <c r="Z305" s="109"/>
    </row>
    <row r="306" spans="1:26" ht="11.25" customHeight="1">
      <c r="A306" s="109"/>
      <c r="B306" s="109"/>
      <c r="C306" s="109"/>
      <c r="D306" s="109"/>
      <c r="E306" s="109"/>
      <c r="F306" s="109"/>
      <c r="G306" s="109"/>
      <c r="H306" s="109"/>
      <c r="I306" s="109"/>
      <c r="J306" s="109"/>
      <c r="K306" s="109"/>
      <c r="L306" s="109"/>
      <c r="M306" s="109"/>
      <c r="N306" s="109"/>
      <c r="O306" s="109"/>
      <c r="P306" s="109"/>
      <c r="Q306" s="109"/>
      <c r="R306" s="109"/>
      <c r="S306" s="109"/>
      <c r="T306" s="109"/>
      <c r="U306" s="109"/>
      <c r="V306" s="109"/>
      <c r="W306" s="109"/>
      <c r="X306" s="109"/>
      <c r="Y306" s="109"/>
      <c r="Z306" s="109"/>
    </row>
    <row r="307" spans="1:26" ht="11.25" customHeight="1">
      <c r="A307" s="109"/>
      <c r="B307" s="109"/>
      <c r="C307" s="109"/>
      <c r="D307" s="109"/>
      <c r="E307" s="109"/>
      <c r="F307" s="109"/>
      <c r="G307" s="109"/>
      <c r="H307" s="109"/>
      <c r="I307" s="109"/>
      <c r="J307" s="109"/>
      <c r="K307" s="109"/>
      <c r="L307" s="109"/>
      <c r="M307" s="109"/>
      <c r="N307" s="109"/>
      <c r="O307" s="109"/>
      <c r="P307" s="109"/>
      <c r="Q307" s="109"/>
      <c r="R307" s="109"/>
      <c r="S307" s="109"/>
      <c r="T307" s="109"/>
      <c r="U307" s="109"/>
      <c r="V307" s="109"/>
      <c r="W307" s="109"/>
      <c r="X307" s="109"/>
      <c r="Y307" s="109"/>
      <c r="Z307" s="109"/>
    </row>
    <row r="308" spans="1:26" ht="11.25" customHeight="1">
      <c r="A308" s="109"/>
      <c r="B308" s="109"/>
      <c r="C308" s="109"/>
      <c r="D308" s="109"/>
      <c r="E308" s="109"/>
      <c r="F308" s="109"/>
      <c r="G308" s="109"/>
      <c r="H308" s="109"/>
      <c r="I308" s="109"/>
      <c r="J308" s="109"/>
      <c r="K308" s="109"/>
      <c r="L308" s="109"/>
      <c r="M308" s="109"/>
      <c r="N308" s="109"/>
      <c r="O308" s="109"/>
      <c r="P308" s="109"/>
      <c r="Q308" s="109"/>
      <c r="R308" s="109"/>
      <c r="S308" s="109"/>
      <c r="T308" s="109"/>
      <c r="U308" s="109"/>
      <c r="V308" s="109"/>
      <c r="W308" s="109"/>
      <c r="X308" s="109"/>
      <c r="Y308" s="109"/>
      <c r="Z308" s="109"/>
    </row>
    <row r="309" spans="1:26" ht="11.25" customHeight="1">
      <c r="A309" s="109"/>
      <c r="B309" s="109"/>
      <c r="C309" s="109"/>
      <c r="D309" s="109"/>
      <c r="E309" s="109"/>
      <c r="F309" s="109"/>
      <c r="G309" s="109"/>
      <c r="H309" s="109"/>
      <c r="I309" s="109"/>
      <c r="J309" s="109"/>
      <c r="K309" s="109"/>
      <c r="L309" s="109"/>
      <c r="M309" s="109"/>
      <c r="N309" s="109"/>
      <c r="O309" s="109"/>
      <c r="P309" s="109"/>
      <c r="Q309" s="109"/>
      <c r="R309" s="109"/>
      <c r="S309" s="109"/>
      <c r="T309" s="109"/>
      <c r="U309" s="109"/>
      <c r="V309" s="109"/>
      <c r="W309" s="109"/>
      <c r="X309" s="109"/>
      <c r="Y309" s="109"/>
      <c r="Z309" s="109"/>
    </row>
    <row r="310" spans="1:26" ht="11.25" customHeight="1">
      <c r="A310" s="109"/>
      <c r="B310" s="109"/>
      <c r="C310" s="109"/>
      <c r="D310" s="109"/>
      <c r="E310" s="109"/>
      <c r="F310" s="109"/>
      <c r="G310" s="109"/>
      <c r="H310" s="109"/>
      <c r="I310" s="109"/>
      <c r="J310" s="109"/>
      <c r="K310" s="109"/>
      <c r="L310" s="109"/>
      <c r="M310" s="109"/>
      <c r="N310" s="109"/>
      <c r="O310" s="109"/>
      <c r="P310" s="109"/>
      <c r="Q310" s="109"/>
      <c r="R310" s="109"/>
      <c r="S310" s="109"/>
      <c r="T310" s="109"/>
      <c r="U310" s="109"/>
      <c r="V310" s="109"/>
      <c r="W310" s="109"/>
      <c r="X310" s="109"/>
      <c r="Y310" s="109"/>
      <c r="Z310" s="109"/>
    </row>
    <row r="311" spans="1:26" ht="11.25" customHeight="1">
      <c r="A311" s="109"/>
      <c r="B311" s="109"/>
      <c r="C311" s="109"/>
      <c r="D311" s="109"/>
      <c r="E311" s="109"/>
      <c r="F311" s="109"/>
      <c r="G311" s="109"/>
      <c r="H311" s="109"/>
      <c r="I311" s="109"/>
      <c r="J311" s="109"/>
      <c r="K311" s="109"/>
      <c r="L311" s="109"/>
      <c r="M311" s="109"/>
      <c r="N311" s="109"/>
      <c r="O311" s="109"/>
      <c r="P311" s="109"/>
      <c r="Q311" s="109"/>
      <c r="R311" s="109"/>
      <c r="S311" s="109"/>
      <c r="T311" s="109"/>
      <c r="U311" s="109"/>
      <c r="V311" s="109"/>
      <c r="W311" s="109"/>
      <c r="X311" s="109"/>
      <c r="Y311" s="109"/>
      <c r="Z311" s="109"/>
    </row>
    <row r="312" spans="1:26" ht="11.25" customHeight="1">
      <c r="A312" s="109"/>
      <c r="B312" s="109"/>
      <c r="C312" s="109"/>
      <c r="D312" s="109"/>
      <c r="E312" s="109"/>
      <c r="F312" s="109"/>
      <c r="G312" s="109"/>
      <c r="H312" s="109"/>
      <c r="I312" s="109"/>
      <c r="J312" s="109"/>
      <c r="K312" s="109"/>
      <c r="L312" s="109"/>
      <c r="M312" s="109"/>
      <c r="N312" s="109"/>
      <c r="O312" s="109"/>
      <c r="P312" s="109"/>
      <c r="Q312" s="109"/>
      <c r="R312" s="109"/>
      <c r="S312" s="109"/>
      <c r="T312" s="109"/>
      <c r="U312" s="109"/>
      <c r="V312" s="109"/>
      <c r="W312" s="109"/>
      <c r="X312" s="109"/>
      <c r="Y312" s="109"/>
      <c r="Z312" s="109"/>
    </row>
    <row r="313" spans="1:26" ht="11.25" customHeight="1">
      <c r="A313" s="109"/>
      <c r="B313" s="109"/>
      <c r="C313" s="109"/>
      <c r="D313" s="109"/>
      <c r="E313" s="109"/>
      <c r="F313" s="109"/>
      <c r="G313" s="109"/>
      <c r="H313" s="109"/>
      <c r="I313" s="109"/>
      <c r="J313" s="109"/>
      <c r="K313" s="109"/>
      <c r="L313" s="109"/>
      <c r="M313" s="109"/>
      <c r="N313" s="109"/>
      <c r="O313" s="109"/>
      <c r="P313" s="109"/>
      <c r="Q313" s="109"/>
      <c r="R313" s="109"/>
      <c r="S313" s="109"/>
      <c r="T313" s="109"/>
      <c r="U313" s="109"/>
      <c r="V313" s="109"/>
      <c r="W313" s="109"/>
      <c r="X313" s="109"/>
      <c r="Y313" s="109"/>
      <c r="Z313" s="109"/>
    </row>
    <row r="314" spans="1:26" ht="11.25" customHeight="1">
      <c r="A314" s="109"/>
      <c r="B314" s="109"/>
      <c r="C314" s="109"/>
      <c r="D314" s="109"/>
      <c r="E314" s="109"/>
      <c r="F314" s="109"/>
      <c r="G314" s="109"/>
      <c r="H314" s="109"/>
      <c r="I314" s="109"/>
      <c r="J314" s="109"/>
      <c r="K314" s="109"/>
      <c r="L314" s="109"/>
      <c r="M314" s="109"/>
      <c r="N314" s="109"/>
      <c r="O314" s="109"/>
      <c r="P314" s="109"/>
      <c r="Q314" s="109"/>
      <c r="R314" s="109"/>
      <c r="S314" s="109"/>
      <c r="T314" s="109"/>
      <c r="U314" s="109"/>
      <c r="V314" s="109"/>
      <c r="W314" s="109"/>
      <c r="X314" s="109"/>
      <c r="Y314" s="109"/>
      <c r="Z314" s="109"/>
    </row>
    <row r="315" spans="1:26" ht="11.25" customHeight="1">
      <c r="A315" s="109"/>
      <c r="B315" s="109"/>
      <c r="C315" s="109"/>
      <c r="D315" s="109"/>
      <c r="E315" s="109"/>
      <c r="F315" s="109"/>
      <c r="G315" s="109"/>
      <c r="H315" s="109"/>
      <c r="I315" s="109"/>
      <c r="J315" s="109"/>
      <c r="K315" s="109"/>
      <c r="L315" s="109"/>
      <c r="M315" s="109"/>
      <c r="N315" s="109"/>
      <c r="O315" s="109"/>
      <c r="P315" s="109"/>
      <c r="Q315" s="109"/>
      <c r="R315" s="109"/>
      <c r="S315" s="109"/>
      <c r="T315" s="109"/>
      <c r="U315" s="109"/>
      <c r="V315" s="109"/>
      <c r="W315" s="109"/>
      <c r="X315" s="109"/>
      <c r="Y315" s="109"/>
      <c r="Z315" s="109"/>
    </row>
    <row r="316" spans="1:26" ht="11.25" customHeight="1">
      <c r="A316" s="109"/>
      <c r="B316" s="109"/>
      <c r="C316" s="109"/>
      <c r="D316" s="109"/>
      <c r="E316" s="109"/>
      <c r="F316" s="109"/>
      <c r="G316" s="109"/>
      <c r="H316" s="109"/>
      <c r="I316" s="109"/>
      <c r="J316" s="109"/>
      <c r="K316" s="109"/>
      <c r="L316" s="109"/>
      <c r="M316" s="109"/>
      <c r="N316" s="109"/>
      <c r="O316" s="109"/>
      <c r="P316" s="109"/>
      <c r="Q316" s="109"/>
      <c r="R316" s="109"/>
      <c r="S316" s="109"/>
      <c r="T316" s="109"/>
      <c r="U316" s="109"/>
      <c r="V316" s="109"/>
      <c r="W316" s="109"/>
      <c r="X316" s="109"/>
      <c r="Y316" s="109"/>
      <c r="Z316" s="109"/>
    </row>
    <row r="317" spans="1:26" ht="11.25" customHeight="1">
      <c r="A317" s="109"/>
      <c r="B317" s="109"/>
      <c r="C317" s="109"/>
      <c r="D317" s="109"/>
      <c r="E317" s="109"/>
      <c r="F317" s="109"/>
      <c r="G317" s="109"/>
      <c r="H317" s="109"/>
      <c r="I317" s="109"/>
      <c r="J317" s="109"/>
      <c r="K317" s="109"/>
      <c r="L317" s="109"/>
      <c r="M317" s="109"/>
      <c r="N317" s="109"/>
      <c r="O317" s="109"/>
      <c r="P317" s="109"/>
      <c r="Q317" s="109"/>
      <c r="R317" s="109"/>
      <c r="S317" s="109"/>
      <c r="T317" s="109"/>
      <c r="U317" s="109"/>
      <c r="V317" s="109"/>
      <c r="W317" s="109"/>
      <c r="X317" s="109"/>
      <c r="Y317" s="109"/>
      <c r="Z317" s="109"/>
    </row>
    <row r="318" spans="1:26" ht="11.25" customHeight="1">
      <c r="A318" s="109"/>
      <c r="B318" s="109"/>
      <c r="C318" s="109"/>
      <c r="D318" s="109"/>
      <c r="E318" s="109"/>
      <c r="F318" s="109"/>
      <c r="G318" s="109"/>
      <c r="H318" s="109"/>
      <c r="I318" s="109"/>
      <c r="J318" s="109"/>
      <c r="K318" s="109"/>
      <c r="L318" s="109"/>
      <c r="M318" s="109"/>
      <c r="N318" s="109"/>
      <c r="O318" s="109"/>
      <c r="P318" s="109"/>
      <c r="Q318" s="109"/>
      <c r="R318" s="109"/>
      <c r="S318" s="109"/>
      <c r="T318" s="109"/>
      <c r="U318" s="109"/>
      <c r="V318" s="109"/>
      <c r="W318" s="109"/>
      <c r="X318" s="109"/>
      <c r="Y318" s="109"/>
      <c r="Z318" s="109"/>
    </row>
    <row r="319" spans="1:26" ht="11.25" customHeight="1">
      <c r="A319" s="109"/>
      <c r="B319" s="109"/>
      <c r="C319" s="109"/>
      <c r="D319" s="109"/>
      <c r="E319" s="109"/>
      <c r="F319" s="109"/>
      <c r="G319" s="109"/>
      <c r="H319" s="109"/>
      <c r="I319" s="109"/>
      <c r="J319" s="109"/>
      <c r="K319" s="109"/>
      <c r="L319" s="109"/>
      <c r="M319" s="109"/>
      <c r="N319" s="109"/>
      <c r="O319" s="109"/>
      <c r="P319" s="109"/>
      <c r="Q319" s="109"/>
      <c r="R319" s="109"/>
      <c r="S319" s="109"/>
      <c r="T319" s="109"/>
      <c r="U319" s="109"/>
      <c r="V319" s="109"/>
      <c r="W319" s="109"/>
      <c r="X319" s="109"/>
      <c r="Y319" s="109"/>
      <c r="Z319" s="109"/>
    </row>
    <row r="320" spans="1:26" ht="11.25" customHeight="1">
      <c r="A320" s="109"/>
      <c r="B320" s="109"/>
      <c r="C320" s="109"/>
      <c r="D320" s="109"/>
      <c r="E320" s="109"/>
      <c r="F320" s="109"/>
      <c r="G320" s="109"/>
      <c r="H320" s="109"/>
      <c r="I320" s="109"/>
      <c r="J320" s="109"/>
      <c r="K320" s="109"/>
      <c r="L320" s="109"/>
      <c r="M320" s="109"/>
      <c r="N320" s="109"/>
      <c r="O320" s="109"/>
      <c r="P320" s="109"/>
      <c r="Q320" s="109"/>
      <c r="R320" s="109"/>
      <c r="S320" s="109"/>
      <c r="T320" s="109"/>
      <c r="U320" s="109"/>
      <c r="V320" s="109"/>
      <c r="W320" s="109"/>
      <c r="X320" s="109"/>
      <c r="Y320" s="109"/>
      <c r="Z320" s="109"/>
    </row>
    <row r="321" spans="1:26" ht="11.25" customHeight="1">
      <c r="A321" s="109"/>
      <c r="B321" s="109"/>
      <c r="C321" s="109"/>
      <c r="D321" s="109"/>
      <c r="E321" s="109"/>
      <c r="F321" s="109"/>
      <c r="G321" s="109"/>
      <c r="H321" s="109"/>
      <c r="I321" s="109"/>
      <c r="J321" s="109"/>
      <c r="K321" s="109"/>
      <c r="L321" s="109"/>
      <c r="M321" s="109"/>
      <c r="N321" s="109"/>
      <c r="O321" s="109"/>
      <c r="P321" s="109"/>
      <c r="Q321" s="109"/>
      <c r="R321" s="109"/>
      <c r="S321" s="109"/>
      <c r="T321" s="109"/>
      <c r="U321" s="109"/>
      <c r="V321" s="109"/>
      <c r="W321" s="109"/>
      <c r="X321" s="109"/>
      <c r="Y321" s="109"/>
      <c r="Z321" s="109"/>
    </row>
    <row r="322" spans="1:26" ht="11.25" customHeight="1">
      <c r="A322" s="109"/>
      <c r="B322" s="109"/>
      <c r="C322" s="109"/>
      <c r="D322" s="109"/>
      <c r="E322" s="109"/>
      <c r="F322" s="109"/>
      <c r="G322" s="109"/>
      <c r="H322" s="109"/>
      <c r="I322" s="109"/>
      <c r="J322" s="109"/>
      <c r="K322" s="109"/>
      <c r="L322" s="109"/>
      <c r="M322" s="109"/>
      <c r="N322" s="109"/>
      <c r="O322" s="109"/>
      <c r="P322" s="109"/>
      <c r="Q322" s="109"/>
      <c r="R322" s="109"/>
      <c r="S322" s="109"/>
      <c r="T322" s="109"/>
      <c r="U322" s="109"/>
      <c r="V322" s="109"/>
      <c r="W322" s="109"/>
      <c r="X322" s="109"/>
      <c r="Y322" s="109"/>
      <c r="Z322" s="109"/>
    </row>
    <row r="323" spans="1:26" ht="11.25" customHeight="1">
      <c r="A323" s="109"/>
      <c r="B323" s="109"/>
      <c r="C323" s="109"/>
      <c r="D323" s="109"/>
      <c r="E323" s="109"/>
      <c r="F323" s="109"/>
      <c r="G323" s="109"/>
      <c r="H323" s="109"/>
      <c r="I323" s="109"/>
      <c r="J323" s="109"/>
      <c r="K323" s="109"/>
      <c r="L323" s="109"/>
      <c r="M323" s="109"/>
      <c r="N323" s="109"/>
      <c r="O323" s="109"/>
      <c r="P323" s="109"/>
      <c r="Q323" s="109"/>
      <c r="R323" s="109"/>
      <c r="S323" s="109"/>
      <c r="T323" s="109"/>
      <c r="U323" s="109"/>
      <c r="V323" s="109"/>
      <c r="W323" s="109"/>
      <c r="X323" s="109"/>
      <c r="Y323" s="109"/>
      <c r="Z323" s="109"/>
    </row>
    <row r="324" spans="1:26" ht="11.25" customHeight="1">
      <c r="A324" s="109"/>
      <c r="B324" s="109"/>
      <c r="C324" s="109"/>
      <c r="D324" s="109"/>
      <c r="E324" s="109"/>
      <c r="F324" s="109"/>
      <c r="G324" s="109"/>
      <c r="H324" s="109"/>
      <c r="I324" s="109"/>
      <c r="J324" s="109"/>
      <c r="K324" s="109"/>
      <c r="L324" s="109"/>
      <c r="M324" s="109"/>
      <c r="N324" s="109"/>
      <c r="O324" s="109"/>
      <c r="P324" s="109"/>
      <c r="Q324" s="109"/>
      <c r="R324" s="109"/>
      <c r="S324" s="109"/>
      <c r="T324" s="109"/>
      <c r="U324" s="109"/>
      <c r="V324" s="109"/>
      <c r="W324" s="109"/>
      <c r="X324" s="109"/>
      <c r="Y324" s="109"/>
      <c r="Z324" s="109"/>
    </row>
    <row r="325" spans="1:26" ht="11.25" customHeight="1">
      <c r="A325" s="109"/>
      <c r="B325" s="109"/>
      <c r="C325" s="109"/>
      <c r="D325" s="109"/>
      <c r="E325" s="109"/>
      <c r="F325" s="109"/>
      <c r="G325" s="109"/>
      <c r="H325" s="109"/>
      <c r="I325" s="109"/>
      <c r="J325" s="109"/>
      <c r="K325" s="109"/>
      <c r="L325" s="109"/>
      <c r="M325" s="109"/>
      <c r="N325" s="109"/>
      <c r="O325" s="109"/>
      <c r="P325" s="109"/>
      <c r="Q325" s="109"/>
      <c r="R325" s="109"/>
      <c r="S325" s="109"/>
      <c r="T325" s="109"/>
      <c r="U325" s="109"/>
      <c r="V325" s="109"/>
      <c r="W325" s="109"/>
      <c r="X325" s="109"/>
      <c r="Y325" s="109"/>
      <c r="Z325" s="109"/>
    </row>
    <row r="326" spans="1:26" ht="11.25" customHeight="1">
      <c r="A326" s="109"/>
      <c r="B326" s="109"/>
      <c r="C326" s="109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</row>
    <row r="327" spans="1:26" ht="11.25" customHeight="1">
      <c r="A327" s="109"/>
      <c r="B327" s="109"/>
      <c r="C327" s="109"/>
      <c r="D327" s="109"/>
      <c r="E327" s="109"/>
      <c r="F327" s="109"/>
      <c r="G327" s="109"/>
      <c r="H327" s="109"/>
      <c r="I327" s="109"/>
      <c r="J327" s="109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109"/>
      <c r="Y327" s="109"/>
      <c r="Z327" s="109"/>
    </row>
    <row r="328" spans="1:26" ht="11.25" customHeight="1">
      <c r="A328" s="109"/>
      <c r="B328" s="109"/>
      <c r="C328" s="109"/>
      <c r="D328" s="109"/>
      <c r="E328" s="109"/>
      <c r="F328" s="109"/>
      <c r="G328" s="109"/>
      <c r="H328" s="109"/>
      <c r="I328" s="109"/>
      <c r="J328" s="109"/>
      <c r="K328" s="109"/>
      <c r="L328" s="109"/>
      <c r="M328" s="109"/>
      <c r="N328" s="109"/>
      <c r="O328" s="109"/>
      <c r="P328" s="109"/>
      <c r="Q328" s="109"/>
      <c r="R328" s="109"/>
      <c r="S328" s="109"/>
      <c r="T328" s="109"/>
      <c r="U328" s="109"/>
      <c r="V328" s="109"/>
      <c r="W328" s="109"/>
      <c r="X328" s="109"/>
      <c r="Y328" s="109"/>
      <c r="Z328" s="109"/>
    </row>
    <row r="329" spans="1:26" ht="11.25" customHeight="1">
      <c r="A329" s="109"/>
      <c r="B329" s="109"/>
      <c r="C329" s="109"/>
      <c r="D329" s="109"/>
      <c r="E329" s="109"/>
      <c r="F329" s="109"/>
      <c r="G329" s="109"/>
      <c r="H329" s="109"/>
      <c r="I329" s="109"/>
      <c r="J329" s="109"/>
      <c r="K329" s="109"/>
      <c r="L329" s="109"/>
      <c r="M329" s="109"/>
      <c r="N329" s="109"/>
      <c r="O329" s="109"/>
      <c r="P329" s="109"/>
      <c r="Q329" s="109"/>
      <c r="R329" s="109"/>
      <c r="S329" s="109"/>
      <c r="T329" s="109"/>
      <c r="U329" s="109"/>
      <c r="V329" s="109"/>
      <c r="W329" s="109"/>
      <c r="X329" s="109"/>
      <c r="Y329" s="109"/>
      <c r="Z329" s="109"/>
    </row>
    <row r="330" spans="1:26" ht="11.25" customHeight="1">
      <c r="A330" s="109"/>
      <c r="B330" s="109"/>
      <c r="C330" s="109"/>
      <c r="D330" s="109"/>
      <c r="E330" s="109"/>
      <c r="F330" s="109"/>
      <c r="G330" s="109"/>
      <c r="H330" s="109"/>
      <c r="I330" s="109"/>
      <c r="J330" s="109"/>
      <c r="K330" s="109"/>
      <c r="L330" s="109"/>
      <c r="M330" s="109"/>
      <c r="N330" s="109"/>
      <c r="O330" s="109"/>
      <c r="P330" s="109"/>
      <c r="Q330" s="109"/>
      <c r="R330" s="109"/>
      <c r="S330" s="109"/>
      <c r="T330" s="109"/>
      <c r="U330" s="109"/>
      <c r="V330" s="109"/>
      <c r="W330" s="109"/>
      <c r="X330" s="109"/>
      <c r="Y330" s="109"/>
      <c r="Z330" s="109"/>
    </row>
    <row r="331" spans="1:26" ht="11.25" customHeight="1">
      <c r="A331" s="109"/>
      <c r="B331" s="109"/>
      <c r="C331" s="109"/>
      <c r="D331" s="109"/>
      <c r="E331" s="109"/>
      <c r="F331" s="109"/>
      <c r="G331" s="109"/>
      <c r="H331" s="109"/>
      <c r="I331" s="109"/>
      <c r="J331" s="109"/>
      <c r="K331" s="109"/>
      <c r="L331" s="109"/>
      <c r="M331" s="109"/>
      <c r="N331" s="109"/>
      <c r="O331" s="109"/>
      <c r="P331" s="109"/>
      <c r="Q331" s="109"/>
      <c r="R331" s="109"/>
      <c r="S331" s="109"/>
      <c r="T331" s="109"/>
      <c r="U331" s="109"/>
      <c r="V331" s="109"/>
      <c r="W331" s="109"/>
      <c r="X331" s="109"/>
      <c r="Y331" s="109"/>
      <c r="Z331" s="109"/>
    </row>
    <row r="332" spans="1:26" ht="11.25" customHeight="1">
      <c r="A332" s="109"/>
      <c r="B332" s="109"/>
      <c r="C332" s="109"/>
      <c r="D332" s="109"/>
      <c r="E332" s="109"/>
      <c r="F332" s="109"/>
      <c r="G332" s="109"/>
      <c r="H332" s="109"/>
      <c r="I332" s="109"/>
      <c r="J332" s="109"/>
      <c r="K332" s="109"/>
      <c r="L332" s="109"/>
      <c r="M332" s="109"/>
      <c r="N332" s="109"/>
      <c r="O332" s="109"/>
      <c r="P332" s="109"/>
      <c r="Q332" s="109"/>
      <c r="R332" s="109"/>
      <c r="S332" s="109"/>
      <c r="T332" s="109"/>
      <c r="U332" s="109"/>
      <c r="V332" s="109"/>
      <c r="W332" s="109"/>
      <c r="X332" s="109"/>
      <c r="Y332" s="109"/>
      <c r="Z332" s="109"/>
    </row>
    <row r="333" spans="1:26" ht="11.25" customHeight="1">
      <c r="A333" s="109"/>
      <c r="B333" s="109"/>
      <c r="C333" s="109"/>
      <c r="D333" s="109"/>
      <c r="E333" s="109"/>
      <c r="F333" s="109"/>
      <c r="G333" s="109"/>
      <c r="H333" s="109"/>
      <c r="I333" s="109"/>
      <c r="J333" s="109"/>
      <c r="K333" s="109"/>
      <c r="L333" s="109"/>
      <c r="M333" s="109"/>
      <c r="N333" s="109"/>
      <c r="O333" s="109"/>
      <c r="P333" s="109"/>
      <c r="Q333" s="109"/>
      <c r="R333" s="109"/>
      <c r="S333" s="109"/>
      <c r="T333" s="109"/>
      <c r="U333" s="109"/>
      <c r="V333" s="109"/>
      <c r="W333" s="109"/>
      <c r="X333" s="109"/>
      <c r="Y333" s="109"/>
      <c r="Z333" s="109"/>
    </row>
    <row r="334" spans="1:26" ht="11.25" customHeight="1">
      <c r="A334" s="109"/>
      <c r="B334" s="109"/>
      <c r="C334" s="109"/>
      <c r="D334" s="109"/>
      <c r="E334" s="109"/>
      <c r="F334" s="109"/>
      <c r="G334" s="109"/>
      <c r="H334" s="109"/>
      <c r="I334" s="109"/>
      <c r="J334" s="109"/>
      <c r="K334" s="109"/>
      <c r="L334" s="109"/>
      <c r="M334" s="109"/>
      <c r="N334" s="109"/>
      <c r="O334" s="109"/>
      <c r="P334" s="109"/>
      <c r="Q334" s="109"/>
      <c r="R334" s="109"/>
      <c r="S334" s="109"/>
      <c r="T334" s="109"/>
      <c r="U334" s="109"/>
      <c r="V334" s="109"/>
      <c r="W334" s="109"/>
      <c r="X334" s="109"/>
      <c r="Y334" s="109"/>
      <c r="Z334" s="109"/>
    </row>
    <row r="335" spans="1:26" ht="11.25" customHeight="1">
      <c r="A335" s="109"/>
      <c r="B335" s="109"/>
      <c r="C335" s="109"/>
      <c r="D335" s="109"/>
      <c r="E335" s="109"/>
      <c r="F335" s="109"/>
      <c r="G335" s="109"/>
      <c r="H335" s="109"/>
      <c r="I335" s="109"/>
      <c r="J335" s="109"/>
      <c r="K335" s="109"/>
      <c r="L335" s="109"/>
      <c r="M335" s="109"/>
      <c r="N335" s="109"/>
      <c r="O335" s="109"/>
      <c r="P335" s="109"/>
      <c r="Q335" s="109"/>
      <c r="R335" s="109"/>
      <c r="S335" s="109"/>
      <c r="T335" s="109"/>
      <c r="U335" s="109"/>
      <c r="V335" s="109"/>
      <c r="W335" s="109"/>
      <c r="X335" s="109"/>
      <c r="Y335" s="109"/>
      <c r="Z335" s="109"/>
    </row>
    <row r="336" spans="1:26" ht="11.25" customHeight="1">
      <c r="A336" s="109"/>
      <c r="B336" s="109"/>
      <c r="C336" s="109"/>
      <c r="D336" s="109"/>
      <c r="E336" s="109"/>
      <c r="F336" s="109"/>
      <c r="G336" s="109"/>
      <c r="H336" s="109"/>
      <c r="I336" s="109"/>
      <c r="J336" s="109"/>
      <c r="K336" s="109"/>
      <c r="L336" s="109"/>
      <c r="M336" s="109"/>
      <c r="N336" s="109"/>
      <c r="O336" s="109"/>
      <c r="P336" s="109"/>
      <c r="Q336" s="109"/>
      <c r="R336" s="109"/>
      <c r="S336" s="109"/>
      <c r="T336" s="109"/>
      <c r="U336" s="109"/>
      <c r="V336" s="109"/>
      <c r="W336" s="109"/>
      <c r="X336" s="109"/>
      <c r="Y336" s="109"/>
      <c r="Z336" s="109"/>
    </row>
    <row r="337" spans="1:26" ht="11.25" customHeight="1">
      <c r="A337" s="109"/>
      <c r="B337" s="109"/>
      <c r="C337" s="109"/>
      <c r="D337" s="109"/>
      <c r="E337" s="109"/>
      <c r="F337" s="109"/>
      <c r="G337" s="109"/>
      <c r="H337" s="109"/>
      <c r="I337" s="109"/>
      <c r="J337" s="109"/>
      <c r="K337" s="109"/>
      <c r="L337" s="109"/>
      <c r="M337" s="109"/>
      <c r="N337" s="109"/>
      <c r="O337" s="109"/>
      <c r="P337" s="109"/>
      <c r="Q337" s="109"/>
      <c r="R337" s="109"/>
      <c r="S337" s="109"/>
      <c r="T337" s="109"/>
      <c r="U337" s="109"/>
      <c r="V337" s="109"/>
      <c r="W337" s="109"/>
      <c r="X337" s="109"/>
      <c r="Y337" s="109"/>
      <c r="Z337" s="109"/>
    </row>
    <row r="338" spans="1:26" ht="11.25" customHeight="1">
      <c r="A338" s="109"/>
      <c r="B338" s="109"/>
      <c r="C338" s="109"/>
      <c r="D338" s="109"/>
      <c r="E338" s="109"/>
      <c r="F338" s="109"/>
      <c r="G338" s="109"/>
      <c r="H338" s="109"/>
      <c r="I338" s="109"/>
      <c r="J338" s="109"/>
      <c r="K338" s="109"/>
      <c r="L338" s="109"/>
      <c r="M338" s="109"/>
      <c r="N338" s="109"/>
      <c r="O338" s="109"/>
      <c r="P338" s="109"/>
      <c r="Q338" s="109"/>
      <c r="R338" s="109"/>
      <c r="S338" s="109"/>
      <c r="T338" s="109"/>
      <c r="U338" s="109"/>
      <c r="V338" s="109"/>
      <c r="W338" s="109"/>
      <c r="X338" s="109"/>
      <c r="Y338" s="109"/>
      <c r="Z338" s="109"/>
    </row>
    <row r="339" spans="1:26" ht="11.25" customHeight="1">
      <c r="A339" s="109"/>
      <c r="B339" s="109"/>
      <c r="C339" s="109"/>
      <c r="D339" s="109"/>
      <c r="E339" s="109"/>
      <c r="F339" s="109"/>
      <c r="G339" s="109"/>
      <c r="H339" s="109"/>
      <c r="I339" s="109"/>
      <c r="J339" s="109"/>
      <c r="K339" s="109"/>
      <c r="L339" s="109"/>
      <c r="M339" s="109"/>
      <c r="N339" s="109"/>
      <c r="O339" s="109"/>
      <c r="P339" s="109"/>
      <c r="Q339" s="109"/>
      <c r="R339" s="109"/>
      <c r="S339" s="109"/>
      <c r="T339" s="109"/>
      <c r="U339" s="109"/>
      <c r="V339" s="109"/>
      <c r="W339" s="109"/>
      <c r="X339" s="109"/>
      <c r="Y339" s="109"/>
      <c r="Z339" s="109"/>
    </row>
    <row r="340" spans="1:26" ht="11.25" customHeight="1">
      <c r="A340" s="109"/>
      <c r="B340" s="109"/>
      <c r="C340" s="109"/>
      <c r="D340" s="109"/>
      <c r="E340" s="109"/>
      <c r="F340" s="109"/>
      <c r="G340" s="109"/>
      <c r="H340" s="109"/>
      <c r="I340" s="109"/>
      <c r="J340" s="109"/>
      <c r="K340" s="109"/>
      <c r="L340" s="109"/>
      <c r="M340" s="109"/>
      <c r="N340" s="109"/>
      <c r="O340" s="109"/>
      <c r="P340" s="109"/>
      <c r="Q340" s="109"/>
      <c r="R340" s="109"/>
      <c r="S340" s="109"/>
      <c r="T340" s="109"/>
      <c r="U340" s="109"/>
      <c r="V340" s="109"/>
      <c r="W340" s="109"/>
      <c r="X340" s="109"/>
      <c r="Y340" s="109"/>
      <c r="Z340" s="109"/>
    </row>
    <row r="341" spans="1:26" ht="11.25" customHeight="1">
      <c r="A341" s="109"/>
      <c r="B341" s="109"/>
      <c r="C341" s="109"/>
      <c r="D341" s="109"/>
      <c r="E341" s="109"/>
      <c r="F341" s="109"/>
      <c r="G341" s="109"/>
      <c r="H341" s="109"/>
      <c r="I341" s="109"/>
      <c r="J341" s="109"/>
      <c r="K341" s="109"/>
      <c r="L341" s="109"/>
      <c r="M341" s="109"/>
      <c r="N341" s="109"/>
      <c r="O341" s="109"/>
      <c r="P341" s="109"/>
      <c r="Q341" s="109"/>
      <c r="R341" s="109"/>
      <c r="S341" s="109"/>
      <c r="T341" s="109"/>
      <c r="U341" s="109"/>
      <c r="V341" s="109"/>
      <c r="W341" s="109"/>
      <c r="X341" s="109"/>
      <c r="Y341" s="109"/>
      <c r="Z341" s="109"/>
    </row>
    <row r="342" spans="1:26" ht="11.25" customHeight="1">
      <c r="A342" s="109"/>
      <c r="B342" s="109"/>
      <c r="C342" s="109"/>
      <c r="D342" s="109"/>
      <c r="E342" s="109"/>
      <c r="F342" s="109"/>
      <c r="G342" s="109"/>
      <c r="H342" s="109"/>
      <c r="I342" s="109"/>
      <c r="J342" s="109"/>
      <c r="K342" s="109"/>
      <c r="L342" s="109"/>
      <c r="M342" s="109"/>
      <c r="N342" s="109"/>
      <c r="O342" s="109"/>
      <c r="P342" s="109"/>
      <c r="Q342" s="109"/>
      <c r="R342" s="109"/>
      <c r="S342" s="109"/>
      <c r="T342" s="109"/>
      <c r="U342" s="109"/>
      <c r="V342" s="109"/>
      <c r="W342" s="109"/>
      <c r="X342" s="109"/>
      <c r="Y342" s="109"/>
      <c r="Z342" s="109"/>
    </row>
    <row r="343" spans="1:26" ht="11.25" customHeight="1">
      <c r="A343" s="109"/>
      <c r="B343" s="109"/>
      <c r="C343" s="109"/>
      <c r="D343" s="109"/>
      <c r="E343" s="109"/>
      <c r="F343" s="109"/>
      <c r="G343" s="109"/>
      <c r="H343" s="109"/>
      <c r="I343" s="109"/>
      <c r="J343" s="109"/>
      <c r="K343" s="109"/>
      <c r="L343" s="109"/>
      <c r="M343" s="109"/>
      <c r="N343" s="109"/>
      <c r="O343" s="109"/>
      <c r="P343" s="109"/>
      <c r="Q343" s="109"/>
      <c r="R343" s="109"/>
      <c r="S343" s="109"/>
      <c r="T343" s="109"/>
      <c r="U343" s="109"/>
      <c r="V343" s="109"/>
      <c r="W343" s="109"/>
      <c r="X343" s="109"/>
      <c r="Y343" s="109"/>
      <c r="Z343" s="109"/>
    </row>
    <row r="344" spans="1:26" ht="11.25" customHeight="1">
      <c r="A344" s="109"/>
      <c r="B344" s="109"/>
      <c r="C344" s="109"/>
      <c r="D344" s="109"/>
      <c r="E344" s="109"/>
      <c r="F344" s="109"/>
      <c r="G344" s="109"/>
      <c r="H344" s="109"/>
      <c r="I344" s="109"/>
      <c r="J344" s="109"/>
      <c r="K344" s="109"/>
      <c r="L344" s="109"/>
      <c r="M344" s="109"/>
      <c r="N344" s="109"/>
      <c r="O344" s="109"/>
      <c r="P344" s="109"/>
      <c r="Q344" s="109"/>
      <c r="R344" s="109"/>
      <c r="S344" s="109"/>
      <c r="T344" s="109"/>
      <c r="U344" s="109"/>
      <c r="V344" s="109"/>
      <c r="W344" s="109"/>
      <c r="X344" s="109"/>
      <c r="Y344" s="109"/>
      <c r="Z344" s="109"/>
    </row>
    <row r="345" spans="1:26" ht="11.25" customHeight="1">
      <c r="A345" s="109"/>
      <c r="B345" s="109"/>
      <c r="C345" s="109"/>
      <c r="D345" s="109"/>
      <c r="E345" s="109"/>
      <c r="F345" s="109"/>
      <c r="G345" s="109"/>
      <c r="H345" s="109"/>
      <c r="I345" s="109"/>
      <c r="J345" s="109"/>
      <c r="K345" s="109"/>
      <c r="L345" s="109"/>
      <c r="M345" s="109"/>
      <c r="N345" s="109"/>
      <c r="O345" s="109"/>
      <c r="P345" s="109"/>
      <c r="Q345" s="109"/>
      <c r="R345" s="109"/>
      <c r="S345" s="109"/>
      <c r="T345" s="109"/>
      <c r="U345" s="109"/>
      <c r="V345" s="109"/>
      <c r="W345" s="109"/>
      <c r="X345" s="109"/>
      <c r="Y345" s="109"/>
      <c r="Z345" s="109"/>
    </row>
    <row r="346" spans="1:26" ht="11.25" customHeight="1">
      <c r="A346" s="109"/>
      <c r="B346" s="109"/>
      <c r="C346" s="109"/>
      <c r="D346" s="109"/>
      <c r="E346" s="109"/>
      <c r="F346" s="109"/>
      <c r="G346" s="109"/>
      <c r="H346" s="109"/>
      <c r="I346" s="109"/>
      <c r="J346" s="109"/>
      <c r="K346" s="109"/>
      <c r="L346" s="109"/>
      <c r="M346" s="109"/>
      <c r="N346" s="109"/>
      <c r="O346" s="109"/>
      <c r="P346" s="109"/>
      <c r="Q346" s="109"/>
      <c r="R346" s="109"/>
      <c r="S346" s="109"/>
      <c r="T346" s="109"/>
      <c r="U346" s="109"/>
      <c r="V346" s="109"/>
      <c r="W346" s="109"/>
      <c r="X346" s="109"/>
      <c r="Y346" s="109"/>
      <c r="Z346" s="109"/>
    </row>
    <row r="347" spans="1:26" ht="11.25" customHeight="1">
      <c r="A347" s="109"/>
      <c r="B347" s="109"/>
      <c r="C347" s="109"/>
      <c r="D347" s="109"/>
      <c r="E347" s="109"/>
      <c r="F347" s="109"/>
      <c r="G347" s="109"/>
      <c r="H347" s="109"/>
      <c r="I347" s="109"/>
      <c r="J347" s="109"/>
      <c r="K347" s="109"/>
      <c r="L347" s="109"/>
      <c r="M347" s="109"/>
      <c r="N347" s="109"/>
      <c r="O347" s="109"/>
      <c r="P347" s="109"/>
      <c r="Q347" s="109"/>
      <c r="R347" s="109"/>
      <c r="S347" s="109"/>
      <c r="T347" s="109"/>
      <c r="U347" s="109"/>
      <c r="V347" s="109"/>
      <c r="W347" s="109"/>
      <c r="X347" s="109"/>
      <c r="Y347" s="109"/>
      <c r="Z347" s="109"/>
    </row>
    <row r="348" spans="1:26" ht="11.25" customHeight="1">
      <c r="A348" s="109"/>
      <c r="B348" s="109"/>
      <c r="C348" s="109"/>
      <c r="D348" s="109"/>
      <c r="E348" s="109"/>
      <c r="F348" s="109"/>
      <c r="G348" s="109"/>
      <c r="H348" s="109"/>
      <c r="I348" s="109"/>
      <c r="J348" s="109"/>
      <c r="K348" s="109"/>
      <c r="L348" s="109"/>
      <c r="M348" s="109"/>
      <c r="N348" s="109"/>
      <c r="O348" s="109"/>
      <c r="P348" s="109"/>
      <c r="Q348" s="109"/>
      <c r="R348" s="109"/>
      <c r="S348" s="109"/>
      <c r="T348" s="109"/>
      <c r="U348" s="109"/>
      <c r="V348" s="109"/>
      <c r="W348" s="109"/>
      <c r="X348" s="109"/>
      <c r="Y348" s="109"/>
      <c r="Z348" s="109"/>
    </row>
    <row r="349" spans="1:26" ht="11.25" customHeight="1">
      <c r="A349" s="109"/>
      <c r="B349" s="109"/>
      <c r="C349" s="109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</row>
    <row r="350" spans="1:26" ht="11.25" customHeight="1">
      <c r="A350" s="109"/>
      <c r="B350" s="109"/>
      <c r="C350" s="109"/>
      <c r="D350" s="109"/>
      <c r="E350" s="109"/>
      <c r="F350" s="109"/>
      <c r="G350" s="109"/>
      <c r="H350" s="109"/>
      <c r="I350" s="109"/>
      <c r="J350" s="109"/>
      <c r="K350" s="109"/>
      <c r="L350" s="109"/>
      <c r="M350" s="109"/>
      <c r="N350" s="109"/>
      <c r="O350" s="109"/>
      <c r="P350" s="109"/>
      <c r="Q350" s="109"/>
      <c r="R350" s="109"/>
      <c r="S350" s="109"/>
      <c r="T350" s="109"/>
      <c r="U350" s="109"/>
      <c r="V350" s="109"/>
      <c r="W350" s="109"/>
      <c r="X350" s="109"/>
      <c r="Y350" s="109"/>
      <c r="Z350" s="109"/>
    </row>
    <row r="351" spans="1:26" ht="11.25" customHeight="1">
      <c r="A351" s="109"/>
      <c r="B351" s="109"/>
      <c r="C351" s="109"/>
      <c r="D351" s="109"/>
      <c r="E351" s="109"/>
      <c r="F351" s="109"/>
      <c r="G351" s="109"/>
      <c r="H351" s="109"/>
      <c r="I351" s="109"/>
      <c r="J351" s="109"/>
      <c r="K351" s="109"/>
      <c r="L351" s="109"/>
      <c r="M351" s="109"/>
      <c r="N351" s="109"/>
      <c r="O351" s="109"/>
      <c r="P351" s="109"/>
      <c r="Q351" s="109"/>
      <c r="R351" s="109"/>
      <c r="S351" s="109"/>
      <c r="T351" s="109"/>
      <c r="U351" s="109"/>
      <c r="V351" s="109"/>
      <c r="W351" s="109"/>
      <c r="X351" s="109"/>
      <c r="Y351" s="109"/>
      <c r="Z351" s="109"/>
    </row>
    <row r="352" spans="1:26" ht="11.25" customHeight="1">
      <c r="A352" s="109"/>
      <c r="B352" s="109"/>
      <c r="C352" s="109"/>
      <c r="D352" s="109"/>
      <c r="E352" s="109"/>
      <c r="F352" s="109"/>
      <c r="G352" s="109"/>
      <c r="H352" s="109"/>
      <c r="I352" s="109"/>
      <c r="J352" s="109"/>
      <c r="K352" s="109"/>
      <c r="L352" s="109"/>
      <c r="M352" s="109"/>
      <c r="N352" s="109"/>
      <c r="O352" s="109"/>
      <c r="P352" s="109"/>
      <c r="Q352" s="109"/>
      <c r="R352" s="109"/>
      <c r="S352" s="109"/>
      <c r="T352" s="109"/>
      <c r="U352" s="109"/>
      <c r="V352" s="109"/>
      <c r="W352" s="109"/>
      <c r="X352" s="109"/>
      <c r="Y352" s="109"/>
      <c r="Z352" s="109"/>
    </row>
    <row r="353" spans="1:26" ht="11.25" customHeight="1">
      <c r="A353" s="109"/>
      <c r="B353" s="109"/>
      <c r="C353" s="109"/>
      <c r="D353" s="109"/>
      <c r="E353" s="109"/>
      <c r="F353" s="109"/>
      <c r="G353" s="109"/>
      <c r="H353" s="109"/>
      <c r="I353" s="109"/>
      <c r="J353" s="109"/>
      <c r="K353" s="109"/>
      <c r="L353" s="109"/>
      <c r="M353" s="109"/>
      <c r="N353" s="109"/>
      <c r="O353" s="109"/>
      <c r="P353" s="109"/>
      <c r="Q353" s="109"/>
      <c r="R353" s="109"/>
      <c r="S353" s="109"/>
      <c r="T353" s="109"/>
      <c r="U353" s="109"/>
      <c r="V353" s="109"/>
      <c r="W353" s="109"/>
      <c r="X353" s="109"/>
      <c r="Y353" s="109"/>
      <c r="Z353" s="109"/>
    </row>
    <row r="354" spans="1:26" ht="11.25" customHeight="1">
      <c r="A354" s="109"/>
      <c r="B354" s="109"/>
      <c r="C354" s="109"/>
      <c r="D354" s="109"/>
      <c r="E354" s="109"/>
      <c r="F354" s="109"/>
      <c r="G354" s="109"/>
      <c r="H354" s="109"/>
      <c r="I354" s="109"/>
      <c r="J354" s="109"/>
      <c r="K354" s="109"/>
      <c r="L354" s="109"/>
      <c r="M354" s="109"/>
      <c r="N354" s="109"/>
      <c r="O354" s="109"/>
      <c r="P354" s="109"/>
      <c r="Q354" s="109"/>
      <c r="R354" s="109"/>
      <c r="S354" s="109"/>
      <c r="T354" s="109"/>
      <c r="U354" s="109"/>
      <c r="V354" s="109"/>
      <c r="W354" s="109"/>
      <c r="X354" s="109"/>
      <c r="Y354" s="109"/>
      <c r="Z354" s="109"/>
    </row>
    <row r="355" spans="1:26" ht="11.25" customHeight="1">
      <c r="A355" s="109"/>
      <c r="B355" s="109"/>
      <c r="C355" s="109"/>
      <c r="D355" s="109"/>
      <c r="E355" s="109"/>
      <c r="F355" s="109"/>
      <c r="G355" s="109"/>
      <c r="H355" s="109"/>
      <c r="I355" s="109"/>
      <c r="J355" s="109"/>
      <c r="K355" s="109"/>
      <c r="L355" s="109"/>
      <c r="M355" s="109"/>
      <c r="N355" s="109"/>
      <c r="O355" s="109"/>
      <c r="P355" s="109"/>
      <c r="Q355" s="109"/>
      <c r="R355" s="109"/>
      <c r="S355" s="109"/>
      <c r="T355" s="109"/>
      <c r="U355" s="109"/>
      <c r="V355" s="109"/>
      <c r="W355" s="109"/>
      <c r="X355" s="109"/>
      <c r="Y355" s="109"/>
      <c r="Z355" s="109"/>
    </row>
    <row r="356" spans="1:26" ht="11.25" customHeight="1">
      <c r="A356" s="109"/>
      <c r="B356" s="109"/>
      <c r="C356" s="109"/>
      <c r="D356" s="109"/>
      <c r="E356" s="109"/>
      <c r="F356" s="109"/>
      <c r="G356" s="109"/>
      <c r="H356" s="109"/>
      <c r="I356" s="109"/>
      <c r="J356" s="109"/>
      <c r="K356" s="109"/>
      <c r="L356" s="109"/>
      <c r="M356" s="109"/>
      <c r="N356" s="109"/>
      <c r="O356" s="109"/>
      <c r="P356" s="109"/>
      <c r="Q356" s="109"/>
      <c r="R356" s="109"/>
      <c r="S356" s="109"/>
      <c r="T356" s="109"/>
      <c r="U356" s="109"/>
      <c r="V356" s="109"/>
      <c r="W356" s="109"/>
      <c r="X356" s="109"/>
      <c r="Y356" s="109"/>
      <c r="Z356" s="109"/>
    </row>
    <row r="357" spans="1:26" ht="11.25" customHeight="1">
      <c r="A357" s="109"/>
      <c r="B357" s="109"/>
      <c r="C357" s="109"/>
      <c r="D357" s="109"/>
      <c r="E357" s="109"/>
      <c r="F357" s="109"/>
      <c r="G357" s="109"/>
      <c r="H357" s="109"/>
      <c r="I357" s="109"/>
      <c r="J357" s="109"/>
      <c r="K357" s="109"/>
      <c r="L357" s="109"/>
      <c r="M357" s="109"/>
      <c r="N357" s="109"/>
      <c r="O357" s="109"/>
      <c r="P357" s="109"/>
      <c r="Q357" s="109"/>
      <c r="R357" s="109"/>
      <c r="S357" s="109"/>
      <c r="T357" s="109"/>
      <c r="U357" s="109"/>
      <c r="V357" s="109"/>
      <c r="W357" s="109"/>
      <c r="X357" s="109"/>
      <c r="Y357" s="109"/>
      <c r="Z357" s="109"/>
    </row>
    <row r="358" spans="1:26" ht="11.25" customHeight="1">
      <c r="A358" s="109"/>
      <c r="B358" s="109"/>
      <c r="C358" s="109"/>
      <c r="D358" s="109"/>
      <c r="E358" s="109"/>
      <c r="F358" s="109"/>
      <c r="G358" s="109"/>
      <c r="H358" s="109"/>
      <c r="I358" s="109"/>
      <c r="J358" s="109"/>
      <c r="K358" s="109"/>
      <c r="L358" s="109"/>
      <c r="M358" s="109"/>
      <c r="N358" s="109"/>
      <c r="O358" s="109"/>
      <c r="P358" s="109"/>
      <c r="Q358" s="109"/>
      <c r="R358" s="109"/>
      <c r="S358" s="109"/>
      <c r="T358" s="109"/>
      <c r="U358" s="109"/>
      <c r="V358" s="109"/>
      <c r="W358" s="109"/>
      <c r="X358" s="109"/>
      <c r="Y358" s="109"/>
      <c r="Z358" s="109"/>
    </row>
    <row r="359" spans="1:26" ht="11.25" customHeight="1">
      <c r="A359" s="109"/>
      <c r="B359" s="109"/>
      <c r="C359" s="109"/>
      <c r="D359" s="109"/>
      <c r="E359" s="109"/>
      <c r="F359" s="109"/>
      <c r="G359" s="109"/>
      <c r="H359" s="109"/>
      <c r="I359" s="109"/>
      <c r="J359" s="109"/>
      <c r="K359" s="109"/>
      <c r="L359" s="109"/>
      <c r="M359" s="109"/>
      <c r="N359" s="109"/>
      <c r="O359" s="109"/>
      <c r="P359" s="109"/>
      <c r="Q359" s="109"/>
      <c r="R359" s="109"/>
      <c r="S359" s="109"/>
      <c r="T359" s="109"/>
      <c r="U359" s="109"/>
      <c r="V359" s="109"/>
      <c r="W359" s="109"/>
      <c r="X359" s="109"/>
      <c r="Y359" s="109"/>
      <c r="Z359" s="109"/>
    </row>
    <row r="360" spans="1:26" ht="11.25" customHeight="1">
      <c r="A360" s="109"/>
      <c r="B360" s="109"/>
      <c r="C360" s="109"/>
      <c r="D360" s="109"/>
      <c r="E360" s="109"/>
      <c r="F360" s="109"/>
      <c r="G360" s="109"/>
      <c r="H360" s="109"/>
      <c r="I360" s="109"/>
      <c r="J360" s="109"/>
      <c r="K360" s="109"/>
      <c r="L360" s="109"/>
      <c r="M360" s="109"/>
      <c r="N360" s="109"/>
      <c r="O360" s="109"/>
      <c r="P360" s="109"/>
      <c r="Q360" s="109"/>
      <c r="R360" s="109"/>
      <c r="S360" s="109"/>
      <c r="T360" s="109"/>
      <c r="U360" s="109"/>
      <c r="V360" s="109"/>
      <c r="W360" s="109"/>
      <c r="X360" s="109"/>
      <c r="Y360" s="109"/>
      <c r="Z360" s="109"/>
    </row>
    <row r="361" spans="1:26" ht="11.25" customHeight="1">
      <c r="A361" s="109"/>
      <c r="B361" s="109"/>
      <c r="C361" s="109"/>
      <c r="D361" s="109"/>
      <c r="E361" s="109"/>
      <c r="F361" s="109"/>
      <c r="G361" s="109"/>
      <c r="H361" s="109"/>
      <c r="I361" s="109"/>
      <c r="J361" s="109"/>
      <c r="K361" s="109"/>
      <c r="L361" s="109"/>
      <c r="M361" s="109"/>
      <c r="N361" s="109"/>
      <c r="O361" s="109"/>
      <c r="P361" s="109"/>
      <c r="Q361" s="109"/>
      <c r="R361" s="109"/>
      <c r="S361" s="109"/>
      <c r="T361" s="109"/>
      <c r="U361" s="109"/>
      <c r="V361" s="109"/>
      <c r="W361" s="109"/>
      <c r="X361" s="109"/>
      <c r="Y361" s="109"/>
      <c r="Z361" s="109"/>
    </row>
    <row r="362" spans="1:26" ht="11.25" customHeight="1">
      <c r="A362" s="109"/>
      <c r="B362" s="109"/>
      <c r="C362" s="109"/>
      <c r="D362" s="109"/>
      <c r="E362" s="109"/>
      <c r="F362" s="109"/>
      <c r="G362" s="109"/>
      <c r="H362" s="109"/>
      <c r="I362" s="109"/>
      <c r="J362" s="109"/>
      <c r="K362" s="109"/>
      <c r="L362" s="109"/>
      <c r="M362" s="109"/>
      <c r="N362" s="109"/>
      <c r="O362" s="109"/>
      <c r="P362" s="109"/>
      <c r="Q362" s="109"/>
      <c r="R362" s="109"/>
      <c r="S362" s="109"/>
      <c r="T362" s="109"/>
      <c r="U362" s="109"/>
      <c r="V362" s="109"/>
      <c r="W362" s="109"/>
      <c r="X362" s="109"/>
      <c r="Y362" s="109"/>
      <c r="Z362" s="109"/>
    </row>
    <row r="363" spans="1:26" ht="11.25" customHeight="1">
      <c r="A363" s="109"/>
      <c r="B363" s="109"/>
      <c r="C363" s="109"/>
      <c r="D363" s="109"/>
      <c r="E363" s="109"/>
      <c r="F363" s="109"/>
      <c r="G363" s="109"/>
      <c r="H363" s="109"/>
      <c r="I363" s="109"/>
      <c r="J363" s="109"/>
      <c r="K363" s="109"/>
      <c r="L363" s="109"/>
      <c r="M363" s="109"/>
      <c r="N363" s="109"/>
      <c r="O363" s="109"/>
      <c r="P363" s="109"/>
      <c r="Q363" s="109"/>
      <c r="R363" s="109"/>
      <c r="S363" s="109"/>
      <c r="T363" s="109"/>
      <c r="U363" s="109"/>
      <c r="V363" s="109"/>
      <c r="W363" s="109"/>
      <c r="X363" s="109"/>
      <c r="Y363" s="109"/>
      <c r="Z363" s="109"/>
    </row>
    <row r="364" spans="1:26" ht="11.25" customHeight="1">
      <c r="A364" s="109"/>
      <c r="B364" s="109"/>
      <c r="C364" s="109"/>
      <c r="D364" s="109"/>
      <c r="E364" s="109"/>
      <c r="F364" s="109"/>
      <c r="G364" s="109"/>
      <c r="H364" s="109"/>
      <c r="I364" s="109"/>
      <c r="J364" s="109"/>
      <c r="K364" s="109"/>
      <c r="L364" s="109"/>
      <c r="M364" s="109"/>
      <c r="N364" s="109"/>
      <c r="O364" s="109"/>
      <c r="P364" s="109"/>
      <c r="Q364" s="109"/>
      <c r="R364" s="109"/>
      <c r="S364" s="109"/>
      <c r="T364" s="109"/>
      <c r="U364" s="109"/>
      <c r="V364" s="109"/>
      <c r="W364" s="109"/>
      <c r="X364" s="109"/>
      <c r="Y364" s="109"/>
      <c r="Z364" s="109"/>
    </row>
    <row r="365" spans="1:26" ht="11.25" customHeight="1">
      <c r="A365" s="109"/>
      <c r="B365" s="109"/>
      <c r="C365" s="109"/>
      <c r="D365" s="109"/>
      <c r="E365" s="109"/>
      <c r="F365" s="109"/>
      <c r="G365" s="109"/>
      <c r="H365" s="109"/>
      <c r="I365" s="109"/>
      <c r="J365" s="109"/>
      <c r="K365" s="109"/>
      <c r="L365" s="109"/>
      <c r="M365" s="109"/>
      <c r="N365" s="109"/>
      <c r="O365" s="109"/>
      <c r="P365" s="109"/>
      <c r="Q365" s="109"/>
      <c r="R365" s="109"/>
      <c r="S365" s="109"/>
      <c r="T365" s="109"/>
      <c r="U365" s="109"/>
      <c r="V365" s="109"/>
      <c r="W365" s="109"/>
      <c r="X365" s="109"/>
      <c r="Y365" s="109"/>
      <c r="Z365" s="109"/>
    </row>
    <row r="366" spans="1:26" ht="11.25" customHeight="1">
      <c r="A366" s="109"/>
      <c r="B366" s="109"/>
      <c r="C366" s="109"/>
      <c r="D366" s="109"/>
      <c r="E366" s="109"/>
      <c r="F366" s="109"/>
      <c r="G366" s="109"/>
      <c r="H366" s="109"/>
      <c r="I366" s="109"/>
      <c r="J366" s="109"/>
      <c r="K366" s="109"/>
      <c r="L366" s="109"/>
      <c r="M366" s="109"/>
      <c r="N366" s="109"/>
      <c r="O366" s="109"/>
      <c r="P366" s="109"/>
      <c r="Q366" s="109"/>
      <c r="R366" s="109"/>
      <c r="S366" s="109"/>
      <c r="T366" s="109"/>
      <c r="U366" s="109"/>
      <c r="V366" s="109"/>
      <c r="W366" s="109"/>
      <c r="X366" s="109"/>
      <c r="Y366" s="109"/>
      <c r="Z366" s="109"/>
    </row>
    <row r="367" spans="1:26" ht="11.25" customHeight="1">
      <c r="A367" s="109"/>
      <c r="B367" s="109"/>
      <c r="C367" s="109"/>
      <c r="D367" s="109"/>
      <c r="E367" s="109"/>
      <c r="F367" s="109"/>
      <c r="G367" s="109"/>
      <c r="H367" s="109"/>
      <c r="I367" s="109"/>
      <c r="J367" s="109"/>
      <c r="K367" s="109"/>
      <c r="L367" s="109"/>
      <c r="M367" s="109"/>
      <c r="N367" s="109"/>
      <c r="O367" s="109"/>
      <c r="P367" s="109"/>
      <c r="Q367" s="109"/>
      <c r="R367" s="109"/>
      <c r="S367" s="109"/>
      <c r="T367" s="109"/>
      <c r="U367" s="109"/>
      <c r="V367" s="109"/>
      <c r="W367" s="109"/>
      <c r="X367" s="109"/>
      <c r="Y367" s="109"/>
      <c r="Z367" s="109"/>
    </row>
    <row r="368" spans="1:26" ht="11.25" customHeight="1">
      <c r="A368" s="109"/>
      <c r="B368" s="109"/>
      <c r="C368" s="109"/>
      <c r="D368" s="109"/>
      <c r="E368" s="109"/>
      <c r="F368" s="109"/>
      <c r="G368" s="109"/>
      <c r="H368" s="109"/>
      <c r="I368" s="109"/>
      <c r="J368" s="109"/>
      <c r="K368" s="109"/>
      <c r="L368" s="109"/>
      <c r="M368" s="109"/>
      <c r="N368" s="109"/>
      <c r="O368" s="109"/>
      <c r="P368" s="109"/>
      <c r="Q368" s="109"/>
      <c r="R368" s="109"/>
      <c r="S368" s="109"/>
      <c r="T368" s="109"/>
      <c r="U368" s="109"/>
      <c r="V368" s="109"/>
      <c r="W368" s="109"/>
      <c r="X368" s="109"/>
      <c r="Y368" s="109"/>
      <c r="Z368" s="109"/>
    </row>
    <row r="369" spans="1:26" ht="11.25" customHeight="1">
      <c r="A369" s="109"/>
      <c r="B369" s="109"/>
      <c r="C369" s="109"/>
      <c r="D369" s="109"/>
      <c r="E369" s="109"/>
      <c r="F369" s="109"/>
      <c r="G369" s="109"/>
      <c r="H369" s="109"/>
      <c r="I369" s="109"/>
      <c r="J369" s="109"/>
      <c r="K369" s="109"/>
      <c r="L369" s="109"/>
      <c r="M369" s="109"/>
      <c r="N369" s="109"/>
      <c r="O369" s="109"/>
      <c r="P369" s="109"/>
      <c r="Q369" s="109"/>
      <c r="R369" s="109"/>
      <c r="S369" s="109"/>
      <c r="T369" s="109"/>
      <c r="U369" s="109"/>
      <c r="V369" s="109"/>
      <c r="W369" s="109"/>
      <c r="X369" s="109"/>
      <c r="Y369" s="109"/>
      <c r="Z369" s="109"/>
    </row>
    <row r="370" spans="1:26" ht="11.25" customHeight="1">
      <c r="A370" s="109"/>
      <c r="B370" s="109"/>
      <c r="C370" s="109"/>
      <c r="D370" s="109"/>
      <c r="E370" s="109"/>
      <c r="F370" s="109"/>
      <c r="G370" s="109"/>
      <c r="H370" s="109"/>
      <c r="I370" s="109"/>
      <c r="J370" s="109"/>
      <c r="K370" s="109"/>
      <c r="L370" s="109"/>
      <c r="M370" s="109"/>
      <c r="N370" s="109"/>
      <c r="O370" s="109"/>
      <c r="P370" s="109"/>
      <c r="Q370" s="109"/>
      <c r="R370" s="109"/>
      <c r="S370" s="109"/>
      <c r="T370" s="109"/>
      <c r="U370" s="109"/>
      <c r="V370" s="109"/>
      <c r="W370" s="109"/>
      <c r="X370" s="109"/>
      <c r="Y370" s="109"/>
      <c r="Z370" s="109"/>
    </row>
    <row r="371" spans="1:26" ht="11.25" customHeight="1">
      <c r="A371" s="109"/>
      <c r="B371" s="109"/>
      <c r="C371" s="109"/>
      <c r="D371" s="109"/>
      <c r="E371" s="109"/>
      <c r="F371" s="109"/>
      <c r="G371" s="109"/>
      <c r="H371" s="109"/>
      <c r="I371" s="109"/>
      <c r="J371" s="109"/>
      <c r="K371" s="109"/>
      <c r="L371" s="109"/>
      <c r="M371" s="109"/>
      <c r="N371" s="109"/>
      <c r="O371" s="109"/>
      <c r="P371" s="109"/>
      <c r="Q371" s="109"/>
      <c r="R371" s="109"/>
      <c r="S371" s="109"/>
      <c r="T371" s="109"/>
      <c r="U371" s="109"/>
      <c r="V371" s="109"/>
      <c r="W371" s="109"/>
      <c r="X371" s="109"/>
      <c r="Y371" s="109"/>
      <c r="Z371" s="109"/>
    </row>
    <row r="372" spans="1:26" ht="11.25" customHeight="1">
      <c r="A372" s="109"/>
      <c r="B372" s="109"/>
      <c r="C372" s="109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</row>
    <row r="373" spans="1:26" ht="11.25" customHeight="1">
      <c r="A373" s="109"/>
      <c r="B373" s="109"/>
      <c r="C373" s="109"/>
      <c r="D373" s="109"/>
      <c r="E373" s="109"/>
      <c r="F373" s="109"/>
      <c r="G373" s="109"/>
      <c r="H373" s="109"/>
      <c r="I373" s="109"/>
      <c r="J373" s="109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  <c r="Y373" s="109"/>
      <c r="Z373" s="109"/>
    </row>
    <row r="374" spans="1:26" ht="11.25" customHeight="1">
      <c r="A374" s="109"/>
      <c r="B374" s="109"/>
      <c r="C374" s="109"/>
      <c r="D374" s="109"/>
      <c r="E374" s="109"/>
      <c r="F374" s="109"/>
      <c r="G374" s="109"/>
      <c r="H374" s="109"/>
      <c r="I374" s="109"/>
      <c r="J374" s="109"/>
      <c r="K374" s="109"/>
      <c r="L374" s="109"/>
      <c r="M374" s="109"/>
      <c r="N374" s="109"/>
      <c r="O374" s="109"/>
      <c r="P374" s="109"/>
      <c r="Q374" s="109"/>
      <c r="R374" s="109"/>
      <c r="S374" s="109"/>
      <c r="T374" s="109"/>
      <c r="U374" s="109"/>
      <c r="V374" s="109"/>
      <c r="W374" s="109"/>
      <c r="X374" s="109"/>
      <c r="Y374" s="109"/>
      <c r="Z374" s="109"/>
    </row>
    <row r="375" spans="1:26" ht="11.25" customHeight="1">
      <c r="A375" s="109"/>
      <c r="B375" s="109"/>
      <c r="C375" s="109"/>
      <c r="D375" s="109"/>
      <c r="E375" s="109"/>
      <c r="F375" s="109"/>
      <c r="G375" s="109"/>
      <c r="H375" s="109"/>
      <c r="I375" s="109"/>
      <c r="J375" s="109"/>
      <c r="K375" s="109"/>
      <c r="L375" s="109"/>
      <c r="M375" s="109"/>
      <c r="N375" s="109"/>
      <c r="O375" s="109"/>
      <c r="P375" s="109"/>
      <c r="Q375" s="109"/>
      <c r="R375" s="109"/>
      <c r="S375" s="109"/>
      <c r="T375" s="109"/>
      <c r="U375" s="109"/>
      <c r="V375" s="109"/>
      <c r="W375" s="109"/>
      <c r="X375" s="109"/>
      <c r="Y375" s="109"/>
      <c r="Z375" s="109"/>
    </row>
    <row r="376" spans="1:26" ht="11.25" customHeight="1">
      <c r="A376" s="109"/>
      <c r="B376" s="109"/>
      <c r="C376" s="109"/>
      <c r="D376" s="109"/>
      <c r="E376" s="109"/>
      <c r="F376" s="109"/>
      <c r="G376" s="109"/>
      <c r="H376" s="109"/>
      <c r="I376" s="109"/>
      <c r="J376" s="109"/>
      <c r="K376" s="109"/>
      <c r="L376" s="109"/>
      <c r="M376" s="109"/>
      <c r="N376" s="109"/>
      <c r="O376" s="109"/>
      <c r="P376" s="109"/>
      <c r="Q376" s="109"/>
      <c r="R376" s="109"/>
      <c r="S376" s="109"/>
      <c r="T376" s="109"/>
      <c r="U376" s="109"/>
      <c r="V376" s="109"/>
      <c r="W376" s="109"/>
      <c r="X376" s="109"/>
      <c r="Y376" s="109"/>
      <c r="Z376" s="109"/>
    </row>
    <row r="377" spans="1:26" ht="11.25" customHeight="1">
      <c r="A377" s="109"/>
      <c r="B377" s="109"/>
      <c r="C377" s="109"/>
      <c r="D377" s="109"/>
      <c r="E377" s="109"/>
      <c r="F377" s="109"/>
      <c r="G377" s="109"/>
      <c r="H377" s="109"/>
      <c r="I377" s="109"/>
      <c r="J377" s="109"/>
      <c r="K377" s="109"/>
      <c r="L377" s="109"/>
      <c r="M377" s="109"/>
      <c r="N377" s="109"/>
      <c r="O377" s="109"/>
      <c r="P377" s="109"/>
      <c r="Q377" s="109"/>
      <c r="R377" s="109"/>
      <c r="S377" s="109"/>
      <c r="T377" s="109"/>
      <c r="U377" s="109"/>
      <c r="V377" s="109"/>
      <c r="W377" s="109"/>
      <c r="X377" s="109"/>
      <c r="Y377" s="109"/>
      <c r="Z377" s="109"/>
    </row>
    <row r="378" spans="1:26" ht="11.25" customHeight="1">
      <c r="A378" s="109"/>
      <c r="B378" s="109"/>
      <c r="C378" s="109"/>
      <c r="D378" s="109"/>
      <c r="E378" s="109"/>
      <c r="F378" s="109"/>
      <c r="G378" s="109"/>
      <c r="H378" s="109"/>
      <c r="I378" s="109"/>
      <c r="J378" s="109"/>
      <c r="K378" s="109"/>
      <c r="L378" s="109"/>
      <c r="M378" s="109"/>
      <c r="N378" s="109"/>
      <c r="O378" s="109"/>
      <c r="P378" s="109"/>
      <c r="Q378" s="109"/>
      <c r="R378" s="109"/>
      <c r="S378" s="109"/>
      <c r="T378" s="109"/>
      <c r="U378" s="109"/>
      <c r="V378" s="109"/>
      <c r="W378" s="109"/>
      <c r="X378" s="109"/>
      <c r="Y378" s="109"/>
      <c r="Z378" s="109"/>
    </row>
    <row r="379" spans="1:26" ht="11.25" customHeight="1">
      <c r="A379" s="109"/>
      <c r="B379" s="109"/>
      <c r="C379" s="109"/>
      <c r="D379" s="109"/>
      <c r="E379" s="109"/>
      <c r="F379" s="109"/>
      <c r="G379" s="109"/>
      <c r="H379" s="109"/>
      <c r="I379" s="109"/>
      <c r="J379" s="109"/>
      <c r="K379" s="109"/>
      <c r="L379" s="109"/>
      <c r="M379" s="109"/>
      <c r="N379" s="109"/>
      <c r="O379" s="109"/>
      <c r="P379" s="109"/>
      <c r="Q379" s="109"/>
      <c r="R379" s="109"/>
      <c r="S379" s="109"/>
      <c r="T379" s="109"/>
      <c r="U379" s="109"/>
      <c r="V379" s="109"/>
      <c r="W379" s="109"/>
      <c r="X379" s="109"/>
      <c r="Y379" s="109"/>
      <c r="Z379" s="109"/>
    </row>
    <row r="380" spans="1:26" ht="11.25" customHeight="1">
      <c r="A380" s="109"/>
      <c r="B380" s="109"/>
      <c r="C380" s="109"/>
      <c r="D380" s="109"/>
      <c r="E380" s="109"/>
      <c r="F380" s="109"/>
      <c r="G380" s="109"/>
      <c r="H380" s="109"/>
      <c r="I380" s="109"/>
      <c r="J380" s="109"/>
      <c r="K380" s="109"/>
      <c r="L380" s="109"/>
      <c r="M380" s="109"/>
      <c r="N380" s="109"/>
      <c r="O380" s="109"/>
      <c r="P380" s="109"/>
      <c r="Q380" s="109"/>
      <c r="R380" s="109"/>
      <c r="S380" s="109"/>
      <c r="T380" s="109"/>
      <c r="U380" s="109"/>
      <c r="V380" s="109"/>
      <c r="W380" s="109"/>
      <c r="X380" s="109"/>
      <c r="Y380" s="109"/>
      <c r="Z380" s="109"/>
    </row>
    <row r="381" spans="1:26" ht="11.25" customHeight="1">
      <c r="A381" s="109"/>
      <c r="B381" s="109"/>
      <c r="C381" s="109"/>
      <c r="D381" s="109"/>
      <c r="E381" s="109"/>
      <c r="F381" s="109"/>
      <c r="G381" s="109"/>
      <c r="H381" s="109"/>
      <c r="I381" s="109"/>
      <c r="J381" s="109"/>
      <c r="K381" s="109"/>
      <c r="L381" s="109"/>
      <c r="M381" s="109"/>
      <c r="N381" s="109"/>
      <c r="O381" s="109"/>
      <c r="P381" s="109"/>
      <c r="Q381" s="109"/>
      <c r="R381" s="109"/>
      <c r="S381" s="109"/>
      <c r="T381" s="109"/>
      <c r="U381" s="109"/>
      <c r="V381" s="109"/>
      <c r="W381" s="109"/>
      <c r="X381" s="109"/>
      <c r="Y381" s="109"/>
      <c r="Z381" s="109"/>
    </row>
    <row r="382" spans="1:26" ht="11.25" customHeight="1">
      <c r="A382" s="109"/>
      <c r="B382" s="109"/>
      <c r="C382" s="109"/>
      <c r="D382" s="109"/>
      <c r="E382" s="109"/>
      <c r="F382" s="109"/>
      <c r="G382" s="109"/>
      <c r="H382" s="109"/>
      <c r="I382" s="109"/>
      <c r="J382" s="109"/>
      <c r="K382" s="109"/>
      <c r="L382" s="109"/>
      <c r="M382" s="109"/>
      <c r="N382" s="109"/>
      <c r="O382" s="109"/>
      <c r="P382" s="109"/>
      <c r="Q382" s="109"/>
      <c r="R382" s="109"/>
      <c r="S382" s="109"/>
      <c r="T382" s="109"/>
      <c r="U382" s="109"/>
      <c r="V382" s="109"/>
      <c r="W382" s="109"/>
      <c r="X382" s="109"/>
      <c r="Y382" s="109"/>
      <c r="Z382" s="109"/>
    </row>
    <row r="383" spans="1:26" ht="11.25" customHeight="1">
      <c r="A383" s="109"/>
      <c r="B383" s="109"/>
      <c r="C383" s="109"/>
      <c r="D383" s="109"/>
      <c r="E383" s="109"/>
      <c r="F383" s="109"/>
      <c r="G383" s="109"/>
      <c r="H383" s="109"/>
      <c r="I383" s="109"/>
      <c r="J383" s="109"/>
      <c r="K383" s="109"/>
      <c r="L383" s="109"/>
      <c r="M383" s="109"/>
      <c r="N383" s="109"/>
      <c r="O383" s="109"/>
      <c r="P383" s="109"/>
      <c r="Q383" s="109"/>
      <c r="R383" s="109"/>
      <c r="S383" s="109"/>
      <c r="T383" s="109"/>
      <c r="U383" s="109"/>
      <c r="V383" s="109"/>
      <c r="W383" s="109"/>
      <c r="X383" s="109"/>
      <c r="Y383" s="109"/>
      <c r="Z383" s="109"/>
    </row>
    <row r="384" spans="1:26" ht="11.25" customHeight="1">
      <c r="A384" s="109"/>
      <c r="B384" s="109"/>
      <c r="C384" s="109"/>
      <c r="D384" s="109"/>
      <c r="E384" s="109"/>
      <c r="F384" s="109"/>
      <c r="G384" s="109"/>
      <c r="H384" s="109"/>
      <c r="I384" s="109"/>
      <c r="J384" s="109"/>
      <c r="K384" s="109"/>
      <c r="L384" s="109"/>
      <c r="M384" s="109"/>
      <c r="N384" s="109"/>
      <c r="O384" s="109"/>
      <c r="P384" s="109"/>
      <c r="Q384" s="109"/>
      <c r="R384" s="109"/>
      <c r="S384" s="109"/>
      <c r="T384" s="109"/>
      <c r="U384" s="109"/>
      <c r="V384" s="109"/>
      <c r="W384" s="109"/>
      <c r="X384" s="109"/>
      <c r="Y384" s="109"/>
      <c r="Z384" s="109"/>
    </row>
    <row r="385" spans="1:26" ht="11.25" customHeight="1">
      <c r="A385" s="109"/>
      <c r="B385" s="109"/>
      <c r="C385" s="109"/>
      <c r="D385" s="109"/>
      <c r="E385" s="109"/>
      <c r="F385" s="109"/>
      <c r="G385" s="109"/>
      <c r="H385" s="109"/>
      <c r="I385" s="109"/>
      <c r="J385" s="109"/>
      <c r="K385" s="109"/>
      <c r="L385" s="109"/>
      <c r="M385" s="109"/>
      <c r="N385" s="109"/>
      <c r="O385" s="109"/>
      <c r="P385" s="109"/>
      <c r="Q385" s="109"/>
      <c r="R385" s="109"/>
      <c r="S385" s="109"/>
      <c r="T385" s="109"/>
      <c r="U385" s="109"/>
      <c r="V385" s="109"/>
      <c r="W385" s="109"/>
      <c r="X385" s="109"/>
      <c r="Y385" s="109"/>
      <c r="Z385" s="109"/>
    </row>
    <row r="386" spans="1:26" ht="11.25" customHeight="1">
      <c r="A386" s="109"/>
      <c r="B386" s="109"/>
      <c r="C386" s="109"/>
      <c r="D386" s="109"/>
      <c r="E386" s="109"/>
      <c r="F386" s="109"/>
      <c r="G386" s="109"/>
      <c r="H386" s="109"/>
      <c r="I386" s="109"/>
      <c r="J386" s="109"/>
      <c r="K386" s="109"/>
      <c r="L386" s="109"/>
      <c r="M386" s="109"/>
      <c r="N386" s="109"/>
      <c r="O386" s="109"/>
      <c r="P386" s="109"/>
      <c r="Q386" s="109"/>
      <c r="R386" s="109"/>
      <c r="S386" s="109"/>
      <c r="T386" s="109"/>
      <c r="U386" s="109"/>
      <c r="V386" s="109"/>
      <c r="W386" s="109"/>
      <c r="X386" s="109"/>
      <c r="Y386" s="109"/>
      <c r="Z386" s="109"/>
    </row>
    <row r="387" spans="1:26" ht="11.25" customHeight="1">
      <c r="A387" s="109"/>
      <c r="B387" s="109"/>
      <c r="C387" s="109"/>
      <c r="D387" s="109"/>
      <c r="E387" s="109"/>
      <c r="F387" s="109"/>
      <c r="G387" s="109"/>
      <c r="H387" s="109"/>
      <c r="I387" s="109"/>
      <c r="J387" s="109"/>
      <c r="K387" s="109"/>
      <c r="L387" s="109"/>
      <c r="M387" s="109"/>
      <c r="N387" s="109"/>
      <c r="O387" s="109"/>
      <c r="P387" s="109"/>
      <c r="Q387" s="109"/>
      <c r="R387" s="109"/>
      <c r="S387" s="109"/>
      <c r="T387" s="109"/>
      <c r="U387" s="109"/>
      <c r="V387" s="109"/>
      <c r="W387" s="109"/>
      <c r="X387" s="109"/>
      <c r="Y387" s="109"/>
      <c r="Z387" s="109"/>
    </row>
    <row r="388" spans="1:26" ht="11.25" customHeight="1">
      <c r="A388" s="109"/>
      <c r="B388" s="109"/>
      <c r="C388" s="109"/>
      <c r="D388" s="109"/>
      <c r="E388" s="109"/>
      <c r="F388" s="109"/>
      <c r="G388" s="109"/>
      <c r="H388" s="109"/>
      <c r="I388" s="109"/>
      <c r="J388" s="109"/>
      <c r="K388" s="109"/>
      <c r="L388" s="109"/>
      <c r="M388" s="109"/>
      <c r="N388" s="109"/>
      <c r="O388" s="109"/>
      <c r="P388" s="109"/>
      <c r="Q388" s="109"/>
      <c r="R388" s="109"/>
      <c r="S388" s="109"/>
      <c r="T388" s="109"/>
      <c r="U388" s="109"/>
      <c r="V388" s="109"/>
      <c r="W388" s="109"/>
      <c r="X388" s="109"/>
      <c r="Y388" s="109"/>
      <c r="Z388" s="109"/>
    </row>
    <row r="389" spans="1:26" ht="11.25" customHeight="1">
      <c r="A389" s="109"/>
      <c r="B389" s="109"/>
      <c r="C389" s="109"/>
      <c r="D389" s="109"/>
      <c r="E389" s="109"/>
      <c r="F389" s="109"/>
      <c r="G389" s="109"/>
      <c r="H389" s="109"/>
      <c r="I389" s="109"/>
      <c r="J389" s="109"/>
      <c r="K389" s="109"/>
      <c r="L389" s="109"/>
      <c r="M389" s="109"/>
      <c r="N389" s="109"/>
      <c r="O389" s="109"/>
      <c r="P389" s="109"/>
      <c r="Q389" s="109"/>
      <c r="R389" s="109"/>
      <c r="S389" s="109"/>
      <c r="T389" s="109"/>
      <c r="U389" s="109"/>
      <c r="V389" s="109"/>
      <c r="W389" s="109"/>
      <c r="X389" s="109"/>
      <c r="Y389" s="109"/>
      <c r="Z389" s="109"/>
    </row>
    <row r="390" spans="1:26" ht="11.25" customHeight="1">
      <c r="A390" s="109"/>
      <c r="B390" s="109"/>
      <c r="C390" s="109"/>
      <c r="D390" s="109"/>
      <c r="E390" s="109"/>
      <c r="F390" s="109"/>
      <c r="G390" s="109"/>
      <c r="H390" s="109"/>
      <c r="I390" s="109"/>
      <c r="J390" s="109"/>
      <c r="K390" s="109"/>
      <c r="L390" s="109"/>
      <c r="M390" s="109"/>
      <c r="N390" s="109"/>
      <c r="O390" s="109"/>
      <c r="P390" s="109"/>
      <c r="Q390" s="109"/>
      <c r="R390" s="109"/>
      <c r="S390" s="109"/>
      <c r="T390" s="109"/>
      <c r="U390" s="109"/>
      <c r="V390" s="109"/>
      <c r="W390" s="109"/>
      <c r="X390" s="109"/>
      <c r="Y390" s="109"/>
      <c r="Z390" s="109"/>
    </row>
    <row r="391" spans="1:26" ht="11.25" customHeight="1">
      <c r="A391" s="109"/>
      <c r="B391" s="109"/>
      <c r="C391" s="109"/>
      <c r="D391" s="109"/>
      <c r="E391" s="109"/>
      <c r="F391" s="109"/>
      <c r="G391" s="109"/>
      <c r="H391" s="109"/>
      <c r="I391" s="109"/>
      <c r="J391" s="109"/>
      <c r="K391" s="109"/>
      <c r="L391" s="109"/>
      <c r="M391" s="109"/>
      <c r="N391" s="109"/>
      <c r="O391" s="109"/>
      <c r="P391" s="109"/>
      <c r="Q391" s="109"/>
      <c r="R391" s="109"/>
      <c r="S391" s="109"/>
      <c r="T391" s="109"/>
      <c r="U391" s="109"/>
      <c r="V391" s="109"/>
      <c r="W391" s="109"/>
      <c r="X391" s="109"/>
      <c r="Y391" s="109"/>
      <c r="Z391" s="109"/>
    </row>
    <row r="392" spans="1:26" ht="11.25" customHeight="1">
      <c r="A392" s="109"/>
      <c r="B392" s="109"/>
      <c r="C392" s="109"/>
      <c r="D392" s="109"/>
      <c r="E392" s="109"/>
      <c r="F392" s="109"/>
      <c r="G392" s="109"/>
      <c r="H392" s="109"/>
      <c r="I392" s="109"/>
      <c r="J392" s="109"/>
      <c r="K392" s="109"/>
      <c r="L392" s="109"/>
      <c r="M392" s="109"/>
      <c r="N392" s="109"/>
      <c r="O392" s="109"/>
      <c r="P392" s="109"/>
      <c r="Q392" s="109"/>
      <c r="R392" s="109"/>
      <c r="S392" s="109"/>
      <c r="T392" s="109"/>
      <c r="U392" s="109"/>
      <c r="V392" s="109"/>
      <c r="W392" s="109"/>
      <c r="X392" s="109"/>
      <c r="Y392" s="109"/>
      <c r="Z392" s="109"/>
    </row>
    <row r="393" spans="1:26" ht="11.25" customHeight="1">
      <c r="A393" s="109"/>
      <c r="B393" s="109"/>
      <c r="C393" s="109"/>
      <c r="D393" s="109"/>
      <c r="E393" s="109"/>
      <c r="F393" s="109"/>
      <c r="G393" s="109"/>
      <c r="H393" s="109"/>
      <c r="I393" s="109"/>
      <c r="J393" s="109"/>
      <c r="K393" s="109"/>
      <c r="L393" s="109"/>
      <c r="M393" s="109"/>
      <c r="N393" s="109"/>
      <c r="O393" s="109"/>
      <c r="P393" s="109"/>
      <c r="Q393" s="109"/>
      <c r="R393" s="109"/>
      <c r="S393" s="109"/>
      <c r="T393" s="109"/>
      <c r="U393" s="109"/>
      <c r="V393" s="109"/>
      <c r="W393" s="109"/>
      <c r="X393" s="109"/>
      <c r="Y393" s="109"/>
      <c r="Z393" s="109"/>
    </row>
    <row r="394" spans="1:26" ht="11.25" customHeight="1">
      <c r="A394" s="109"/>
      <c r="B394" s="109"/>
      <c r="C394" s="109"/>
      <c r="D394" s="109"/>
      <c r="E394" s="109"/>
      <c r="F394" s="109"/>
      <c r="G394" s="109"/>
      <c r="H394" s="109"/>
      <c r="I394" s="109"/>
      <c r="J394" s="109"/>
      <c r="K394" s="109"/>
      <c r="L394" s="109"/>
      <c r="M394" s="109"/>
      <c r="N394" s="109"/>
      <c r="O394" s="109"/>
      <c r="P394" s="109"/>
      <c r="Q394" s="109"/>
      <c r="R394" s="109"/>
      <c r="S394" s="109"/>
      <c r="T394" s="109"/>
      <c r="U394" s="109"/>
      <c r="V394" s="109"/>
      <c r="W394" s="109"/>
      <c r="X394" s="109"/>
      <c r="Y394" s="109"/>
      <c r="Z394" s="109"/>
    </row>
    <row r="395" spans="1:26" ht="11.25" customHeight="1">
      <c r="A395" s="109"/>
      <c r="B395" s="109"/>
      <c r="C395" s="109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</row>
    <row r="396" spans="1:26" ht="11.25" customHeight="1">
      <c r="A396" s="109"/>
      <c r="B396" s="109"/>
      <c r="C396" s="109"/>
      <c r="D396" s="109"/>
      <c r="E396" s="109"/>
      <c r="F396" s="109"/>
      <c r="G396" s="109"/>
      <c r="H396" s="109"/>
      <c r="I396" s="109"/>
      <c r="J396" s="109"/>
      <c r="K396" s="109"/>
      <c r="L396" s="109"/>
      <c r="M396" s="109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  <c r="Y396" s="109"/>
      <c r="Z396" s="109"/>
    </row>
    <row r="397" spans="1:26" ht="11.25" customHeight="1">
      <c r="A397" s="109"/>
      <c r="B397" s="109"/>
      <c r="C397" s="109"/>
      <c r="D397" s="109"/>
      <c r="E397" s="109"/>
      <c r="F397" s="109"/>
      <c r="G397" s="109"/>
      <c r="H397" s="109"/>
      <c r="I397" s="109"/>
      <c r="J397" s="109"/>
      <c r="K397" s="109"/>
      <c r="L397" s="109"/>
      <c r="M397" s="109"/>
      <c r="N397" s="109"/>
      <c r="O397" s="109"/>
      <c r="P397" s="109"/>
      <c r="Q397" s="109"/>
      <c r="R397" s="109"/>
      <c r="S397" s="109"/>
      <c r="T397" s="109"/>
      <c r="U397" s="109"/>
      <c r="V397" s="109"/>
      <c r="W397" s="109"/>
      <c r="X397" s="109"/>
      <c r="Y397" s="109"/>
      <c r="Z397" s="109"/>
    </row>
    <row r="398" spans="1:26" ht="11.25" customHeight="1">
      <c r="A398" s="109"/>
      <c r="B398" s="109"/>
      <c r="C398" s="109"/>
      <c r="D398" s="109"/>
      <c r="E398" s="109"/>
      <c r="F398" s="109"/>
      <c r="G398" s="109"/>
      <c r="H398" s="109"/>
      <c r="I398" s="109"/>
      <c r="J398" s="109"/>
      <c r="K398" s="109"/>
      <c r="L398" s="109"/>
      <c r="M398" s="109"/>
      <c r="N398" s="109"/>
      <c r="O398" s="109"/>
      <c r="P398" s="109"/>
      <c r="Q398" s="109"/>
      <c r="R398" s="109"/>
      <c r="S398" s="109"/>
      <c r="T398" s="109"/>
      <c r="U398" s="109"/>
      <c r="V398" s="109"/>
      <c r="W398" s="109"/>
      <c r="X398" s="109"/>
      <c r="Y398" s="109"/>
      <c r="Z398" s="109"/>
    </row>
    <row r="399" spans="1:26" ht="11.25" customHeight="1">
      <c r="A399" s="109"/>
      <c r="B399" s="109"/>
      <c r="C399" s="109"/>
      <c r="D399" s="109"/>
      <c r="E399" s="109"/>
      <c r="F399" s="109"/>
      <c r="G399" s="109"/>
      <c r="H399" s="109"/>
      <c r="I399" s="109"/>
      <c r="J399" s="109"/>
      <c r="K399" s="109"/>
      <c r="L399" s="109"/>
      <c r="M399" s="109"/>
      <c r="N399" s="109"/>
      <c r="O399" s="109"/>
      <c r="P399" s="109"/>
      <c r="Q399" s="109"/>
      <c r="R399" s="109"/>
      <c r="S399" s="109"/>
      <c r="T399" s="109"/>
      <c r="U399" s="109"/>
      <c r="V399" s="109"/>
      <c r="W399" s="109"/>
      <c r="X399" s="109"/>
      <c r="Y399" s="109"/>
      <c r="Z399" s="109"/>
    </row>
    <row r="400" spans="1:26" ht="11.25" customHeight="1">
      <c r="A400" s="109"/>
      <c r="B400" s="109"/>
      <c r="C400" s="109"/>
      <c r="D400" s="109"/>
      <c r="E400" s="109"/>
      <c r="F400" s="109"/>
      <c r="G400" s="109"/>
      <c r="H400" s="109"/>
      <c r="I400" s="109"/>
      <c r="J400" s="109"/>
      <c r="K400" s="109"/>
      <c r="L400" s="109"/>
      <c r="M400" s="109"/>
      <c r="N400" s="109"/>
      <c r="O400" s="109"/>
      <c r="P400" s="109"/>
      <c r="Q400" s="109"/>
      <c r="R400" s="109"/>
      <c r="S400" s="109"/>
      <c r="T400" s="109"/>
      <c r="U400" s="109"/>
      <c r="V400" s="109"/>
      <c r="W400" s="109"/>
      <c r="X400" s="109"/>
      <c r="Y400" s="109"/>
      <c r="Z400" s="109"/>
    </row>
    <row r="401" spans="1:26" ht="11.25" customHeight="1">
      <c r="A401" s="109"/>
      <c r="B401" s="109"/>
      <c r="C401" s="109"/>
      <c r="D401" s="109"/>
      <c r="E401" s="109"/>
      <c r="F401" s="109"/>
      <c r="G401" s="109"/>
      <c r="H401" s="109"/>
      <c r="I401" s="109"/>
      <c r="J401" s="109"/>
      <c r="K401" s="109"/>
      <c r="L401" s="109"/>
      <c r="M401" s="109"/>
      <c r="N401" s="109"/>
      <c r="O401" s="109"/>
      <c r="P401" s="109"/>
      <c r="Q401" s="109"/>
      <c r="R401" s="109"/>
      <c r="S401" s="109"/>
      <c r="T401" s="109"/>
      <c r="U401" s="109"/>
      <c r="V401" s="109"/>
      <c r="W401" s="109"/>
      <c r="X401" s="109"/>
      <c r="Y401" s="109"/>
      <c r="Z401" s="109"/>
    </row>
    <row r="402" spans="1:26" ht="11.25" customHeight="1">
      <c r="A402" s="109"/>
      <c r="B402" s="109"/>
      <c r="C402" s="109"/>
      <c r="D402" s="109"/>
      <c r="E402" s="109"/>
      <c r="F402" s="109"/>
      <c r="G402" s="109"/>
      <c r="H402" s="109"/>
      <c r="I402" s="109"/>
      <c r="J402" s="109"/>
      <c r="K402" s="109"/>
      <c r="L402" s="109"/>
      <c r="M402" s="109"/>
      <c r="N402" s="109"/>
      <c r="O402" s="109"/>
      <c r="P402" s="109"/>
      <c r="Q402" s="109"/>
      <c r="R402" s="109"/>
      <c r="S402" s="109"/>
      <c r="T402" s="109"/>
      <c r="U402" s="109"/>
      <c r="V402" s="109"/>
      <c r="W402" s="109"/>
      <c r="X402" s="109"/>
      <c r="Y402" s="109"/>
      <c r="Z402" s="109"/>
    </row>
    <row r="403" spans="1:26" ht="11.25" customHeight="1">
      <c r="A403" s="109"/>
      <c r="B403" s="109"/>
      <c r="C403" s="109"/>
      <c r="D403" s="109"/>
      <c r="E403" s="109"/>
      <c r="F403" s="109"/>
      <c r="G403" s="109"/>
      <c r="H403" s="109"/>
      <c r="I403" s="109"/>
      <c r="J403" s="109"/>
      <c r="K403" s="109"/>
      <c r="L403" s="109"/>
      <c r="M403" s="109"/>
      <c r="N403" s="109"/>
      <c r="O403" s="109"/>
      <c r="P403" s="109"/>
      <c r="Q403" s="109"/>
      <c r="R403" s="109"/>
      <c r="S403" s="109"/>
      <c r="T403" s="109"/>
      <c r="U403" s="109"/>
      <c r="V403" s="109"/>
      <c r="W403" s="109"/>
      <c r="X403" s="109"/>
      <c r="Y403" s="109"/>
      <c r="Z403" s="109"/>
    </row>
    <row r="404" spans="1:26" ht="11.25" customHeight="1">
      <c r="A404" s="109"/>
      <c r="B404" s="109"/>
      <c r="C404" s="109"/>
      <c r="D404" s="109"/>
      <c r="E404" s="109"/>
      <c r="F404" s="109"/>
      <c r="G404" s="109"/>
      <c r="H404" s="109"/>
      <c r="I404" s="109"/>
      <c r="J404" s="109"/>
      <c r="K404" s="109"/>
      <c r="L404" s="109"/>
      <c r="M404" s="109"/>
      <c r="N404" s="109"/>
      <c r="O404" s="109"/>
      <c r="P404" s="109"/>
      <c r="Q404" s="109"/>
      <c r="R404" s="109"/>
      <c r="S404" s="109"/>
      <c r="T404" s="109"/>
      <c r="U404" s="109"/>
      <c r="V404" s="109"/>
      <c r="W404" s="109"/>
      <c r="X404" s="109"/>
      <c r="Y404" s="109"/>
      <c r="Z404" s="109"/>
    </row>
    <row r="405" spans="1:26" ht="11.25" customHeight="1">
      <c r="A405" s="109"/>
      <c r="B405" s="109"/>
      <c r="C405" s="109"/>
      <c r="D405" s="109"/>
      <c r="E405" s="109"/>
      <c r="F405" s="109"/>
      <c r="G405" s="109"/>
      <c r="H405" s="109"/>
      <c r="I405" s="109"/>
      <c r="J405" s="109"/>
      <c r="K405" s="109"/>
      <c r="L405" s="109"/>
      <c r="M405" s="109"/>
      <c r="N405" s="109"/>
      <c r="O405" s="109"/>
      <c r="P405" s="109"/>
      <c r="Q405" s="109"/>
      <c r="R405" s="109"/>
      <c r="S405" s="109"/>
      <c r="T405" s="109"/>
      <c r="U405" s="109"/>
      <c r="V405" s="109"/>
      <c r="W405" s="109"/>
      <c r="X405" s="109"/>
      <c r="Y405" s="109"/>
      <c r="Z405" s="109"/>
    </row>
    <row r="406" spans="1:26" ht="11.25" customHeight="1">
      <c r="A406" s="109"/>
      <c r="B406" s="109"/>
      <c r="C406" s="109"/>
      <c r="D406" s="109"/>
      <c r="E406" s="109"/>
      <c r="F406" s="109"/>
      <c r="G406" s="109"/>
      <c r="H406" s="109"/>
      <c r="I406" s="109"/>
      <c r="J406" s="109"/>
      <c r="K406" s="109"/>
      <c r="L406" s="109"/>
      <c r="M406" s="109"/>
      <c r="N406" s="109"/>
      <c r="O406" s="109"/>
      <c r="P406" s="109"/>
      <c r="Q406" s="109"/>
      <c r="R406" s="109"/>
      <c r="S406" s="109"/>
      <c r="T406" s="109"/>
      <c r="U406" s="109"/>
      <c r="V406" s="109"/>
      <c r="W406" s="109"/>
      <c r="X406" s="109"/>
      <c r="Y406" s="109"/>
      <c r="Z406" s="109"/>
    </row>
    <row r="407" spans="1:26" ht="11.25" customHeight="1">
      <c r="A407" s="109"/>
      <c r="B407" s="109"/>
      <c r="C407" s="109"/>
      <c r="D407" s="109"/>
      <c r="E407" s="109"/>
      <c r="F407" s="109"/>
      <c r="G407" s="109"/>
      <c r="H407" s="109"/>
      <c r="I407" s="109"/>
      <c r="J407" s="109"/>
      <c r="K407" s="109"/>
      <c r="L407" s="109"/>
      <c r="M407" s="109"/>
      <c r="N407" s="109"/>
      <c r="O407" s="109"/>
      <c r="P407" s="109"/>
      <c r="Q407" s="109"/>
      <c r="R407" s="109"/>
      <c r="S407" s="109"/>
      <c r="T407" s="109"/>
      <c r="U407" s="109"/>
      <c r="V407" s="109"/>
      <c r="W407" s="109"/>
      <c r="X407" s="109"/>
      <c r="Y407" s="109"/>
      <c r="Z407" s="109"/>
    </row>
    <row r="408" spans="1:26" ht="11.25" customHeight="1">
      <c r="A408" s="109"/>
      <c r="B408" s="109"/>
      <c r="C408" s="109"/>
      <c r="D408" s="109"/>
      <c r="E408" s="109"/>
      <c r="F408" s="109"/>
      <c r="G408" s="109"/>
      <c r="H408" s="109"/>
      <c r="I408" s="109"/>
      <c r="J408" s="109"/>
      <c r="K408" s="109"/>
      <c r="L408" s="109"/>
      <c r="M408" s="109"/>
      <c r="N408" s="109"/>
      <c r="O408" s="109"/>
      <c r="P408" s="109"/>
      <c r="Q408" s="109"/>
      <c r="R408" s="109"/>
      <c r="S408" s="109"/>
      <c r="T408" s="109"/>
      <c r="U408" s="109"/>
      <c r="V408" s="109"/>
      <c r="W408" s="109"/>
      <c r="X408" s="109"/>
      <c r="Y408" s="109"/>
      <c r="Z408" s="109"/>
    </row>
    <row r="409" spans="1:26" ht="11.25" customHeight="1">
      <c r="A409" s="109"/>
      <c r="B409" s="109"/>
      <c r="C409" s="109"/>
      <c r="D409" s="109"/>
      <c r="E409" s="109"/>
      <c r="F409" s="109"/>
      <c r="G409" s="109"/>
      <c r="H409" s="109"/>
      <c r="I409" s="109"/>
      <c r="J409" s="109"/>
      <c r="K409" s="109"/>
      <c r="L409" s="109"/>
      <c r="M409" s="109"/>
      <c r="N409" s="109"/>
      <c r="O409" s="109"/>
      <c r="P409" s="109"/>
      <c r="Q409" s="109"/>
      <c r="R409" s="109"/>
      <c r="S409" s="109"/>
      <c r="T409" s="109"/>
      <c r="U409" s="109"/>
      <c r="V409" s="109"/>
      <c r="W409" s="109"/>
      <c r="X409" s="109"/>
      <c r="Y409" s="109"/>
      <c r="Z409" s="109"/>
    </row>
    <row r="410" spans="1:26" ht="11.25" customHeight="1">
      <c r="A410" s="109"/>
      <c r="B410" s="109"/>
      <c r="C410" s="109"/>
      <c r="D410" s="109"/>
      <c r="E410" s="109"/>
      <c r="F410" s="109"/>
      <c r="G410" s="109"/>
      <c r="H410" s="109"/>
      <c r="I410" s="109"/>
      <c r="J410" s="109"/>
      <c r="K410" s="109"/>
      <c r="L410" s="109"/>
      <c r="M410" s="109"/>
      <c r="N410" s="109"/>
      <c r="O410" s="109"/>
      <c r="P410" s="109"/>
      <c r="Q410" s="109"/>
      <c r="R410" s="109"/>
      <c r="S410" s="109"/>
      <c r="T410" s="109"/>
      <c r="U410" s="109"/>
      <c r="V410" s="109"/>
      <c r="W410" s="109"/>
      <c r="X410" s="109"/>
      <c r="Y410" s="109"/>
      <c r="Z410" s="109"/>
    </row>
    <row r="411" spans="1:26" ht="11.25" customHeight="1">
      <c r="A411" s="109"/>
      <c r="B411" s="109"/>
      <c r="C411" s="109"/>
      <c r="D411" s="109"/>
      <c r="E411" s="109"/>
      <c r="F411" s="109"/>
      <c r="G411" s="109"/>
      <c r="H411" s="109"/>
      <c r="I411" s="109"/>
      <c r="J411" s="109"/>
      <c r="K411" s="109"/>
      <c r="L411" s="109"/>
      <c r="M411" s="109"/>
      <c r="N411" s="109"/>
      <c r="O411" s="109"/>
      <c r="P411" s="109"/>
      <c r="Q411" s="109"/>
      <c r="R411" s="109"/>
      <c r="S411" s="109"/>
      <c r="T411" s="109"/>
      <c r="U411" s="109"/>
      <c r="V411" s="109"/>
      <c r="W411" s="109"/>
      <c r="X411" s="109"/>
      <c r="Y411" s="109"/>
      <c r="Z411" s="109"/>
    </row>
    <row r="412" spans="1:26" ht="11.25" customHeight="1">
      <c r="A412" s="109"/>
      <c r="B412" s="109"/>
      <c r="C412" s="109"/>
      <c r="D412" s="109"/>
      <c r="E412" s="109"/>
      <c r="F412" s="109"/>
      <c r="G412" s="109"/>
      <c r="H412" s="109"/>
      <c r="I412" s="109"/>
      <c r="J412" s="109"/>
      <c r="K412" s="109"/>
      <c r="L412" s="109"/>
      <c r="M412" s="109"/>
      <c r="N412" s="109"/>
      <c r="O412" s="109"/>
      <c r="P412" s="109"/>
      <c r="Q412" s="109"/>
      <c r="R412" s="109"/>
      <c r="S412" s="109"/>
      <c r="T412" s="109"/>
      <c r="U412" s="109"/>
      <c r="V412" s="109"/>
      <c r="W412" s="109"/>
      <c r="X412" s="109"/>
      <c r="Y412" s="109"/>
      <c r="Z412" s="109"/>
    </row>
    <row r="413" spans="1:26" ht="11.25" customHeight="1">
      <c r="A413" s="109"/>
      <c r="B413" s="109"/>
      <c r="C413" s="109"/>
      <c r="D413" s="109"/>
      <c r="E413" s="109"/>
      <c r="F413" s="109"/>
      <c r="G413" s="109"/>
      <c r="H413" s="109"/>
      <c r="I413" s="109"/>
      <c r="J413" s="109"/>
      <c r="K413" s="109"/>
      <c r="L413" s="109"/>
      <c r="M413" s="109"/>
      <c r="N413" s="109"/>
      <c r="O413" s="109"/>
      <c r="P413" s="109"/>
      <c r="Q413" s="109"/>
      <c r="R413" s="109"/>
      <c r="S413" s="109"/>
      <c r="T413" s="109"/>
      <c r="U413" s="109"/>
      <c r="V413" s="109"/>
      <c r="W413" s="109"/>
      <c r="X413" s="109"/>
      <c r="Y413" s="109"/>
      <c r="Z413" s="109"/>
    </row>
    <row r="414" spans="1:26" ht="11.25" customHeight="1">
      <c r="A414" s="109"/>
      <c r="B414" s="109"/>
      <c r="C414" s="109"/>
      <c r="D414" s="109"/>
      <c r="E414" s="109"/>
      <c r="F414" s="109"/>
      <c r="G414" s="109"/>
      <c r="H414" s="109"/>
      <c r="I414" s="109"/>
      <c r="J414" s="109"/>
      <c r="K414" s="109"/>
      <c r="L414" s="109"/>
      <c r="M414" s="109"/>
      <c r="N414" s="109"/>
      <c r="O414" s="109"/>
      <c r="P414" s="109"/>
      <c r="Q414" s="109"/>
      <c r="R414" s="109"/>
      <c r="S414" s="109"/>
      <c r="T414" s="109"/>
      <c r="U414" s="109"/>
      <c r="V414" s="109"/>
      <c r="W414" s="109"/>
      <c r="X414" s="109"/>
      <c r="Y414" s="109"/>
      <c r="Z414" s="109"/>
    </row>
    <row r="415" spans="1:26" ht="11.25" customHeight="1">
      <c r="A415" s="109"/>
      <c r="B415" s="109"/>
      <c r="C415" s="109"/>
      <c r="D415" s="109"/>
      <c r="E415" s="109"/>
      <c r="F415" s="109"/>
      <c r="G415" s="109"/>
      <c r="H415" s="109"/>
      <c r="I415" s="109"/>
      <c r="J415" s="109"/>
      <c r="K415" s="109"/>
      <c r="L415" s="109"/>
      <c r="M415" s="109"/>
      <c r="N415" s="109"/>
      <c r="O415" s="109"/>
      <c r="P415" s="109"/>
      <c r="Q415" s="109"/>
      <c r="R415" s="109"/>
      <c r="S415" s="109"/>
      <c r="T415" s="109"/>
      <c r="U415" s="109"/>
      <c r="V415" s="109"/>
      <c r="W415" s="109"/>
      <c r="X415" s="109"/>
      <c r="Y415" s="109"/>
      <c r="Z415" s="109"/>
    </row>
    <row r="416" spans="1:26" ht="11.25" customHeight="1">
      <c r="A416" s="109"/>
      <c r="B416" s="109"/>
      <c r="C416" s="109"/>
      <c r="D416" s="109"/>
      <c r="E416" s="109"/>
      <c r="F416" s="109"/>
      <c r="G416" s="109"/>
      <c r="H416" s="109"/>
      <c r="I416" s="109"/>
      <c r="J416" s="109"/>
      <c r="K416" s="109"/>
      <c r="L416" s="109"/>
      <c r="M416" s="109"/>
      <c r="N416" s="109"/>
      <c r="O416" s="109"/>
      <c r="P416" s="109"/>
      <c r="Q416" s="109"/>
      <c r="R416" s="109"/>
      <c r="S416" s="109"/>
      <c r="T416" s="109"/>
      <c r="U416" s="109"/>
      <c r="V416" s="109"/>
      <c r="W416" s="109"/>
      <c r="X416" s="109"/>
      <c r="Y416" s="109"/>
      <c r="Z416" s="109"/>
    </row>
    <row r="417" spans="1:26" ht="11.25" customHeight="1">
      <c r="A417" s="109"/>
      <c r="B417" s="109"/>
      <c r="C417" s="109"/>
      <c r="D417" s="109"/>
      <c r="E417" s="109"/>
      <c r="F417" s="109"/>
      <c r="G417" s="109"/>
      <c r="H417" s="109"/>
      <c r="I417" s="109"/>
      <c r="J417" s="109"/>
      <c r="K417" s="109"/>
      <c r="L417" s="109"/>
      <c r="M417" s="109"/>
      <c r="N417" s="109"/>
      <c r="O417" s="109"/>
      <c r="P417" s="109"/>
      <c r="Q417" s="109"/>
      <c r="R417" s="109"/>
      <c r="S417" s="109"/>
      <c r="T417" s="109"/>
      <c r="U417" s="109"/>
      <c r="V417" s="109"/>
      <c r="W417" s="109"/>
      <c r="X417" s="109"/>
      <c r="Y417" s="109"/>
      <c r="Z417" s="109"/>
    </row>
    <row r="418" spans="1:26" ht="11.25" customHeight="1">
      <c r="A418" s="109"/>
      <c r="B418" s="109"/>
      <c r="C418" s="109"/>
      <c r="D418" s="109"/>
      <c r="E418" s="109"/>
      <c r="F418" s="109"/>
      <c r="G418" s="109"/>
      <c r="H418" s="109"/>
      <c r="I418" s="109"/>
      <c r="J418" s="109"/>
      <c r="K418" s="109"/>
      <c r="L418" s="109"/>
      <c r="M418" s="109"/>
      <c r="N418" s="109"/>
      <c r="O418" s="109"/>
      <c r="P418" s="109"/>
      <c r="Q418" s="109"/>
      <c r="R418" s="109"/>
      <c r="S418" s="109"/>
      <c r="T418" s="109"/>
      <c r="U418" s="109"/>
      <c r="V418" s="109"/>
      <c r="W418" s="109"/>
      <c r="X418" s="109"/>
      <c r="Y418" s="109"/>
      <c r="Z418" s="109"/>
    </row>
    <row r="419" spans="1:26" ht="11.25" customHeight="1">
      <c r="A419" s="109"/>
      <c r="B419" s="109"/>
      <c r="C419" s="109"/>
      <c r="D419" s="109"/>
      <c r="E419" s="109"/>
      <c r="F419" s="109"/>
      <c r="G419" s="109"/>
      <c r="H419" s="109"/>
      <c r="I419" s="109"/>
      <c r="J419" s="109"/>
      <c r="K419" s="109"/>
      <c r="L419" s="109"/>
      <c r="M419" s="109"/>
      <c r="N419" s="109"/>
      <c r="O419" s="109"/>
      <c r="P419" s="109"/>
      <c r="Q419" s="109"/>
      <c r="R419" s="109"/>
      <c r="S419" s="109"/>
      <c r="T419" s="109"/>
      <c r="U419" s="109"/>
      <c r="V419" s="109"/>
      <c r="W419" s="109"/>
      <c r="X419" s="109"/>
      <c r="Y419" s="109"/>
      <c r="Z419" s="109"/>
    </row>
    <row r="420" spans="1:26" ht="11.25" customHeight="1">
      <c r="A420" s="109"/>
      <c r="B420" s="109"/>
      <c r="C420" s="109"/>
      <c r="D420" s="109"/>
      <c r="E420" s="109"/>
      <c r="F420" s="109"/>
      <c r="G420" s="109"/>
      <c r="H420" s="109"/>
      <c r="I420" s="109"/>
      <c r="J420" s="109"/>
      <c r="K420" s="109"/>
      <c r="L420" s="109"/>
      <c r="M420" s="109"/>
      <c r="N420" s="109"/>
      <c r="O420" s="109"/>
      <c r="P420" s="109"/>
      <c r="Q420" s="109"/>
      <c r="R420" s="109"/>
      <c r="S420" s="109"/>
      <c r="T420" s="109"/>
      <c r="U420" s="109"/>
      <c r="V420" s="109"/>
      <c r="W420" s="109"/>
      <c r="X420" s="109"/>
      <c r="Y420" s="109"/>
      <c r="Z420" s="109"/>
    </row>
    <row r="421" spans="1:26" ht="11.25" customHeight="1">
      <c r="A421" s="109"/>
      <c r="B421" s="109"/>
      <c r="C421" s="109"/>
      <c r="D421" s="109"/>
      <c r="E421" s="109"/>
      <c r="F421" s="109"/>
      <c r="G421" s="109"/>
      <c r="H421" s="109"/>
      <c r="I421" s="109"/>
      <c r="J421" s="109"/>
      <c r="K421" s="109"/>
      <c r="L421" s="109"/>
      <c r="M421" s="109"/>
      <c r="N421" s="109"/>
      <c r="O421" s="109"/>
      <c r="P421" s="109"/>
      <c r="Q421" s="109"/>
      <c r="R421" s="109"/>
      <c r="S421" s="109"/>
      <c r="T421" s="109"/>
      <c r="U421" s="109"/>
      <c r="V421" s="109"/>
      <c r="W421" s="109"/>
      <c r="X421" s="109"/>
      <c r="Y421" s="109"/>
      <c r="Z421" s="109"/>
    </row>
    <row r="422" spans="1:26" ht="11.25" customHeight="1">
      <c r="A422" s="109"/>
      <c r="B422" s="109"/>
      <c r="C422" s="109"/>
      <c r="D422" s="109"/>
      <c r="E422" s="109"/>
      <c r="F422" s="109"/>
      <c r="G422" s="109"/>
      <c r="H422" s="109"/>
      <c r="I422" s="109"/>
      <c r="J422" s="109"/>
      <c r="K422" s="109"/>
      <c r="L422" s="109"/>
      <c r="M422" s="109"/>
      <c r="N422" s="109"/>
      <c r="O422" s="109"/>
      <c r="P422" s="109"/>
      <c r="Q422" s="109"/>
      <c r="R422" s="109"/>
      <c r="S422" s="109"/>
      <c r="T422" s="109"/>
      <c r="U422" s="109"/>
      <c r="V422" s="109"/>
      <c r="W422" s="109"/>
      <c r="X422" s="109"/>
      <c r="Y422" s="109"/>
      <c r="Z422" s="109"/>
    </row>
    <row r="423" spans="1:26" ht="11.25" customHeight="1">
      <c r="A423" s="109"/>
      <c r="B423" s="109"/>
      <c r="C423" s="109"/>
      <c r="D423" s="109"/>
      <c r="E423" s="109"/>
      <c r="F423" s="109"/>
      <c r="G423" s="109"/>
      <c r="H423" s="109"/>
      <c r="I423" s="109"/>
      <c r="J423" s="109"/>
      <c r="K423" s="109"/>
      <c r="L423" s="109"/>
      <c r="M423" s="109"/>
      <c r="N423" s="109"/>
      <c r="O423" s="109"/>
      <c r="P423" s="109"/>
      <c r="Q423" s="109"/>
      <c r="R423" s="109"/>
      <c r="S423" s="109"/>
      <c r="T423" s="109"/>
      <c r="U423" s="109"/>
      <c r="V423" s="109"/>
      <c r="W423" s="109"/>
      <c r="X423" s="109"/>
      <c r="Y423" s="109"/>
      <c r="Z423" s="109"/>
    </row>
    <row r="424" spans="1:26" ht="11.25" customHeight="1">
      <c r="A424" s="109"/>
      <c r="B424" s="109"/>
      <c r="C424" s="109"/>
      <c r="D424" s="109"/>
      <c r="E424" s="109"/>
      <c r="F424" s="109"/>
      <c r="G424" s="109"/>
      <c r="H424" s="109"/>
      <c r="I424" s="109"/>
      <c r="J424" s="109"/>
      <c r="K424" s="109"/>
      <c r="L424" s="109"/>
      <c r="M424" s="109"/>
      <c r="N424" s="109"/>
      <c r="O424" s="109"/>
      <c r="P424" s="109"/>
      <c r="Q424" s="109"/>
      <c r="R424" s="109"/>
      <c r="S424" s="109"/>
      <c r="T424" s="109"/>
      <c r="U424" s="109"/>
      <c r="V424" s="109"/>
      <c r="W424" s="109"/>
      <c r="X424" s="109"/>
      <c r="Y424" s="109"/>
      <c r="Z424" s="109"/>
    </row>
    <row r="425" spans="1:26" ht="11.25" customHeight="1">
      <c r="A425" s="109"/>
      <c r="B425" s="109"/>
      <c r="C425" s="109"/>
      <c r="D425" s="109"/>
      <c r="E425" s="109"/>
      <c r="F425" s="109"/>
      <c r="G425" s="109"/>
      <c r="H425" s="109"/>
      <c r="I425" s="109"/>
      <c r="J425" s="109"/>
      <c r="K425" s="109"/>
      <c r="L425" s="109"/>
      <c r="M425" s="109"/>
      <c r="N425" s="109"/>
      <c r="O425" s="109"/>
      <c r="P425" s="109"/>
      <c r="Q425" s="109"/>
      <c r="R425" s="109"/>
      <c r="S425" s="109"/>
      <c r="T425" s="109"/>
      <c r="U425" s="109"/>
      <c r="V425" s="109"/>
      <c r="W425" s="109"/>
      <c r="X425" s="109"/>
      <c r="Y425" s="109"/>
      <c r="Z425" s="109"/>
    </row>
    <row r="426" spans="1:26" ht="11.25" customHeight="1">
      <c r="A426" s="109"/>
      <c r="B426" s="109"/>
      <c r="C426" s="109"/>
      <c r="D426" s="109"/>
      <c r="E426" s="109"/>
      <c r="F426" s="109"/>
      <c r="G426" s="109"/>
      <c r="H426" s="109"/>
      <c r="I426" s="109"/>
      <c r="J426" s="109"/>
      <c r="K426" s="109"/>
      <c r="L426" s="109"/>
      <c r="M426" s="109"/>
      <c r="N426" s="109"/>
      <c r="O426" s="109"/>
      <c r="P426" s="109"/>
      <c r="Q426" s="109"/>
      <c r="R426" s="109"/>
      <c r="S426" s="109"/>
      <c r="T426" s="109"/>
      <c r="U426" s="109"/>
      <c r="V426" s="109"/>
      <c r="W426" s="109"/>
      <c r="X426" s="109"/>
      <c r="Y426" s="109"/>
      <c r="Z426" s="109"/>
    </row>
    <row r="427" spans="1:26" ht="11.25" customHeight="1">
      <c r="A427" s="109"/>
      <c r="B427" s="109"/>
      <c r="C427" s="109"/>
      <c r="D427" s="109"/>
      <c r="E427" s="109"/>
      <c r="F427" s="109"/>
      <c r="G427" s="109"/>
      <c r="H427" s="109"/>
      <c r="I427" s="109"/>
      <c r="J427" s="109"/>
      <c r="K427" s="109"/>
      <c r="L427" s="109"/>
      <c r="M427" s="109"/>
      <c r="N427" s="109"/>
      <c r="O427" s="109"/>
      <c r="P427" s="109"/>
      <c r="Q427" s="109"/>
      <c r="R427" s="109"/>
      <c r="S427" s="109"/>
      <c r="T427" s="109"/>
      <c r="U427" s="109"/>
      <c r="V427" s="109"/>
      <c r="W427" s="109"/>
      <c r="X427" s="109"/>
      <c r="Y427" s="109"/>
      <c r="Z427" s="109"/>
    </row>
    <row r="428" spans="1:26" ht="11.25" customHeight="1">
      <c r="A428" s="109"/>
      <c r="B428" s="109"/>
      <c r="C428" s="109"/>
      <c r="D428" s="109"/>
      <c r="E428" s="109"/>
      <c r="F428" s="109"/>
      <c r="G428" s="109"/>
      <c r="H428" s="109"/>
      <c r="I428" s="109"/>
      <c r="J428" s="109"/>
      <c r="K428" s="109"/>
      <c r="L428" s="109"/>
      <c r="M428" s="109"/>
      <c r="N428" s="109"/>
      <c r="O428" s="109"/>
      <c r="P428" s="109"/>
      <c r="Q428" s="109"/>
      <c r="R428" s="109"/>
      <c r="S428" s="109"/>
      <c r="T428" s="109"/>
      <c r="U428" s="109"/>
      <c r="V428" s="109"/>
      <c r="W428" s="109"/>
      <c r="X428" s="109"/>
      <c r="Y428" s="109"/>
      <c r="Z428" s="109"/>
    </row>
    <row r="429" spans="1:26" ht="11.25" customHeight="1">
      <c r="A429" s="109"/>
      <c r="B429" s="109"/>
      <c r="C429" s="109"/>
      <c r="D429" s="109"/>
      <c r="E429" s="109"/>
      <c r="F429" s="109"/>
      <c r="G429" s="109"/>
      <c r="H429" s="109"/>
      <c r="I429" s="109"/>
      <c r="J429" s="109"/>
      <c r="K429" s="109"/>
      <c r="L429" s="109"/>
      <c r="M429" s="109"/>
      <c r="N429" s="109"/>
      <c r="O429" s="109"/>
      <c r="P429" s="109"/>
      <c r="Q429" s="109"/>
      <c r="R429" s="109"/>
      <c r="S429" s="109"/>
      <c r="T429" s="109"/>
      <c r="U429" s="109"/>
      <c r="V429" s="109"/>
      <c r="W429" s="109"/>
      <c r="X429" s="109"/>
      <c r="Y429" s="109"/>
      <c r="Z429" s="109"/>
    </row>
    <row r="430" spans="1:26" ht="11.25" customHeight="1">
      <c r="A430" s="109"/>
      <c r="B430" s="109"/>
      <c r="C430" s="109"/>
      <c r="D430" s="109"/>
      <c r="E430" s="109"/>
      <c r="F430" s="109"/>
      <c r="G430" s="109"/>
      <c r="H430" s="109"/>
      <c r="I430" s="109"/>
      <c r="J430" s="109"/>
      <c r="K430" s="109"/>
      <c r="L430" s="109"/>
      <c r="M430" s="109"/>
      <c r="N430" s="109"/>
      <c r="O430" s="109"/>
      <c r="P430" s="109"/>
      <c r="Q430" s="109"/>
      <c r="R430" s="109"/>
      <c r="S430" s="109"/>
      <c r="T430" s="109"/>
      <c r="U430" s="109"/>
      <c r="V430" s="109"/>
      <c r="W430" s="109"/>
      <c r="X430" s="109"/>
      <c r="Y430" s="109"/>
      <c r="Z430" s="109"/>
    </row>
    <row r="431" spans="1:26" ht="11.25" customHeight="1">
      <c r="A431" s="109"/>
      <c r="B431" s="109"/>
      <c r="C431" s="109"/>
      <c r="D431" s="109"/>
      <c r="E431" s="109"/>
      <c r="F431" s="109"/>
      <c r="G431" s="109"/>
      <c r="H431" s="109"/>
      <c r="I431" s="109"/>
      <c r="J431" s="109"/>
      <c r="K431" s="109"/>
      <c r="L431" s="109"/>
      <c r="M431" s="109"/>
      <c r="N431" s="109"/>
      <c r="O431" s="109"/>
      <c r="P431" s="109"/>
      <c r="Q431" s="109"/>
      <c r="R431" s="109"/>
      <c r="S431" s="109"/>
      <c r="T431" s="109"/>
      <c r="U431" s="109"/>
      <c r="V431" s="109"/>
      <c r="W431" s="109"/>
      <c r="X431" s="109"/>
      <c r="Y431" s="109"/>
      <c r="Z431" s="109"/>
    </row>
    <row r="432" spans="1:26" ht="11.25" customHeight="1">
      <c r="A432" s="109"/>
      <c r="B432" s="109"/>
      <c r="C432" s="109"/>
      <c r="D432" s="109"/>
      <c r="E432" s="109"/>
      <c r="F432" s="109"/>
      <c r="G432" s="109"/>
      <c r="H432" s="109"/>
      <c r="I432" s="109"/>
      <c r="J432" s="109"/>
      <c r="K432" s="109"/>
      <c r="L432" s="109"/>
      <c r="M432" s="109"/>
      <c r="N432" s="109"/>
      <c r="O432" s="109"/>
      <c r="P432" s="109"/>
      <c r="Q432" s="109"/>
      <c r="R432" s="109"/>
      <c r="S432" s="109"/>
      <c r="T432" s="109"/>
      <c r="U432" s="109"/>
      <c r="V432" s="109"/>
      <c r="W432" s="109"/>
      <c r="X432" s="109"/>
      <c r="Y432" s="109"/>
      <c r="Z432" s="109"/>
    </row>
    <row r="433" spans="1:26" ht="11.25" customHeight="1">
      <c r="A433" s="109"/>
      <c r="B433" s="109"/>
      <c r="C433" s="109"/>
      <c r="D433" s="109"/>
      <c r="E433" s="109"/>
      <c r="F433" s="109"/>
      <c r="G433" s="109"/>
      <c r="H433" s="109"/>
      <c r="I433" s="109"/>
      <c r="J433" s="109"/>
      <c r="K433" s="109"/>
      <c r="L433" s="109"/>
      <c r="M433" s="109"/>
      <c r="N433" s="109"/>
      <c r="O433" s="109"/>
      <c r="P433" s="109"/>
      <c r="Q433" s="109"/>
      <c r="R433" s="109"/>
      <c r="S433" s="109"/>
      <c r="T433" s="109"/>
      <c r="U433" s="109"/>
      <c r="V433" s="109"/>
      <c r="W433" s="109"/>
      <c r="X433" s="109"/>
      <c r="Y433" s="109"/>
      <c r="Z433" s="109"/>
    </row>
    <row r="434" spans="1:26" ht="11.25" customHeight="1">
      <c r="A434" s="109"/>
      <c r="B434" s="109"/>
      <c r="C434" s="109"/>
      <c r="D434" s="109"/>
      <c r="E434" s="109"/>
      <c r="F434" s="109"/>
      <c r="G434" s="109"/>
      <c r="H434" s="109"/>
      <c r="I434" s="109"/>
      <c r="J434" s="109"/>
      <c r="K434" s="109"/>
      <c r="L434" s="109"/>
      <c r="M434" s="109"/>
      <c r="N434" s="109"/>
      <c r="O434" s="109"/>
      <c r="P434" s="109"/>
      <c r="Q434" s="109"/>
      <c r="R434" s="109"/>
      <c r="S434" s="109"/>
      <c r="T434" s="109"/>
      <c r="U434" s="109"/>
      <c r="V434" s="109"/>
      <c r="W434" s="109"/>
      <c r="X434" s="109"/>
      <c r="Y434" s="109"/>
      <c r="Z434" s="109"/>
    </row>
    <row r="435" spans="1:26" ht="11.25" customHeight="1">
      <c r="A435" s="109"/>
      <c r="B435" s="109"/>
      <c r="C435" s="109"/>
      <c r="D435" s="109"/>
      <c r="E435" s="109"/>
      <c r="F435" s="109"/>
      <c r="G435" s="109"/>
      <c r="H435" s="109"/>
      <c r="I435" s="109"/>
      <c r="J435" s="109"/>
      <c r="K435" s="109"/>
      <c r="L435" s="109"/>
      <c r="M435" s="109"/>
      <c r="N435" s="109"/>
      <c r="O435" s="109"/>
      <c r="P435" s="109"/>
      <c r="Q435" s="109"/>
      <c r="R435" s="109"/>
      <c r="S435" s="109"/>
      <c r="T435" s="109"/>
      <c r="U435" s="109"/>
      <c r="V435" s="109"/>
      <c r="W435" s="109"/>
      <c r="X435" s="109"/>
      <c r="Y435" s="109"/>
      <c r="Z435" s="109"/>
    </row>
    <row r="436" spans="1:26" ht="11.25" customHeight="1">
      <c r="A436" s="109"/>
      <c r="B436" s="109"/>
      <c r="C436" s="109"/>
      <c r="D436" s="109"/>
      <c r="E436" s="109"/>
      <c r="F436" s="109"/>
      <c r="G436" s="109"/>
      <c r="H436" s="109"/>
      <c r="I436" s="109"/>
      <c r="J436" s="109"/>
      <c r="K436" s="109"/>
      <c r="L436" s="109"/>
      <c r="M436" s="109"/>
      <c r="N436" s="109"/>
      <c r="O436" s="109"/>
      <c r="P436" s="109"/>
      <c r="Q436" s="109"/>
      <c r="R436" s="109"/>
      <c r="S436" s="109"/>
      <c r="T436" s="109"/>
      <c r="U436" s="109"/>
      <c r="V436" s="109"/>
      <c r="W436" s="109"/>
      <c r="X436" s="109"/>
      <c r="Y436" s="109"/>
      <c r="Z436" s="109"/>
    </row>
    <row r="437" spans="1:26" ht="11.25" customHeight="1">
      <c r="A437" s="109"/>
      <c r="B437" s="109"/>
      <c r="C437" s="109"/>
      <c r="D437" s="109"/>
      <c r="E437" s="109"/>
      <c r="F437" s="109"/>
      <c r="G437" s="109"/>
      <c r="H437" s="109"/>
      <c r="I437" s="109"/>
      <c r="J437" s="109"/>
      <c r="K437" s="109"/>
      <c r="L437" s="109"/>
      <c r="M437" s="109"/>
      <c r="N437" s="109"/>
      <c r="O437" s="109"/>
      <c r="P437" s="109"/>
      <c r="Q437" s="109"/>
      <c r="R437" s="109"/>
      <c r="S437" s="109"/>
      <c r="T437" s="109"/>
      <c r="U437" s="109"/>
      <c r="V437" s="109"/>
      <c r="W437" s="109"/>
      <c r="X437" s="109"/>
      <c r="Y437" s="109"/>
      <c r="Z437" s="109"/>
    </row>
    <row r="438" spans="1:26" ht="11.25" customHeight="1">
      <c r="A438" s="109"/>
      <c r="B438" s="109"/>
      <c r="C438" s="109"/>
      <c r="D438" s="109"/>
      <c r="E438" s="109"/>
      <c r="F438" s="109"/>
      <c r="G438" s="109"/>
      <c r="H438" s="109"/>
      <c r="I438" s="109"/>
      <c r="J438" s="109"/>
      <c r="K438" s="109"/>
      <c r="L438" s="109"/>
      <c r="M438" s="109"/>
      <c r="N438" s="109"/>
      <c r="O438" s="109"/>
      <c r="P438" s="109"/>
      <c r="Q438" s="109"/>
      <c r="R438" s="109"/>
      <c r="S438" s="109"/>
      <c r="T438" s="109"/>
      <c r="U438" s="109"/>
      <c r="V438" s="109"/>
      <c r="W438" s="109"/>
      <c r="X438" s="109"/>
      <c r="Y438" s="109"/>
      <c r="Z438" s="109"/>
    </row>
    <row r="439" spans="1:26" ht="11.25" customHeight="1">
      <c r="A439" s="109"/>
      <c r="B439" s="109"/>
      <c r="C439" s="109"/>
      <c r="D439" s="109"/>
      <c r="E439" s="109"/>
      <c r="F439" s="109"/>
      <c r="G439" s="109"/>
      <c r="H439" s="109"/>
      <c r="I439" s="109"/>
      <c r="J439" s="109"/>
      <c r="K439" s="109"/>
      <c r="L439" s="109"/>
      <c r="M439" s="109"/>
      <c r="N439" s="109"/>
      <c r="O439" s="109"/>
      <c r="P439" s="109"/>
      <c r="Q439" s="109"/>
      <c r="R439" s="109"/>
      <c r="S439" s="109"/>
      <c r="T439" s="109"/>
      <c r="U439" s="109"/>
      <c r="V439" s="109"/>
      <c r="W439" s="109"/>
      <c r="X439" s="109"/>
      <c r="Y439" s="109"/>
      <c r="Z439" s="109"/>
    </row>
    <row r="440" spans="1:26" ht="11.25" customHeight="1">
      <c r="A440" s="109"/>
      <c r="B440" s="109"/>
      <c r="C440" s="109"/>
      <c r="D440" s="109"/>
      <c r="E440" s="109"/>
      <c r="F440" s="109"/>
      <c r="G440" s="109"/>
      <c r="H440" s="109"/>
      <c r="I440" s="109"/>
      <c r="J440" s="109"/>
      <c r="K440" s="109"/>
      <c r="L440" s="109"/>
      <c r="M440" s="109"/>
      <c r="N440" s="109"/>
      <c r="O440" s="109"/>
      <c r="P440" s="109"/>
      <c r="Q440" s="109"/>
      <c r="R440" s="109"/>
      <c r="S440" s="109"/>
      <c r="T440" s="109"/>
      <c r="U440" s="109"/>
      <c r="V440" s="109"/>
      <c r="W440" s="109"/>
      <c r="X440" s="109"/>
      <c r="Y440" s="109"/>
      <c r="Z440" s="109"/>
    </row>
    <row r="441" spans="1:26" ht="11.25" customHeight="1">
      <c r="A441" s="109"/>
      <c r="B441" s="109"/>
      <c r="C441" s="109"/>
      <c r="D441" s="109"/>
      <c r="E441" s="109"/>
      <c r="F441" s="109"/>
      <c r="G441" s="109"/>
      <c r="H441" s="109"/>
      <c r="I441" s="109"/>
      <c r="J441" s="109"/>
      <c r="K441" s="109"/>
      <c r="L441" s="109"/>
      <c r="M441" s="109"/>
      <c r="N441" s="109"/>
      <c r="O441" s="109"/>
      <c r="P441" s="109"/>
      <c r="Q441" s="109"/>
      <c r="R441" s="109"/>
      <c r="S441" s="109"/>
      <c r="T441" s="109"/>
      <c r="U441" s="109"/>
      <c r="V441" s="109"/>
      <c r="W441" s="109"/>
      <c r="X441" s="109"/>
      <c r="Y441" s="109"/>
      <c r="Z441" s="109"/>
    </row>
    <row r="442" spans="1:26" ht="11.25" customHeight="1">
      <c r="A442" s="109"/>
      <c r="B442" s="109"/>
      <c r="C442" s="109"/>
      <c r="D442" s="109"/>
      <c r="E442" s="109"/>
      <c r="F442" s="109"/>
      <c r="G442" s="109"/>
      <c r="H442" s="109"/>
      <c r="I442" s="109"/>
      <c r="J442" s="109"/>
      <c r="K442" s="109"/>
      <c r="L442" s="109"/>
      <c r="M442" s="109"/>
      <c r="N442" s="109"/>
      <c r="O442" s="109"/>
      <c r="P442" s="109"/>
      <c r="Q442" s="109"/>
      <c r="R442" s="109"/>
      <c r="S442" s="109"/>
      <c r="T442" s="109"/>
      <c r="U442" s="109"/>
      <c r="V442" s="109"/>
      <c r="W442" s="109"/>
      <c r="X442" s="109"/>
      <c r="Y442" s="109"/>
      <c r="Z442" s="109"/>
    </row>
    <row r="443" spans="1:26" ht="11.25" customHeight="1">
      <c r="A443" s="109"/>
      <c r="B443" s="109"/>
      <c r="C443" s="109"/>
      <c r="D443" s="109"/>
      <c r="E443" s="109"/>
      <c r="F443" s="109"/>
      <c r="G443" s="109"/>
      <c r="H443" s="109"/>
      <c r="I443" s="109"/>
      <c r="J443" s="109"/>
      <c r="K443" s="109"/>
      <c r="L443" s="109"/>
      <c r="M443" s="109"/>
      <c r="N443" s="109"/>
      <c r="O443" s="109"/>
      <c r="P443" s="109"/>
      <c r="Q443" s="109"/>
      <c r="R443" s="109"/>
      <c r="S443" s="109"/>
      <c r="T443" s="109"/>
      <c r="U443" s="109"/>
      <c r="V443" s="109"/>
      <c r="W443" s="109"/>
      <c r="X443" s="109"/>
      <c r="Y443" s="109"/>
      <c r="Z443" s="109"/>
    </row>
    <row r="444" spans="1:26" ht="11.25" customHeight="1">
      <c r="A444" s="109"/>
      <c r="B444" s="109"/>
      <c r="C444" s="109"/>
      <c r="D444" s="109"/>
      <c r="E444" s="109"/>
      <c r="F444" s="109"/>
      <c r="G444" s="109"/>
      <c r="H444" s="109"/>
      <c r="I444" s="109"/>
      <c r="J444" s="109"/>
      <c r="K444" s="109"/>
      <c r="L444" s="109"/>
      <c r="M444" s="109"/>
      <c r="N444" s="109"/>
      <c r="O444" s="109"/>
      <c r="P444" s="109"/>
      <c r="Q444" s="109"/>
      <c r="R444" s="109"/>
      <c r="S444" s="109"/>
      <c r="T444" s="109"/>
      <c r="U444" s="109"/>
      <c r="V444" s="109"/>
      <c r="W444" s="109"/>
      <c r="X444" s="109"/>
      <c r="Y444" s="109"/>
      <c r="Z444" s="109"/>
    </row>
    <row r="445" spans="1:26" ht="11.25" customHeight="1">
      <c r="A445" s="109"/>
      <c r="B445" s="109"/>
      <c r="C445" s="109"/>
      <c r="D445" s="109"/>
      <c r="E445" s="109"/>
      <c r="F445" s="109"/>
      <c r="G445" s="109"/>
      <c r="H445" s="109"/>
      <c r="I445" s="109"/>
      <c r="J445" s="109"/>
      <c r="K445" s="109"/>
      <c r="L445" s="109"/>
      <c r="M445" s="109"/>
      <c r="N445" s="109"/>
      <c r="O445" s="109"/>
      <c r="P445" s="109"/>
      <c r="Q445" s="109"/>
      <c r="R445" s="109"/>
      <c r="S445" s="109"/>
      <c r="T445" s="109"/>
      <c r="U445" s="109"/>
      <c r="V445" s="109"/>
      <c r="W445" s="109"/>
      <c r="X445" s="109"/>
      <c r="Y445" s="109"/>
      <c r="Z445" s="109"/>
    </row>
    <row r="446" spans="1:26" ht="11.25" customHeight="1">
      <c r="A446" s="109"/>
      <c r="B446" s="109"/>
      <c r="C446" s="109"/>
      <c r="D446" s="109"/>
      <c r="E446" s="109"/>
      <c r="F446" s="109"/>
      <c r="G446" s="109"/>
      <c r="H446" s="109"/>
      <c r="I446" s="109"/>
      <c r="J446" s="109"/>
      <c r="K446" s="109"/>
      <c r="L446" s="109"/>
      <c r="M446" s="109"/>
      <c r="N446" s="109"/>
      <c r="O446" s="109"/>
      <c r="P446" s="109"/>
      <c r="Q446" s="109"/>
      <c r="R446" s="109"/>
      <c r="S446" s="109"/>
      <c r="T446" s="109"/>
      <c r="U446" s="109"/>
      <c r="V446" s="109"/>
      <c r="W446" s="109"/>
      <c r="X446" s="109"/>
      <c r="Y446" s="109"/>
      <c r="Z446" s="109"/>
    </row>
    <row r="447" spans="1:26" ht="11.25" customHeight="1">
      <c r="A447" s="109"/>
      <c r="B447" s="109"/>
      <c r="C447" s="109"/>
      <c r="D447" s="109"/>
      <c r="E447" s="109"/>
      <c r="F447" s="109"/>
      <c r="G447" s="109"/>
      <c r="H447" s="109"/>
      <c r="I447" s="109"/>
      <c r="J447" s="109"/>
      <c r="K447" s="109"/>
      <c r="L447" s="109"/>
      <c r="M447" s="109"/>
      <c r="N447" s="109"/>
      <c r="O447" s="109"/>
      <c r="P447" s="109"/>
      <c r="Q447" s="109"/>
      <c r="R447" s="109"/>
      <c r="S447" s="109"/>
      <c r="T447" s="109"/>
      <c r="U447" s="109"/>
      <c r="V447" s="109"/>
      <c r="W447" s="109"/>
      <c r="X447" s="109"/>
      <c r="Y447" s="109"/>
      <c r="Z447" s="109"/>
    </row>
    <row r="448" spans="1:26" ht="11.25" customHeight="1">
      <c r="A448" s="109"/>
      <c r="B448" s="109"/>
      <c r="C448" s="109"/>
      <c r="D448" s="109"/>
      <c r="E448" s="109"/>
      <c r="F448" s="109"/>
      <c r="G448" s="109"/>
      <c r="H448" s="109"/>
      <c r="I448" s="109"/>
      <c r="J448" s="109"/>
      <c r="K448" s="109"/>
      <c r="L448" s="109"/>
      <c r="M448" s="109"/>
      <c r="N448" s="109"/>
      <c r="O448" s="109"/>
      <c r="P448" s="109"/>
      <c r="Q448" s="109"/>
      <c r="R448" s="109"/>
      <c r="S448" s="109"/>
      <c r="T448" s="109"/>
      <c r="U448" s="109"/>
      <c r="V448" s="109"/>
      <c r="W448" s="109"/>
      <c r="X448" s="109"/>
      <c r="Y448" s="109"/>
      <c r="Z448" s="109"/>
    </row>
    <row r="449" spans="1:26" ht="11.25" customHeight="1">
      <c r="A449" s="109"/>
      <c r="B449" s="109"/>
      <c r="C449" s="109"/>
      <c r="D449" s="109"/>
      <c r="E449" s="109"/>
      <c r="F449" s="109"/>
      <c r="G449" s="109"/>
      <c r="H449" s="109"/>
      <c r="I449" s="109"/>
      <c r="J449" s="109"/>
      <c r="K449" s="109"/>
      <c r="L449" s="109"/>
      <c r="M449" s="109"/>
      <c r="N449" s="109"/>
      <c r="O449" s="109"/>
      <c r="P449" s="109"/>
      <c r="Q449" s="109"/>
      <c r="R449" s="109"/>
      <c r="S449" s="109"/>
      <c r="T449" s="109"/>
      <c r="U449" s="109"/>
      <c r="V449" s="109"/>
      <c r="W449" s="109"/>
      <c r="X449" s="109"/>
      <c r="Y449" s="109"/>
      <c r="Z449" s="109"/>
    </row>
    <row r="450" spans="1:26" ht="11.25" customHeight="1">
      <c r="A450" s="109"/>
      <c r="B450" s="109"/>
      <c r="C450" s="109"/>
      <c r="D450" s="109"/>
      <c r="E450" s="109"/>
      <c r="F450" s="109"/>
      <c r="G450" s="109"/>
      <c r="H450" s="109"/>
      <c r="I450" s="109"/>
      <c r="J450" s="109"/>
      <c r="K450" s="109"/>
      <c r="L450" s="109"/>
      <c r="M450" s="109"/>
      <c r="N450" s="109"/>
      <c r="O450" s="109"/>
      <c r="P450" s="109"/>
      <c r="Q450" s="109"/>
      <c r="R450" s="109"/>
      <c r="S450" s="109"/>
      <c r="T450" s="109"/>
      <c r="U450" s="109"/>
      <c r="V450" s="109"/>
      <c r="W450" s="109"/>
      <c r="X450" s="109"/>
      <c r="Y450" s="109"/>
      <c r="Z450" s="109"/>
    </row>
    <row r="451" spans="1:26" ht="11.25" customHeight="1">
      <c r="A451" s="109"/>
      <c r="B451" s="109"/>
      <c r="C451" s="109"/>
      <c r="D451" s="109"/>
      <c r="E451" s="109"/>
      <c r="F451" s="109"/>
      <c r="G451" s="109"/>
      <c r="H451" s="109"/>
      <c r="I451" s="109"/>
      <c r="J451" s="109"/>
      <c r="K451" s="109"/>
      <c r="L451" s="109"/>
      <c r="M451" s="109"/>
      <c r="N451" s="109"/>
      <c r="O451" s="109"/>
      <c r="P451" s="109"/>
      <c r="Q451" s="109"/>
      <c r="R451" s="109"/>
      <c r="S451" s="109"/>
      <c r="T451" s="109"/>
      <c r="U451" s="109"/>
      <c r="V451" s="109"/>
      <c r="W451" s="109"/>
      <c r="X451" s="109"/>
      <c r="Y451" s="109"/>
      <c r="Z451" s="109"/>
    </row>
    <row r="452" spans="1:26" ht="11.25" customHeight="1">
      <c r="A452" s="109"/>
      <c r="B452" s="109"/>
      <c r="C452" s="109"/>
      <c r="D452" s="109"/>
      <c r="E452" s="109"/>
      <c r="F452" s="109"/>
      <c r="G452" s="109"/>
      <c r="H452" s="109"/>
      <c r="I452" s="109"/>
      <c r="J452" s="109"/>
      <c r="K452" s="109"/>
      <c r="L452" s="109"/>
      <c r="M452" s="109"/>
      <c r="N452" s="109"/>
      <c r="O452" s="109"/>
      <c r="P452" s="109"/>
      <c r="Q452" s="109"/>
      <c r="R452" s="109"/>
      <c r="S452" s="109"/>
      <c r="T452" s="109"/>
      <c r="U452" s="109"/>
      <c r="V452" s="109"/>
      <c r="W452" s="109"/>
      <c r="X452" s="109"/>
      <c r="Y452" s="109"/>
      <c r="Z452" s="109"/>
    </row>
    <row r="453" spans="1:26" ht="11.25" customHeight="1">
      <c r="A453" s="109"/>
      <c r="B453" s="109"/>
      <c r="C453" s="109"/>
      <c r="D453" s="109"/>
      <c r="E453" s="109"/>
      <c r="F453" s="109"/>
      <c r="G453" s="109"/>
      <c r="H453" s="109"/>
      <c r="I453" s="109"/>
      <c r="J453" s="109"/>
      <c r="K453" s="109"/>
      <c r="L453" s="109"/>
      <c r="M453" s="109"/>
      <c r="N453" s="109"/>
      <c r="O453" s="109"/>
      <c r="P453" s="109"/>
      <c r="Q453" s="109"/>
      <c r="R453" s="109"/>
      <c r="S453" s="109"/>
      <c r="T453" s="109"/>
      <c r="U453" s="109"/>
      <c r="V453" s="109"/>
      <c r="W453" s="109"/>
      <c r="X453" s="109"/>
      <c r="Y453" s="109"/>
      <c r="Z453" s="109"/>
    </row>
    <row r="454" spans="1:26" ht="11.25" customHeight="1">
      <c r="A454" s="109"/>
      <c r="B454" s="109"/>
      <c r="C454" s="109"/>
      <c r="D454" s="109"/>
      <c r="E454" s="109"/>
      <c r="F454" s="109"/>
      <c r="G454" s="109"/>
      <c r="H454" s="109"/>
      <c r="I454" s="109"/>
      <c r="J454" s="109"/>
      <c r="K454" s="109"/>
      <c r="L454" s="109"/>
      <c r="M454" s="109"/>
      <c r="N454" s="109"/>
      <c r="O454" s="109"/>
      <c r="P454" s="109"/>
      <c r="Q454" s="109"/>
      <c r="R454" s="109"/>
      <c r="S454" s="109"/>
      <c r="T454" s="109"/>
      <c r="U454" s="109"/>
      <c r="V454" s="109"/>
      <c r="W454" s="109"/>
      <c r="X454" s="109"/>
      <c r="Y454" s="109"/>
      <c r="Z454" s="109"/>
    </row>
    <row r="455" spans="1:26" ht="11.25" customHeight="1">
      <c r="A455" s="109"/>
      <c r="B455" s="109"/>
      <c r="C455" s="109"/>
      <c r="D455" s="109"/>
      <c r="E455" s="109"/>
      <c r="F455" s="109"/>
      <c r="G455" s="109"/>
      <c r="H455" s="109"/>
      <c r="I455" s="109"/>
      <c r="J455" s="109"/>
      <c r="K455" s="109"/>
      <c r="L455" s="109"/>
      <c r="M455" s="109"/>
      <c r="N455" s="109"/>
      <c r="O455" s="109"/>
      <c r="P455" s="109"/>
      <c r="Q455" s="109"/>
      <c r="R455" s="109"/>
      <c r="S455" s="109"/>
      <c r="T455" s="109"/>
      <c r="U455" s="109"/>
      <c r="V455" s="109"/>
      <c r="W455" s="109"/>
      <c r="X455" s="109"/>
      <c r="Y455" s="109"/>
      <c r="Z455" s="109"/>
    </row>
    <row r="456" spans="1:26" ht="11.25" customHeight="1">
      <c r="A456" s="109"/>
      <c r="B456" s="109"/>
      <c r="C456" s="109"/>
      <c r="D456" s="109"/>
      <c r="E456" s="109"/>
      <c r="F456" s="109"/>
      <c r="G456" s="109"/>
      <c r="H456" s="109"/>
      <c r="I456" s="109"/>
      <c r="J456" s="109"/>
      <c r="K456" s="109"/>
      <c r="L456" s="109"/>
      <c r="M456" s="109"/>
      <c r="N456" s="109"/>
      <c r="O456" s="109"/>
      <c r="P456" s="109"/>
      <c r="Q456" s="109"/>
      <c r="R456" s="109"/>
      <c r="S456" s="109"/>
      <c r="T456" s="109"/>
      <c r="U456" s="109"/>
      <c r="V456" s="109"/>
      <c r="W456" s="109"/>
      <c r="X456" s="109"/>
      <c r="Y456" s="109"/>
      <c r="Z456" s="109"/>
    </row>
    <row r="457" spans="1:26" ht="11.25" customHeight="1">
      <c r="A457" s="109"/>
      <c r="B457" s="109"/>
      <c r="C457" s="109"/>
      <c r="D457" s="109"/>
      <c r="E457" s="109"/>
      <c r="F457" s="109"/>
      <c r="G457" s="109"/>
      <c r="H457" s="109"/>
      <c r="I457" s="109"/>
      <c r="J457" s="109"/>
      <c r="K457" s="109"/>
      <c r="L457" s="109"/>
      <c r="M457" s="109"/>
      <c r="N457" s="109"/>
      <c r="O457" s="109"/>
      <c r="P457" s="109"/>
      <c r="Q457" s="109"/>
      <c r="R457" s="109"/>
      <c r="S457" s="109"/>
      <c r="T457" s="109"/>
      <c r="U457" s="109"/>
      <c r="V457" s="109"/>
      <c r="W457" s="109"/>
      <c r="X457" s="109"/>
      <c r="Y457" s="109"/>
      <c r="Z457" s="109"/>
    </row>
    <row r="458" spans="1:26" ht="11.25" customHeight="1">
      <c r="A458" s="109"/>
      <c r="B458" s="109"/>
      <c r="C458" s="109"/>
      <c r="D458" s="109"/>
      <c r="E458" s="109"/>
      <c r="F458" s="109"/>
      <c r="G458" s="109"/>
      <c r="H458" s="109"/>
      <c r="I458" s="109"/>
      <c r="J458" s="109"/>
      <c r="K458" s="109"/>
      <c r="L458" s="109"/>
      <c r="M458" s="109"/>
      <c r="N458" s="109"/>
      <c r="O458" s="109"/>
      <c r="P458" s="109"/>
      <c r="Q458" s="109"/>
      <c r="R458" s="109"/>
      <c r="S458" s="109"/>
      <c r="T458" s="109"/>
      <c r="U458" s="109"/>
      <c r="V458" s="109"/>
      <c r="W458" s="109"/>
      <c r="X458" s="109"/>
      <c r="Y458" s="109"/>
      <c r="Z458" s="109"/>
    </row>
    <row r="459" spans="1:26" ht="11.25" customHeight="1">
      <c r="A459" s="109"/>
      <c r="B459" s="109"/>
      <c r="C459" s="109"/>
      <c r="D459" s="109"/>
      <c r="E459" s="109"/>
      <c r="F459" s="109"/>
      <c r="G459" s="109"/>
      <c r="H459" s="109"/>
      <c r="I459" s="109"/>
      <c r="J459" s="109"/>
      <c r="K459" s="109"/>
      <c r="L459" s="109"/>
      <c r="M459" s="109"/>
      <c r="N459" s="109"/>
      <c r="O459" s="109"/>
      <c r="P459" s="109"/>
      <c r="Q459" s="109"/>
      <c r="R459" s="109"/>
      <c r="S459" s="109"/>
      <c r="T459" s="109"/>
      <c r="U459" s="109"/>
      <c r="V459" s="109"/>
      <c r="W459" s="109"/>
      <c r="X459" s="109"/>
      <c r="Y459" s="109"/>
      <c r="Z459" s="109"/>
    </row>
    <row r="460" spans="1:26" ht="11.25" customHeight="1">
      <c r="A460" s="109"/>
      <c r="B460" s="109"/>
      <c r="C460" s="109"/>
      <c r="D460" s="109"/>
      <c r="E460" s="109"/>
      <c r="F460" s="109"/>
      <c r="G460" s="109"/>
      <c r="H460" s="109"/>
      <c r="I460" s="109"/>
      <c r="J460" s="109"/>
      <c r="K460" s="109"/>
      <c r="L460" s="109"/>
      <c r="M460" s="109"/>
      <c r="N460" s="109"/>
      <c r="O460" s="109"/>
      <c r="P460" s="109"/>
      <c r="Q460" s="109"/>
      <c r="R460" s="109"/>
      <c r="S460" s="109"/>
      <c r="T460" s="109"/>
      <c r="U460" s="109"/>
      <c r="V460" s="109"/>
      <c r="W460" s="109"/>
      <c r="X460" s="109"/>
      <c r="Y460" s="109"/>
      <c r="Z460" s="109"/>
    </row>
    <row r="461" spans="1:26" ht="11.25" customHeight="1">
      <c r="A461" s="109"/>
      <c r="B461" s="109"/>
      <c r="C461" s="109"/>
      <c r="D461" s="109"/>
      <c r="E461" s="109"/>
      <c r="F461" s="109"/>
      <c r="G461" s="109"/>
      <c r="H461" s="109"/>
      <c r="I461" s="109"/>
      <c r="J461" s="109"/>
      <c r="K461" s="109"/>
      <c r="L461" s="109"/>
      <c r="M461" s="109"/>
      <c r="N461" s="109"/>
      <c r="O461" s="109"/>
      <c r="P461" s="109"/>
      <c r="Q461" s="109"/>
      <c r="R461" s="109"/>
      <c r="S461" s="109"/>
      <c r="T461" s="109"/>
      <c r="U461" s="109"/>
      <c r="V461" s="109"/>
      <c r="W461" s="109"/>
      <c r="X461" s="109"/>
      <c r="Y461" s="109"/>
      <c r="Z461" s="109"/>
    </row>
    <row r="462" spans="1:26" ht="11.25" customHeight="1">
      <c r="A462" s="109"/>
      <c r="B462" s="109"/>
      <c r="C462" s="109"/>
      <c r="D462" s="109"/>
      <c r="E462" s="109"/>
      <c r="F462" s="109"/>
      <c r="G462" s="109"/>
      <c r="H462" s="109"/>
      <c r="I462" s="109"/>
      <c r="J462" s="109"/>
      <c r="K462" s="109"/>
      <c r="L462" s="109"/>
      <c r="M462" s="109"/>
      <c r="N462" s="109"/>
      <c r="O462" s="109"/>
      <c r="P462" s="109"/>
      <c r="Q462" s="109"/>
      <c r="R462" s="109"/>
      <c r="S462" s="109"/>
      <c r="T462" s="109"/>
      <c r="U462" s="109"/>
      <c r="V462" s="109"/>
      <c r="W462" s="109"/>
      <c r="X462" s="109"/>
      <c r="Y462" s="109"/>
      <c r="Z462" s="109"/>
    </row>
    <row r="463" spans="1:26" ht="11.25" customHeight="1">
      <c r="A463" s="109"/>
      <c r="B463" s="109"/>
      <c r="C463" s="109"/>
      <c r="D463" s="109"/>
      <c r="E463" s="109"/>
      <c r="F463" s="109"/>
      <c r="G463" s="109"/>
      <c r="H463" s="109"/>
      <c r="I463" s="109"/>
      <c r="J463" s="109"/>
      <c r="K463" s="109"/>
      <c r="L463" s="109"/>
      <c r="M463" s="109"/>
      <c r="N463" s="109"/>
      <c r="O463" s="109"/>
      <c r="P463" s="109"/>
      <c r="Q463" s="109"/>
      <c r="R463" s="109"/>
      <c r="S463" s="109"/>
      <c r="T463" s="109"/>
      <c r="U463" s="109"/>
      <c r="V463" s="109"/>
      <c r="W463" s="109"/>
      <c r="X463" s="109"/>
      <c r="Y463" s="109"/>
      <c r="Z463" s="109"/>
    </row>
    <row r="464" spans="1:26" ht="11.25" customHeight="1">
      <c r="A464" s="109"/>
      <c r="B464" s="109"/>
      <c r="C464" s="109"/>
      <c r="D464" s="109"/>
      <c r="E464" s="109"/>
      <c r="F464" s="109"/>
      <c r="G464" s="109"/>
      <c r="H464" s="109"/>
      <c r="I464" s="109"/>
      <c r="J464" s="109"/>
      <c r="K464" s="109"/>
      <c r="L464" s="109"/>
      <c r="M464" s="109"/>
      <c r="N464" s="109"/>
      <c r="O464" s="109"/>
      <c r="P464" s="109"/>
      <c r="Q464" s="109"/>
      <c r="R464" s="109"/>
      <c r="S464" s="109"/>
      <c r="T464" s="109"/>
      <c r="U464" s="109"/>
      <c r="V464" s="109"/>
      <c r="W464" s="109"/>
      <c r="X464" s="109"/>
      <c r="Y464" s="109"/>
      <c r="Z464" s="109"/>
    </row>
    <row r="465" spans="1:26" ht="11.25" customHeight="1">
      <c r="A465" s="109"/>
      <c r="B465" s="109"/>
      <c r="C465" s="109"/>
      <c r="D465" s="109"/>
      <c r="E465" s="109"/>
      <c r="F465" s="109"/>
      <c r="G465" s="109"/>
      <c r="H465" s="109"/>
      <c r="I465" s="109"/>
      <c r="J465" s="109"/>
      <c r="K465" s="109"/>
      <c r="L465" s="109"/>
      <c r="M465" s="109"/>
      <c r="N465" s="109"/>
      <c r="O465" s="109"/>
      <c r="P465" s="109"/>
      <c r="Q465" s="109"/>
      <c r="R465" s="109"/>
      <c r="S465" s="109"/>
      <c r="T465" s="109"/>
      <c r="U465" s="109"/>
      <c r="V465" s="109"/>
      <c r="W465" s="109"/>
      <c r="X465" s="109"/>
      <c r="Y465" s="109"/>
      <c r="Z465" s="109"/>
    </row>
    <row r="466" spans="1:26" ht="11.25" customHeight="1">
      <c r="A466" s="109"/>
      <c r="B466" s="109"/>
      <c r="C466" s="109"/>
      <c r="D466" s="109"/>
      <c r="E466" s="109"/>
      <c r="F466" s="109"/>
      <c r="G466" s="109"/>
      <c r="H466" s="109"/>
      <c r="I466" s="109"/>
      <c r="J466" s="109"/>
      <c r="K466" s="109"/>
      <c r="L466" s="109"/>
      <c r="M466" s="109"/>
      <c r="N466" s="109"/>
      <c r="O466" s="109"/>
      <c r="P466" s="109"/>
      <c r="Q466" s="109"/>
      <c r="R466" s="109"/>
      <c r="S466" s="109"/>
      <c r="T466" s="109"/>
      <c r="U466" s="109"/>
      <c r="V466" s="109"/>
      <c r="W466" s="109"/>
      <c r="X466" s="109"/>
      <c r="Y466" s="109"/>
      <c r="Z466" s="109"/>
    </row>
    <row r="467" spans="1:26" ht="11.25" customHeight="1">
      <c r="A467" s="109"/>
      <c r="B467" s="109"/>
      <c r="C467" s="109"/>
      <c r="D467" s="109"/>
      <c r="E467" s="109"/>
      <c r="F467" s="109"/>
      <c r="G467" s="109"/>
      <c r="H467" s="109"/>
      <c r="I467" s="109"/>
      <c r="J467" s="109"/>
      <c r="K467" s="109"/>
      <c r="L467" s="109"/>
      <c r="M467" s="109"/>
      <c r="N467" s="109"/>
      <c r="O467" s="109"/>
      <c r="P467" s="109"/>
      <c r="Q467" s="109"/>
      <c r="R467" s="109"/>
      <c r="S467" s="109"/>
      <c r="T467" s="109"/>
      <c r="U467" s="109"/>
      <c r="V467" s="109"/>
      <c r="W467" s="109"/>
      <c r="X467" s="109"/>
      <c r="Y467" s="109"/>
      <c r="Z467" s="109"/>
    </row>
    <row r="468" spans="1:26" ht="11.25" customHeight="1">
      <c r="A468" s="109"/>
      <c r="B468" s="109"/>
      <c r="C468" s="109"/>
      <c r="D468" s="109"/>
      <c r="E468" s="109"/>
      <c r="F468" s="109"/>
      <c r="G468" s="109"/>
      <c r="H468" s="109"/>
      <c r="I468" s="109"/>
      <c r="J468" s="109"/>
      <c r="K468" s="109"/>
      <c r="L468" s="109"/>
      <c r="M468" s="109"/>
      <c r="N468" s="109"/>
      <c r="O468" s="109"/>
      <c r="P468" s="109"/>
      <c r="Q468" s="109"/>
      <c r="R468" s="109"/>
      <c r="S468" s="109"/>
      <c r="T468" s="109"/>
      <c r="U468" s="109"/>
      <c r="V468" s="109"/>
      <c r="W468" s="109"/>
      <c r="X468" s="109"/>
      <c r="Y468" s="109"/>
      <c r="Z468" s="109"/>
    </row>
    <row r="469" spans="1:26" ht="11.25" customHeight="1">
      <c r="A469" s="109"/>
      <c r="B469" s="109"/>
      <c r="C469" s="109"/>
      <c r="D469" s="109"/>
      <c r="E469" s="109"/>
      <c r="F469" s="109"/>
      <c r="G469" s="109"/>
      <c r="H469" s="109"/>
      <c r="I469" s="109"/>
      <c r="J469" s="109"/>
      <c r="K469" s="109"/>
      <c r="L469" s="109"/>
      <c r="M469" s="109"/>
      <c r="N469" s="109"/>
      <c r="O469" s="109"/>
      <c r="P469" s="109"/>
      <c r="Q469" s="109"/>
      <c r="R469" s="109"/>
      <c r="S469" s="109"/>
      <c r="T469" s="109"/>
      <c r="U469" s="109"/>
      <c r="V469" s="109"/>
      <c r="W469" s="109"/>
      <c r="X469" s="109"/>
      <c r="Y469" s="109"/>
      <c r="Z469" s="109"/>
    </row>
    <row r="470" spans="1:26" ht="11.25" customHeight="1">
      <c r="A470" s="109"/>
      <c r="B470" s="109"/>
      <c r="C470" s="109"/>
      <c r="D470" s="109"/>
      <c r="E470" s="109"/>
      <c r="F470" s="109"/>
      <c r="G470" s="109"/>
      <c r="H470" s="109"/>
      <c r="I470" s="109"/>
      <c r="J470" s="109"/>
      <c r="K470" s="109"/>
      <c r="L470" s="109"/>
      <c r="M470" s="109"/>
      <c r="N470" s="109"/>
      <c r="O470" s="109"/>
      <c r="P470" s="109"/>
      <c r="Q470" s="109"/>
      <c r="R470" s="109"/>
      <c r="S470" s="109"/>
      <c r="T470" s="109"/>
      <c r="U470" s="109"/>
      <c r="V470" s="109"/>
      <c r="W470" s="109"/>
      <c r="X470" s="109"/>
      <c r="Y470" s="109"/>
      <c r="Z470" s="109"/>
    </row>
    <row r="471" spans="1:26" ht="11.25" customHeight="1">
      <c r="A471" s="109"/>
      <c r="B471" s="109"/>
      <c r="C471" s="109"/>
      <c r="D471" s="109"/>
      <c r="E471" s="109"/>
      <c r="F471" s="109"/>
      <c r="G471" s="109"/>
      <c r="H471" s="109"/>
      <c r="I471" s="109"/>
      <c r="J471" s="109"/>
      <c r="K471" s="109"/>
      <c r="L471" s="109"/>
      <c r="M471" s="109"/>
      <c r="N471" s="109"/>
      <c r="O471" s="109"/>
      <c r="P471" s="109"/>
      <c r="Q471" s="109"/>
      <c r="R471" s="109"/>
      <c r="S471" s="109"/>
      <c r="T471" s="109"/>
      <c r="U471" s="109"/>
      <c r="V471" s="109"/>
      <c r="W471" s="109"/>
      <c r="X471" s="109"/>
      <c r="Y471" s="109"/>
      <c r="Z471" s="109"/>
    </row>
    <row r="472" spans="1:26" ht="11.25" customHeight="1">
      <c r="A472" s="109"/>
      <c r="B472" s="109"/>
      <c r="C472" s="109"/>
      <c r="D472" s="109"/>
      <c r="E472" s="109"/>
      <c r="F472" s="109"/>
      <c r="G472" s="109"/>
      <c r="H472" s="109"/>
      <c r="I472" s="109"/>
      <c r="J472" s="109"/>
      <c r="K472" s="109"/>
      <c r="L472" s="109"/>
      <c r="M472" s="109"/>
      <c r="N472" s="109"/>
      <c r="O472" s="109"/>
      <c r="P472" s="109"/>
      <c r="Q472" s="109"/>
      <c r="R472" s="109"/>
      <c r="S472" s="109"/>
      <c r="T472" s="109"/>
      <c r="U472" s="109"/>
      <c r="V472" s="109"/>
      <c r="W472" s="109"/>
      <c r="X472" s="109"/>
      <c r="Y472" s="109"/>
      <c r="Z472" s="109"/>
    </row>
    <row r="473" spans="1:26" ht="11.25" customHeight="1">
      <c r="A473" s="109"/>
      <c r="B473" s="109"/>
      <c r="C473" s="109"/>
      <c r="D473" s="109"/>
      <c r="E473" s="109"/>
      <c r="F473" s="109"/>
      <c r="G473" s="109"/>
      <c r="H473" s="109"/>
      <c r="I473" s="109"/>
      <c r="J473" s="109"/>
      <c r="K473" s="109"/>
      <c r="L473" s="109"/>
      <c r="M473" s="109"/>
      <c r="N473" s="109"/>
      <c r="O473" s="109"/>
      <c r="P473" s="109"/>
      <c r="Q473" s="109"/>
      <c r="R473" s="109"/>
      <c r="S473" s="109"/>
      <c r="T473" s="109"/>
      <c r="U473" s="109"/>
      <c r="V473" s="109"/>
      <c r="W473" s="109"/>
      <c r="X473" s="109"/>
      <c r="Y473" s="109"/>
      <c r="Z473" s="109"/>
    </row>
    <row r="474" spans="1:26" ht="11.25" customHeight="1">
      <c r="A474" s="109"/>
      <c r="B474" s="109"/>
      <c r="C474" s="109"/>
      <c r="D474" s="109"/>
      <c r="E474" s="109"/>
      <c r="F474" s="109"/>
      <c r="G474" s="109"/>
      <c r="H474" s="109"/>
      <c r="I474" s="109"/>
      <c r="J474" s="109"/>
      <c r="K474" s="109"/>
      <c r="L474" s="109"/>
      <c r="M474" s="109"/>
      <c r="N474" s="109"/>
      <c r="O474" s="109"/>
      <c r="P474" s="109"/>
      <c r="Q474" s="109"/>
      <c r="R474" s="109"/>
      <c r="S474" s="109"/>
      <c r="T474" s="109"/>
      <c r="U474" s="109"/>
      <c r="V474" s="109"/>
      <c r="W474" s="109"/>
      <c r="X474" s="109"/>
      <c r="Y474" s="109"/>
      <c r="Z474" s="109"/>
    </row>
    <row r="475" spans="1:26" ht="11.25" customHeight="1">
      <c r="A475" s="109"/>
      <c r="B475" s="109"/>
      <c r="C475" s="109"/>
      <c r="D475" s="109"/>
      <c r="E475" s="109"/>
      <c r="F475" s="109"/>
      <c r="G475" s="109"/>
      <c r="H475" s="109"/>
      <c r="I475" s="109"/>
      <c r="J475" s="109"/>
      <c r="K475" s="109"/>
      <c r="L475" s="109"/>
      <c r="M475" s="109"/>
      <c r="N475" s="109"/>
      <c r="O475" s="109"/>
      <c r="P475" s="109"/>
      <c r="Q475" s="109"/>
      <c r="R475" s="109"/>
      <c r="S475" s="109"/>
      <c r="T475" s="109"/>
      <c r="U475" s="109"/>
      <c r="V475" s="109"/>
      <c r="W475" s="109"/>
      <c r="X475" s="109"/>
      <c r="Y475" s="109"/>
      <c r="Z475" s="109"/>
    </row>
    <row r="476" spans="1:26" ht="11.25" customHeight="1">
      <c r="A476" s="109"/>
      <c r="B476" s="109"/>
      <c r="C476" s="109"/>
      <c r="D476" s="109"/>
      <c r="E476" s="109"/>
      <c r="F476" s="109"/>
      <c r="G476" s="109"/>
      <c r="H476" s="109"/>
      <c r="I476" s="109"/>
      <c r="J476" s="109"/>
      <c r="K476" s="109"/>
      <c r="L476" s="109"/>
      <c r="M476" s="109"/>
      <c r="N476" s="109"/>
      <c r="O476" s="109"/>
      <c r="P476" s="109"/>
      <c r="Q476" s="109"/>
      <c r="R476" s="109"/>
      <c r="S476" s="109"/>
      <c r="T476" s="109"/>
      <c r="U476" s="109"/>
      <c r="V476" s="109"/>
      <c r="W476" s="109"/>
      <c r="X476" s="109"/>
      <c r="Y476" s="109"/>
      <c r="Z476" s="109"/>
    </row>
    <row r="477" spans="1:26" ht="11.25" customHeight="1">
      <c r="A477" s="109"/>
      <c r="B477" s="109"/>
      <c r="C477" s="109"/>
      <c r="D477" s="109"/>
      <c r="E477" s="109"/>
      <c r="F477" s="109"/>
      <c r="G477" s="109"/>
      <c r="H477" s="109"/>
      <c r="I477" s="109"/>
      <c r="J477" s="109"/>
      <c r="K477" s="109"/>
      <c r="L477" s="109"/>
      <c r="M477" s="109"/>
      <c r="N477" s="109"/>
      <c r="O477" s="109"/>
      <c r="P477" s="109"/>
      <c r="Q477" s="109"/>
      <c r="R477" s="109"/>
      <c r="S477" s="109"/>
      <c r="T477" s="109"/>
      <c r="U477" s="109"/>
      <c r="V477" s="109"/>
      <c r="W477" s="109"/>
      <c r="X477" s="109"/>
      <c r="Y477" s="109"/>
      <c r="Z477" s="109"/>
    </row>
    <row r="478" spans="1:26" ht="11.25" customHeight="1">
      <c r="A478" s="109"/>
      <c r="B478" s="109"/>
      <c r="C478" s="109"/>
      <c r="D478" s="109"/>
      <c r="E478" s="109"/>
      <c r="F478" s="109"/>
      <c r="G478" s="109"/>
      <c r="H478" s="109"/>
      <c r="I478" s="109"/>
      <c r="J478" s="109"/>
      <c r="K478" s="109"/>
      <c r="L478" s="109"/>
      <c r="M478" s="109"/>
      <c r="N478" s="109"/>
      <c r="O478" s="109"/>
      <c r="P478" s="109"/>
      <c r="Q478" s="109"/>
      <c r="R478" s="109"/>
      <c r="S478" s="109"/>
      <c r="T478" s="109"/>
      <c r="U478" s="109"/>
      <c r="V478" s="109"/>
      <c r="W478" s="109"/>
      <c r="X478" s="109"/>
      <c r="Y478" s="109"/>
      <c r="Z478" s="109"/>
    </row>
    <row r="479" spans="1:26" ht="11.25" customHeight="1">
      <c r="A479" s="109"/>
      <c r="B479" s="109"/>
      <c r="C479" s="109"/>
      <c r="D479" s="109"/>
      <c r="E479" s="109"/>
      <c r="F479" s="109"/>
      <c r="G479" s="109"/>
      <c r="H479" s="109"/>
      <c r="I479" s="109"/>
      <c r="J479" s="109"/>
      <c r="K479" s="109"/>
      <c r="L479" s="109"/>
      <c r="M479" s="109"/>
      <c r="N479" s="109"/>
      <c r="O479" s="109"/>
      <c r="P479" s="109"/>
      <c r="Q479" s="109"/>
      <c r="R479" s="109"/>
      <c r="S479" s="109"/>
      <c r="T479" s="109"/>
      <c r="U479" s="109"/>
      <c r="V479" s="109"/>
      <c r="W479" s="109"/>
      <c r="X479" s="109"/>
      <c r="Y479" s="109"/>
      <c r="Z479" s="109"/>
    </row>
    <row r="480" spans="1:26" ht="11.25" customHeight="1">
      <c r="A480" s="109"/>
      <c r="B480" s="109"/>
      <c r="C480" s="109"/>
      <c r="D480" s="109"/>
      <c r="E480" s="109"/>
      <c r="F480" s="109"/>
      <c r="G480" s="109"/>
      <c r="H480" s="109"/>
      <c r="I480" s="109"/>
      <c r="J480" s="109"/>
      <c r="K480" s="109"/>
      <c r="L480" s="109"/>
      <c r="M480" s="109"/>
      <c r="N480" s="109"/>
      <c r="O480" s="109"/>
      <c r="P480" s="109"/>
      <c r="Q480" s="109"/>
      <c r="R480" s="109"/>
      <c r="S480" s="109"/>
      <c r="T480" s="109"/>
      <c r="U480" s="109"/>
      <c r="V480" s="109"/>
      <c r="W480" s="109"/>
      <c r="X480" s="109"/>
      <c r="Y480" s="109"/>
      <c r="Z480" s="109"/>
    </row>
    <row r="481" spans="1:26" ht="11.25" customHeight="1">
      <c r="A481" s="109"/>
      <c r="B481" s="109"/>
      <c r="C481" s="109"/>
      <c r="D481" s="109"/>
      <c r="E481" s="109"/>
      <c r="F481" s="109"/>
      <c r="G481" s="109"/>
      <c r="H481" s="109"/>
      <c r="I481" s="109"/>
      <c r="J481" s="109"/>
      <c r="K481" s="109"/>
      <c r="L481" s="109"/>
      <c r="M481" s="109"/>
      <c r="N481" s="109"/>
      <c r="O481" s="109"/>
      <c r="P481" s="109"/>
      <c r="Q481" s="109"/>
      <c r="R481" s="109"/>
      <c r="S481" s="109"/>
      <c r="T481" s="109"/>
      <c r="U481" s="109"/>
      <c r="V481" s="109"/>
      <c r="W481" s="109"/>
      <c r="X481" s="109"/>
      <c r="Y481" s="109"/>
      <c r="Z481" s="109"/>
    </row>
    <row r="482" spans="1:26" ht="11.25" customHeight="1">
      <c r="A482" s="109"/>
      <c r="B482" s="109"/>
      <c r="C482" s="109"/>
      <c r="D482" s="109"/>
      <c r="E482" s="109"/>
      <c r="F482" s="109"/>
      <c r="G482" s="109"/>
      <c r="H482" s="109"/>
      <c r="I482" s="109"/>
      <c r="J482" s="109"/>
      <c r="K482" s="109"/>
      <c r="L482" s="109"/>
      <c r="M482" s="109"/>
      <c r="N482" s="109"/>
      <c r="O482" s="109"/>
      <c r="P482" s="109"/>
      <c r="Q482" s="109"/>
      <c r="R482" s="109"/>
      <c r="S482" s="109"/>
      <c r="T482" s="109"/>
      <c r="U482" s="109"/>
      <c r="V482" s="109"/>
      <c r="W482" s="109"/>
      <c r="X482" s="109"/>
      <c r="Y482" s="109"/>
      <c r="Z482" s="109"/>
    </row>
    <row r="483" spans="1:26" ht="11.25" customHeight="1">
      <c r="A483" s="109"/>
      <c r="B483" s="109"/>
      <c r="C483" s="109"/>
      <c r="D483" s="109"/>
      <c r="E483" s="109"/>
      <c r="F483" s="109"/>
      <c r="G483" s="109"/>
      <c r="H483" s="109"/>
      <c r="I483" s="109"/>
      <c r="J483" s="109"/>
      <c r="K483" s="109"/>
      <c r="L483" s="109"/>
      <c r="M483" s="109"/>
      <c r="N483" s="109"/>
      <c r="O483" s="109"/>
      <c r="P483" s="109"/>
      <c r="Q483" s="109"/>
      <c r="R483" s="109"/>
      <c r="S483" s="109"/>
      <c r="T483" s="109"/>
      <c r="U483" s="109"/>
      <c r="V483" s="109"/>
      <c r="W483" s="109"/>
      <c r="X483" s="109"/>
      <c r="Y483" s="109"/>
      <c r="Z483" s="109"/>
    </row>
    <row r="484" spans="1:26" ht="11.25" customHeight="1">
      <c r="A484" s="109"/>
      <c r="B484" s="109"/>
      <c r="C484" s="109"/>
      <c r="D484" s="109"/>
      <c r="E484" s="109"/>
      <c r="F484" s="109"/>
      <c r="G484" s="109"/>
      <c r="H484" s="109"/>
      <c r="I484" s="109"/>
      <c r="J484" s="109"/>
      <c r="K484" s="109"/>
      <c r="L484" s="109"/>
      <c r="M484" s="109"/>
      <c r="N484" s="109"/>
      <c r="O484" s="109"/>
      <c r="P484" s="109"/>
      <c r="Q484" s="109"/>
      <c r="R484" s="109"/>
      <c r="S484" s="109"/>
      <c r="T484" s="109"/>
      <c r="U484" s="109"/>
      <c r="V484" s="109"/>
      <c r="W484" s="109"/>
      <c r="X484" s="109"/>
      <c r="Y484" s="109"/>
      <c r="Z484" s="109"/>
    </row>
    <row r="485" spans="1:26" ht="11.25" customHeight="1">
      <c r="A485" s="109"/>
      <c r="B485" s="109"/>
      <c r="C485" s="109"/>
      <c r="D485" s="109"/>
      <c r="E485" s="109"/>
      <c r="F485" s="109"/>
      <c r="G485" s="109"/>
      <c r="H485" s="109"/>
      <c r="I485" s="109"/>
      <c r="J485" s="109"/>
      <c r="K485" s="109"/>
      <c r="L485" s="109"/>
      <c r="M485" s="109"/>
      <c r="N485" s="109"/>
      <c r="O485" s="109"/>
      <c r="P485" s="109"/>
      <c r="Q485" s="109"/>
      <c r="R485" s="109"/>
      <c r="S485" s="109"/>
      <c r="T485" s="109"/>
      <c r="U485" s="109"/>
      <c r="V485" s="109"/>
      <c r="W485" s="109"/>
      <c r="X485" s="109"/>
      <c r="Y485" s="109"/>
      <c r="Z485" s="109"/>
    </row>
    <row r="486" spans="1:26" ht="11.25" customHeight="1">
      <c r="A486" s="109"/>
      <c r="B486" s="109"/>
      <c r="C486" s="109"/>
      <c r="D486" s="109"/>
      <c r="E486" s="109"/>
      <c r="F486" s="109"/>
      <c r="G486" s="109"/>
      <c r="H486" s="109"/>
      <c r="I486" s="109"/>
      <c r="J486" s="109"/>
      <c r="K486" s="109"/>
      <c r="L486" s="109"/>
      <c r="M486" s="109"/>
      <c r="N486" s="109"/>
      <c r="O486" s="109"/>
      <c r="P486" s="109"/>
      <c r="Q486" s="109"/>
      <c r="R486" s="109"/>
      <c r="S486" s="109"/>
      <c r="T486" s="109"/>
      <c r="U486" s="109"/>
      <c r="V486" s="109"/>
      <c r="W486" s="109"/>
      <c r="X486" s="109"/>
      <c r="Y486" s="109"/>
      <c r="Z486" s="109"/>
    </row>
    <row r="487" spans="1:26" ht="11.25" customHeight="1">
      <c r="A487" s="109"/>
      <c r="B487" s="109"/>
      <c r="C487" s="109"/>
      <c r="D487" s="109"/>
      <c r="E487" s="109"/>
      <c r="F487" s="109"/>
      <c r="G487" s="109"/>
      <c r="H487" s="109"/>
      <c r="I487" s="109"/>
      <c r="J487" s="109"/>
      <c r="K487" s="109"/>
      <c r="L487" s="109"/>
      <c r="M487" s="109"/>
      <c r="N487" s="109"/>
      <c r="O487" s="109"/>
      <c r="P487" s="109"/>
      <c r="Q487" s="109"/>
      <c r="R487" s="109"/>
      <c r="S487" s="109"/>
      <c r="T487" s="109"/>
      <c r="U487" s="109"/>
      <c r="V487" s="109"/>
      <c r="W487" s="109"/>
      <c r="X487" s="109"/>
      <c r="Y487" s="109"/>
      <c r="Z487" s="109"/>
    </row>
    <row r="488" spans="1:26" ht="11.25" customHeight="1">
      <c r="A488" s="109"/>
      <c r="B488" s="109"/>
      <c r="C488" s="109"/>
      <c r="D488" s="109"/>
      <c r="E488" s="109"/>
      <c r="F488" s="109"/>
      <c r="G488" s="109"/>
      <c r="H488" s="109"/>
      <c r="I488" s="109"/>
      <c r="J488" s="109"/>
      <c r="K488" s="109"/>
      <c r="L488" s="109"/>
      <c r="M488" s="109"/>
      <c r="N488" s="109"/>
      <c r="O488" s="109"/>
      <c r="P488" s="109"/>
      <c r="Q488" s="109"/>
      <c r="R488" s="109"/>
      <c r="S488" s="109"/>
      <c r="T488" s="109"/>
      <c r="U488" s="109"/>
      <c r="V488" s="109"/>
      <c r="W488" s="109"/>
      <c r="X488" s="109"/>
      <c r="Y488" s="109"/>
      <c r="Z488" s="109"/>
    </row>
    <row r="489" spans="1:26" ht="11.25" customHeight="1">
      <c r="A489" s="109"/>
      <c r="B489" s="109"/>
      <c r="C489" s="109"/>
      <c r="D489" s="109"/>
      <c r="E489" s="109"/>
      <c r="F489" s="109"/>
      <c r="G489" s="109"/>
      <c r="H489" s="109"/>
      <c r="I489" s="109"/>
      <c r="J489" s="109"/>
      <c r="K489" s="109"/>
      <c r="L489" s="109"/>
      <c r="M489" s="109"/>
      <c r="N489" s="109"/>
      <c r="O489" s="109"/>
      <c r="P489" s="109"/>
      <c r="Q489" s="109"/>
      <c r="R489" s="109"/>
      <c r="S489" s="109"/>
      <c r="T489" s="109"/>
      <c r="U489" s="109"/>
      <c r="V489" s="109"/>
      <c r="W489" s="109"/>
      <c r="X489" s="109"/>
      <c r="Y489" s="109"/>
      <c r="Z489" s="109"/>
    </row>
    <row r="490" spans="1:26" ht="11.25" customHeight="1">
      <c r="A490" s="109"/>
      <c r="B490" s="109"/>
      <c r="C490" s="109"/>
      <c r="D490" s="109"/>
      <c r="E490" s="109"/>
      <c r="F490" s="109"/>
      <c r="G490" s="109"/>
      <c r="H490" s="109"/>
      <c r="I490" s="109"/>
      <c r="J490" s="109"/>
      <c r="K490" s="109"/>
      <c r="L490" s="109"/>
      <c r="M490" s="109"/>
      <c r="N490" s="109"/>
      <c r="O490" s="109"/>
      <c r="P490" s="109"/>
      <c r="Q490" s="109"/>
      <c r="R490" s="109"/>
      <c r="S490" s="109"/>
      <c r="T490" s="109"/>
      <c r="U490" s="109"/>
      <c r="V490" s="109"/>
      <c r="W490" s="109"/>
      <c r="X490" s="109"/>
      <c r="Y490" s="109"/>
      <c r="Z490" s="109"/>
    </row>
    <row r="491" spans="1:26" ht="11.25" customHeight="1">
      <c r="A491" s="109"/>
      <c r="B491" s="109"/>
      <c r="C491" s="109"/>
      <c r="D491" s="109"/>
      <c r="E491" s="109"/>
      <c r="F491" s="109"/>
      <c r="G491" s="109"/>
      <c r="H491" s="109"/>
      <c r="I491" s="109"/>
      <c r="J491" s="109"/>
      <c r="K491" s="109"/>
      <c r="L491" s="109"/>
      <c r="M491" s="109"/>
      <c r="N491" s="109"/>
      <c r="O491" s="109"/>
      <c r="P491" s="109"/>
      <c r="Q491" s="109"/>
      <c r="R491" s="109"/>
      <c r="S491" s="109"/>
      <c r="T491" s="109"/>
      <c r="U491" s="109"/>
      <c r="V491" s="109"/>
      <c r="W491" s="109"/>
      <c r="X491" s="109"/>
      <c r="Y491" s="109"/>
      <c r="Z491" s="109"/>
    </row>
    <row r="492" spans="1:26" ht="11.25" customHeight="1">
      <c r="A492" s="109"/>
      <c r="B492" s="109"/>
      <c r="C492" s="109"/>
      <c r="D492" s="109"/>
      <c r="E492" s="109"/>
      <c r="F492" s="109"/>
      <c r="G492" s="109"/>
      <c r="H492" s="109"/>
      <c r="I492" s="109"/>
      <c r="J492" s="109"/>
      <c r="K492" s="109"/>
      <c r="L492" s="109"/>
      <c r="M492" s="109"/>
      <c r="N492" s="109"/>
      <c r="O492" s="109"/>
      <c r="P492" s="109"/>
      <c r="Q492" s="109"/>
      <c r="R492" s="109"/>
      <c r="S492" s="109"/>
      <c r="T492" s="109"/>
      <c r="U492" s="109"/>
      <c r="V492" s="109"/>
      <c r="W492" s="109"/>
      <c r="X492" s="109"/>
      <c r="Y492" s="109"/>
      <c r="Z492" s="109"/>
    </row>
    <row r="493" spans="1:26" ht="11.25" customHeight="1">
      <c r="A493" s="109"/>
      <c r="B493" s="109"/>
      <c r="C493" s="109"/>
      <c r="D493" s="109"/>
      <c r="E493" s="109"/>
      <c r="F493" s="109"/>
      <c r="G493" s="109"/>
      <c r="H493" s="109"/>
      <c r="I493" s="109"/>
      <c r="J493" s="109"/>
      <c r="K493" s="109"/>
      <c r="L493" s="109"/>
      <c r="M493" s="109"/>
      <c r="N493" s="109"/>
      <c r="O493" s="109"/>
      <c r="P493" s="109"/>
      <c r="Q493" s="109"/>
      <c r="R493" s="109"/>
      <c r="S493" s="109"/>
      <c r="T493" s="109"/>
      <c r="U493" s="109"/>
      <c r="V493" s="109"/>
      <c r="W493" s="109"/>
      <c r="X493" s="109"/>
      <c r="Y493" s="109"/>
      <c r="Z493" s="109"/>
    </row>
    <row r="494" spans="1:26" ht="11.25" customHeight="1">
      <c r="A494" s="109"/>
      <c r="B494" s="109"/>
      <c r="C494" s="109"/>
      <c r="D494" s="109"/>
      <c r="E494" s="109"/>
      <c r="F494" s="109"/>
      <c r="G494" s="109"/>
      <c r="H494" s="109"/>
      <c r="I494" s="109"/>
      <c r="J494" s="109"/>
      <c r="K494" s="109"/>
      <c r="L494" s="109"/>
      <c r="M494" s="109"/>
      <c r="N494" s="109"/>
      <c r="O494" s="109"/>
      <c r="P494" s="109"/>
      <c r="Q494" s="109"/>
      <c r="R494" s="109"/>
      <c r="S494" s="109"/>
      <c r="T494" s="109"/>
      <c r="U494" s="109"/>
      <c r="V494" s="109"/>
      <c r="W494" s="109"/>
      <c r="X494" s="109"/>
      <c r="Y494" s="109"/>
      <c r="Z494" s="109"/>
    </row>
    <row r="495" spans="1:26" ht="11.25" customHeight="1">
      <c r="A495" s="109"/>
      <c r="B495" s="109"/>
      <c r="C495" s="109"/>
      <c r="D495" s="109"/>
      <c r="E495" s="109"/>
      <c r="F495" s="109"/>
      <c r="G495" s="109"/>
      <c r="H495" s="109"/>
      <c r="I495" s="109"/>
      <c r="J495" s="109"/>
      <c r="K495" s="109"/>
      <c r="L495" s="109"/>
      <c r="M495" s="109"/>
      <c r="N495" s="109"/>
      <c r="O495" s="109"/>
      <c r="P495" s="109"/>
      <c r="Q495" s="109"/>
      <c r="R495" s="109"/>
      <c r="S495" s="109"/>
      <c r="T495" s="109"/>
      <c r="U495" s="109"/>
      <c r="V495" s="109"/>
      <c r="W495" s="109"/>
      <c r="X495" s="109"/>
      <c r="Y495" s="109"/>
      <c r="Z495" s="109"/>
    </row>
    <row r="496" spans="1:26" ht="11.25" customHeight="1">
      <c r="A496" s="109"/>
      <c r="B496" s="109"/>
      <c r="C496" s="109"/>
      <c r="D496" s="109"/>
      <c r="E496" s="109"/>
      <c r="F496" s="109"/>
      <c r="G496" s="109"/>
      <c r="H496" s="109"/>
      <c r="I496" s="109"/>
      <c r="J496" s="109"/>
      <c r="K496" s="109"/>
      <c r="L496" s="109"/>
      <c r="M496" s="109"/>
      <c r="N496" s="109"/>
      <c r="O496" s="109"/>
      <c r="P496" s="109"/>
      <c r="Q496" s="109"/>
      <c r="R496" s="109"/>
      <c r="S496" s="109"/>
      <c r="T496" s="109"/>
      <c r="U496" s="109"/>
      <c r="V496" s="109"/>
      <c r="W496" s="109"/>
      <c r="X496" s="109"/>
      <c r="Y496" s="109"/>
      <c r="Z496" s="109"/>
    </row>
    <row r="497" spans="1:26" ht="11.25" customHeight="1">
      <c r="A497" s="109"/>
      <c r="B497" s="109"/>
      <c r="C497" s="109"/>
      <c r="D497" s="109"/>
      <c r="E497" s="109"/>
      <c r="F497" s="109"/>
      <c r="G497" s="109"/>
      <c r="H497" s="109"/>
      <c r="I497" s="109"/>
      <c r="J497" s="109"/>
      <c r="K497" s="109"/>
      <c r="L497" s="109"/>
      <c r="M497" s="109"/>
      <c r="N497" s="109"/>
      <c r="O497" s="109"/>
      <c r="P497" s="109"/>
      <c r="Q497" s="109"/>
      <c r="R497" s="109"/>
      <c r="S497" s="109"/>
      <c r="T497" s="109"/>
      <c r="U497" s="109"/>
      <c r="V497" s="109"/>
      <c r="W497" s="109"/>
      <c r="X497" s="109"/>
      <c r="Y497" s="109"/>
      <c r="Z497" s="109"/>
    </row>
    <row r="498" spans="1:26" ht="11.25" customHeight="1">
      <c r="A498" s="109"/>
      <c r="B498" s="109"/>
      <c r="C498" s="109"/>
      <c r="D498" s="109"/>
      <c r="E498" s="109"/>
      <c r="F498" s="109"/>
      <c r="G498" s="109"/>
      <c r="H498" s="109"/>
      <c r="I498" s="109"/>
      <c r="J498" s="109"/>
      <c r="K498" s="109"/>
      <c r="L498" s="109"/>
      <c r="M498" s="109"/>
      <c r="N498" s="109"/>
      <c r="O498" s="109"/>
      <c r="P498" s="109"/>
      <c r="Q498" s="109"/>
      <c r="R498" s="109"/>
      <c r="S498" s="109"/>
      <c r="T498" s="109"/>
      <c r="U498" s="109"/>
      <c r="V498" s="109"/>
      <c r="W498" s="109"/>
      <c r="X498" s="109"/>
      <c r="Y498" s="109"/>
      <c r="Z498" s="109"/>
    </row>
    <row r="499" spans="1:26" ht="11.25" customHeight="1">
      <c r="A499" s="109"/>
      <c r="B499" s="109"/>
      <c r="C499" s="109"/>
      <c r="D499" s="109"/>
      <c r="E499" s="109"/>
      <c r="F499" s="109"/>
      <c r="G499" s="109"/>
      <c r="H499" s="109"/>
      <c r="I499" s="109"/>
      <c r="J499" s="109"/>
      <c r="K499" s="109"/>
      <c r="L499" s="109"/>
      <c r="M499" s="109"/>
      <c r="N499" s="109"/>
      <c r="O499" s="109"/>
      <c r="P499" s="109"/>
      <c r="Q499" s="109"/>
      <c r="R499" s="109"/>
      <c r="S499" s="109"/>
      <c r="T499" s="109"/>
      <c r="U499" s="109"/>
      <c r="V499" s="109"/>
      <c r="W499" s="109"/>
      <c r="X499" s="109"/>
      <c r="Y499" s="109"/>
      <c r="Z499" s="109"/>
    </row>
    <row r="500" spans="1:26" ht="11.25" customHeight="1">
      <c r="A500" s="109"/>
      <c r="B500" s="109"/>
      <c r="C500" s="109"/>
      <c r="D500" s="109"/>
      <c r="E500" s="109"/>
      <c r="F500" s="109"/>
      <c r="G500" s="109"/>
      <c r="H500" s="109"/>
      <c r="I500" s="109"/>
      <c r="J500" s="109"/>
      <c r="K500" s="109"/>
      <c r="L500" s="109"/>
      <c r="M500" s="109"/>
      <c r="N500" s="109"/>
      <c r="O500" s="109"/>
      <c r="P500" s="109"/>
      <c r="Q500" s="109"/>
      <c r="R500" s="109"/>
      <c r="S500" s="109"/>
      <c r="T500" s="109"/>
      <c r="U500" s="109"/>
      <c r="V500" s="109"/>
      <c r="W500" s="109"/>
      <c r="X500" s="109"/>
      <c r="Y500" s="109"/>
      <c r="Z500" s="109"/>
    </row>
    <row r="501" spans="1:26" ht="11.25" customHeight="1">
      <c r="A501" s="109"/>
      <c r="B501" s="109"/>
      <c r="C501" s="109"/>
      <c r="D501" s="109"/>
      <c r="E501" s="109"/>
      <c r="F501" s="109"/>
      <c r="G501" s="109"/>
      <c r="H501" s="109"/>
      <c r="I501" s="109"/>
      <c r="J501" s="109"/>
      <c r="K501" s="109"/>
      <c r="L501" s="109"/>
      <c r="M501" s="109"/>
      <c r="N501" s="109"/>
      <c r="O501" s="109"/>
      <c r="P501" s="109"/>
      <c r="Q501" s="109"/>
      <c r="R501" s="109"/>
      <c r="S501" s="109"/>
      <c r="T501" s="109"/>
      <c r="U501" s="109"/>
      <c r="V501" s="109"/>
      <c r="W501" s="109"/>
      <c r="X501" s="109"/>
      <c r="Y501" s="109"/>
      <c r="Z501" s="109"/>
    </row>
    <row r="502" spans="1:26" ht="11.25" customHeight="1">
      <c r="A502" s="109"/>
      <c r="B502" s="109"/>
      <c r="C502" s="109"/>
      <c r="D502" s="109"/>
      <c r="E502" s="109"/>
      <c r="F502" s="109"/>
      <c r="G502" s="109"/>
      <c r="H502" s="109"/>
      <c r="I502" s="109"/>
      <c r="J502" s="109"/>
      <c r="K502" s="109"/>
      <c r="L502" s="109"/>
      <c r="M502" s="109"/>
      <c r="N502" s="109"/>
      <c r="O502" s="109"/>
      <c r="P502" s="109"/>
      <c r="Q502" s="109"/>
      <c r="R502" s="109"/>
      <c r="S502" s="109"/>
      <c r="T502" s="109"/>
      <c r="U502" s="109"/>
      <c r="V502" s="109"/>
      <c r="W502" s="109"/>
      <c r="X502" s="109"/>
      <c r="Y502" s="109"/>
      <c r="Z502" s="109"/>
    </row>
    <row r="503" spans="1:26" ht="11.25" customHeight="1">
      <c r="A503" s="109"/>
      <c r="B503" s="109"/>
      <c r="C503" s="109"/>
      <c r="D503" s="109"/>
      <c r="E503" s="109"/>
      <c r="F503" s="109"/>
      <c r="G503" s="109"/>
      <c r="H503" s="109"/>
      <c r="I503" s="109"/>
      <c r="J503" s="109"/>
      <c r="K503" s="109"/>
      <c r="L503" s="109"/>
      <c r="M503" s="109"/>
      <c r="N503" s="109"/>
      <c r="O503" s="109"/>
      <c r="P503" s="109"/>
      <c r="Q503" s="109"/>
      <c r="R503" s="109"/>
      <c r="S503" s="109"/>
      <c r="T503" s="109"/>
      <c r="U503" s="109"/>
      <c r="V503" s="109"/>
      <c r="W503" s="109"/>
      <c r="X503" s="109"/>
      <c r="Y503" s="109"/>
      <c r="Z503" s="109"/>
    </row>
    <row r="504" spans="1:26" ht="11.25" customHeight="1">
      <c r="A504" s="109"/>
      <c r="B504" s="109"/>
      <c r="C504" s="109"/>
      <c r="D504" s="109"/>
      <c r="E504" s="109"/>
      <c r="F504" s="109"/>
      <c r="G504" s="109"/>
      <c r="H504" s="109"/>
      <c r="I504" s="109"/>
      <c r="J504" s="109"/>
      <c r="K504" s="109"/>
      <c r="L504" s="109"/>
      <c r="M504" s="109"/>
      <c r="N504" s="109"/>
      <c r="O504" s="109"/>
      <c r="P504" s="109"/>
      <c r="Q504" s="109"/>
      <c r="R504" s="109"/>
      <c r="S504" s="109"/>
      <c r="T504" s="109"/>
      <c r="U504" s="109"/>
      <c r="V504" s="109"/>
      <c r="W504" s="109"/>
      <c r="X504" s="109"/>
      <c r="Y504" s="109"/>
      <c r="Z504" s="109"/>
    </row>
    <row r="505" spans="1:26" ht="11.25" customHeight="1">
      <c r="A505" s="109"/>
      <c r="B505" s="109"/>
      <c r="C505" s="109"/>
      <c r="D505" s="109"/>
      <c r="E505" s="109"/>
      <c r="F505" s="109"/>
      <c r="G505" s="109"/>
      <c r="H505" s="109"/>
      <c r="I505" s="109"/>
      <c r="J505" s="109"/>
      <c r="K505" s="109"/>
      <c r="L505" s="109"/>
      <c r="M505" s="109"/>
      <c r="N505" s="109"/>
      <c r="O505" s="109"/>
      <c r="P505" s="109"/>
      <c r="Q505" s="109"/>
      <c r="R505" s="109"/>
      <c r="S505" s="109"/>
      <c r="T505" s="109"/>
      <c r="U505" s="109"/>
      <c r="V505" s="109"/>
      <c r="W505" s="109"/>
      <c r="X505" s="109"/>
      <c r="Y505" s="109"/>
      <c r="Z505" s="109"/>
    </row>
    <row r="506" spans="1:26" ht="11.25" customHeight="1">
      <c r="A506" s="109"/>
      <c r="B506" s="109"/>
      <c r="C506" s="109"/>
      <c r="D506" s="109"/>
      <c r="E506" s="109"/>
      <c r="F506" s="109"/>
      <c r="G506" s="109"/>
      <c r="H506" s="109"/>
      <c r="I506" s="109"/>
      <c r="J506" s="109"/>
      <c r="K506" s="109"/>
      <c r="L506" s="109"/>
      <c r="M506" s="109"/>
      <c r="N506" s="109"/>
      <c r="O506" s="109"/>
      <c r="P506" s="109"/>
      <c r="Q506" s="109"/>
      <c r="R506" s="109"/>
      <c r="S506" s="109"/>
      <c r="T506" s="109"/>
      <c r="U506" s="109"/>
      <c r="V506" s="109"/>
      <c r="W506" s="109"/>
      <c r="X506" s="109"/>
      <c r="Y506" s="109"/>
      <c r="Z506" s="109"/>
    </row>
    <row r="507" spans="1:26" ht="11.25" customHeight="1">
      <c r="A507" s="109"/>
      <c r="B507" s="109"/>
      <c r="C507" s="109"/>
      <c r="D507" s="109"/>
      <c r="E507" s="109"/>
      <c r="F507" s="109"/>
      <c r="G507" s="109"/>
      <c r="H507" s="109"/>
      <c r="I507" s="109"/>
      <c r="J507" s="109"/>
      <c r="K507" s="109"/>
      <c r="L507" s="109"/>
      <c r="M507" s="109"/>
      <c r="N507" s="109"/>
      <c r="O507" s="109"/>
      <c r="P507" s="109"/>
      <c r="Q507" s="109"/>
      <c r="R507" s="109"/>
      <c r="S507" s="109"/>
      <c r="T507" s="109"/>
      <c r="U507" s="109"/>
      <c r="V507" s="109"/>
      <c r="W507" s="109"/>
      <c r="X507" s="109"/>
      <c r="Y507" s="109"/>
      <c r="Z507" s="109"/>
    </row>
    <row r="508" spans="1:26" ht="11.25" customHeight="1">
      <c r="A508" s="109"/>
      <c r="B508" s="109"/>
      <c r="C508" s="109"/>
      <c r="D508" s="109"/>
      <c r="E508" s="109"/>
      <c r="F508" s="109"/>
      <c r="G508" s="109"/>
      <c r="H508" s="109"/>
      <c r="I508" s="109"/>
      <c r="J508" s="109"/>
      <c r="K508" s="109"/>
      <c r="L508" s="109"/>
      <c r="M508" s="109"/>
      <c r="N508" s="109"/>
      <c r="O508" s="109"/>
      <c r="P508" s="109"/>
      <c r="Q508" s="109"/>
      <c r="R508" s="109"/>
      <c r="S508" s="109"/>
      <c r="T508" s="109"/>
      <c r="U508" s="109"/>
      <c r="V508" s="109"/>
      <c r="W508" s="109"/>
      <c r="X508" s="109"/>
      <c r="Y508" s="109"/>
      <c r="Z508" s="109"/>
    </row>
    <row r="509" spans="1:26" ht="11.25" customHeight="1">
      <c r="A509" s="109"/>
      <c r="B509" s="109"/>
      <c r="C509" s="109"/>
      <c r="D509" s="109"/>
      <c r="E509" s="109"/>
      <c r="F509" s="109"/>
      <c r="G509" s="109"/>
      <c r="H509" s="109"/>
      <c r="I509" s="109"/>
      <c r="J509" s="109"/>
      <c r="K509" s="109"/>
      <c r="L509" s="109"/>
      <c r="M509" s="109"/>
      <c r="N509" s="109"/>
      <c r="O509" s="109"/>
      <c r="P509" s="109"/>
      <c r="Q509" s="109"/>
      <c r="R509" s="109"/>
      <c r="S509" s="109"/>
      <c r="T509" s="109"/>
      <c r="U509" s="109"/>
      <c r="V509" s="109"/>
      <c r="W509" s="109"/>
      <c r="X509" s="109"/>
      <c r="Y509" s="109"/>
      <c r="Z509" s="109"/>
    </row>
    <row r="510" spans="1:26" ht="11.25" customHeight="1">
      <c r="A510" s="109"/>
      <c r="B510" s="109"/>
      <c r="C510" s="109"/>
      <c r="D510" s="109"/>
      <c r="E510" s="109"/>
      <c r="F510" s="109"/>
      <c r="G510" s="109"/>
      <c r="H510" s="109"/>
      <c r="I510" s="109"/>
      <c r="J510" s="109"/>
      <c r="K510" s="109"/>
      <c r="L510" s="109"/>
      <c r="M510" s="109"/>
      <c r="N510" s="109"/>
      <c r="O510" s="109"/>
      <c r="P510" s="109"/>
      <c r="Q510" s="109"/>
      <c r="R510" s="109"/>
      <c r="S510" s="109"/>
      <c r="T510" s="109"/>
      <c r="U510" s="109"/>
      <c r="V510" s="109"/>
      <c r="W510" s="109"/>
      <c r="X510" s="109"/>
      <c r="Y510" s="109"/>
      <c r="Z510" s="109"/>
    </row>
    <row r="511" spans="1:26" ht="11.25" customHeight="1">
      <c r="A511" s="109"/>
      <c r="B511" s="109"/>
      <c r="C511" s="109"/>
      <c r="D511" s="109"/>
      <c r="E511" s="109"/>
      <c r="F511" s="109"/>
      <c r="G511" s="109"/>
      <c r="H511" s="109"/>
      <c r="I511" s="109"/>
      <c r="J511" s="109"/>
      <c r="K511" s="109"/>
      <c r="L511" s="109"/>
      <c r="M511" s="109"/>
      <c r="N511" s="109"/>
      <c r="O511" s="109"/>
      <c r="P511" s="109"/>
      <c r="Q511" s="109"/>
      <c r="R511" s="109"/>
      <c r="S511" s="109"/>
      <c r="T511" s="109"/>
      <c r="U511" s="109"/>
      <c r="V511" s="109"/>
      <c r="W511" s="109"/>
      <c r="X511" s="109"/>
      <c r="Y511" s="109"/>
      <c r="Z511" s="109"/>
    </row>
    <row r="512" spans="1:26" ht="11.25" customHeight="1">
      <c r="A512" s="109"/>
      <c r="B512" s="109"/>
      <c r="C512" s="109"/>
      <c r="D512" s="109"/>
      <c r="E512" s="109"/>
      <c r="F512" s="109"/>
      <c r="G512" s="109"/>
      <c r="H512" s="109"/>
      <c r="I512" s="109"/>
      <c r="J512" s="109"/>
      <c r="K512" s="109"/>
      <c r="L512" s="109"/>
      <c r="M512" s="109"/>
      <c r="N512" s="109"/>
      <c r="O512" s="109"/>
      <c r="P512" s="109"/>
      <c r="Q512" s="109"/>
      <c r="R512" s="109"/>
      <c r="S512" s="109"/>
      <c r="T512" s="109"/>
      <c r="U512" s="109"/>
      <c r="V512" s="109"/>
      <c r="W512" s="109"/>
      <c r="X512" s="109"/>
      <c r="Y512" s="109"/>
      <c r="Z512" s="109"/>
    </row>
    <row r="513" spans="1:26" ht="11.25" customHeight="1">
      <c r="A513" s="109"/>
      <c r="B513" s="109"/>
      <c r="C513" s="109"/>
      <c r="D513" s="109"/>
      <c r="E513" s="109"/>
      <c r="F513" s="109"/>
      <c r="G513" s="109"/>
      <c r="H513" s="109"/>
      <c r="I513" s="109"/>
      <c r="J513" s="109"/>
      <c r="K513" s="109"/>
      <c r="L513" s="109"/>
      <c r="M513" s="109"/>
      <c r="N513" s="109"/>
      <c r="O513" s="109"/>
      <c r="P513" s="109"/>
      <c r="Q513" s="109"/>
      <c r="R513" s="109"/>
      <c r="S513" s="109"/>
      <c r="T513" s="109"/>
      <c r="U513" s="109"/>
      <c r="V513" s="109"/>
      <c r="W513" s="109"/>
      <c r="X513" s="109"/>
      <c r="Y513" s="109"/>
      <c r="Z513" s="109"/>
    </row>
    <row r="514" spans="1:26" ht="11.25" customHeight="1">
      <c r="A514" s="109"/>
      <c r="B514" s="109"/>
      <c r="C514" s="109"/>
      <c r="D514" s="109"/>
      <c r="E514" s="109"/>
      <c r="F514" s="109"/>
      <c r="G514" s="109"/>
      <c r="H514" s="109"/>
      <c r="I514" s="109"/>
      <c r="J514" s="109"/>
      <c r="K514" s="109"/>
      <c r="L514" s="109"/>
      <c r="M514" s="109"/>
      <c r="N514" s="109"/>
      <c r="O514" s="109"/>
      <c r="P514" s="109"/>
      <c r="Q514" s="109"/>
      <c r="R514" s="109"/>
      <c r="S514" s="109"/>
      <c r="T514" s="109"/>
      <c r="U514" s="109"/>
      <c r="V514" s="109"/>
      <c r="W514" s="109"/>
      <c r="X514" s="109"/>
      <c r="Y514" s="109"/>
      <c r="Z514" s="109"/>
    </row>
    <row r="515" spans="1:26" ht="11.25" customHeight="1">
      <c r="A515" s="109"/>
      <c r="B515" s="109"/>
      <c r="C515" s="109"/>
      <c r="D515" s="109"/>
      <c r="E515" s="109"/>
      <c r="F515" s="109"/>
      <c r="G515" s="109"/>
      <c r="H515" s="109"/>
      <c r="I515" s="109"/>
      <c r="J515" s="109"/>
      <c r="K515" s="109"/>
      <c r="L515" s="109"/>
      <c r="M515" s="109"/>
      <c r="N515" s="109"/>
      <c r="O515" s="109"/>
      <c r="P515" s="109"/>
      <c r="Q515" s="109"/>
      <c r="R515" s="109"/>
      <c r="S515" s="109"/>
      <c r="T515" s="109"/>
      <c r="U515" s="109"/>
      <c r="V515" s="109"/>
      <c r="W515" s="109"/>
      <c r="X515" s="109"/>
      <c r="Y515" s="109"/>
      <c r="Z515" s="109"/>
    </row>
    <row r="516" spans="1:26" ht="11.25" customHeight="1">
      <c r="A516" s="109"/>
      <c r="B516" s="109"/>
      <c r="C516" s="109"/>
      <c r="D516" s="109"/>
      <c r="E516" s="109"/>
      <c r="F516" s="109"/>
      <c r="G516" s="109"/>
      <c r="H516" s="109"/>
      <c r="I516" s="109"/>
      <c r="J516" s="109"/>
      <c r="K516" s="109"/>
      <c r="L516" s="109"/>
      <c r="M516" s="109"/>
      <c r="N516" s="109"/>
      <c r="O516" s="109"/>
      <c r="P516" s="109"/>
      <c r="Q516" s="109"/>
      <c r="R516" s="109"/>
      <c r="S516" s="109"/>
      <c r="T516" s="109"/>
      <c r="U516" s="109"/>
      <c r="V516" s="109"/>
      <c r="W516" s="109"/>
      <c r="X516" s="109"/>
      <c r="Y516" s="109"/>
      <c r="Z516" s="109"/>
    </row>
    <row r="517" spans="1:26" ht="11.25" customHeight="1">
      <c r="A517" s="109"/>
      <c r="B517" s="109"/>
      <c r="C517" s="109"/>
      <c r="D517" s="109"/>
      <c r="E517" s="109"/>
      <c r="F517" s="109"/>
      <c r="G517" s="109"/>
      <c r="H517" s="109"/>
      <c r="I517" s="109"/>
      <c r="J517" s="109"/>
      <c r="K517" s="109"/>
      <c r="L517" s="109"/>
      <c r="M517" s="109"/>
      <c r="N517" s="109"/>
      <c r="O517" s="109"/>
      <c r="P517" s="109"/>
      <c r="Q517" s="109"/>
      <c r="R517" s="109"/>
      <c r="S517" s="109"/>
      <c r="T517" s="109"/>
      <c r="U517" s="109"/>
      <c r="V517" s="109"/>
      <c r="W517" s="109"/>
      <c r="X517" s="109"/>
      <c r="Y517" s="109"/>
      <c r="Z517" s="109"/>
    </row>
    <row r="518" spans="1:26" ht="11.25" customHeight="1">
      <c r="A518" s="109"/>
      <c r="B518" s="109"/>
      <c r="C518" s="109"/>
      <c r="D518" s="109"/>
      <c r="E518" s="109"/>
      <c r="F518" s="109"/>
      <c r="G518" s="109"/>
      <c r="H518" s="109"/>
      <c r="I518" s="109"/>
      <c r="J518" s="109"/>
      <c r="K518" s="109"/>
      <c r="L518" s="109"/>
      <c r="M518" s="109"/>
      <c r="N518" s="109"/>
      <c r="O518" s="109"/>
      <c r="P518" s="109"/>
      <c r="Q518" s="109"/>
      <c r="R518" s="109"/>
      <c r="S518" s="109"/>
      <c r="T518" s="109"/>
      <c r="U518" s="109"/>
      <c r="V518" s="109"/>
      <c r="W518" s="109"/>
      <c r="X518" s="109"/>
      <c r="Y518" s="109"/>
      <c r="Z518" s="109"/>
    </row>
    <row r="519" spans="1:26" ht="11.25" customHeight="1">
      <c r="A519" s="109"/>
      <c r="B519" s="109"/>
      <c r="C519" s="109"/>
      <c r="D519" s="109"/>
      <c r="E519" s="109"/>
      <c r="F519" s="109"/>
      <c r="G519" s="109"/>
      <c r="H519" s="109"/>
      <c r="I519" s="109"/>
      <c r="J519" s="109"/>
      <c r="K519" s="109"/>
      <c r="L519" s="109"/>
      <c r="M519" s="109"/>
      <c r="N519" s="109"/>
      <c r="O519" s="109"/>
      <c r="P519" s="109"/>
      <c r="Q519" s="109"/>
      <c r="R519" s="109"/>
      <c r="S519" s="109"/>
      <c r="T519" s="109"/>
      <c r="U519" s="109"/>
      <c r="V519" s="109"/>
      <c r="W519" s="109"/>
      <c r="X519" s="109"/>
      <c r="Y519" s="109"/>
      <c r="Z519" s="109"/>
    </row>
    <row r="520" spans="1:26" ht="11.25" customHeight="1">
      <c r="A520" s="109"/>
      <c r="B520" s="109"/>
      <c r="C520" s="109"/>
      <c r="D520" s="109"/>
      <c r="E520" s="109"/>
      <c r="F520" s="109"/>
      <c r="G520" s="109"/>
      <c r="H520" s="109"/>
      <c r="I520" s="109"/>
      <c r="J520" s="109"/>
      <c r="K520" s="109"/>
      <c r="L520" s="109"/>
      <c r="M520" s="109"/>
      <c r="N520" s="109"/>
      <c r="O520" s="109"/>
      <c r="P520" s="109"/>
      <c r="Q520" s="109"/>
      <c r="R520" s="109"/>
      <c r="S520" s="109"/>
      <c r="T520" s="109"/>
      <c r="U520" s="109"/>
      <c r="V520" s="109"/>
      <c r="W520" s="109"/>
      <c r="X520" s="109"/>
      <c r="Y520" s="109"/>
      <c r="Z520" s="109"/>
    </row>
    <row r="521" spans="1:26" ht="11.25" customHeight="1">
      <c r="A521" s="109"/>
      <c r="B521" s="109"/>
      <c r="C521" s="109"/>
      <c r="D521" s="109"/>
      <c r="E521" s="109"/>
      <c r="F521" s="109"/>
      <c r="G521" s="109"/>
      <c r="H521" s="109"/>
      <c r="I521" s="109"/>
      <c r="J521" s="109"/>
      <c r="K521" s="109"/>
      <c r="L521" s="109"/>
      <c r="M521" s="109"/>
      <c r="N521" s="109"/>
      <c r="O521" s="109"/>
      <c r="P521" s="109"/>
      <c r="Q521" s="109"/>
      <c r="R521" s="109"/>
      <c r="S521" s="109"/>
      <c r="T521" s="109"/>
      <c r="U521" s="109"/>
      <c r="V521" s="109"/>
      <c r="W521" s="109"/>
      <c r="X521" s="109"/>
      <c r="Y521" s="109"/>
      <c r="Z521" s="109"/>
    </row>
    <row r="522" spans="1:26" ht="11.25" customHeight="1">
      <c r="A522" s="109"/>
      <c r="B522" s="109"/>
      <c r="C522" s="109"/>
      <c r="D522" s="109"/>
      <c r="E522" s="109"/>
      <c r="F522" s="109"/>
      <c r="G522" s="109"/>
      <c r="H522" s="109"/>
      <c r="I522" s="109"/>
      <c r="J522" s="109"/>
      <c r="K522" s="109"/>
      <c r="L522" s="109"/>
      <c r="M522" s="109"/>
      <c r="N522" s="109"/>
      <c r="O522" s="109"/>
      <c r="P522" s="109"/>
      <c r="Q522" s="109"/>
      <c r="R522" s="109"/>
      <c r="S522" s="109"/>
      <c r="T522" s="109"/>
      <c r="U522" s="109"/>
      <c r="V522" s="109"/>
      <c r="W522" s="109"/>
      <c r="X522" s="109"/>
      <c r="Y522" s="109"/>
      <c r="Z522" s="109"/>
    </row>
    <row r="523" spans="1:26" ht="11.25" customHeight="1">
      <c r="A523" s="109"/>
      <c r="B523" s="109"/>
      <c r="C523" s="109"/>
      <c r="D523" s="109"/>
      <c r="E523" s="109"/>
      <c r="F523" s="109"/>
      <c r="G523" s="109"/>
      <c r="H523" s="109"/>
      <c r="I523" s="109"/>
      <c r="J523" s="109"/>
      <c r="K523" s="109"/>
      <c r="L523" s="109"/>
      <c r="M523" s="109"/>
      <c r="N523" s="109"/>
      <c r="O523" s="109"/>
      <c r="P523" s="109"/>
      <c r="Q523" s="109"/>
      <c r="R523" s="109"/>
      <c r="S523" s="109"/>
      <c r="T523" s="109"/>
      <c r="U523" s="109"/>
      <c r="V523" s="109"/>
      <c r="W523" s="109"/>
      <c r="X523" s="109"/>
      <c r="Y523" s="109"/>
      <c r="Z523" s="109"/>
    </row>
    <row r="524" spans="1:26" ht="11.25" customHeight="1">
      <c r="A524" s="109"/>
      <c r="B524" s="109"/>
      <c r="C524" s="109"/>
      <c r="D524" s="109"/>
      <c r="E524" s="109"/>
      <c r="F524" s="109"/>
      <c r="G524" s="109"/>
      <c r="H524" s="109"/>
      <c r="I524" s="109"/>
      <c r="J524" s="109"/>
      <c r="K524" s="109"/>
      <c r="L524" s="109"/>
      <c r="M524" s="109"/>
      <c r="N524" s="109"/>
      <c r="O524" s="109"/>
      <c r="P524" s="109"/>
      <c r="Q524" s="109"/>
      <c r="R524" s="109"/>
      <c r="S524" s="109"/>
      <c r="T524" s="109"/>
      <c r="U524" s="109"/>
      <c r="V524" s="109"/>
      <c r="W524" s="109"/>
      <c r="X524" s="109"/>
      <c r="Y524" s="109"/>
      <c r="Z524" s="109"/>
    </row>
    <row r="525" spans="1:26" ht="11.25" customHeight="1">
      <c r="A525" s="109"/>
      <c r="B525" s="109"/>
      <c r="C525" s="109"/>
      <c r="D525" s="109"/>
      <c r="E525" s="109"/>
      <c r="F525" s="109"/>
      <c r="G525" s="109"/>
      <c r="H525" s="109"/>
      <c r="I525" s="109"/>
      <c r="J525" s="109"/>
      <c r="K525" s="109"/>
      <c r="L525" s="109"/>
      <c r="M525" s="109"/>
      <c r="N525" s="109"/>
      <c r="O525" s="109"/>
      <c r="P525" s="109"/>
      <c r="Q525" s="109"/>
      <c r="R525" s="109"/>
      <c r="S525" s="109"/>
      <c r="T525" s="109"/>
      <c r="U525" s="109"/>
      <c r="V525" s="109"/>
      <c r="W525" s="109"/>
      <c r="X525" s="109"/>
      <c r="Y525" s="109"/>
      <c r="Z525" s="109"/>
    </row>
    <row r="526" spans="1:26" ht="11.25" customHeight="1">
      <c r="A526" s="109"/>
      <c r="B526" s="109"/>
      <c r="C526" s="109"/>
      <c r="D526" s="109"/>
      <c r="E526" s="109"/>
      <c r="F526" s="109"/>
      <c r="G526" s="109"/>
      <c r="H526" s="109"/>
      <c r="I526" s="109"/>
      <c r="J526" s="109"/>
      <c r="K526" s="109"/>
      <c r="L526" s="109"/>
      <c r="M526" s="109"/>
      <c r="N526" s="109"/>
      <c r="O526" s="109"/>
      <c r="P526" s="109"/>
      <c r="Q526" s="109"/>
      <c r="R526" s="109"/>
      <c r="S526" s="109"/>
      <c r="T526" s="109"/>
      <c r="U526" s="109"/>
      <c r="V526" s="109"/>
      <c r="W526" s="109"/>
      <c r="X526" s="109"/>
      <c r="Y526" s="109"/>
      <c r="Z526" s="109"/>
    </row>
    <row r="527" spans="1:26" ht="11.25" customHeight="1">
      <c r="A527" s="109"/>
      <c r="B527" s="109"/>
      <c r="C527" s="109"/>
      <c r="D527" s="109"/>
      <c r="E527" s="109"/>
      <c r="F527" s="109"/>
      <c r="G527" s="109"/>
      <c r="H527" s="109"/>
      <c r="I527" s="109"/>
      <c r="J527" s="109"/>
      <c r="K527" s="109"/>
      <c r="L527" s="109"/>
      <c r="M527" s="109"/>
      <c r="N527" s="109"/>
      <c r="O527" s="109"/>
      <c r="P527" s="109"/>
      <c r="Q527" s="109"/>
      <c r="R527" s="109"/>
      <c r="S527" s="109"/>
      <c r="T527" s="109"/>
      <c r="U527" s="109"/>
      <c r="V527" s="109"/>
      <c r="W527" s="109"/>
      <c r="X527" s="109"/>
      <c r="Y527" s="109"/>
      <c r="Z527" s="109"/>
    </row>
    <row r="528" spans="1:26" ht="11.25" customHeight="1">
      <c r="A528" s="109"/>
      <c r="B528" s="109"/>
      <c r="C528" s="109"/>
      <c r="D528" s="109"/>
      <c r="E528" s="109"/>
      <c r="F528" s="109"/>
      <c r="G528" s="109"/>
      <c r="H528" s="109"/>
      <c r="I528" s="109"/>
      <c r="J528" s="109"/>
      <c r="K528" s="109"/>
      <c r="L528" s="109"/>
      <c r="M528" s="109"/>
      <c r="N528" s="109"/>
      <c r="O528" s="109"/>
      <c r="P528" s="109"/>
      <c r="Q528" s="109"/>
      <c r="R528" s="109"/>
      <c r="S528" s="109"/>
      <c r="T528" s="109"/>
      <c r="U528" s="109"/>
      <c r="V528" s="109"/>
      <c r="W528" s="109"/>
      <c r="X528" s="109"/>
      <c r="Y528" s="109"/>
      <c r="Z528" s="109"/>
    </row>
    <row r="529" spans="1:26" ht="11.25" customHeight="1">
      <c r="A529" s="109"/>
      <c r="B529" s="109"/>
      <c r="C529" s="109"/>
      <c r="D529" s="109"/>
      <c r="E529" s="109"/>
      <c r="F529" s="109"/>
      <c r="G529" s="109"/>
      <c r="H529" s="109"/>
      <c r="I529" s="109"/>
      <c r="J529" s="109"/>
      <c r="K529" s="109"/>
      <c r="L529" s="109"/>
      <c r="M529" s="109"/>
      <c r="N529" s="109"/>
      <c r="O529" s="109"/>
      <c r="P529" s="109"/>
      <c r="Q529" s="109"/>
      <c r="R529" s="109"/>
      <c r="S529" s="109"/>
      <c r="T529" s="109"/>
      <c r="U529" s="109"/>
      <c r="V529" s="109"/>
      <c r="W529" s="109"/>
      <c r="X529" s="109"/>
      <c r="Y529" s="109"/>
      <c r="Z529" s="109"/>
    </row>
    <row r="530" spans="1:26" ht="11.25" customHeight="1">
      <c r="A530" s="109"/>
      <c r="B530" s="109"/>
      <c r="C530" s="109"/>
      <c r="D530" s="109"/>
      <c r="E530" s="109"/>
      <c r="F530" s="109"/>
      <c r="G530" s="109"/>
      <c r="H530" s="109"/>
      <c r="I530" s="109"/>
      <c r="J530" s="109"/>
      <c r="K530" s="109"/>
      <c r="L530" s="109"/>
      <c r="M530" s="109"/>
      <c r="N530" s="109"/>
      <c r="O530" s="109"/>
      <c r="P530" s="109"/>
      <c r="Q530" s="109"/>
      <c r="R530" s="109"/>
      <c r="S530" s="109"/>
      <c r="T530" s="109"/>
      <c r="U530" s="109"/>
      <c r="V530" s="109"/>
      <c r="W530" s="109"/>
      <c r="X530" s="109"/>
      <c r="Y530" s="109"/>
      <c r="Z530" s="109"/>
    </row>
    <row r="531" spans="1:26" ht="11.25" customHeight="1">
      <c r="A531" s="109"/>
      <c r="B531" s="109"/>
      <c r="C531" s="109"/>
      <c r="D531" s="109"/>
      <c r="E531" s="109"/>
      <c r="F531" s="109"/>
      <c r="G531" s="109"/>
      <c r="H531" s="109"/>
      <c r="I531" s="109"/>
      <c r="J531" s="109"/>
      <c r="K531" s="109"/>
      <c r="L531" s="109"/>
      <c r="M531" s="109"/>
      <c r="N531" s="109"/>
      <c r="O531" s="109"/>
      <c r="P531" s="109"/>
      <c r="Q531" s="109"/>
      <c r="R531" s="109"/>
      <c r="S531" s="109"/>
      <c r="T531" s="109"/>
      <c r="U531" s="109"/>
      <c r="V531" s="109"/>
      <c r="W531" s="109"/>
      <c r="X531" s="109"/>
      <c r="Y531" s="109"/>
      <c r="Z531" s="109"/>
    </row>
    <row r="532" spans="1:26" ht="11.25" customHeight="1">
      <c r="A532" s="109"/>
      <c r="B532" s="109"/>
      <c r="C532" s="109"/>
      <c r="D532" s="109"/>
      <c r="E532" s="109"/>
      <c r="F532" s="109"/>
      <c r="G532" s="109"/>
      <c r="H532" s="109"/>
      <c r="I532" s="109"/>
      <c r="J532" s="109"/>
      <c r="K532" s="109"/>
      <c r="L532" s="109"/>
      <c r="M532" s="109"/>
      <c r="N532" s="109"/>
      <c r="O532" s="109"/>
      <c r="P532" s="109"/>
      <c r="Q532" s="109"/>
      <c r="R532" s="109"/>
      <c r="S532" s="109"/>
      <c r="T532" s="109"/>
      <c r="U532" s="109"/>
      <c r="V532" s="109"/>
      <c r="W532" s="109"/>
      <c r="X532" s="109"/>
      <c r="Y532" s="109"/>
      <c r="Z532" s="109"/>
    </row>
    <row r="533" spans="1:26" ht="11.25" customHeight="1">
      <c r="A533" s="109"/>
      <c r="B533" s="109"/>
      <c r="C533" s="109"/>
      <c r="D533" s="109"/>
      <c r="E533" s="109"/>
      <c r="F533" s="109"/>
      <c r="G533" s="109"/>
      <c r="H533" s="109"/>
      <c r="I533" s="109"/>
      <c r="J533" s="109"/>
      <c r="K533" s="109"/>
      <c r="L533" s="109"/>
      <c r="M533" s="109"/>
      <c r="N533" s="109"/>
      <c r="O533" s="109"/>
      <c r="P533" s="109"/>
      <c r="Q533" s="109"/>
      <c r="R533" s="109"/>
      <c r="S533" s="109"/>
      <c r="T533" s="109"/>
      <c r="U533" s="109"/>
      <c r="V533" s="109"/>
      <c r="W533" s="109"/>
      <c r="X533" s="109"/>
      <c r="Y533" s="109"/>
      <c r="Z533" s="109"/>
    </row>
    <row r="534" spans="1:26" ht="11.25" customHeight="1">
      <c r="A534" s="109"/>
      <c r="B534" s="109"/>
      <c r="C534" s="109"/>
      <c r="D534" s="109"/>
      <c r="E534" s="109"/>
      <c r="F534" s="109"/>
      <c r="G534" s="109"/>
      <c r="H534" s="109"/>
      <c r="I534" s="109"/>
      <c r="J534" s="109"/>
      <c r="K534" s="109"/>
      <c r="L534" s="109"/>
      <c r="M534" s="109"/>
      <c r="N534" s="109"/>
      <c r="O534" s="109"/>
      <c r="P534" s="109"/>
      <c r="Q534" s="109"/>
      <c r="R534" s="109"/>
      <c r="S534" s="109"/>
      <c r="T534" s="109"/>
      <c r="U534" s="109"/>
      <c r="V534" s="109"/>
      <c r="W534" s="109"/>
      <c r="X534" s="109"/>
      <c r="Y534" s="109"/>
      <c r="Z534" s="109"/>
    </row>
    <row r="535" spans="1:26" ht="11.25" customHeight="1">
      <c r="A535" s="109"/>
      <c r="B535" s="109"/>
      <c r="C535" s="109"/>
      <c r="D535" s="109"/>
      <c r="E535" s="109"/>
      <c r="F535" s="109"/>
      <c r="G535" s="109"/>
      <c r="H535" s="109"/>
      <c r="I535" s="109"/>
      <c r="J535" s="109"/>
      <c r="K535" s="109"/>
      <c r="L535" s="109"/>
      <c r="M535" s="109"/>
      <c r="N535" s="109"/>
      <c r="O535" s="109"/>
      <c r="P535" s="109"/>
      <c r="Q535" s="109"/>
      <c r="R535" s="109"/>
      <c r="S535" s="109"/>
      <c r="T535" s="109"/>
      <c r="U535" s="109"/>
      <c r="V535" s="109"/>
      <c r="W535" s="109"/>
      <c r="X535" s="109"/>
      <c r="Y535" s="109"/>
      <c r="Z535" s="109"/>
    </row>
    <row r="536" spans="1:26" ht="11.25" customHeight="1">
      <c r="A536" s="109"/>
      <c r="B536" s="109"/>
      <c r="C536" s="109"/>
      <c r="D536" s="109"/>
      <c r="E536" s="109"/>
      <c r="F536" s="109"/>
      <c r="G536" s="109"/>
      <c r="H536" s="109"/>
      <c r="I536" s="109"/>
      <c r="J536" s="109"/>
      <c r="K536" s="109"/>
      <c r="L536" s="109"/>
      <c r="M536" s="109"/>
      <c r="N536" s="109"/>
      <c r="O536" s="109"/>
      <c r="P536" s="109"/>
      <c r="Q536" s="109"/>
      <c r="R536" s="109"/>
      <c r="S536" s="109"/>
      <c r="T536" s="109"/>
      <c r="U536" s="109"/>
      <c r="V536" s="109"/>
      <c r="W536" s="109"/>
      <c r="X536" s="109"/>
      <c r="Y536" s="109"/>
      <c r="Z536" s="109"/>
    </row>
    <row r="537" spans="1:26" ht="11.25" customHeight="1">
      <c r="A537" s="109"/>
      <c r="B537" s="109"/>
      <c r="C537" s="109"/>
      <c r="D537" s="109"/>
      <c r="E537" s="109"/>
      <c r="F537" s="109"/>
      <c r="G537" s="109"/>
      <c r="H537" s="109"/>
      <c r="I537" s="109"/>
      <c r="J537" s="109"/>
      <c r="K537" s="109"/>
      <c r="L537" s="109"/>
      <c r="M537" s="109"/>
      <c r="N537" s="109"/>
      <c r="O537" s="109"/>
      <c r="P537" s="109"/>
      <c r="Q537" s="109"/>
      <c r="R537" s="109"/>
      <c r="S537" s="109"/>
      <c r="T537" s="109"/>
      <c r="U537" s="109"/>
      <c r="V537" s="109"/>
      <c r="W537" s="109"/>
      <c r="X537" s="109"/>
      <c r="Y537" s="109"/>
      <c r="Z537" s="109"/>
    </row>
    <row r="538" spans="1:26" ht="11.25" customHeight="1">
      <c r="A538" s="109"/>
      <c r="B538" s="109"/>
      <c r="C538" s="109"/>
      <c r="D538" s="109"/>
      <c r="E538" s="109"/>
      <c r="F538" s="109"/>
      <c r="G538" s="109"/>
      <c r="H538" s="109"/>
      <c r="I538" s="109"/>
      <c r="J538" s="109"/>
      <c r="K538" s="109"/>
      <c r="L538" s="109"/>
      <c r="M538" s="109"/>
      <c r="N538" s="109"/>
      <c r="O538" s="109"/>
      <c r="P538" s="109"/>
      <c r="Q538" s="109"/>
      <c r="R538" s="109"/>
      <c r="S538" s="109"/>
      <c r="T538" s="109"/>
      <c r="U538" s="109"/>
      <c r="V538" s="109"/>
      <c r="W538" s="109"/>
      <c r="X538" s="109"/>
      <c r="Y538" s="109"/>
      <c r="Z538" s="109"/>
    </row>
    <row r="539" spans="1:26" ht="11.25" customHeight="1">
      <c r="A539" s="109"/>
      <c r="B539" s="109"/>
      <c r="C539" s="109"/>
      <c r="D539" s="109"/>
      <c r="E539" s="109"/>
      <c r="F539" s="109"/>
      <c r="G539" s="109"/>
      <c r="H539" s="109"/>
      <c r="I539" s="109"/>
      <c r="J539" s="109"/>
      <c r="K539" s="109"/>
      <c r="L539" s="109"/>
      <c r="M539" s="109"/>
      <c r="N539" s="109"/>
      <c r="O539" s="109"/>
      <c r="P539" s="109"/>
      <c r="Q539" s="109"/>
      <c r="R539" s="109"/>
      <c r="S539" s="109"/>
      <c r="T539" s="109"/>
      <c r="U539" s="109"/>
      <c r="V539" s="109"/>
      <c r="W539" s="109"/>
      <c r="X539" s="109"/>
      <c r="Y539" s="109"/>
      <c r="Z539" s="109"/>
    </row>
    <row r="540" spans="1:26" ht="11.25" customHeight="1">
      <c r="A540" s="109"/>
      <c r="B540" s="109"/>
      <c r="C540" s="109"/>
      <c r="D540" s="109"/>
      <c r="E540" s="109"/>
      <c r="F540" s="109"/>
      <c r="G540" s="109"/>
      <c r="H540" s="109"/>
      <c r="I540" s="109"/>
      <c r="J540" s="109"/>
      <c r="K540" s="109"/>
      <c r="L540" s="109"/>
      <c r="M540" s="109"/>
      <c r="N540" s="109"/>
      <c r="O540" s="109"/>
      <c r="P540" s="109"/>
      <c r="Q540" s="109"/>
      <c r="R540" s="109"/>
      <c r="S540" s="109"/>
      <c r="T540" s="109"/>
      <c r="U540" s="109"/>
      <c r="V540" s="109"/>
      <c r="W540" s="109"/>
      <c r="X540" s="109"/>
      <c r="Y540" s="109"/>
      <c r="Z540" s="109"/>
    </row>
    <row r="541" spans="1:26" ht="11.25" customHeight="1">
      <c r="A541" s="109"/>
      <c r="B541" s="109"/>
      <c r="C541" s="109"/>
      <c r="D541" s="109"/>
      <c r="E541" s="109"/>
      <c r="F541" s="109"/>
      <c r="G541" s="109"/>
      <c r="H541" s="109"/>
      <c r="I541" s="109"/>
      <c r="J541" s="109"/>
      <c r="K541" s="109"/>
      <c r="L541" s="109"/>
      <c r="M541" s="109"/>
      <c r="N541" s="109"/>
      <c r="O541" s="109"/>
      <c r="P541" s="109"/>
      <c r="Q541" s="109"/>
      <c r="R541" s="109"/>
      <c r="S541" s="109"/>
      <c r="T541" s="109"/>
      <c r="U541" s="109"/>
      <c r="V541" s="109"/>
      <c r="W541" s="109"/>
      <c r="X541" s="109"/>
      <c r="Y541" s="109"/>
      <c r="Z541" s="109"/>
    </row>
    <row r="542" spans="1:26" ht="11.25" customHeight="1">
      <c r="A542" s="109"/>
      <c r="B542" s="109"/>
      <c r="C542" s="109"/>
      <c r="D542" s="109"/>
      <c r="E542" s="109"/>
      <c r="F542" s="109"/>
      <c r="G542" s="109"/>
      <c r="H542" s="109"/>
      <c r="I542" s="109"/>
      <c r="J542" s="109"/>
      <c r="K542" s="109"/>
      <c r="L542" s="109"/>
      <c r="M542" s="109"/>
      <c r="N542" s="109"/>
      <c r="O542" s="109"/>
      <c r="P542" s="109"/>
      <c r="Q542" s="109"/>
      <c r="R542" s="109"/>
      <c r="S542" s="109"/>
      <c r="T542" s="109"/>
      <c r="U542" s="109"/>
      <c r="V542" s="109"/>
      <c r="W542" s="109"/>
      <c r="X542" s="109"/>
      <c r="Y542" s="109"/>
      <c r="Z542" s="109"/>
    </row>
    <row r="543" spans="1:26" ht="11.25" customHeight="1">
      <c r="A543" s="109"/>
      <c r="B543" s="109"/>
      <c r="C543" s="109"/>
      <c r="D543" s="109"/>
      <c r="E543" s="109"/>
      <c r="F543" s="109"/>
      <c r="G543" s="109"/>
      <c r="H543" s="109"/>
      <c r="I543" s="109"/>
      <c r="J543" s="109"/>
      <c r="K543" s="109"/>
      <c r="L543" s="109"/>
      <c r="M543" s="109"/>
      <c r="N543" s="109"/>
      <c r="O543" s="109"/>
      <c r="P543" s="109"/>
      <c r="Q543" s="109"/>
      <c r="R543" s="109"/>
      <c r="S543" s="109"/>
      <c r="T543" s="109"/>
      <c r="U543" s="109"/>
      <c r="V543" s="109"/>
      <c r="W543" s="109"/>
      <c r="X543" s="109"/>
      <c r="Y543" s="109"/>
      <c r="Z543" s="109"/>
    </row>
    <row r="544" spans="1:26" ht="11.25" customHeight="1">
      <c r="A544" s="109"/>
      <c r="B544" s="109"/>
      <c r="C544" s="109"/>
      <c r="D544" s="109"/>
      <c r="E544" s="109"/>
      <c r="F544" s="109"/>
      <c r="G544" s="109"/>
      <c r="H544" s="109"/>
      <c r="I544" s="109"/>
      <c r="J544" s="109"/>
      <c r="K544" s="109"/>
      <c r="L544" s="109"/>
      <c r="M544" s="109"/>
      <c r="N544" s="109"/>
      <c r="O544" s="109"/>
      <c r="P544" s="109"/>
      <c r="Q544" s="109"/>
      <c r="R544" s="109"/>
      <c r="S544" s="109"/>
      <c r="T544" s="109"/>
      <c r="U544" s="109"/>
      <c r="V544" s="109"/>
      <c r="W544" s="109"/>
      <c r="X544" s="109"/>
      <c r="Y544" s="109"/>
      <c r="Z544" s="109"/>
    </row>
    <row r="545" spans="1:26" ht="11.25" customHeight="1">
      <c r="A545" s="109"/>
      <c r="B545" s="109"/>
      <c r="C545" s="109"/>
      <c r="D545" s="109"/>
      <c r="E545" s="109"/>
      <c r="F545" s="109"/>
      <c r="G545" s="109"/>
      <c r="H545" s="109"/>
      <c r="I545" s="109"/>
      <c r="J545" s="109"/>
      <c r="K545" s="109"/>
      <c r="L545" s="109"/>
      <c r="M545" s="109"/>
      <c r="N545" s="109"/>
      <c r="O545" s="109"/>
      <c r="P545" s="109"/>
      <c r="Q545" s="109"/>
      <c r="R545" s="109"/>
      <c r="S545" s="109"/>
      <c r="T545" s="109"/>
      <c r="U545" s="109"/>
      <c r="V545" s="109"/>
      <c r="W545" s="109"/>
      <c r="X545" s="109"/>
      <c r="Y545" s="109"/>
      <c r="Z545" s="109"/>
    </row>
    <row r="546" spans="1:26" ht="11.25" customHeight="1">
      <c r="A546" s="109"/>
      <c r="B546" s="109"/>
      <c r="C546" s="109"/>
      <c r="D546" s="109"/>
      <c r="E546" s="109"/>
      <c r="F546" s="109"/>
      <c r="G546" s="109"/>
      <c r="H546" s="109"/>
      <c r="I546" s="109"/>
      <c r="J546" s="109"/>
      <c r="K546" s="109"/>
      <c r="L546" s="109"/>
      <c r="M546" s="109"/>
      <c r="N546" s="109"/>
      <c r="O546" s="109"/>
      <c r="P546" s="109"/>
      <c r="Q546" s="109"/>
      <c r="R546" s="109"/>
      <c r="S546" s="109"/>
      <c r="T546" s="109"/>
      <c r="U546" s="109"/>
      <c r="V546" s="109"/>
      <c r="W546" s="109"/>
      <c r="X546" s="109"/>
      <c r="Y546" s="109"/>
      <c r="Z546" s="109"/>
    </row>
    <row r="547" spans="1:26" ht="11.25" customHeight="1">
      <c r="A547" s="109"/>
      <c r="B547" s="109"/>
      <c r="C547" s="109"/>
      <c r="D547" s="109"/>
      <c r="E547" s="109"/>
      <c r="F547" s="109"/>
      <c r="G547" s="109"/>
      <c r="H547" s="109"/>
      <c r="I547" s="109"/>
      <c r="J547" s="109"/>
      <c r="K547" s="109"/>
      <c r="L547" s="109"/>
      <c r="M547" s="109"/>
      <c r="N547" s="109"/>
      <c r="O547" s="109"/>
      <c r="P547" s="109"/>
      <c r="Q547" s="109"/>
      <c r="R547" s="109"/>
      <c r="S547" s="109"/>
      <c r="T547" s="109"/>
      <c r="U547" s="109"/>
      <c r="V547" s="109"/>
      <c r="W547" s="109"/>
      <c r="X547" s="109"/>
      <c r="Y547" s="109"/>
      <c r="Z547" s="109"/>
    </row>
    <row r="548" spans="1:26" ht="11.25" customHeight="1">
      <c r="A548" s="109"/>
      <c r="B548" s="109"/>
      <c r="C548" s="109"/>
      <c r="D548" s="109"/>
      <c r="E548" s="109"/>
      <c r="F548" s="109"/>
      <c r="G548" s="109"/>
      <c r="H548" s="109"/>
      <c r="I548" s="109"/>
      <c r="J548" s="109"/>
      <c r="K548" s="109"/>
      <c r="L548" s="109"/>
      <c r="M548" s="109"/>
      <c r="N548" s="109"/>
      <c r="O548" s="109"/>
      <c r="P548" s="109"/>
      <c r="Q548" s="109"/>
      <c r="R548" s="109"/>
      <c r="S548" s="109"/>
      <c r="T548" s="109"/>
      <c r="U548" s="109"/>
      <c r="V548" s="109"/>
      <c r="W548" s="109"/>
      <c r="X548" s="109"/>
      <c r="Y548" s="109"/>
      <c r="Z548" s="109"/>
    </row>
    <row r="549" spans="1:26" ht="11.25" customHeight="1">
      <c r="A549" s="109"/>
      <c r="B549" s="109"/>
      <c r="C549" s="109"/>
      <c r="D549" s="109"/>
      <c r="E549" s="109"/>
      <c r="F549" s="109"/>
      <c r="G549" s="109"/>
      <c r="H549" s="109"/>
      <c r="I549" s="109"/>
      <c r="J549" s="109"/>
      <c r="K549" s="109"/>
      <c r="L549" s="109"/>
      <c r="M549" s="109"/>
      <c r="N549" s="109"/>
      <c r="O549" s="109"/>
      <c r="P549" s="109"/>
      <c r="Q549" s="109"/>
      <c r="R549" s="109"/>
      <c r="S549" s="109"/>
      <c r="T549" s="109"/>
      <c r="U549" s="109"/>
      <c r="V549" s="109"/>
      <c r="W549" s="109"/>
      <c r="X549" s="109"/>
      <c r="Y549" s="109"/>
      <c r="Z549" s="109"/>
    </row>
    <row r="550" spans="1:26" ht="11.25" customHeight="1">
      <c r="A550" s="109"/>
      <c r="B550" s="109"/>
      <c r="C550" s="109"/>
      <c r="D550" s="109"/>
      <c r="E550" s="109"/>
      <c r="F550" s="109"/>
      <c r="G550" s="109"/>
      <c r="H550" s="109"/>
      <c r="I550" s="109"/>
      <c r="J550" s="109"/>
      <c r="K550" s="109"/>
      <c r="L550" s="109"/>
      <c r="M550" s="109"/>
      <c r="N550" s="109"/>
      <c r="O550" s="109"/>
      <c r="P550" s="109"/>
      <c r="Q550" s="109"/>
      <c r="R550" s="109"/>
      <c r="S550" s="109"/>
      <c r="T550" s="109"/>
      <c r="U550" s="109"/>
      <c r="V550" s="109"/>
      <c r="W550" s="109"/>
      <c r="X550" s="109"/>
      <c r="Y550" s="109"/>
      <c r="Z550" s="109"/>
    </row>
    <row r="551" spans="1:26" ht="11.25" customHeight="1">
      <c r="A551" s="109"/>
      <c r="B551" s="109"/>
      <c r="C551" s="109"/>
      <c r="D551" s="109"/>
      <c r="E551" s="109"/>
      <c r="F551" s="109"/>
      <c r="G551" s="109"/>
      <c r="H551" s="109"/>
      <c r="I551" s="109"/>
      <c r="J551" s="109"/>
      <c r="K551" s="109"/>
      <c r="L551" s="109"/>
      <c r="M551" s="109"/>
      <c r="N551" s="109"/>
      <c r="O551" s="109"/>
      <c r="P551" s="109"/>
      <c r="Q551" s="109"/>
      <c r="R551" s="109"/>
      <c r="S551" s="109"/>
      <c r="T551" s="109"/>
      <c r="U551" s="109"/>
      <c r="V551" s="109"/>
      <c r="W551" s="109"/>
      <c r="X551" s="109"/>
      <c r="Y551" s="109"/>
      <c r="Z551" s="109"/>
    </row>
    <row r="552" spans="1:26" ht="11.25" customHeight="1">
      <c r="A552" s="109"/>
      <c r="B552" s="109"/>
      <c r="C552" s="109"/>
      <c r="D552" s="109"/>
      <c r="E552" s="109"/>
      <c r="F552" s="109"/>
      <c r="G552" s="109"/>
      <c r="H552" s="109"/>
      <c r="I552" s="109"/>
      <c r="J552" s="109"/>
      <c r="K552" s="109"/>
      <c r="L552" s="109"/>
      <c r="M552" s="109"/>
      <c r="N552" s="109"/>
      <c r="O552" s="109"/>
      <c r="P552" s="109"/>
      <c r="Q552" s="109"/>
      <c r="R552" s="109"/>
      <c r="S552" s="109"/>
      <c r="T552" s="109"/>
      <c r="U552" s="109"/>
      <c r="V552" s="109"/>
      <c r="W552" s="109"/>
      <c r="X552" s="109"/>
      <c r="Y552" s="109"/>
      <c r="Z552" s="109"/>
    </row>
    <row r="553" spans="1:26" ht="11.25" customHeight="1">
      <c r="A553" s="109"/>
      <c r="B553" s="109"/>
      <c r="C553" s="109"/>
      <c r="D553" s="109"/>
      <c r="E553" s="109"/>
      <c r="F553" s="109"/>
      <c r="G553" s="109"/>
      <c r="H553" s="109"/>
      <c r="I553" s="109"/>
      <c r="J553" s="109"/>
      <c r="K553" s="109"/>
      <c r="L553" s="109"/>
      <c r="M553" s="109"/>
      <c r="N553" s="109"/>
      <c r="O553" s="109"/>
      <c r="P553" s="109"/>
      <c r="Q553" s="109"/>
      <c r="R553" s="109"/>
      <c r="S553" s="109"/>
      <c r="T553" s="109"/>
      <c r="U553" s="109"/>
      <c r="V553" s="109"/>
      <c r="W553" s="109"/>
      <c r="X553" s="109"/>
      <c r="Y553" s="109"/>
      <c r="Z553" s="109"/>
    </row>
    <row r="554" spans="1:26" ht="11.25" customHeight="1">
      <c r="A554" s="109"/>
      <c r="B554" s="109"/>
      <c r="C554" s="109"/>
      <c r="D554" s="109"/>
      <c r="E554" s="109"/>
      <c r="F554" s="109"/>
      <c r="G554" s="109"/>
      <c r="H554" s="109"/>
      <c r="I554" s="109"/>
      <c r="J554" s="109"/>
      <c r="K554" s="109"/>
      <c r="L554" s="109"/>
      <c r="M554" s="109"/>
      <c r="N554" s="109"/>
      <c r="O554" s="109"/>
      <c r="P554" s="109"/>
      <c r="Q554" s="109"/>
      <c r="R554" s="109"/>
      <c r="S554" s="109"/>
      <c r="T554" s="109"/>
      <c r="U554" s="109"/>
      <c r="V554" s="109"/>
      <c r="W554" s="109"/>
      <c r="X554" s="109"/>
      <c r="Y554" s="109"/>
      <c r="Z554" s="109"/>
    </row>
    <row r="555" spans="1:26" ht="11.25" customHeight="1">
      <c r="A555" s="109"/>
      <c r="B555" s="109"/>
      <c r="C555" s="109"/>
      <c r="D555" s="109"/>
      <c r="E555" s="109"/>
      <c r="F555" s="109"/>
      <c r="G555" s="109"/>
      <c r="H555" s="109"/>
      <c r="I555" s="109"/>
      <c r="J555" s="109"/>
      <c r="K555" s="109"/>
      <c r="L555" s="109"/>
      <c r="M555" s="109"/>
      <c r="N555" s="109"/>
      <c r="O555" s="109"/>
      <c r="P555" s="109"/>
      <c r="Q555" s="109"/>
      <c r="R555" s="109"/>
      <c r="S555" s="109"/>
      <c r="T555" s="109"/>
      <c r="U555" s="109"/>
      <c r="V555" s="109"/>
      <c r="W555" s="109"/>
      <c r="X555" s="109"/>
      <c r="Y555" s="109"/>
      <c r="Z555" s="109"/>
    </row>
    <row r="556" spans="1:26" ht="11.25" customHeight="1">
      <c r="A556" s="109"/>
      <c r="B556" s="109"/>
      <c r="C556" s="109"/>
      <c r="D556" s="109"/>
      <c r="E556" s="109"/>
      <c r="F556" s="109"/>
      <c r="G556" s="109"/>
      <c r="H556" s="109"/>
      <c r="I556" s="109"/>
      <c r="J556" s="109"/>
      <c r="K556" s="109"/>
      <c r="L556" s="109"/>
      <c r="M556" s="109"/>
      <c r="N556" s="109"/>
      <c r="O556" s="109"/>
      <c r="P556" s="109"/>
      <c r="Q556" s="109"/>
      <c r="R556" s="109"/>
      <c r="S556" s="109"/>
      <c r="T556" s="109"/>
      <c r="U556" s="109"/>
      <c r="V556" s="109"/>
      <c r="W556" s="109"/>
      <c r="X556" s="109"/>
      <c r="Y556" s="109"/>
      <c r="Z556" s="109"/>
    </row>
    <row r="557" spans="1:26" ht="11.25" customHeight="1">
      <c r="A557" s="109"/>
      <c r="B557" s="109"/>
      <c r="C557" s="109"/>
      <c r="D557" s="109"/>
      <c r="E557" s="109"/>
      <c r="F557" s="109"/>
      <c r="G557" s="109"/>
      <c r="H557" s="109"/>
      <c r="I557" s="109"/>
      <c r="J557" s="109"/>
      <c r="K557" s="109"/>
      <c r="L557" s="109"/>
      <c r="M557" s="109"/>
      <c r="N557" s="109"/>
      <c r="O557" s="109"/>
      <c r="P557" s="109"/>
      <c r="Q557" s="109"/>
      <c r="R557" s="109"/>
      <c r="S557" s="109"/>
      <c r="T557" s="109"/>
      <c r="U557" s="109"/>
      <c r="V557" s="109"/>
      <c r="W557" s="109"/>
      <c r="X557" s="109"/>
      <c r="Y557" s="109"/>
      <c r="Z557" s="109"/>
    </row>
    <row r="558" spans="1:26" ht="11.25" customHeight="1">
      <c r="A558" s="109"/>
      <c r="B558" s="109"/>
      <c r="C558" s="109"/>
      <c r="D558" s="109"/>
      <c r="E558" s="109"/>
      <c r="F558" s="109"/>
      <c r="G558" s="109"/>
      <c r="H558" s="109"/>
      <c r="I558" s="109"/>
      <c r="J558" s="109"/>
      <c r="K558" s="109"/>
      <c r="L558" s="109"/>
      <c r="M558" s="109"/>
      <c r="N558" s="109"/>
      <c r="O558" s="109"/>
      <c r="P558" s="109"/>
      <c r="Q558" s="109"/>
      <c r="R558" s="109"/>
      <c r="S558" s="109"/>
      <c r="T558" s="109"/>
      <c r="U558" s="109"/>
      <c r="V558" s="109"/>
      <c r="W558" s="109"/>
      <c r="X558" s="109"/>
      <c r="Y558" s="109"/>
      <c r="Z558" s="109"/>
    </row>
    <row r="559" spans="1:26" ht="11.25" customHeight="1">
      <c r="A559" s="109"/>
      <c r="B559" s="109"/>
      <c r="C559" s="109"/>
      <c r="D559" s="109"/>
      <c r="E559" s="109"/>
      <c r="F559" s="109"/>
      <c r="G559" s="109"/>
      <c r="H559" s="109"/>
      <c r="I559" s="109"/>
      <c r="J559" s="109"/>
      <c r="K559" s="109"/>
      <c r="L559" s="109"/>
      <c r="M559" s="109"/>
      <c r="N559" s="109"/>
      <c r="O559" s="109"/>
      <c r="P559" s="109"/>
      <c r="Q559" s="109"/>
      <c r="R559" s="109"/>
      <c r="S559" s="109"/>
      <c r="T559" s="109"/>
      <c r="U559" s="109"/>
      <c r="V559" s="109"/>
      <c r="W559" s="109"/>
      <c r="X559" s="109"/>
      <c r="Y559" s="109"/>
      <c r="Z559" s="109"/>
    </row>
    <row r="560" spans="1:26" ht="11.25" customHeight="1">
      <c r="A560" s="109"/>
      <c r="B560" s="109"/>
      <c r="C560" s="109"/>
      <c r="D560" s="109"/>
      <c r="E560" s="109"/>
      <c r="F560" s="109"/>
      <c r="G560" s="109"/>
      <c r="H560" s="109"/>
      <c r="I560" s="109"/>
      <c r="J560" s="109"/>
      <c r="K560" s="109"/>
      <c r="L560" s="109"/>
      <c r="M560" s="109"/>
      <c r="N560" s="109"/>
      <c r="O560" s="109"/>
      <c r="P560" s="109"/>
      <c r="Q560" s="109"/>
      <c r="R560" s="109"/>
      <c r="S560" s="109"/>
      <c r="T560" s="109"/>
      <c r="U560" s="109"/>
      <c r="V560" s="109"/>
      <c r="W560" s="109"/>
      <c r="X560" s="109"/>
      <c r="Y560" s="109"/>
      <c r="Z560" s="109"/>
    </row>
    <row r="561" spans="1:26" ht="11.25" customHeight="1">
      <c r="A561" s="109"/>
      <c r="B561" s="109"/>
      <c r="C561" s="109"/>
      <c r="D561" s="109"/>
      <c r="E561" s="109"/>
      <c r="F561" s="109"/>
      <c r="G561" s="109"/>
      <c r="H561" s="109"/>
      <c r="I561" s="109"/>
      <c r="J561" s="109"/>
      <c r="K561" s="109"/>
      <c r="L561" s="109"/>
      <c r="M561" s="109"/>
      <c r="N561" s="109"/>
      <c r="O561" s="109"/>
      <c r="P561" s="109"/>
      <c r="Q561" s="109"/>
      <c r="R561" s="109"/>
      <c r="S561" s="109"/>
      <c r="T561" s="109"/>
      <c r="U561" s="109"/>
      <c r="V561" s="109"/>
      <c r="W561" s="109"/>
      <c r="X561" s="109"/>
      <c r="Y561" s="109"/>
      <c r="Z561" s="109"/>
    </row>
    <row r="562" spans="1:26" ht="11.25" customHeight="1">
      <c r="A562" s="109"/>
      <c r="B562" s="109"/>
      <c r="C562" s="109"/>
      <c r="D562" s="109"/>
      <c r="E562" s="109"/>
      <c r="F562" s="109"/>
      <c r="G562" s="109"/>
      <c r="H562" s="109"/>
      <c r="I562" s="109"/>
      <c r="J562" s="109"/>
      <c r="K562" s="109"/>
      <c r="L562" s="109"/>
      <c r="M562" s="109"/>
      <c r="N562" s="109"/>
      <c r="O562" s="109"/>
      <c r="P562" s="109"/>
      <c r="Q562" s="109"/>
      <c r="R562" s="109"/>
      <c r="S562" s="109"/>
      <c r="T562" s="109"/>
      <c r="U562" s="109"/>
      <c r="V562" s="109"/>
      <c r="W562" s="109"/>
      <c r="X562" s="109"/>
      <c r="Y562" s="109"/>
      <c r="Z562" s="109"/>
    </row>
    <row r="563" spans="1:26" ht="11.25" customHeight="1">
      <c r="A563" s="109"/>
      <c r="B563" s="109"/>
      <c r="C563" s="109"/>
      <c r="D563" s="109"/>
      <c r="E563" s="109"/>
      <c r="F563" s="109"/>
      <c r="G563" s="109"/>
      <c r="H563" s="109"/>
      <c r="I563" s="109"/>
      <c r="J563" s="109"/>
      <c r="K563" s="109"/>
      <c r="L563" s="109"/>
      <c r="M563" s="109"/>
      <c r="N563" s="109"/>
      <c r="O563" s="109"/>
      <c r="P563" s="109"/>
      <c r="Q563" s="109"/>
      <c r="R563" s="109"/>
      <c r="S563" s="109"/>
      <c r="T563" s="109"/>
      <c r="U563" s="109"/>
      <c r="V563" s="109"/>
      <c r="W563" s="109"/>
      <c r="X563" s="109"/>
      <c r="Y563" s="109"/>
      <c r="Z563" s="109"/>
    </row>
    <row r="564" spans="1:26" ht="11.25" customHeight="1">
      <c r="A564" s="109"/>
      <c r="B564" s="109"/>
      <c r="C564" s="109"/>
      <c r="D564" s="109"/>
      <c r="E564" s="109"/>
      <c r="F564" s="109"/>
      <c r="G564" s="109"/>
      <c r="H564" s="109"/>
      <c r="I564" s="109"/>
      <c r="J564" s="109"/>
      <c r="K564" s="109"/>
      <c r="L564" s="109"/>
      <c r="M564" s="109"/>
      <c r="N564" s="109"/>
      <c r="O564" s="109"/>
      <c r="P564" s="109"/>
      <c r="Q564" s="109"/>
      <c r="R564" s="109"/>
      <c r="S564" s="109"/>
      <c r="T564" s="109"/>
      <c r="U564" s="109"/>
      <c r="V564" s="109"/>
      <c r="W564" s="109"/>
      <c r="X564" s="109"/>
      <c r="Y564" s="109"/>
      <c r="Z564" s="109"/>
    </row>
    <row r="565" spans="1:26" ht="11.25" customHeight="1">
      <c r="A565" s="109"/>
      <c r="B565" s="109"/>
      <c r="C565" s="109"/>
      <c r="D565" s="109"/>
      <c r="E565" s="109"/>
      <c r="F565" s="109"/>
      <c r="G565" s="109"/>
      <c r="H565" s="109"/>
      <c r="I565" s="109"/>
      <c r="J565" s="109"/>
      <c r="K565" s="109"/>
      <c r="L565" s="109"/>
      <c r="M565" s="109"/>
      <c r="N565" s="109"/>
      <c r="O565" s="109"/>
      <c r="P565" s="109"/>
      <c r="Q565" s="109"/>
      <c r="R565" s="109"/>
      <c r="S565" s="109"/>
      <c r="T565" s="109"/>
      <c r="U565" s="109"/>
      <c r="V565" s="109"/>
      <c r="W565" s="109"/>
      <c r="X565" s="109"/>
      <c r="Y565" s="109"/>
      <c r="Z565" s="109"/>
    </row>
    <row r="566" spans="1:26" ht="11.25" customHeight="1">
      <c r="A566" s="109"/>
      <c r="B566" s="109"/>
      <c r="C566" s="109"/>
      <c r="D566" s="109"/>
      <c r="E566" s="109"/>
      <c r="F566" s="109"/>
      <c r="G566" s="109"/>
      <c r="H566" s="109"/>
      <c r="I566" s="109"/>
      <c r="J566" s="109"/>
      <c r="K566" s="109"/>
      <c r="L566" s="109"/>
      <c r="M566" s="109"/>
      <c r="N566" s="109"/>
      <c r="O566" s="109"/>
      <c r="P566" s="109"/>
      <c r="Q566" s="109"/>
      <c r="R566" s="109"/>
      <c r="S566" s="109"/>
      <c r="T566" s="109"/>
      <c r="U566" s="109"/>
      <c r="V566" s="109"/>
      <c r="W566" s="109"/>
      <c r="X566" s="109"/>
      <c r="Y566" s="109"/>
      <c r="Z566" s="109"/>
    </row>
    <row r="567" spans="1:26" ht="11.25" customHeight="1">
      <c r="A567" s="109"/>
      <c r="B567" s="109"/>
      <c r="C567" s="109"/>
      <c r="D567" s="109"/>
      <c r="E567" s="109"/>
      <c r="F567" s="109"/>
      <c r="G567" s="109"/>
      <c r="H567" s="109"/>
      <c r="I567" s="109"/>
      <c r="J567" s="109"/>
      <c r="K567" s="109"/>
      <c r="L567" s="109"/>
      <c r="M567" s="109"/>
      <c r="N567" s="109"/>
      <c r="O567" s="109"/>
      <c r="P567" s="109"/>
      <c r="Q567" s="109"/>
      <c r="R567" s="109"/>
      <c r="S567" s="109"/>
      <c r="T567" s="109"/>
      <c r="U567" s="109"/>
      <c r="V567" s="109"/>
      <c r="W567" s="109"/>
      <c r="X567" s="109"/>
      <c r="Y567" s="109"/>
      <c r="Z567" s="109"/>
    </row>
    <row r="568" spans="1:26" ht="11.25" customHeight="1">
      <c r="A568" s="109"/>
      <c r="B568" s="109"/>
      <c r="C568" s="109"/>
      <c r="D568" s="109"/>
      <c r="E568" s="109"/>
      <c r="F568" s="109"/>
      <c r="G568" s="109"/>
      <c r="H568" s="109"/>
      <c r="I568" s="109"/>
      <c r="J568" s="109"/>
      <c r="K568" s="109"/>
      <c r="L568" s="109"/>
      <c r="M568" s="109"/>
      <c r="N568" s="109"/>
      <c r="O568" s="109"/>
      <c r="P568" s="109"/>
      <c r="Q568" s="109"/>
      <c r="R568" s="109"/>
      <c r="S568" s="109"/>
      <c r="T568" s="109"/>
      <c r="U568" s="109"/>
      <c r="V568" s="109"/>
      <c r="W568" s="109"/>
      <c r="X568" s="109"/>
      <c r="Y568" s="109"/>
      <c r="Z568" s="109"/>
    </row>
    <row r="569" spans="1:26" ht="11.25" customHeight="1">
      <c r="A569" s="109"/>
      <c r="B569" s="109"/>
      <c r="C569" s="109"/>
      <c r="D569" s="109"/>
      <c r="E569" s="109"/>
      <c r="F569" s="109"/>
      <c r="G569" s="109"/>
      <c r="H569" s="109"/>
      <c r="I569" s="109"/>
      <c r="J569" s="109"/>
      <c r="K569" s="109"/>
      <c r="L569" s="109"/>
      <c r="M569" s="109"/>
      <c r="N569" s="109"/>
      <c r="O569" s="109"/>
      <c r="P569" s="109"/>
      <c r="Q569" s="109"/>
      <c r="R569" s="109"/>
      <c r="S569" s="109"/>
      <c r="T569" s="109"/>
      <c r="U569" s="109"/>
      <c r="V569" s="109"/>
      <c r="W569" s="109"/>
      <c r="X569" s="109"/>
      <c r="Y569" s="109"/>
      <c r="Z569" s="109"/>
    </row>
    <row r="570" spans="1:26" ht="11.25" customHeight="1">
      <c r="A570" s="109"/>
      <c r="B570" s="109"/>
      <c r="C570" s="109"/>
      <c r="D570" s="109"/>
      <c r="E570" s="109"/>
      <c r="F570" s="109"/>
      <c r="G570" s="109"/>
      <c r="H570" s="109"/>
      <c r="I570" s="109"/>
      <c r="J570" s="109"/>
      <c r="K570" s="109"/>
      <c r="L570" s="109"/>
      <c r="M570" s="109"/>
      <c r="N570" s="109"/>
      <c r="O570" s="109"/>
      <c r="P570" s="109"/>
      <c r="Q570" s="109"/>
      <c r="R570" s="109"/>
      <c r="S570" s="109"/>
      <c r="T570" s="109"/>
      <c r="U570" s="109"/>
      <c r="V570" s="109"/>
      <c r="W570" s="109"/>
      <c r="X570" s="109"/>
      <c r="Y570" s="109"/>
      <c r="Z570" s="109"/>
    </row>
    <row r="571" spans="1:26" ht="11.25" customHeight="1">
      <c r="A571" s="109"/>
      <c r="B571" s="109"/>
      <c r="C571" s="109"/>
      <c r="D571" s="109"/>
      <c r="E571" s="109"/>
      <c r="F571" s="109"/>
      <c r="G571" s="109"/>
      <c r="H571" s="109"/>
      <c r="I571" s="109"/>
      <c r="J571" s="109"/>
      <c r="K571" s="109"/>
      <c r="L571" s="109"/>
      <c r="M571" s="109"/>
      <c r="N571" s="109"/>
      <c r="O571" s="109"/>
      <c r="P571" s="109"/>
      <c r="Q571" s="109"/>
      <c r="R571" s="109"/>
      <c r="S571" s="109"/>
      <c r="T571" s="109"/>
      <c r="U571" s="109"/>
      <c r="V571" s="109"/>
      <c r="W571" s="109"/>
      <c r="X571" s="109"/>
      <c r="Y571" s="109"/>
      <c r="Z571" s="109"/>
    </row>
    <row r="572" spans="1:26" ht="11.25" customHeight="1">
      <c r="A572" s="109"/>
      <c r="B572" s="109"/>
      <c r="C572" s="109"/>
      <c r="D572" s="109"/>
      <c r="E572" s="109"/>
      <c r="F572" s="109"/>
      <c r="G572" s="109"/>
      <c r="H572" s="109"/>
      <c r="I572" s="109"/>
      <c r="J572" s="109"/>
      <c r="K572" s="109"/>
      <c r="L572" s="109"/>
      <c r="M572" s="109"/>
      <c r="N572" s="109"/>
      <c r="O572" s="109"/>
      <c r="P572" s="109"/>
      <c r="Q572" s="109"/>
      <c r="R572" s="109"/>
      <c r="S572" s="109"/>
      <c r="T572" s="109"/>
      <c r="U572" s="109"/>
      <c r="V572" s="109"/>
      <c r="W572" s="109"/>
      <c r="X572" s="109"/>
      <c r="Y572" s="109"/>
      <c r="Z572" s="109"/>
    </row>
    <row r="573" spans="1:26" ht="11.25" customHeight="1">
      <c r="A573" s="109"/>
      <c r="B573" s="109"/>
      <c r="C573" s="109"/>
      <c r="D573" s="109"/>
      <c r="E573" s="109"/>
      <c r="F573" s="109"/>
      <c r="G573" s="109"/>
      <c r="H573" s="109"/>
      <c r="I573" s="109"/>
      <c r="J573" s="109"/>
      <c r="K573" s="109"/>
      <c r="L573" s="109"/>
      <c r="M573" s="109"/>
      <c r="N573" s="109"/>
      <c r="O573" s="109"/>
      <c r="P573" s="109"/>
      <c r="Q573" s="109"/>
      <c r="R573" s="109"/>
      <c r="S573" s="109"/>
      <c r="T573" s="109"/>
      <c r="U573" s="109"/>
      <c r="V573" s="109"/>
      <c r="W573" s="109"/>
      <c r="X573" s="109"/>
      <c r="Y573" s="109"/>
      <c r="Z573" s="109"/>
    </row>
    <row r="574" spans="1:26" ht="11.25" customHeight="1">
      <c r="A574" s="109"/>
      <c r="B574" s="109"/>
      <c r="C574" s="109"/>
      <c r="D574" s="109"/>
      <c r="E574" s="109"/>
      <c r="F574" s="109"/>
      <c r="G574" s="109"/>
      <c r="H574" s="109"/>
      <c r="I574" s="109"/>
      <c r="J574" s="109"/>
      <c r="K574" s="109"/>
      <c r="L574" s="109"/>
      <c r="M574" s="109"/>
      <c r="N574" s="109"/>
      <c r="O574" s="109"/>
      <c r="P574" s="109"/>
      <c r="Q574" s="109"/>
      <c r="R574" s="109"/>
      <c r="S574" s="109"/>
      <c r="T574" s="109"/>
      <c r="U574" s="109"/>
      <c r="V574" s="109"/>
      <c r="W574" s="109"/>
      <c r="X574" s="109"/>
      <c r="Y574" s="109"/>
      <c r="Z574" s="109"/>
    </row>
    <row r="575" spans="1:26" ht="11.25" customHeight="1">
      <c r="A575" s="109"/>
      <c r="B575" s="109"/>
      <c r="C575" s="109"/>
      <c r="D575" s="109"/>
      <c r="E575" s="109"/>
      <c r="F575" s="109"/>
      <c r="G575" s="109"/>
      <c r="H575" s="109"/>
      <c r="I575" s="109"/>
      <c r="J575" s="109"/>
      <c r="K575" s="109"/>
      <c r="L575" s="109"/>
      <c r="M575" s="109"/>
      <c r="N575" s="109"/>
      <c r="O575" s="109"/>
      <c r="P575" s="109"/>
      <c r="Q575" s="109"/>
      <c r="R575" s="109"/>
      <c r="S575" s="109"/>
      <c r="T575" s="109"/>
      <c r="U575" s="109"/>
      <c r="V575" s="109"/>
      <c r="W575" s="109"/>
      <c r="X575" s="109"/>
      <c r="Y575" s="109"/>
      <c r="Z575" s="109"/>
    </row>
    <row r="576" spans="1:26" ht="11.25" customHeight="1">
      <c r="A576" s="109"/>
      <c r="B576" s="109"/>
      <c r="C576" s="109"/>
      <c r="D576" s="109"/>
      <c r="E576" s="109"/>
      <c r="F576" s="109"/>
      <c r="G576" s="109"/>
      <c r="H576" s="109"/>
      <c r="I576" s="109"/>
      <c r="J576" s="109"/>
      <c r="K576" s="109"/>
      <c r="L576" s="109"/>
      <c r="M576" s="109"/>
      <c r="N576" s="109"/>
      <c r="O576" s="109"/>
      <c r="P576" s="109"/>
      <c r="Q576" s="109"/>
      <c r="R576" s="109"/>
      <c r="S576" s="109"/>
      <c r="T576" s="109"/>
      <c r="U576" s="109"/>
      <c r="V576" s="109"/>
      <c r="W576" s="109"/>
      <c r="X576" s="109"/>
      <c r="Y576" s="109"/>
      <c r="Z576" s="109"/>
    </row>
    <row r="577" spans="1:26" ht="11.25" customHeight="1">
      <c r="A577" s="109"/>
      <c r="B577" s="109"/>
      <c r="C577" s="109"/>
      <c r="D577" s="109"/>
      <c r="E577" s="109"/>
      <c r="F577" s="109"/>
      <c r="G577" s="109"/>
      <c r="H577" s="109"/>
      <c r="I577" s="109"/>
      <c r="J577" s="109"/>
      <c r="K577" s="109"/>
      <c r="L577" s="109"/>
      <c r="M577" s="109"/>
      <c r="N577" s="109"/>
      <c r="O577" s="109"/>
      <c r="P577" s="109"/>
      <c r="Q577" s="109"/>
      <c r="R577" s="109"/>
      <c r="S577" s="109"/>
      <c r="T577" s="109"/>
      <c r="U577" s="109"/>
      <c r="V577" s="109"/>
      <c r="W577" s="109"/>
      <c r="X577" s="109"/>
      <c r="Y577" s="109"/>
      <c r="Z577" s="109"/>
    </row>
    <row r="578" spans="1:26" ht="11.25" customHeight="1">
      <c r="A578" s="109"/>
      <c r="B578" s="109"/>
      <c r="C578" s="109"/>
      <c r="D578" s="109"/>
      <c r="E578" s="109"/>
      <c r="F578" s="109"/>
      <c r="G578" s="109"/>
      <c r="H578" s="109"/>
      <c r="I578" s="109"/>
      <c r="J578" s="109"/>
      <c r="K578" s="109"/>
      <c r="L578" s="109"/>
      <c r="M578" s="109"/>
      <c r="N578" s="109"/>
      <c r="O578" s="109"/>
      <c r="P578" s="109"/>
      <c r="Q578" s="109"/>
      <c r="R578" s="109"/>
      <c r="S578" s="109"/>
      <c r="T578" s="109"/>
      <c r="U578" s="109"/>
      <c r="V578" s="109"/>
      <c r="W578" s="109"/>
      <c r="X578" s="109"/>
      <c r="Y578" s="109"/>
      <c r="Z578" s="109"/>
    </row>
    <row r="579" spans="1:26" ht="11.25" customHeight="1">
      <c r="A579" s="109"/>
      <c r="B579" s="109"/>
      <c r="C579" s="109"/>
      <c r="D579" s="109"/>
      <c r="E579" s="109"/>
      <c r="F579" s="109"/>
      <c r="G579" s="109"/>
      <c r="H579" s="109"/>
      <c r="I579" s="109"/>
      <c r="J579" s="109"/>
      <c r="K579" s="109"/>
      <c r="L579" s="109"/>
      <c r="M579" s="109"/>
      <c r="N579" s="109"/>
      <c r="O579" s="109"/>
      <c r="P579" s="109"/>
      <c r="Q579" s="109"/>
      <c r="R579" s="109"/>
      <c r="S579" s="109"/>
      <c r="T579" s="109"/>
      <c r="U579" s="109"/>
      <c r="V579" s="109"/>
      <c r="W579" s="109"/>
      <c r="X579" s="109"/>
      <c r="Y579" s="109"/>
      <c r="Z579" s="109"/>
    </row>
    <row r="580" spans="1:26" ht="11.25" customHeight="1">
      <c r="A580" s="109"/>
      <c r="B580" s="109"/>
      <c r="C580" s="109"/>
      <c r="D580" s="109"/>
      <c r="E580" s="109"/>
      <c r="F580" s="109"/>
      <c r="G580" s="109"/>
      <c r="H580" s="109"/>
      <c r="I580" s="109"/>
      <c r="J580" s="109"/>
      <c r="K580" s="109"/>
      <c r="L580" s="109"/>
      <c r="M580" s="109"/>
      <c r="N580" s="109"/>
      <c r="O580" s="109"/>
      <c r="P580" s="109"/>
      <c r="Q580" s="109"/>
      <c r="R580" s="109"/>
      <c r="S580" s="109"/>
      <c r="T580" s="109"/>
      <c r="U580" s="109"/>
      <c r="V580" s="109"/>
      <c r="W580" s="109"/>
      <c r="X580" s="109"/>
      <c r="Y580" s="109"/>
      <c r="Z580" s="109"/>
    </row>
    <row r="581" spans="1:26" ht="11.25" customHeight="1">
      <c r="A581" s="109"/>
      <c r="B581" s="109"/>
      <c r="C581" s="109"/>
      <c r="D581" s="109"/>
      <c r="E581" s="109"/>
      <c r="F581" s="109"/>
      <c r="G581" s="109"/>
      <c r="H581" s="109"/>
      <c r="I581" s="109"/>
      <c r="J581" s="109"/>
      <c r="K581" s="109"/>
      <c r="L581" s="109"/>
      <c r="M581" s="109"/>
      <c r="N581" s="109"/>
      <c r="O581" s="109"/>
      <c r="P581" s="109"/>
      <c r="Q581" s="109"/>
      <c r="R581" s="109"/>
      <c r="S581" s="109"/>
      <c r="T581" s="109"/>
      <c r="U581" s="109"/>
      <c r="V581" s="109"/>
      <c r="W581" s="109"/>
      <c r="X581" s="109"/>
      <c r="Y581" s="109"/>
      <c r="Z581" s="109"/>
    </row>
    <row r="582" spans="1:26" ht="11.25" customHeight="1">
      <c r="A582" s="109"/>
      <c r="B582" s="109"/>
      <c r="C582" s="109"/>
      <c r="D582" s="109"/>
      <c r="E582" s="109"/>
      <c r="F582" s="109"/>
      <c r="G582" s="109"/>
      <c r="H582" s="109"/>
      <c r="I582" s="109"/>
      <c r="J582" s="109"/>
      <c r="K582" s="109"/>
      <c r="L582" s="109"/>
      <c r="M582" s="109"/>
      <c r="N582" s="109"/>
      <c r="O582" s="109"/>
      <c r="P582" s="109"/>
      <c r="Q582" s="109"/>
      <c r="R582" s="109"/>
      <c r="S582" s="109"/>
      <c r="T582" s="109"/>
      <c r="U582" s="109"/>
      <c r="V582" s="109"/>
      <c r="W582" s="109"/>
      <c r="X582" s="109"/>
      <c r="Y582" s="109"/>
      <c r="Z582" s="109"/>
    </row>
    <row r="583" spans="1:26" ht="11.25" customHeight="1">
      <c r="A583" s="109"/>
      <c r="B583" s="109"/>
      <c r="C583" s="109"/>
      <c r="D583" s="109"/>
      <c r="E583" s="109"/>
      <c r="F583" s="109"/>
      <c r="G583" s="109"/>
      <c r="H583" s="109"/>
      <c r="I583" s="109"/>
      <c r="J583" s="109"/>
      <c r="K583" s="109"/>
      <c r="L583" s="109"/>
      <c r="M583" s="109"/>
      <c r="N583" s="109"/>
      <c r="O583" s="109"/>
      <c r="P583" s="109"/>
      <c r="Q583" s="109"/>
      <c r="R583" s="109"/>
      <c r="S583" s="109"/>
      <c r="T583" s="109"/>
      <c r="U583" s="109"/>
      <c r="V583" s="109"/>
      <c r="W583" s="109"/>
      <c r="X583" s="109"/>
      <c r="Y583" s="109"/>
      <c r="Z583" s="109"/>
    </row>
    <row r="584" spans="1:26" ht="11.25" customHeight="1">
      <c r="A584" s="109"/>
      <c r="B584" s="109"/>
      <c r="C584" s="109"/>
      <c r="D584" s="109"/>
      <c r="E584" s="109"/>
      <c r="F584" s="109"/>
      <c r="G584" s="109"/>
      <c r="H584" s="109"/>
      <c r="I584" s="109"/>
      <c r="J584" s="109"/>
      <c r="K584" s="109"/>
      <c r="L584" s="109"/>
      <c r="M584" s="109"/>
      <c r="N584" s="109"/>
      <c r="O584" s="109"/>
      <c r="P584" s="109"/>
      <c r="Q584" s="109"/>
      <c r="R584" s="109"/>
      <c r="S584" s="109"/>
      <c r="T584" s="109"/>
      <c r="U584" s="109"/>
      <c r="V584" s="109"/>
      <c r="W584" s="109"/>
      <c r="X584" s="109"/>
      <c r="Y584" s="109"/>
      <c r="Z584" s="109"/>
    </row>
    <row r="585" spans="1:26" ht="11.25" customHeight="1">
      <c r="A585" s="109"/>
      <c r="B585" s="109"/>
      <c r="C585" s="109"/>
      <c r="D585" s="109"/>
      <c r="E585" s="109"/>
      <c r="F585" s="109"/>
      <c r="G585" s="109"/>
      <c r="H585" s="109"/>
      <c r="I585" s="109"/>
      <c r="J585" s="109"/>
      <c r="K585" s="109"/>
      <c r="L585" s="109"/>
      <c r="M585" s="109"/>
      <c r="N585" s="109"/>
      <c r="O585" s="109"/>
      <c r="P585" s="109"/>
      <c r="Q585" s="109"/>
      <c r="R585" s="109"/>
      <c r="S585" s="109"/>
      <c r="T585" s="109"/>
      <c r="U585" s="109"/>
      <c r="V585" s="109"/>
      <c r="W585" s="109"/>
      <c r="X585" s="109"/>
      <c r="Y585" s="109"/>
      <c r="Z585" s="109"/>
    </row>
    <row r="586" spans="1:26" ht="11.25" customHeight="1">
      <c r="A586" s="109"/>
      <c r="B586" s="109"/>
      <c r="C586" s="109"/>
      <c r="D586" s="109"/>
      <c r="E586" s="109"/>
      <c r="F586" s="109"/>
      <c r="G586" s="109"/>
      <c r="H586" s="109"/>
      <c r="I586" s="109"/>
      <c r="J586" s="109"/>
      <c r="K586" s="109"/>
      <c r="L586" s="109"/>
      <c r="M586" s="109"/>
      <c r="N586" s="109"/>
      <c r="O586" s="109"/>
      <c r="P586" s="109"/>
      <c r="Q586" s="109"/>
      <c r="R586" s="109"/>
      <c r="S586" s="109"/>
      <c r="T586" s="109"/>
      <c r="U586" s="109"/>
      <c r="V586" s="109"/>
      <c r="W586" s="109"/>
      <c r="X586" s="109"/>
      <c r="Y586" s="109"/>
      <c r="Z586" s="109"/>
    </row>
    <row r="587" spans="1:26" ht="11.25" customHeight="1">
      <c r="A587" s="109"/>
      <c r="B587" s="109"/>
      <c r="C587" s="109"/>
      <c r="D587" s="109"/>
      <c r="E587" s="109"/>
      <c r="F587" s="109"/>
      <c r="G587" s="109"/>
      <c r="H587" s="109"/>
      <c r="I587" s="109"/>
      <c r="J587" s="109"/>
      <c r="K587" s="109"/>
      <c r="L587" s="109"/>
      <c r="M587" s="109"/>
      <c r="N587" s="109"/>
      <c r="O587" s="109"/>
      <c r="P587" s="109"/>
      <c r="Q587" s="109"/>
      <c r="R587" s="109"/>
      <c r="S587" s="109"/>
      <c r="T587" s="109"/>
      <c r="U587" s="109"/>
      <c r="V587" s="109"/>
      <c r="W587" s="109"/>
      <c r="X587" s="109"/>
      <c r="Y587" s="109"/>
      <c r="Z587" s="109"/>
    </row>
    <row r="588" spans="1:26" ht="11.25" customHeight="1">
      <c r="A588" s="109"/>
      <c r="B588" s="109"/>
      <c r="C588" s="109"/>
      <c r="D588" s="109"/>
      <c r="E588" s="109"/>
      <c r="F588" s="109"/>
      <c r="G588" s="109"/>
      <c r="H588" s="109"/>
      <c r="I588" s="109"/>
      <c r="J588" s="109"/>
      <c r="K588" s="109"/>
      <c r="L588" s="109"/>
      <c r="M588" s="109"/>
      <c r="N588" s="109"/>
      <c r="O588" s="109"/>
      <c r="P588" s="109"/>
      <c r="Q588" s="109"/>
      <c r="R588" s="109"/>
      <c r="S588" s="109"/>
      <c r="T588" s="109"/>
      <c r="U588" s="109"/>
      <c r="V588" s="109"/>
      <c r="W588" s="109"/>
      <c r="X588" s="109"/>
      <c r="Y588" s="109"/>
      <c r="Z588" s="109"/>
    </row>
    <row r="589" spans="1:26" ht="11.25" customHeight="1">
      <c r="A589" s="109"/>
      <c r="B589" s="109"/>
      <c r="C589" s="109"/>
      <c r="D589" s="109"/>
      <c r="E589" s="109"/>
      <c r="F589" s="109"/>
      <c r="G589" s="109"/>
      <c r="H589" s="109"/>
      <c r="I589" s="109"/>
      <c r="J589" s="109"/>
      <c r="K589" s="109"/>
      <c r="L589" s="109"/>
      <c r="M589" s="109"/>
      <c r="N589" s="109"/>
      <c r="O589" s="109"/>
      <c r="P589" s="109"/>
      <c r="Q589" s="109"/>
      <c r="R589" s="109"/>
      <c r="S589" s="109"/>
      <c r="T589" s="109"/>
      <c r="U589" s="109"/>
      <c r="V589" s="109"/>
      <c r="W589" s="109"/>
      <c r="X589" s="109"/>
      <c r="Y589" s="109"/>
      <c r="Z589" s="109"/>
    </row>
    <row r="590" spans="1:26" ht="11.25" customHeight="1">
      <c r="A590" s="109"/>
      <c r="B590" s="109"/>
      <c r="C590" s="109"/>
      <c r="D590" s="109"/>
      <c r="E590" s="109"/>
      <c r="F590" s="109"/>
      <c r="G590" s="109"/>
      <c r="H590" s="109"/>
      <c r="I590" s="109"/>
      <c r="J590" s="109"/>
      <c r="K590" s="109"/>
      <c r="L590" s="109"/>
      <c r="M590" s="109"/>
      <c r="N590" s="109"/>
      <c r="O590" s="109"/>
      <c r="P590" s="109"/>
      <c r="Q590" s="109"/>
      <c r="R590" s="109"/>
      <c r="S590" s="109"/>
      <c r="T590" s="109"/>
      <c r="U590" s="109"/>
      <c r="V590" s="109"/>
      <c r="W590" s="109"/>
      <c r="X590" s="109"/>
      <c r="Y590" s="109"/>
      <c r="Z590" s="109"/>
    </row>
    <row r="591" spans="1:26" ht="11.25" customHeight="1">
      <c r="A591" s="109"/>
      <c r="B591" s="109"/>
      <c r="C591" s="109"/>
      <c r="D591" s="109"/>
      <c r="E591" s="109"/>
      <c r="F591" s="109"/>
      <c r="G591" s="109"/>
      <c r="H591" s="109"/>
      <c r="I591" s="109"/>
      <c r="J591" s="109"/>
      <c r="K591" s="109"/>
      <c r="L591" s="109"/>
      <c r="M591" s="109"/>
      <c r="N591" s="109"/>
      <c r="O591" s="109"/>
      <c r="P591" s="109"/>
      <c r="Q591" s="109"/>
      <c r="R591" s="109"/>
      <c r="S591" s="109"/>
      <c r="T591" s="109"/>
      <c r="U591" s="109"/>
      <c r="V591" s="109"/>
      <c r="W591" s="109"/>
      <c r="X591" s="109"/>
      <c r="Y591" s="109"/>
      <c r="Z591" s="109"/>
    </row>
    <row r="592" spans="1:26" ht="11.25" customHeight="1">
      <c r="A592" s="109"/>
      <c r="B592" s="109"/>
      <c r="C592" s="109"/>
      <c r="D592" s="109"/>
      <c r="E592" s="109"/>
      <c r="F592" s="109"/>
      <c r="G592" s="109"/>
      <c r="H592" s="109"/>
      <c r="I592" s="109"/>
      <c r="J592" s="109"/>
      <c r="K592" s="109"/>
      <c r="L592" s="109"/>
      <c r="M592" s="109"/>
      <c r="N592" s="109"/>
      <c r="O592" s="109"/>
      <c r="P592" s="109"/>
      <c r="Q592" s="109"/>
      <c r="R592" s="109"/>
      <c r="S592" s="109"/>
      <c r="T592" s="109"/>
      <c r="U592" s="109"/>
      <c r="V592" s="109"/>
      <c r="W592" s="109"/>
      <c r="X592" s="109"/>
      <c r="Y592" s="109"/>
      <c r="Z592" s="109"/>
    </row>
    <row r="593" spans="1:26" ht="11.25" customHeight="1">
      <c r="A593" s="109"/>
      <c r="B593" s="109"/>
      <c r="C593" s="109"/>
      <c r="D593" s="109"/>
      <c r="E593" s="109"/>
      <c r="F593" s="109"/>
      <c r="G593" s="109"/>
      <c r="H593" s="109"/>
      <c r="I593" s="109"/>
      <c r="J593" s="109"/>
      <c r="K593" s="109"/>
      <c r="L593" s="109"/>
      <c r="M593" s="109"/>
      <c r="N593" s="109"/>
      <c r="O593" s="109"/>
      <c r="P593" s="109"/>
      <c r="Q593" s="109"/>
      <c r="R593" s="109"/>
      <c r="S593" s="109"/>
      <c r="T593" s="109"/>
      <c r="U593" s="109"/>
      <c r="V593" s="109"/>
      <c r="W593" s="109"/>
      <c r="X593" s="109"/>
      <c r="Y593" s="109"/>
      <c r="Z593" s="109"/>
    </row>
    <row r="594" spans="1:26" ht="11.25" customHeight="1">
      <c r="A594" s="109"/>
      <c r="B594" s="109"/>
      <c r="C594" s="109"/>
      <c r="D594" s="109"/>
      <c r="E594" s="109"/>
      <c r="F594" s="109"/>
      <c r="G594" s="109"/>
      <c r="H594" s="109"/>
      <c r="I594" s="109"/>
      <c r="J594" s="109"/>
      <c r="K594" s="109"/>
      <c r="L594" s="109"/>
      <c r="M594" s="109"/>
      <c r="N594" s="109"/>
      <c r="O594" s="109"/>
      <c r="P594" s="109"/>
      <c r="Q594" s="109"/>
      <c r="R594" s="109"/>
      <c r="S594" s="109"/>
      <c r="T594" s="109"/>
      <c r="U594" s="109"/>
      <c r="V594" s="109"/>
      <c r="W594" s="109"/>
      <c r="X594" s="109"/>
      <c r="Y594" s="109"/>
      <c r="Z594" s="109"/>
    </row>
    <row r="595" spans="1:26" ht="11.25" customHeight="1">
      <c r="A595" s="109"/>
      <c r="B595" s="109"/>
      <c r="C595" s="109"/>
      <c r="D595" s="109"/>
      <c r="E595" s="109"/>
      <c r="F595" s="109"/>
      <c r="G595" s="109"/>
      <c r="H595" s="109"/>
      <c r="I595" s="109"/>
      <c r="J595" s="109"/>
      <c r="K595" s="109"/>
      <c r="L595" s="109"/>
      <c r="M595" s="109"/>
      <c r="N595" s="109"/>
      <c r="O595" s="109"/>
      <c r="P595" s="109"/>
      <c r="Q595" s="109"/>
      <c r="R595" s="109"/>
      <c r="S595" s="109"/>
      <c r="T595" s="109"/>
      <c r="U595" s="109"/>
      <c r="V595" s="109"/>
      <c r="W595" s="109"/>
      <c r="X595" s="109"/>
      <c r="Y595" s="109"/>
      <c r="Z595" s="109"/>
    </row>
    <row r="596" spans="1:26" ht="11.25" customHeight="1">
      <c r="A596" s="109"/>
      <c r="B596" s="109"/>
      <c r="C596" s="109"/>
      <c r="D596" s="109"/>
      <c r="E596" s="109"/>
      <c r="F596" s="109"/>
      <c r="G596" s="109"/>
      <c r="H596" s="109"/>
      <c r="I596" s="109"/>
      <c r="J596" s="109"/>
      <c r="K596" s="109"/>
      <c r="L596" s="109"/>
      <c r="M596" s="109"/>
      <c r="N596" s="109"/>
      <c r="O596" s="109"/>
      <c r="P596" s="109"/>
      <c r="Q596" s="109"/>
      <c r="R596" s="109"/>
      <c r="S596" s="109"/>
      <c r="T596" s="109"/>
      <c r="U596" s="109"/>
      <c r="V596" s="109"/>
      <c r="W596" s="109"/>
      <c r="X596" s="109"/>
      <c r="Y596" s="109"/>
      <c r="Z596" s="109"/>
    </row>
    <row r="597" spans="1:26" ht="11.25" customHeight="1">
      <c r="A597" s="109"/>
      <c r="B597" s="109"/>
      <c r="C597" s="109"/>
      <c r="D597" s="109"/>
      <c r="E597" s="109"/>
      <c r="F597" s="109"/>
      <c r="G597" s="109"/>
      <c r="H597" s="109"/>
      <c r="I597" s="109"/>
      <c r="J597" s="109"/>
      <c r="K597" s="109"/>
      <c r="L597" s="109"/>
      <c r="M597" s="109"/>
      <c r="N597" s="109"/>
      <c r="O597" s="109"/>
      <c r="P597" s="109"/>
      <c r="Q597" s="109"/>
      <c r="R597" s="109"/>
      <c r="S597" s="109"/>
      <c r="T597" s="109"/>
      <c r="U597" s="109"/>
      <c r="V597" s="109"/>
      <c r="W597" s="109"/>
      <c r="X597" s="109"/>
      <c r="Y597" s="109"/>
      <c r="Z597" s="109"/>
    </row>
    <row r="598" spans="1:26" ht="11.25" customHeight="1">
      <c r="A598" s="109"/>
      <c r="B598" s="109"/>
      <c r="C598" s="109"/>
      <c r="D598" s="109"/>
      <c r="E598" s="109"/>
      <c r="F598" s="109"/>
      <c r="G598" s="109"/>
      <c r="H598" s="109"/>
      <c r="I598" s="109"/>
      <c r="J598" s="109"/>
      <c r="K598" s="109"/>
      <c r="L598" s="109"/>
      <c r="M598" s="109"/>
      <c r="N598" s="109"/>
      <c r="O598" s="109"/>
      <c r="P598" s="109"/>
      <c r="Q598" s="109"/>
      <c r="R598" s="109"/>
      <c r="S598" s="109"/>
      <c r="T598" s="109"/>
      <c r="U598" s="109"/>
      <c r="V598" s="109"/>
      <c r="W598" s="109"/>
      <c r="X598" s="109"/>
      <c r="Y598" s="109"/>
      <c r="Z598" s="109"/>
    </row>
    <row r="599" spans="1:26" ht="11.25" customHeight="1">
      <c r="A599" s="109"/>
      <c r="B599" s="109"/>
      <c r="C599" s="109"/>
      <c r="D599" s="109"/>
      <c r="E599" s="109"/>
      <c r="F599" s="109"/>
      <c r="G599" s="109"/>
      <c r="H599" s="109"/>
      <c r="I599" s="109"/>
      <c r="J599" s="109"/>
      <c r="K599" s="109"/>
      <c r="L599" s="109"/>
      <c r="M599" s="109"/>
      <c r="N599" s="109"/>
      <c r="O599" s="109"/>
      <c r="P599" s="109"/>
      <c r="Q599" s="109"/>
      <c r="R599" s="109"/>
      <c r="S599" s="109"/>
      <c r="T599" s="109"/>
      <c r="U599" s="109"/>
      <c r="V599" s="109"/>
      <c r="W599" s="109"/>
      <c r="X599" s="109"/>
      <c r="Y599" s="109"/>
      <c r="Z599" s="109"/>
    </row>
    <row r="600" spans="1:26" ht="11.25" customHeight="1">
      <c r="A600" s="109"/>
      <c r="B600" s="109"/>
      <c r="C600" s="109"/>
      <c r="D600" s="109"/>
      <c r="E600" s="109"/>
      <c r="F600" s="109"/>
      <c r="G600" s="109"/>
      <c r="H600" s="109"/>
      <c r="I600" s="109"/>
      <c r="J600" s="109"/>
      <c r="K600" s="109"/>
      <c r="L600" s="109"/>
      <c r="M600" s="109"/>
      <c r="N600" s="109"/>
      <c r="O600" s="109"/>
      <c r="P600" s="109"/>
      <c r="Q600" s="109"/>
      <c r="R600" s="109"/>
      <c r="S600" s="109"/>
      <c r="T600" s="109"/>
      <c r="U600" s="109"/>
      <c r="V600" s="109"/>
      <c r="W600" s="109"/>
      <c r="X600" s="109"/>
      <c r="Y600" s="109"/>
      <c r="Z600" s="109"/>
    </row>
    <row r="601" spans="1:26" ht="11.25" customHeight="1">
      <c r="A601" s="109"/>
      <c r="B601" s="109"/>
      <c r="C601" s="109"/>
      <c r="D601" s="109"/>
      <c r="E601" s="109"/>
      <c r="F601" s="109"/>
      <c r="G601" s="109"/>
      <c r="H601" s="109"/>
      <c r="I601" s="109"/>
      <c r="J601" s="109"/>
      <c r="K601" s="109"/>
      <c r="L601" s="109"/>
      <c r="M601" s="109"/>
      <c r="N601" s="109"/>
      <c r="O601" s="109"/>
      <c r="P601" s="109"/>
      <c r="Q601" s="109"/>
      <c r="R601" s="109"/>
      <c r="S601" s="109"/>
      <c r="T601" s="109"/>
      <c r="U601" s="109"/>
      <c r="V601" s="109"/>
      <c r="W601" s="109"/>
      <c r="X601" s="109"/>
      <c r="Y601" s="109"/>
      <c r="Z601" s="109"/>
    </row>
    <row r="602" spans="1:26" ht="11.25" customHeight="1">
      <c r="A602" s="109"/>
      <c r="B602" s="109"/>
      <c r="C602" s="109"/>
      <c r="D602" s="109"/>
      <c r="E602" s="109"/>
      <c r="F602" s="109"/>
      <c r="G602" s="109"/>
      <c r="H602" s="109"/>
      <c r="I602" s="109"/>
      <c r="J602" s="109"/>
      <c r="K602" s="109"/>
      <c r="L602" s="109"/>
      <c r="M602" s="109"/>
      <c r="N602" s="109"/>
      <c r="O602" s="109"/>
      <c r="P602" s="109"/>
      <c r="Q602" s="109"/>
      <c r="R602" s="109"/>
      <c r="S602" s="109"/>
      <c r="T602" s="109"/>
      <c r="U602" s="109"/>
      <c r="V602" s="109"/>
      <c r="W602" s="109"/>
      <c r="X602" s="109"/>
      <c r="Y602" s="109"/>
      <c r="Z602" s="109"/>
    </row>
    <row r="603" spans="1:26" ht="11.25" customHeight="1">
      <c r="A603" s="109"/>
      <c r="B603" s="109"/>
      <c r="C603" s="109"/>
      <c r="D603" s="109"/>
      <c r="E603" s="109"/>
      <c r="F603" s="109"/>
      <c r="G603" s="109"/>
      <c r="H603" s="109"/>
      <c r="I603" s="109"/>
      <c r="J603" s="109"/>
      <c r="K603" s="109"/>
      <c r="L603" s="109"/>
      <c r="M603" s="109"/>
      <c r="N603" s="109"/>
      <c r="O603" s="109"/>
      <c r="P603" s="109"/>
      <c r="Q603" s="109"/>
      <c r="R603" s="109"/>
      <c r="S603" s="109"/>
      <c r="T603" s="109"/>
      <c r="U603" s="109"/>
      <c r="V603" s="109"/>
      <c r="W603" s="109"/>
      <c r="X603" s="109"/>
      <c r="Y603" s="109"/>
      <c r="Z603" s="109"/>
    </row>
    <row r="604" spans="1:26" ht="11.25" customHeight="1">
      <c r="A604" s="109"/>
      <c r="B604" s="109"/>
      <c r="C604" s="109"/>
      <c r="D604" s="109"/>
      <c r="E604" s="109"/>
      <c r="F604" s="109"/>
      <c r="G604" s="109"/>
      <c r="H604" s="109"/>
      <c r="I604" s="109"/>
      <c r="J604" s="109"/>
      <c r="K604" s="109"/>
      <c r="L604" s="109"/>
      <c r="M604" s="109"/>
      <c r="N604" s="109"/>
      <c r="O604" s="109"/>
      <c r="P604" s="109"/>
      <c r="Q604" s="109"/>
      <c r="R604" s="109"/>
      <c r="S604" s="109"/>
      <c r="T604" s="109"/>
      <c r="U604" s="109"/>
      <c r="V604" s="109"/>
      <c r="W604" s="109"/>
      <c r="X604" s="109"/>
      <c r="Y604" s="109"/>
      <c r="Z604" s="109"/>
    </row>
    <row r="605" spans="1:26" ht="11.25" customHeight="1">
      <c r="A605" s="109"/>
      <c r="B605" s="109"/>
      <c r="C605" s="109"/>
      <c r="D605" s="109"/>
      <c r="E605" s="109"/>
      <c r="F605" s="109"/>
      <c r="G605" s="109"/>
      <c r="H605" s="109"/>
      <c r="I605" s="109"/>
      <c r="J605" s="109"/>
      <c r="K605" s="109"/>
      <c r="L605" s="109"/>
      <c r="M605" s="109"/>
      <c r="N605" s="109"/>
      <c r="O605" s="109"/>
      <c r="P605" s="109"/>
      <c r="Q605" s="109"/>
      <c r="R605" s="109"/>
      <c r="S605" s="109"/>
      <c r="T605" s="109"/>
      <c r="U605" s="109"/>
      <c r="V605" s="109"/>
      <c r="W605" s="109"/>
      <c r="X605" s="109"/>
      <c r="Y605" s="109"/>
      <c r="Z605" s="109"/>
    </row>
    <row r="606" spans="1:26" ht="11.25" customHeight="1">
      <c r="A606" s="109"/>
      <c r="B606" s="109"/>
      <c r="C606" s="109"/>
      <c r="D606" s="109"/>
      <c r="E606" s="109"/>
      <c r="F606" s="109"/>
      <c r="G606" s="109"/>
      <c r="H606" s="109"/>
      <c r="I606" s="109"/>
      <c r="J606" s="109"/>
      <c r="K606" s="109"/>
      <c r="L606" s="109"/>
      <c r="M606" s="109"/>
      <c r="N606" s="109"/>
      <c r="O606" s="109"/>
      <c r="P606" s="109"/>
      <c r="Q606" s="109"/>
      <c r="R606" s="109"/>
      <c r="S606" s="109"/>
      <c r="T606" s="109"/>
      <c r="U606" s="109"/>
      <c r="V606" s="109"/>
      <c r="W606" s="109"/>
      <c r="X606" s="109"/>
      <c r="Y606" s="109"/>
      <c r="Z606" s="109"/>
    </row>
    <row r="607" spans="1:26" ht="11.25" customHeight="1">
      <c r="A607" s="109"/>
      <c r="B607" s="109"/>
      <c r="C607" s="109"/>
      <c r="D607" s="109"/>
      <c r="E607" s="109"/>
      <c r="F607" s="109"/>
      <c r="G607" s="109"/>
      <c r="H607" s="109"/>
      <c r="I607" s="109"/>
      <c r="J607" s="109"/>
      <c r="K607" s="109"/>
      <c r="L607" s="109"/>
      <c r="M607" s="109"/>
      <c r="N607" s="109"/>
      <c r="O607" s="109"/>
      <c r="P607" s="109"/>
      <c r="Q607" s="109"/>
      <c r="R607" s="109"/>
      <c r="S607" s="109"/>
      <c r="T607" s="109"/>
      <c r="U607" s="109"/>
      <c r="V607" s="109"/>
      <c r="W607" s="109"/>
      <c r="X607" s="109"/>
      <c r="Y607" s="109"/>
      <c r="Z607" s="109"/>
    </row>
    <row r="608" spans="1:26" ht="11.25" customHeight="1">
      <c r="A608" s="109"/>
      <c r="B608" s="109"/>
      <c r="C608" s="109"/>
      <c r="D608" s="109"/>
      <c r="E608" s="109"/>
      <c r="F608" s="109"/>
      <c r="G608" s="109"/>
      <c r="H608" s="109"/>
      <c r="I608" s="109"/>
      <c r="J608" s="109"/>
      <c r="K608" s="109"/>
      <c r="L608" s="109"/>
      <c r="M608" s="109"/>
      <c r="N608" s="109"/>
      <c r="O608" s="109"/>
      <c r="P608" s="109"/>
      <c r="Q608" s="109"/>
      <c r="R608" s="109"/>
      <c r="S608" s="109"/>
      <c r="T608" s="109"/>
      <c r="U608" s="109"/>
      <c r="V608" s="109"/>
      <c r="W608" s="109"/>
      <c r="X608" s="109"/>
      <c r="Y608" s="109"/>
      <c r="Z608" s="109"/>
    </row>
    <row r="609" spans="1:26" ht="11.25" customHeight="1">
      <c r="A609" s="109"/>
      <c r="B609" s="109"/>
      <c r="C609" s="109"/>
      <c r="D609" s="109"/>
      <c r="E609" s="109"/>
      <c r="F609" s="109"/>
      <c r="G609" s="109"/>
      <c r="H609" s="109"/>
      <c r="I609" s="109"/>
      <c r="J609" s="109"/>
      <c r="K609" s="109"/>
      <c r="L609" s="109"/>
      <c r="M609" s="109"/>
      <c r="N609" s="109"/>
      <c r="O609" s="109"/>
      <c r="P609" s="109"/>
      <c r="Q609" s="109"/>
      <c r="R609" s="109"/>
      <c r="S609" s="109"/>
      <c r="T609" s="109"/>
      <c r="U609" s="109"/>
      <c r="V609" s="109"/>
      <c r="W609" s="109"/>
      <c r="X609" s="109"/>
      <c r="Y609" s="109"/>
      <c r="Z609" s="109"/>
    </row>
    <row r="610" spans="1:26" ht="11.25" customHeight="1">
      <c r="A610" s="109"/>
      <c r="B610" s="109"/>
      <c r="C610" s="109"/>
      <c r="D610" s="109"/>
      <c r="E610" s="109"/>
      <c r="F610" s="109"/>
      <c r="G610" s="109"/>
      <c r="H610" s="109"/>
      <c r="I610" s="109"/>
      <c r="J610" s="109"/>
      <c r="K610" s="109"/>
      <c r="L610" s="109"/>
      <c r="M610" s="109"/>
      <c r="N610" s="109"/>
      <c r="O610" s="109"/>
      <c r="P610" s="109"/>
      <c r="Q610" s="109"/>
      <c r="R610" s="109"/>
      <c r="S610" s="109"/>
      <c r="T610" s="109"/>
      <c r="U610" s="109"/>
      <c r="V610" s="109"/>
      <c r="W610" s="109"/>
      <c r="X610" s="109"/>
      <c r="Y610" s="109"/>
      <c r="Z610" s="109"/>
    </row>
    <row r="611" spans="1:26" ht="11.25" customHeight="1">
      <c r="A611" s="109"/>
      <c r="B611" s="109"/>
      <c r="C611" s="109"/>
      <c r="D611" s="109"/>
      <c r="E611" s="109"/>
      <c r="F611" s="109"/>
      <c r="G611" s="109"/>
      <c r="H611" s="109"/>
      <c r="I611" s="109"/>
      <c r="J611" s="109"/>
      <c r="K611" s="109"/>
      <c r="L611" s="109"/>
      <c r="M611" s="109"/>
      <c r="N611" s="109"/>
      <c r="O611" s="109"/>
      <c r="P611" s="109"/>
      <c r="Q611" s="109"/>
      <c r="R611" s="109"/>
      <c r="S611" s="109"/>
      <c r="T611" s="109"/>
      <c r="U611" s="109"/>
      <c r="V611" s="109"/>
      <c r="W611" s="109"/>
      <c r="X611" s="109"/>
      <c r="Y611" s="109"/>
      <c r="Z611" s="109"/>
    </row>
    <row r="612" spans="1:26" ht="11.25" customHeight="1">
      <c r="A612" s="109"/>
      <c r="B612" s="109"/>
      <c r="C612" s="109"/>
      <c r="D612" s="109"/>
      <c r="E612" s="109"/>
      <c r="F612" s="109"/>
      <c r="G612" s="109"/>
      <c r="H612" s="109"/>
      <c r="I612" s="109"/>
      <c r="J612" s="109"/>
      <c r="K612" s="109"/>
      <c r="L612" s="109"/>
      <c r="M612" s="109"/>
      <c r="N612" s="109"/>
      <c r="O612" s="109"/>
      <c r="P612" s="109"/>
      <c r="Q612" s="109"/>
      <c r="R612" s="109"/>
      <c r="S612" s="109"/>
      <c r="T612" s="109"/>
      <c r="U612" s="109"/>
      <c r="V612" s="109"/>
      <c r="W612" s="109"/>
      <c r="X612" s="109"/>
      <c r="Y612" s="109"/>
      <c r="Z612" s="109"/>
    </row>
    <row r="613" spans="1:26" ht="11.25" customHeight="1">
      <c r="A613" s="109"/>
      <c r="B613" s="109"/>
      <c r="C613" s="109"/>
      <c r="D613" s="109"/>
      <c r="E613" s="109"/>
      <c r="F613" s="109"/>
      <c r="G613" s="109"/>
      <c r="H613" s="109"/>
      <c r="I613" s="109"/>
      <c r="J613" s="109"/>
      <c r="K613" s="109"/>
      <c r="L613" s="109"/>
      <c r="M613" s="109"/>
      <c r="N613" s="109"/>
      <c r="O613" s="109"/>
      <c r="P613" s="109"/>
      <c r="Q613" s="109"/>
      <c r="R613" s="109"/>
      <c r="S613" s="109"/>
      <c r="T613" s="109"/>
      <c r="U613" s="109"/>
      <c r="V613" s="109"/>
      <c r="W613" s="109"/>
      <c r="X613" s="109"/>
      <c r="Y613" s="109"/>
      <c r="Z613" s="109"/>
    </row>
    <row r="614" spans="1:26" ht="11.25" customHeight="1">
      <c r="A614" s="109"/>
      <c r="B614" s="109"/>
      <c r="C614" s="109"/>
      <c r="D614" s="109"/>
      <c r="E614" s="109"/>
      <c r="F614" s="109"/>
      <c r="G614" s="109"/>
      <c r="H614" s="109"/>
      <c r="I614" s="109"/>
      <c r="J614" s="109"/>
      <c r="K614" s="109"/>
      <c r="L614" s="109"/>
      <c r="M614" s="109"/>
      <c r="N614" s="109"/>
      <c r="O614" s="109"/>
      <c r="P614" s="109"/>
      <c r="Q614" s="109"/>
      <c r="R614" s="109"/>
      <c r="S614" s="109"/>
      <c r="T614" s="109"/>
      <c r="U614" s="109"/>
      <c r="V614" s="109"/>
      <c r="W614" s="109"/>
      <c r="X614" s="109"/>
      <c r="Y614" s="109"/>
      <c r="Z614" s="109"/>
    </row>
    <row r="615" spans="1:26" ht="11.25" customHeight="1">
      <c r="A615" s="109"/>
      <c r="B615" s="109"/>
      <c r="C615" s="109"/>
      <c r="D615" s="109"/>
      <c r="E615" s="109"/>
      <c r="F615" s="109"/>
      <c r="G615" s="109"/>
      <c r="H615" s="109"/>
      <c r="I615" s="109"/>
      <c r="J615" s="109"/>
      <c r="K615" s="109"/>
      <c r="L615" s="109"/>
      <c r="M615" s="109"/>
      <c r="N615" s="109"/>
      <c r="O615" s="109"/>
      <c r="P615" s="109"/>
      <c r="Q615" s="109"/>
      <c r="R615" s="109"/>
      <c r="S615" s="109"/>
      <c r="T615" s="109"/>
      <c r="U615" s="109"/>
      <c r="V615" s="109"/>
      <c r="W615" s="109"/>
      <c r="X615" s="109"/>
      <c r="Y615" s="109"/>
      <c r="Z615" s="109"/>
    </row>
    <row r="616" spans="1:26" ht="11.25" customHeight="1">
      <c r="A616" s="109"/>
      <c r="B616" s="109"/>
      <c r="C616" s="109"/>
      <c r="D616" s="109"/>
      <c r="E616" s="109"/>
      <c r="F616" s="109"/>
      <c r="G616" s="109"/>
      <c r="H616" s="109"/>
      <c r="I616" s="109"/>
      <c r="J616" s="109"/>
      <c r="K616" s="109"/>
      <c r="L616" s="109"/>
      <c r="M616" s="109"/>
      <c r="N616" s="109"/>
      <c r="O616" s="109"/>
      <c r="P616" s="109"/>
      <c r="Q616" s="109"/>
      <c r="R616" s="109"/>
      <c r="S616" s="109"/>
      <c r="T616" s="109"/>
      <c r="U616" s="109"/>
      <c r="V616" s="109"/>
      <c r="W616" s="109"/>
      <c r="X616" s="109"/>
      <c r="Y616" s="109"/>
      <c r="Z616" s="109"/>
    </row>
    <row r="617" spans="1:26" ht="11.25" customHeight="1">
      <c r="A617" s="109"/>
      <c r="B617" s="109"/>
      <c r="C617" s="109"/>
      <c r="D617" s="109"/>
      <c r="E617" s="109"/>
      <c r="F617" s="109"/>
      <c r="G617" s="109"/>
      <c r="H617" s="109"/>
      <c r="I617" s="109"/>
      <c r="J617" s="109"/>
      <c r="K617" s="109"/>
      <c r="L617" s="109"/>
      <c r="M617" s="109"/>
      <c r="N617" s="109"/>
      <c r="O617" s="109"/>
      <c r="P617" s="109"/>
      <c r="Q617" s="109"/>
      <c r="R617" s="109"/>
      <c r="S617" s="109"/>
      <c r="T617" s="109"/>
      <c r="U617" s="109"/>
      <c r="V617" s="109"/>
      <c r="W617" s="109"/>
      <c r="X617" s="109"/>
      <c r="Y617" s="109"/>
      <c r="Z617" s="109"/>
    </row>
    <row r="618" spans="1:26" ht="11.25" customHeight="1">
      <c r="A618" s="109"/>
      <c r="B618" s="109"/>
      <c r="C618" s="109"/>
      <c r="D618" s="109"/>
      <c r="E618" s="109"/>
      <c r="F618" s="109"/>
      <c r="G618" s="109"/>
      <c r="H618" s="109"/>
      <c r="I618" s="109"/>
      <c r="J618" s="109"/>
      <c r="K618" s="109"/>
      <c r="L618" s="109"/>
      <c r="M618" s="109"/>
      <c r="N618" s="109"/>
      <c r="O618" s="109"/>
      <c r="P618" s="109"/>
      <c r="Q618" s="109"/>
      <c r="R618" s="109"/>
      <c r="S618" s="109"/>
      <c r="T618" s="109"/>
      <c r="U618" s="109"/>
      <c r="V618" s="109"/>
      <c r="W618" s="109"/>
      <c r="X618" s="109"/>
      <c r="Y618" s="109"/>
      <c r="Z618" s="109"/>
    </row>
    <row r="619" spans="1:26" ht="11.25" customHeight="1">
      <c r="A619" s="109"/>
      <c r="B619" s="109"/>
      <c r="C619" s="109"/>
      <c r="D619" s="109"/>
      <c r="E619" s="109"/>
      <c r="F619" s="109"/>
      <c r="G619" s="109"/>
      <c r="H619" s="109"/>
      <c r="I619" s="109"/>
      <c r="J619" s="109"/>
      <c r="K619" s="109"/>
      <c r="L619" s="109"/>
      <c r="M619" s="109"/>
      <c r="N619" s="109"/>
      <c r="O619" s="109"/>
      <c r="P619" s="109"/>
      <c r="Q619" s="109"/>
      <c r="R619" s="109"/>
      <c r="S619" s="109"/>
      <c r="T619" s="109"/>
      <c r="U619" s="109"/>
      <c r="V619" s="109"/>
      <c r="W619" s="109"/>
      <c r="X619" s="109"/>
      <c r="Y619" s="109"/>
      <c r="Z619" s="109"/>
    </row>
    <row r="620" spans="1:26" ht="11.25" customHeight="1">
      <c r="A620" s="109"/>
      <c r="B620" s="109"/>
      <c r="C620" s="109"/>
      <c r="D620" s="109"/>
      <c r="E620" s="109"/>
      <c r="F620" s="109"/>
      <c r="G620" s="109"/>
      <c r="H620" s="109"/>
      <c r="I620" s="109"/>
      <c r="J620" s="109"/>
      <c r="K620" s="109"/>
      <c r="L620" s="109"/>
      <c r="M620" s="109"/>
      <c r="N620" s="109"/>
      <c r="O620" s="109"/>
      <c r="P620" s="109"/>
      <c r="Q620" s="109"/>
      <c r="R620" s="109"/>
      <c r="S620" s="109"/>
      <c r="T620" s="109"/>
      <c r="U620" s="109"/>
      <c r="V620" s="109"/>
      <c r="W620" s="109"/>
      <c r="X620" s="109"/>
      <c r="Y620" s="109"/>
      <c r="Z620" s="109"/>
    </row>
    <row r="621" spans="1:26" ht="11.25" customHeight="1">
      <c r="A621" s="109"/>
      <c r="B621" s="109"/>
      <c r="C621" s="109"/>
      <c r="D621" s="109"/>
      <c r="E621" s="109"/>
      <c r="F621" s="109"/>
      <c r="G621" s="109"/>
      <c r="H621" s="109"/>
      <c r="I621" s="109"/>
      <c r="J621" s="109"/>
      <c r="K621" s="109"/>
      <c r="L621" s="109"/>
      <c r="M621" s="109"/>
      <c r="N621" s="109"/>
      <c r="O621" s="109"/>
      <c r="P621" s="109"/>
      <c r="Q621" s="109"/>
      <c r="R621" s="109"/>
      <c r="S621" s="109"/>
      <c r="T621" s="109"/>
      <c r="U621" s="109"/>
      <c r="V621" s="109"/>
      <c r="W621" s="109"/>
      <c r="X621" s="109"/>
      <c r="Y621" s="109"/>
      <c r="Z621" s="109"/>
    </row>
    <row r="622" spans="1:26" ht="11.25" customHeight="1">
      <c r="A622" s="109"/>
      <c r="B622" s="109"/>
      <c r="C622" s="109"/>
      <c r="D622" s="109"/>
      <c r="E622" s="109"/>
      <c r="F622" s="109"/>
      <c r="G622" s="109"/>
      <c r="H622" s="109"/>
      <c r="I622" s="109"/>
      <c r="J622" s="109"/>
      <c r="K622" s="109"/>
      <c r="L622" s="109"/>
      <c r="M622" s="109"/>
      <c r="N622" s="109"/>
      <c r="O622" s="109"/>
      <c r="P622" s="109"/>
      <c r="Q622" s="109"/>
      <c r="R622" s="109"/>
      <c r="S622" s="109"/>
      <c r="T622" s="109"/>
      <c r="U622" s="109"/>
      <c r="V622" s="109"/>
      <c r="W622" s="109"/>
      <c r="X622" s="109"/>
      <c r="Y622" s="109"/>
      <c r="Z622" s="109"/>
    </row>
    <row r="623" spans="1:26" ht="11.25" customHeight="1">
      <c r="A623" s="109"/>
      <c r="B623" s="109"/>
      <c r="C623" s="109"/>
      <c r="D623" s="109"/>
      <c r="E623" s="109"/>
      <c r="F623" s="109"/>
      <c r="G623" s="109"/>
      <c r="H623" s="109"/>
      <c r="I623" s="109"/>
      <c r="J623" s="109"/>
      <c r="K623" s="109"/>
      <c r="L623" s="109"/>
      <c r="M623" s="109"/>
      <c r="N623" s="109"/>
      <c r="O623" s="109"/>
      <c r="P623" s="109"/>
      <c r="Q623" s="109"/>
      <c r="R623" s="109"/>
      <c r="S623" s="109"/>
      <c r="T623" s="109"/>
      <c r="U623" s="109"/>
      <c r="V623" s="109"/>
      <c r="W623" s="109"/>
      <c r="X623" s="109"/>
      <c r="Y623" s="109"/>
      <c r="Z623" s="109"/>
    </row>
    <row r="624" spans="1:26" ht="11.25" customHeight="1">
      <c r="A624" s="109"/>
      <c r="B624" s="109"/>
      <c r="C624" s="109"/>
      <c r="D624" s="109"/>
      <c r="E624" s="109"/>
      <c r="F624" s="109"/>
      <c r="G624" s="109"/>
      <c r="H624" s="109"/>
      <c r="I624" s="109"/>
      <c r="J624" s="109"/>
      <c r="K624" s="109"/>
      <c r="L624" s="109"/>
      <c r="M624" s="109"/>
      <c r="N624" s="109"/>
      <c r="O624" s="109"/>
      <c r="P624" s="109"/>
      <c r="Q624" s="109"/>
      <c r="R624" s="109"/>
      <c r="S624" s="109"/>
      <c r="T624" s="109"/>
      <c r="U624" s="109"/>
      <c r="V624" s="109"/>
      <c r="W624" s="109"/>
      <c r="X624" s="109"/>
      <c r="Y624" s="109"/>
      <c r="Z624" s="109"/>
    </row>
    <row r="625" spans="1:26" ht="11.25" customHeight="1">
      <c r="A625" s="109"/>
      <c r="B625" s="109"/>
      <c r="C625" s="109"/>
      <c r="D625" s="109"/>
      <c r="E625" s="109"/>
      <c r="F625" s="109"/>
      <c r="G625" s="109"/>
      <c r="H625" s="109"/>
      <c r="I625" s="109"/>
      <c r="J625" s="109"/>
      <c r="K625" s="109"/>
      <c r="L625" s="109"/>
      <c r="M625" s="109"/>
      <c r="N625" s="109"/>
      <c r="O625" s="109"/>
      <c r="P625" s="109"/>
      <c r="Q625" s="109"/>
      <c r="R625" s="109"/>
      <c r="S625" s="109"/>
      <c r="T625" s="109"/>
      <c r="U625" s="109"/>
      <c r="V625" s="109"/>
      <c r="W625" s="109"/>
      <c r="X625" s="109"/>
      <c r="Y625" s="109"/>
      <c r="Z625" s="109"/>
    </row>
    <row r="626" spans="1:26" ht="11.25" customHeight="1">
      <c r="A626" s="109"/>
      <c r="B626" s="109"/>
      <c r="C626" s="109"/>
      <c r="D626" s="109"/>
      <c r="E626" s="109"/>
      <c r="F626" s="109"/>
      <c r="G626" s="109"/>
      <c r="H626" s="109"/>
      <c r="I626" s="109"/>
      <c r="J626" s="109"/>
      <c r="K626" s="109"/>
      <c r="L626" s="109"/>
      <c r="M626" s="109"/>
      <c r="N626" s="109"/>
      <c r="O626" s="109"/>
      <c r="P626" s="109"/>
      <c r="Q626" s="109"/>
      <c r="R626" s="109"/>
      <c r="S626" s="109"/>
      <c r="T626" s="109"/>
      <c r="U626" s="109"/>
      <c r="V626" s="109"/>
      <c r="W626" s="109"/>
      <c r="X626" s="109"/>
      <c r="Y626" s="109"/>
      <c r="Z626" s="109"/>
    </row>
    <row r="627" spans="1:26" ht="11.25" customHeight="1">
      <c r="A627" s="109"/>
      <c r="B627" s="109"/>
      <c r="C627" s="109"/>
      <c r="D627" s="109"/>
      <c r="E627" s="109"/>
      <c r="F627" s="109"/>
      <c r="G627" s="109"/>
      <c r="H627" s="109"/>
      <c r="I627" s="109"/>
      <c r="J627" s="109"/>
      <c r="K627" s="109"/>
      <c r="L627" s="109"/>
      <c r="M627" s="109"/>
      <c r="N627" s="109"/>
      <c r="O627" s="109"/>
      <c r="P627" s="109"/>
      <c r="Q627" s="109"/>
      <c r="R627" s="109"/>
      <c r="S627" s="109"/>
      <c r="T627" s="109"/>
      <c r="U627" s="109"/>
      <c r="V627" s="109"/>
      <c r="W627" s="109"/>
      <c r="X627" s="109"/>
      <c r="Y627" s="109"/>
      <c r="Z627" s="109"/>
    </row>
    <row r="628" spans="1:26" ht="11.25" customHeight="1">
      <c r="A628" s="109"/>
      <c r="B628" s="109"/>
      <c r="C628" s="109"/>
      <c r="D628" s="109"/>
      <c r="E628" s="109"/>
      <c r="F628" s="109"/>
      <c r="G628" s="109"/>
      <c r="H628" s="109"/>
      <c r="I628" s="109"/>
      <c r="J628" s="109"/>
      <c r="K628" s="109"/>
      <c r="L628" s="109"/>
      <c r="M628" s="109"/>
      <c r="N628" s="109"/>
      <c r="O628" s="109"/>
      <c r="P628" s="109"/>
      <c r="Q628" s="109"/>
      <c r="R628" s="109"/>
      <c r="S628" s="109"/>
      <c r="T628" s="109"/>
      <c r="U628" s="109"/>
      <c r="V628" s="109"/>
      <c r="W628" s="109"/>
      <c r="X628" s="109"/>
      <c r="Y628" s="109"/>
      <c r="Z628" s="109"/>
    </row>
    <row r="629" spans="1:26" ht="11.25" customHeight="1">
      <c r="A629" s="109"/>
      <c r="B629" s="109"/>
      <c r="C629" s="109"/>
      <c r="D629" s="109"/>
      <c r="E629" s="109"/>
      <c r="F629" s="109"/>
      <c r="G629" s="109"/>
      <c r="H629" s="109"/>
      <c r="I629" s="109"/>
      <c r="J629" s="109"/>
      <c r="K629" s="109"/>
      <c r="L629" s="109"/>
      <c r="M629" s="109"/>
      <c r="N629" s="109"/>
      <c r="O629" s="109"/>
      <c r="P629" s="109"/>
      <c r="Q629" s="109"/>
      <c r="R629" s="109"/>
      <c r="S629" s="109"/>
      <c r="T629" s="109"/>
      <c r="U629" s="109"/>
      <c r="V629" s="109"/>
      <c r="W629" s="109"/>
      <c r="X629" s="109"/>
      <c r="Y629" s="109"/>
      <c r="Z629" s="109"/>
    </row>
    <row r="630" spans="1:26" ht="11.25" customHeight="1">
      <c r="A630" s="109"/>
      <c r="B630" s="109"/>
      <c r="C630" s="109"/>
      <c r="D630" s="109"/>
      <c r="E630" s="109"/>
      <c r="F630" s="109"/>
      <c r="G630" s="109"/>
      <c r="H630" s="109"/>
      <c r="I630" s="109"/>
      <c r="J630" s="109"/>
      <c r="K630" s="109"/>
      <c r="L630" s="109"/>
      <c r="M630" s="109"/>
      <c r="N630" s="109"/>
      <c r="O630" s="109"/>
      <c r="P630" s="109"/>
      <c r="Q630" s="109"/>
      <c r="R630" s="109"/>
      <c r="S630" s="109"/>
      <c r="T630" s="109"/>
      <c r="U630" s="109"/>
      <c r="V630" s="109"/>
      <c r="W630" s="109"/>
      <c r="X630" s="109"/>
      <c r="Y630" s="109"/>
      <c r="Z630" s="109"/>
    </row>
    <row r="631" spans="1:26" ht="11.25" customHeight="1">
      <c r="A631" s="109"/>
      <c r="B631" s="109"/>
      <c r="C631" s="109"/>
      <c r="D631" s="109"/>
      <c r="E631" s="109"/>
      <c r="F631" s="109"/>
      <c r="G631" s="109"/>
      <c r="H631" s="109"/>
      <c r="I631" s="109"/>
      <c r="J631" s="109"/>
      <c r="K631" s="109"/>
      <c r="L631" s="109"/>
      <c r="M631" s="109"/>
      <c r="N631" s="109"/>
      <c r="O631" s="109"/>
      <c r="P631" s="109"/>
      <c r="Q631" s="109"/>
      <c r="R631" s="109"/>
      <c r="S631" s="109"/>
      <c r="T631" s="109"/>
      <c r="U631" s="109"/>
      <c r="V631" s="109"/>
      <c r="W631" s="109"/>
      <c r="X631" s="109"/>
      <c r="Y631" s="109"/>
      <c r="Z631" s="109"/>
    </row>
    <row r="632" spans="1:26" ht="11.25" customHeight="1">
      <c r="A632" s="109"/>
      <c r="B632" s="109"/>
      <c r="C632" s="109"/>
      <c r="D632" s="109"/>
      <c r="E632" s="109"/>
      <c r="F632" s="109"/>
      <c r="G632" s="109"/>
      <c r="H632" s="109"/>
      <c r="I632" s="109"/>
      <c r="J632" s="109"/>
      <c r="K632" s="109"/>
      <c r="L632" s="109"/>
      <c r="M632" s="109"/>
      <c r="N632" s="109"/>
      <c r="O632" s="109"/>
      <c r="P632" s="109"/>
      <c r="Q632" s="109"/>
      <c r="R632" s="109"/>
      <c r="S632" s="109"/>
      <c r="T632" s="109"/>
      <c r="U632" s="109"/>
      <c r="V632" s="109"/>
      <c r="W632" s="109"/>
      <c r="X632" s="109"/>
      <c r="Y632" s="109"/>
      <c r="Z632" s="109"/>
    </row>
    <row r="633" spans="1:26" ht="11.25" customHeight="1">
      <c r="A633" s="109"/>
      <c r="B633" s="109"/>
      <c r="C633" s="109"/>
      <c r="D633" s="109"/>
      <c r="E633" s="109"/>
      <c r="F633" s="109"/>
      <c r="G633" s="109"/>
      <c r="H633" s="109"/>
      <c r="I633" s="109"/>
      <c r="J633" s="109"/>
      <c r="K633" s="109"/>
      <c r="L633" s="109"/>
      <c r="M633" s="109"/>
      <c r="N633" s="109"/>
      <c r="O633" s="109"/>
      <c r="P633" s="109"/>
      <c r="Q633" s="109"/>
      <c r="R633" s="109"/>
      <c r="S633" s="109"/>
      <c r="T633" s="109"/>
      <c r="U633" s="109"/>
      <c r="V633" s="109"/>
      <c r="W633" s="109"/>
      <c r="X633" s="109"/>
      <c r="Y633" s="109"/>
      <c r="Z633" s="109"/>
    </row>
    <row r="634" spans="1:26" ht="11.25" customHeight="1">
      <c r="A634" s="109"/>
      <c r="B634" s="109"/>
      <c r="C634" s="109"/>
      <c r="D634" s="109"/>
      <c r="E634" s="109"/>
      <c r="F634" s="109"/>
      <c r="G634" s="109"/>
      <c r="H634" s="109"/>
      <c r="I634" s="109"/>
      <c r="J634" s="109"/>
      <c r="K634" s="109"/>
      <c r="L634" s="109"/>
      <c r="M634" s="109"/>
      <c r="N634" s="109"/>
      <c r="O634" s="109"/>
      <c r="P634" s="109"/>
      <c r="Q634" s="109"/>
      <c r="R634" s="109"/>
      <c r="S634" s="109"/>
      <c r="T634" s="109"/>
      <c r="U634" s="109"/>
      <c r="V634" s="109"/>
      <c r="W634" s="109"/>
      <c r="X634" s="109"/>
      <c r="Y634" s="109"/>
      <c r="Z634" s="109"/>
    </row>
    <row r="635" spans="1:26" ht="11.25" customHeight="1">
      <c r="A635" s="109"/>
      <c r="B635" s="109"/>
      <c r="C635" s="109"/>
      <c r="D635" s="109"/>
      <c r="E635" s="109"/>
      <c r="F635" s="109"/>
      <c r="G635" s="109"/>
      <c r="H635" s="109"/>
      <c r="I635" s="109"/>
      <c r="J635" s="109"/>
      <c r="K635" s="109"/>
      <c r="L635" s="109"/>
      <c r="M635" s="109"/>
      <c r="N635" s="109"/>
      <c r="O635" s="109"/>
      <c r="P635" s="109"/>
      <c r="Q635" s="109"/>
      <c r="R635" s="109"/>
      <c r="S635" s="109"/>
      <c r="T635" s="109"/>
      <c r="U635" s="109"/>
      <c r="V635" s="109"/>
      <c r="W635" s="109"/>
      <c r="X635" s="109"/>
      <c r="Y635" s="109"/>
      <c r="Z635" s="109"/>
    </row>
    <row r="636" spans="1:26" ht="11.25" customHeight="1">
      <c r="A636" s="109"/>
      <c r="B636" s="109"/>
      <c r="C636" s="109"/>
      <c r="D636" s="109"/>
      <c r="E636" s="109"/>
      <c r="F636" s="109"/>
      <c r="G636" s="109"/>
      <c r="H636" s="109"/>
      <c r="I636" s="109"/>
      <c r="J636" s="109"/>
      <c r="K636" s="109"/>
      <c r="L636" s="109"/>
      <c r="M636" s="109"/>
      <c r="N636" s="109"/>
      <c r="O636" s="109"/>
      <c r="P636" s="109"/>
      <c r="Q636" s="109"/>
      <c r="R636" s="109"/>
      <c r="S636" s="109"/>
      <c r="T636" s="109"/>
      <c r="U636" s="109"/>
      <c r="V636" s="109"/>
      <c r="W636" s="109"/>
      <c r="X636" s="109"/>
      <c r="Y636" s="109"/>
      <c r="Z636" s="109"/>
    </row>
    <row r="637" spans="1:26" ht="11.25" customHeight="1">
      <c r="A637" s="109"/>
      <c r="B637" s="109"/>
      <c r="C637" s="109"/>
      <c r="D637" s="109"/>
      <c r="E637" s="109"/>
      <c r="F637" s="109"/>
      <c r="G637" s="109"/>
      <c r="H637" s="109"/>
      <c r="I637" s="109"/>
      <c r="J637" s="109"/>
      <c r="K637" s="109"/>
      <c r="L637" s="109"/>
      <c r="M637" s="109"/>
      <c r="N637" s="109"/>
      <c r="O637" s="109"/>
      <c r="P637" s="109"/>
      <c r="Q637" s="109"/>
      <c r="R637" s="109"/>
      <c r="S637" s="109"/>
      <c r="T637" s="109"/>
      <c r="U637" s="109"/>
      <c r="V637" s="109"/>
      <c r="W637" s="109"/>
      <c r="X637" s="109"/>
      <c r="Y637" s="109"/>
      <c r="Z637" s="109"/>
    </row>
    <row r="638" spans="1:26" ht="11.25" customHeight="1">
      <c r="A638" s="109"/>
      <c r="B638" s="109"/>
      <c r="C638" s="109"/>
      <c r="D638" s="109"/>
      <c r="E638" s="109"/>
      <c r="F638" s="109"/>
      <c r="G638" s="109"/>
      <c r="H638" s="109"/>
      <c r="I638" s="109"/>
      <c r="J638" s="109"/>
      <c r="K638" s="109"/>
      <c r="L638" s="109"/>
      <c r="M638" s="109"/>
      <c r="N638" s="109"/>
      <c r="O638" s="109"/>
      <c r="P638" s="109"/>
      <c r="Q638" s="109"/>
      <c r="R638" s="109"/>
      <c r="S638" s="109"/>
      <c r="T638" s="109"/>
      <c r="U638" s="109"/>
      <c r="V638" s="109"/>
      <c r="W638" s="109"/>
      <c r="X638" s="109"/>
      <c r="Y638" s="109"/>
      <c r="Z638" s="109"/>
    </row>
    <row r="639" spans="1:26" ht="11.25" customHeight="1">
      <c r="A639" s="109"/>
      <c r="B639" s="109"/>
      <c r="C639" s="109"/>
      <c r="D639" s="109"/>
      <c r="E639" s="109"/>
      <c r="F639" s="109"/>
      <c r="G639" s="109"/>
      <c r="H639" s="109"/>
      <c r="I639" s="109"/>
      <c r="J639" s="109"/>
      <c r="K639" s="109"/>
      <c r="L639" s="109"/>
      <c r="M639" s="109"/>
      <c r="N639" s="109"/>
      <c r="O639" s="109"/>
      <c r="P639" s="109"/>
      <c r="Q639" s="109"/>
      <c r="R639" s="109"/>
      <c r="S639" s="109"/>
      <c r="T639" s="109"/>
      <c r="U639" s="109"/>
      <c r="V639" s="109"/>
      <c r="W639" s="109"/>
      <c r="X639" s="109"/>
      <c r="Y639" s="109"/>
      <c r="Z639" s="109"/>
    </row>
    <row r="640" spans="1:26" ht="11.25" customHeight="1">
      <c r="A640" s="109"/>
      <c r="B640" s="109"/>
      <c r="C640" s="109"/>
      <c r="D640" s="109"/>
      <c r="E640" s="109"/>
      <c r="F640" s="109"/>
      <c r="G640" s="109"/>
      <c r="H640" s="109"/>
      <c r="I640" s="109"/>
      <c r="J640" s="109"/>
      <c r="K640" s="109"/>
      <c r="L640" s="109"/>
      <c r="M640" s="109"/>
      <c r="N640" s="109"/>
      <c r="O640" s="109"/>
      <c r="P640" s="109"/>
      <c r="Q640" s="109"/>
      <c r="R640" s="109"/>
      <c r="S640" s="109"/>
      <c r="T640" s="109"/>
      <c r="U640" s="109"/>
      <c r="V640" s="109"/>
      <c r="W640" s="109"/>
      <c r="X640" s="109"/>
      <c r="Y640" s="109"/>
      <c r="Z640" s="109"/>
    </row>
    <row r="641" spans="1:26" ht="11.25" customHeight="1">
      <c r="A641" s="109"/>
      <c r="B641" s="109"/>
      <c r="C641" s="109"/>
      <c r="D641" s="109"/>
      <c r="E641" s="109"/>
      <c r="F641" s="109"/>
      <c r="G641" s="109"/>
      <c r="H641" s="109"/>
      <c r="I641" s="109"/>
      <c r="J641" s="109"/>
      <c r="K641" s="109"/>
      <c r="L641" s="109"/>
      <c r="M641" s="109"/>
      <c r="N641" s="109"/>
      <c r="O641" s="109"/>
      <c r="P641" s="109"/>
      <c r="Q641" s="109"/>
      <c r="R641" s="109"/>
      <c r="S641" s="109"/>
      <c r="T641" s="109"/>
      <c r="U641" s="109"/>
      <c r="V641" s="109"/>
      <c r="W641" s="109"/>
      <c r="X641" s="109"/>
      <c r="Y641" s="109"/>
      <c r="Z641" s="109"/>
    </row>
    <row r="642" spans="1:26" ht="11.25" customHeight="1">
      <c r="A642" s="109"/>
      <c r="B642" s="109"/>
      <c r="C642" s="109"/>
      <c r="D642" s="109"/>
      <c r="E642" s="109"/>
      <c r="F642" s="109"/>
      <c r="G642" s="109"/>
      <c r="H642" s="109"/>
      <c r="I642" s="109"/>
      <c r="J642" s="109"/>
      <c r="K642" s="109"/>
      <c r="L642" s="109"/>
      <c r="M642" s="109"/>
      <c r="N642" s="109"/>
      <c r="O642" s="109"/>
      <c r="P642" s="109"/>
      <c r="Q642" s="109"/>
      <c r="R642" s="109"/>
      <c r="S642" s="109"/>
      <c r="T642" s="109"/>
      <c r="U642" s="109"/>
      <c r="V642" s="109"/>
      <c r="W642" s="109"/>
      <c r="X642" s="109"/>
      <c r="Y642" s="109"/>
      <c r="Z642" s="109"/>
    </row>
    <row r="643" spans="1:26" ht="11.25" customHeight="1">
      <c r="A643" s="109"/>
      <c r="B643" s="109"/>
      <c r="C643" s="109"/>
      <c r="D643" s="109"/>
      <c r="E643" s="109"/>
      <c r="F643" s="109"/>
      <c r="G643" s="109"/>
      <c r="H643" s="109"/>
      <c r="I643" s="109"/>
      <c r="J643" s="109"/>
      <c r="K643" s="109"/>
      <c r="L643" s="109"/>
      <c r="M643" s="109"/>
      <c r="N643" s="109"/>
      <c r="O643" s="109"/>
      <c r="P643" s="109"/>
      <c r="Q643" s="109"/>
      <c r="R643" s="109"/>
      <c r="S643" s="109"/>
      <c r="T643" s="109"/>
      <c r="U643" s="109"/>
      <c r="V643" s="109"/>
      <c r="W643" s="109"/>
      <c r="X643" s="109"/>
      <c r="Y643" s="109"/>
      <c r="Z643" s="109"/>
    </row>
    <row r="644" spans="1:26" ht="11.25" customHeight="1">
      <c r="A644" s="109"/>
      <c r="B644" s="109"/>
      <c r="C644" s="109"/>
      <c r="D644" s="109"/>
      <c r="E644" s="109"/>
      <c r="F644" s="109"/>
      <c r="G644" s="109"/>
      <c r="H644" s="109"/>
      <c r="I644" s="109"/>
      <c r="J644" s="109"/>
      <c r="K644" s="109"/>
      <c r="L644" s="109"/>
      <c r="M644" s="109"/>
      <c r="N644" s="109"/>
      <c r="O644" s="109"/>
      <c r="P644" s="109"/>
      <c r="Q644" s="109"/>
      <c r="R644" s="109"/>
      <c r="S644" s="109"/>
      <c r="T644" s="109"/>
      <c r="U644" s="109"/>
      <c r="V644" s="109"/>
      <c r="W644" s="109"/>
      <c r="X644" s="109"/>
      <c r="Y644" s="109"/>
      <c r="Z644" s="109"/>
    </row>
    <row r="645" spans="1:26" ht="11.25" customHeight="1">
      <c r="A645" s="109"/>
      <c r="B645" s="109"/>
      <c r="C645" s="109"/>
      <c r="D645" s="109"/>
      <c r="E645" s="109"/>
      <c r="F645" s="109"/>
      <c r="G645" s="109"/>
      <c r="H645" s="109"/>
      <c r="I645" s="109"/>
      <c r="J645" s="109"/>
      <c r="K645" s="109"/>
      <c r="L645" s="109"/>
      <c r="M645" s="109"/>
      <c r="N645" s="109"/>
      <c r="O645" s="109"/>
      <c r="P645" s="109"/>
      <c r="Q645" s="109"/>
      <c r="R645" s="109"/>
      <c r="S645" s="109"/>
      <c r="T645" s="109"/>
      <c r="U645" s="109"/>
      <c r="V645" s="109"/>
      <c r="W645" s="109"/>
      <c r="X645" s="109"/>
      <c r="Y645" s="109"/>
      <c r="Z645" s="109"/>
    </row>
    <row r="646" spans="1:26" ht="11.25" customHeight="1">
      <c r="A646" s="109"/>
      <c r="B646" s="109"/>
      <c r="C646" s="109"/>
      <c r="D646" s="109"/>
      <c r="E646" s="109"/>
      <c r="F646" s="109"/>
      <c r="G646" s="109"/>
      <c r="H646" s="109"/>
      <c r="I646" s="109"/>
      <c r="J646" s="109"/>
      <c r="K646" s="109"/>
      <c r="L646" s="109"/>
      <c r="M646" s="109"/>
      <c r="N646" s="109"/>
      <c r="O646" s="109"/>
      <c r="P646" s="109"/>
      <c r="Q646" s="109"/>
      <c r="R646" s="109"/>
      <c r="S646" s="109"/>
      <c r="T646" s="109"/>
      <c r="U646" s="109"/>
      <c r="V646" s="109"/>
      <c r="W646" s="109"/>
      <c r="X646" s="109"/>
      <c r="Y646" s="109"/>
      <c r="Z646" s="109"/>
    </row>
    <row r="647" spans="1:26" ht="11.25" customHeight="1">
      <c r="A647" s="109"/>
      <c r="B647" s="109"/>
      <c r="C647" s="109"/>
      <c r="D647" s="109"/>
      <c r="E647" s="109"/>
      <c r="F647" s="109"/>
      <c r="G647" s="109"/>
      <c r="H647" s="109"/>
      <c r="I647" s="109"/>
      <c r="J647" s="109"/>
      <c r="K647" s="109"/>
      <c r="L647" s="109"/>
      <c r="M647" s="109"/>
      <c r="N647" s="109"/>
      <c r="O647" s="109"/>
      <c r="P647" s="109"/>
      <c r="Q647" s="109"/>
      <c r="R647" s="109"/>
      <c r="S647" s="109"/>
      <c r="T647" s="109"/>
      <c r="U647" s="109"/>
      <c r="V647" s="109"/>
      <c r="W647" s="109"/>
      <c r="X647" s="109"/>
      <c r="Y647" s="109"/>
      <c r="Z647" s="109"/>
    </row>
    <row r="648" spans="1:26" ht="11.25" customHeight="1">
      <c r="A648" s="109"/>
      <c r="B648" s="109"/>
      <c r="C648" s="109"/>
      <c r="D648" s="109"/>
      <c r="E648" s="109"/>
      <c r="F648" s="109"/>
      <c r="G648" s="109"/>
      <c r="H648" s="109"/>
      <c r="I648" s="109"/>
      <c r="J648" s="109"/>
      <c r="K648" s="109"/>
      <c r="L648" s="109"/>
      <c r="M648" s="109"/>
      <c r="N648" s="109"/>
      <c r="O648" s="109"/>
      <c r="P648" s="109"/>
      <c r="Q648" s="109"/>
      <c r="R648" s="109"/>
      <c r="S648" s="109"/>
      <c r="T648" s="109"/>
      <c r="U648" s="109"/>
      <c r="V648" s="109"/>
      <c r="W648" s="109"/>
      <c r="X648" s="109"/>
      <c r="Y648" s="109"/>
      <c r="Z648" s="109"/>
    </row>
    <row r="649" spans="1:26" ht="11.25" customHeight="1">
      <c r="A649" s="109"/>
      <c r="B649" s="109"/>
      <c r="C649" s="109"/>
      <c r="D649" s="109"/>
      <c r="E649" s="109"/>
      <c r="F649" s="109"/>
      <c r="G649" s="109"/>
      <c r="H649" s="109"/>
      <c r="I649" s="109"/>
      <c r="J649" s="109"/>
      <c r="K649" s="109"/>
      <c r="L649" s="109"/>
      <c r="M649" s="109"/>
      <c r="N649" s="109"/>
      <c r="O649" s="109"/>
      <c r="P649" s="109"/>
      <c r="Q649" s="109"/>
      <c r="R649" s="109"/>
      <c r="S649" s="109"/>
      <c r="T649" s="109"/>
      <c r="U649" s="109"/>
      <c r="V649" s="109"/>
      <c r="W649" s="109"/>
      <c r="X649" s="109"/>
      <c r="Y649" s="109"/>
      <c r="Z649" s="109"/>
    </row>
    <row r="650" spans="1:26" ht="11.25" customHeight="1">
      <c r="A650" s="109"/>
      <c r="B650" s="109"/>
      <c r="C650" s="109"/>
      <c r="D650" s="109"/>
      <c r="E650" s="109"/>
      <c r="F650" s="109"/>
      <c r="G650" s="109"/>
      <c r="H650" s="109"/>
      <c r="I650" s="109"/>
      <c r="J650" s="109"/>
      <c r="K650" s="109"/>
      <c r="L650" s="109"/>
      <c r="M650" s="109"/>
      <c r="N650" s="109"/>
      <c r="O650" s="109"/>
      <c r="P650" s="109"/>
      <c r="Q650" s="109"/>
      <c r="R650" s="109"/>
      <c r="S650" s="109"/>
      <c r="T650" s="109"/>
      <c r="U650" s="109"/>
      <c r="V650" s="109"/>
      <c r="W650" s="109"/>
      <c r="X650" s="109"/>
      <c r="Y650" s="109"/>
      <c r="Z650" s="109"/>
    </row>
    <row r="651" spans="1:26" ht="11.25" customHeight="1">
      <c r="A651" s="109"/>
      <c r="B651" s="109"/>
      <c r="C651" s="109"/>
      <c r="D651" s="109"/>
      <c r="E651" s="109"/>
      <c r="F651" s="109"/>
      <c r="G651" s="109"/>
      <c r="H651" s="109"/>
      <c r="I651" s="109"/>
      <c r="J651" s="109"/>
      <c r="K651" s="109"/>
      <c r="L651" s="109"/>
      <c r="M651" s="109"/>
      <c r="N651" s="109"/>
      <c r="O651" s="109"/>
      <c r="P651" s="109"/>
      <c r="Q651" s="109"/>
      <c r="R651" s="109"/>
      <c r="S651" s="109"/>
      <c r="T651" s="109"/>
      <c r="U651" s="109"/>
      <c r="V651" s="109"/>
      <c r="W651" s="109"/>
      <c r="X651" s="109"/>
      <c r="Y651" s="109"/>
      <c r="Z651" s="109"/>
    </row>
    <row r="652" spans="1:26" ht="11.25" customHeight="1">
      <c r="A652" s="109"/>
      <c r="B652" s="109"/>
      <c r="C652" s="109"/>
      <c r="D652" s="109"/>
      <c r="E652" s="109"/>
      <c r="F652" s="109"/>
      <c r="G652" s="109"/>
      <c r="H652" s="109"/>
      <c r="I652" s="109"/>
      <c r="J652" s="109"/>
      <c r="K652" s="109"/>
      <c r="L652" s="109"/>
      <c r="M652" s="109"/>
      <c r="N652" s="109"/>
      <c r="O652" s="109"/>
      <c r="P652" s="109"/>
      <c r="Q652" s="109"/>
      <c r="R652" s="109"/>
      <c r="S652" s="109"/>
      <c r="T652" s="109"/>
      <c r="U652" s="109"/>
      <c r="V652" s="109"/>
      <c r="W652" s="109"/>
      <c r="X652" s="109"/>
      <c r="Y652" s="109"/>
      <c r="Z652" s="109"/>
    </row>
    <row r="653" spans="1:26" ht="11.25" customHeight="1">
      <c r="A653" s="109"/>
      <c r="B653" s="109"/>
      <c r="C653" s="109"/>
      <c r="D653" s="109"/>
      <c r="E653" s="109"/>
      <c r="F653" s="109"/>
      <c r="G653" s="109"/>
      <c r="H653" s="109"/>
      <c r="I653" s="109"/>
      <c r="J653" s="109"/>
      <c r="K653" s="109"/>
      <c r="L653" s="109"/>
      <c r="M653" s="109"/>
      <c r="N653" s="109"/>
      <c r="O653" s="109"/>
      <c r="P653" s="109"/>
      <c r="Q653" s="109"/>
      <c r="R653" s="109"/>
      <c r="S653" s="109"/>
      <c r="T653" s="109"/>
      <c r="U653" s="109"/>
      <c r="V653" s="109"/>
      <c r="W653" s="109"/>
      <c r="X653" s="109"/>
      <c r="Y653" s="109"/>
      <c r="Z653" s="109"/>
    </row>
    <row r="654" spans="1:26" ht="11.25" customHeight="1">
      <c r="A654" s="109"/>
      <c r="B654" s="109"/>
      <c r="C654" s="109"/>
      <c r="D654" s="109"/>
      <c r="E654" s="109"/>
      <c r="F654" s="109"/>
      <c r="G654" s="109"/>
      <c r="H654" s="109"/>
      <c r="I654" s="109"/>
      <c r="J654" s="109"/>
      <c r="K654" s="109"/>
      <c r="L654" s="109"/>
      <c r="M654" s="109"/>
      <c r="N654" s="109"/>
      <c r="O654" s="109"/>
      <c r="P654" s="109"/>
      <c r="Q654" s="109"/>
      <c r="R654" s="109"/>
      <c r="S654" s="109"/>
      <c r="T654" s="109"/>
      <c r="U654" s="109"/>
      <c r="V654" s="109"/>
      <c r="W654" s="109"/>
      <c r="X654" s="109"/>
      <c r="Y654" s="109"/>
      <c r="Z654" s="109"/>
    </row>
    <row r="655" spans="1:26" ht="11.25" customHeight="1">
      <c r="A655" s="109"/>
      <c r="B655" s="109"/>
      <c r="C655" s="109"/>
      <c r="D655" s="109"/>
      <c r="E655" s="109"/>
      <c r="F655" s="109"/>
      <c r="G655" s="109"/>
      <c r="H655" s="109"/>
      <c r="I655" s="109"/>
      <c r="J655" s="109"/>
      <c r="K655" s="109"/>
      <c r="L655" s="109"/>
      <c r="M655" s="109"/>
      <c r="N655" s="109"/>
      <c r="O655" s="109"/>
      <c r="P655" s="109"/>
      <c r="Q655" s="109"/>
      <c r="R655" s="109"/>
      <c r="S655" s="109"/>
      <c r="T655" s="109"/>
      <c r="U655" s="109"/>
      <c r="V655" s="109"/>
      <c r="W655" s="109"/>
      <c r="X655" s="109"/>
      <c r="Y655" s="109"/>
      <c r="Z655" s="109"/>
    </row>
    <row r="656" spans="1:26" ht="11.25" customHeight="1">
      <c r="A656" s="109"/>
      <c r="B656" s="109"/>
      <c r="C656" s="109"/>
      <c r="D656" s="109"/>
      <c r="E656" s="109"/>
      <c r="F656" s="109"/>
      <c r="G656" s="109"/>
      <c r="H656" s="109"/>
      <c r="I656" s="109"/>
      <c r="J656" s="109"/>
      <c r="K656" s="109"/>
      <c r="L656" s="109"/>
      <c r="M656" s="109"/>
      <c r="N656" s="109"/>
      <c r="O656" s="109"/>
      <c r="P656" s="109"/>
      <c r="Q656" s="109"/>
      <c r="R656" s="109"/>
      <c r="S656" s="109"/>
      <c r="T656" s="109"/>
      <c r="U656" s="109"/>
      <c r="V656" s="109"/>
      <c r="W656" s="109"/>
      <c r="X656" s="109"/>
      <c r="Y656" s="109"/>
      <c r="Z656" s="109"/>
    </row>
    <row r="657" spans="1:26" ht="11.25" customHeight="1">
      <c r="A657" s="109"/>
      <c r="B657" s="109"/>
      <c r="C657" s="109"/>
      <c r="D657" s="109"/>
      <c r="E657" s="109"/>
      <c r="F657" s="109"/>
      <c r="G657" s="109"/>
      <c r="H657" s="109"/>
      <c r="I657" s="109"/>
      <c r="J657" s="109"/>
      <c r="K657" s="109"/>
      <c r="L657" s="109"/>
      <c r="M657" s="109"/>
      <c r="N657" s="109"/>
      <c r="O657" s="109"/>
      <c r="P657" s="109"/>
      <c r="Q657" s="109"/>
      <c r="R657" s="109"/>
      <c r="S657" s="109"/>
      <c r="T657" s="109"/>
      <c r="U657" s="109"/>
      <c r="V657" s="109"/>
      <c r="W657" s="109"/>
      <c r="X657" s="109"/>
      <c r="Y657" s="109"/>
      <c r="Z657" s="109"/>
    </row>
    <row r="658" spans="1:26" ht="11.25" customHeight="1">
      <c r="A658" s="109"/>
      <c r="B658" s="109"/>
      <c r="C658" s="109"/>
      <c r="D658" s="109"/>
      <c r="E658" s="109"/>
      <c r="F658" s="109"/>
      <c r="G658" s="109"/>
      <c r="H658" s="109"/>
      <c r="I658" s="109"/>
      <c r="J658" s="109"/>
      <c r="K658" s="109"/>
      <c r="L658" s="109"/>
      <c r="M658" s="109"/>
      <c r="N658" s="109"/>
      <c r="O658" s="109"/>
      <c r="P658" s="109"/>
      <c r="Q658" s="109"/>
      <c r="R658" s="109"/>
      <c r="S658" s="109"/>
      <c r="T658" s="109"/>
      <c r="U658" s="109"/>
      <c r="V658" s="109"/>
      <c r="W658" s="109"/>
      <c r="X658" s="109"/>
      <c r="Y658" s="109"/>
      <c r="Z658" s="109"/>
    </row>
    <row r="659" spans="1:26" ht="11.25" customHeight="1">
      <c r="A659" s="109"/>
      <c r="B659" s="109"/>
      <c r="C659" s="109"/>
      <c r="D659" s="109"/>
      <c r="E659" s="109"/>
      <c r="F659" s="109"/>
      <c r="G659" s="109"/>
      <c r="H659" s="109"/>
      <c r="I659" s="109"/>
      <c r="J659" s="109"/>
      <c r="K659" s="109"/>
      <c r="L659" s="109"/>
      <c r="M659" s="109"/>
      <c r="N659" s="109"/>
      <c r="O659" s="109"/>
      <c r="P659" s="109"/>
      <c r="Q659" s="109"/>
      <c r="R659" s="109"/>
      <c r="S659" s="109"/>
      <c r="T659" s="109"/>
      <c r="U659" s="109"/>
      <c r="V659" s="109"/>
      <c r="W659" s="109"/>
      <c r="X659" s="109"/>
      <c r="Y659" s="109"/>
      <c r="Z659" s="109"/>
    </row>
    <row r="660" spans="1:26" ht="11.25" customHeight="1">
      <c r="A660" s="109"/>
      <c r="B660" s="109"/>
      <c r="C660" s="109"/>
      <c r="D660" s="109"/>
      <c r="E660" s="109"/>
      <c r="F660" s="109"/>
      <c r="G660" s="109"/>
      <c r="H660" s="109"/>
      <c r="I660" s="109"/>
      <c r="J660" s="109"/>
      <c r="K660" s="109"/>
      <c r="L660" s="109"/>
      <c r="M660" s="109"/>
      <c r="N660" s="109"/>
      <c r="O660" s="109"/>
      <c r="P660" s="109"/>
      <c r="Q660" s="109"/>
      <c r="R660" s="109"/>
      <c r="S660" s="109"/>
      <c r="T660" s="109"/>
      <c r="U660" s="109"/>
      <c r="V660" s="109"/>
      <c r="W660" s="109"/>
      <c r="X660" s="109"/>
      <c r="Y660" s="109"/>
      <c r="Z660" s="109"/>
    </row>
    <row r="661" spans="1:26" ht="11.25" customHeight="1">
      <c r="A661" s="109"/>
      <c r="B661" s="109"/>
      <c r="C661" s="109"/>
      <c r="D661" s="109"/>
      <c r="E661" s="109"/>
      <c r="F661" s="109"/>
      <c r="G661" s="109"/>
      <c r="H661" s="109"/>
      <c r="I661" s="109"/>
      <c r="J661" s="109"/>
      <c r="K661" s="109"/>
      <c r="L661" s="109"/>
      <c r="M661" s="109"/>
      <c r="N661" s="109"/>
      <c r="O661" s="109"/>
      <c r="P661" s="109"/>
      <c r="Q661" s="109"/>
      <c r="R661" s="109"/>
      <c r="S661" s="109"/>
      <c r="T661" s="109"/>
      <c r="U661" s="109"/>
      <c r="V661" s="109"/>
      <c r="W661" s="109"/>
      <c r="X661" s="109"/>
      <c r="Y661" s="109"/>
      <c r="Z661" s="109"/>
    </row>
    <row r="662" spans="1:26" ht="11.25" customHeight="1">
      <c r="A662" s="109"/>
      <c r="B662" s="109"/>
      <c r="C662" s="109"/>
      <c r="D662" s="109"/>
      <c r="E662" s="109"/>
      <c r="F662" s="109"/>
      <c r="G662" s="109"/>
      <c r="H662" s="109"/>
      <c r="I662" s="109"/>
      <c r="J662" s="109"/>
      <c r="K662" s="109"/>
      <c r="L662" s="109"/>
      <c r="M662" s="109"/>
      <c r="N662" s="109"/>
      <c r="O662" s="109"/>
      <c r="P662" s="109"/>
      <c r="Q662" s="109"/>
      <c r="R662" s="109"/>
      <c r="S662" s="109"/>
      <c r="T662" s="109"/>
      <c r="U662" s="109"/>
      <c r="V662" s="109"/>
      <c r="W662" s="109"/>
      <c r="X662" s="109"/>
      <c r="Y662" s="109"/>
      <c r="Z662" s="109"/>
    </row>
    <row r="663" spans="1:26" ht="11.25" customHeight="1">
      <c r="A663" s="109"/>
      <c r="B663" s="109"/>
      <c r="C663" s="109"/>
      <c r="D663" s="109"/>
      <c r="E663" s="109"/>
      <c r="F663" s="109"/>
      <c r="G663" s="109"/>
      <c r="H663" s="109"/>
      <c r="I663" s="109"/>
      <c r="J663" s="109"/>
      <c r="K663" s="109"/>
      <c r="L663" s="109"/>
      <c r="M663" s="109"/>
      <c r="N663" s="109"/>
      <c r="O663" s="109"/>
      <c r="P663" s="109"/>
      <c r="Q663" s="109"/>
      <c r="R663" s="109"/>
      <c r="S663" s="109"/>
      <c r="T663" s="109"/>
      <c r="U663" s="109"/>
      <c r="V663" s="109"/>
      <c r="W663" s="109"/>
      <c r="X663" s="109"/>
      <c r="Y663" s="109"/>
      <c r="Z663" s="109"/>
    </row>
    <row r="664" spans="1:26" ht="11.25" customHeight="1">
      <c r="A664" s="109"/>
      <c r="B664" s="109"/>
      <c r="C664" s="109"/>
      <c r="D664" s="109"/>
      <c r="E664" s="109"/>
      <c r="F664" s="109"/>
      <c r="G664" s="109"/>
      <c r="H664" s="109"/>
      <c r="I664" s="109"/>
      <c r="J664" s="109"/>
      <c r="K664" s="109"/>
      <c r="L664" s="109"/>
      <c r="M664" s="109"/>
      <c r="N664" s="109"/>
      <c r="O664" s="109"/>
      <c r="P664" s="109"/>
      <c r="Q664" s="109"/>
      <c r="R664" s="109"/>
      <c r="S664" s="109"/>
      <c r="T664" s="109"/>
      <c r="U664" s="109"/>
      <c r="V664" s="109"/>
      <c r="W664" s="109"/>
      <c r="X664" s="109"/>
      <c r="Y664" s="109"/>
      <c r="Z664" s="109"/>
    </row>
    <row r="665" spans="1:26" ht="11.25" customHeight="1">
      <c r="A665" s="109"/>
      <c r="B665" s="109"/>
      <c r="C665" s="109"/>
      <c r="D665" s="109"/>
      <c r="E665" s="109"/>
      <c r="F665" s="109"/>
      <c r="G665" s="109"/>
      <c r="H665" s="109"/>
      <c r="I665" s="109"/>
      <c r="J665" s="109"/>
      <c r="K665" s="109"/>
      <c r="L665" s="109"/>
      <c r="M665" s="109"/>
      <c r="N665" s="109"/>
      <c r="O665" s="109"/>
      <c r="P665" s="109"/>
      <c r="Q665" s="109"/>
      <c r="R665" s="109"/>
      <c r="S665" s="109"/>
      <c r="T665" s="109"/>
      <c r="U665" s="109"/>
      <c r="V665" s="109"/>
      <c r="W665" s="109"/>
      <c r="X665" s="109"/>
      <c r="Y665" s="109"/>
      <c r="Z665" s="109"/>
    </row>
    <row r="666" spans="1:26" ht="11.25" customHeight="1">
      <c r="A666" s="109"/>
      <c r="B666" s="109"/>
      <c r="C666" s="109"/>
      <c r="D666" s="109"/>
      <c r="E666" s="109"/>
      <c r="F666" s="109"/>
      <c r="G666" s="109"/>
      <c r="H666" s="109"/>
      <c r="I666" s="109"/>
      <c r="J666" s="109"/>
      <c r="K666" s="109"/>
      <c r="L666" s="109"/>
      <c r="M666" s="109"/>
      <c r="N666" s="109"/>
      <c r="O666" s="109"/>
      <c r="P666" s="109"/>
      <c r="Q666" s="109"/>
      <c r="R666" s="109"/>
      <c r="S666" s="109"/>
      <c r="T666" s="109"/>
      <c r="U666" s="109"/>
      <c r="V666" s="109"/>
      <c r="W666" s="109"/>
      <c r="X666" s="109"/>
      <c r="Y666" s="109"/>
      <c r="Z666" s="109"/>
    </row>
    <row r="667" spans="1:26" ht="11.25" customHeight="1">
      <c r="A667" s="109"/>
      <c r="B667" s="109"/>
      <c r="C667" s="109"/>
      <c r="D667" s="109"/>
      <c r="E667" s="109"/>
      <c r="F667" s="109"/>
      <c r="G667" s="109"/>
      <c r="H667" s="109"/>
      <c r="I667" s="109"/>
      <c r="J667" s="109"/>
      <c r="K667" s="109"/>
      <c r="L667" s="109"/>
      <c r="M667" s="109"/>
      <c r="N667" s="109"/>
      <c r="O667" s="109"/>
      <c r="P667" s="109"/>
      <c r="Q667" s="109"/>
      <c r="R667" s="109"/>
      <c r="S667" s="109"/>
      <c r="T667" s="109"/>
      <c r="U667" s="109"/>
      <c r="V667" s="109"/>
      <c r="W667" s="109"/>
      <c r="X667" s="109"/>
      <c r="Y667" s="109"/>
      <c r="Z667" s="109"/>
    </row>
    <row r="668" spans="1:26" ht="11.25" customHeight="1">
      <c r="A668" s="109"/>
      <c r="B668" s="109"/>
      <c r="C668" s="109"/>
      <c r="D668" s="109"/>
      <c r="E668" s="109"/>
      <c r="F668" s="109"/>
      <c r="G668" s="109"/>
      <c r="H668" s="109"/>
      <c r="I668" s="109"/>
      <c r="J668" s="109"/>
      <c r="K668" s="109"/>
      <c r="L668" s="109"/>
      <c r="M668" s="109"/>
      <c r="N668" s="109"/>
      <c r="O668" s="109"/>
      <c r="P668" s="109"/>
      <c r="Q668" s="109"/>
      <c r="R668" s="109"/>
      <c r="S668" s="109"/>
      <c r="T668" s="109"/>
      <c r="U668" s="109"/>
      <c r="V668" s="109"/>
      <c r="W668" s="109"/>
      <c r="X668" s="109"/>
      <c r="Y668" s="109"/>
      <c r="Z668" s="109"/>
    </row>
    <row r="669" spans="1:26" ht="11.25" customHeight="1">
      <c r="A669" s="109"/>
      <c r="B669" s="109"/>
      <c r="C669" s="109"/>
      <c r="D669" s="109"/>
      <c r="E669" s="109"/>
      <c r="F669" s="109"/>
      <c r="G669" s="109"/>
      <c r="H669" s="109"/>
      <c r="I669" s="109"/>
      <c r="J669" s="109"/>
      <c r="K669" s="109"/>
      <c r="L669" s="109"/>
      <c r="M669" s="109"/>
      <c r="N669" s="109"/>
      <c r="O669" s="109"/>
      <c r="P669" s="109"/>
      <c r="Q669" s="109"/>
      <c r="R669" s="109"/>
      <c r="S669" s="109"/>
      <c r="T669" s="109"/>
      <c r="U669" s="109"/>
      <c r="V669" s="109"/>
      <c r="W669" s="109"/>
      <c r="X669" s="109"/>
      <c r="Y669" s="109"/>
      <c r="Z669" s="109"/>
    </row>
    <row r="670" spans="1:26" ht="11.25" customHeight="1">
      <c r="A670" s="109"/>
      <c r="B670" s="109"/>
      <c r="C670" s="109"/>
      <c r="D670" s="109"/>
      <c r="E670" s="109"/>
      <c r="F670" s="109"/>
      <c r="G670" s="109"/>
      <c r="H670" s="109"/>
      <c r="I670" s="109"/>
      <c r="J670" s="109"/>
      <c r="K670" s="109"/>
      <c r="L670" s="109"/>
      <c r="M670" s="109"/>
      <c r="N670" s="109"/>
      <c r="O670" s="109"/>
      <c r="P670" s="109"/>
      <c r="Q670" s="109"/>
      <c r="R670" s="109"/>
      <c r="S670" s="109"/>
      <c r="T670" s="109"/>
      <c r="U670" s="109"/>
      <c r="V670" s="109"/>
      <c r="W670" s="109"/>
      <c r="X670" s="109"/>
      <c r="Y670" s="109"/>
      <c r="Z670" s="109"/>
    </row>
    <row r="671" spans="1:26" ht="11.25" customHeight="1">
      <c r="A671" s="109"/>
      <c r="B671" s="109"/>
      <c r="C671" s="109"/>
      <c r="D671" s="109"/>
      <c r="E671" s="109"/>
      <c r="F671" s="109"/>
      <c r="G671" s="109"/>
      <c r="H671" s="109"/>
      <c r="I671" s="109"/>
      <c r="J671" s="109"/>
      <c r="K671" s="109"/>
      <c r="L671" s="109"/>
      <c r="M671" s="109"/>
      <c r="N671" s="109"/>
      <c r="O671" s="109"/>
      <c r="P671" s="109"/>
      <c r="Q671" s="109"/>
      <c r="R671" s="109"/>
      <c r="S671" s="109"/>
      <c r="T671" s="109"/>
      <c r="U671" s="109"/>
      <c r="V671" s="109"/>
      <c r="W671" s="109"/>
      <c r="X671" s="109"/>
      <c r="Y671" s="109"/>
      <c r="Z671" s="109"/>
    </row>
    <row r="672" spans="1:26" ht="11.25" customHeight="1">
      <c r="A672" s="109"/>
      <c r="B672" s="109"/>
      <c r="C672" s="109"/>
      <c r="D672" s="109"/>
      <c r="E672" s="109"/>
      <c r="F672" s="109"/>
      <c r="G672" s="109"/>
      <c r="H672" s="109"/>
      <c r="I672" s="109"/>
      <c r="J672" s="109"/>
      <c r="K672" s="109"/>
      <c r="L672" s="109"/>
      <c r="M672" s="109"/>
      <c r="N672" s="109"/>
      <c r="O672" s="109"/>
      <c r="P672" s="109"/>
      <c r="Q672" s="109"/>
      <c r="R672" s="109"/>
      <c r="S672" s="109"/>
      <c r="T672" s="109"/>
      <c r="U672" s="109"/>
      <c r="V672" s="109"/>
      <c r="W672" s="109"/>
      <c r="X672" s="109"/>
      <c r="Y672" s="109"/>
      <c r="Z672" s="109"/>
    </row>
    <row r="673" spans="1:26" ht="11.25" customHeight="1">
      <c r="A673" s="109"/>
      <c r="B673" s="109"/>
      <c r="C673" s="109"/>
      <c r="D673" s="109"/>
      <c r="E673" s="109"/>
      <c r="F673" s="109"/>
      <c r="G673" s="109"/>
      <c r="H673" s="109"/>
      <c r="I673" s="109"/>
      <c r="J673" s="109"/>
      <c r="K673" s="109"/>
      <c r="L673" s="109"/>
      <c r="M673" s="109"/>
      <c r="N673" s="109"/>
      <c r="O673" s="109"/>
      <c r="P673" s="109"/>
      <c r="Q673" s="109"/>
      <c r="R673" s="109"/>
      <c r="S673" s="109"/>
      <c r="T673" s="109"/>
      <c r="U673" s="109"/>
      <c r="V673" s="109"/>
      <c r="W673" s="109"/>
      <c r="X673" s="109"/>
      <c r="Y673" s="109"/>
      <c r="Z673" s="109"/>
    </row>
    <row r="674" spans="1:26" ht="11.25" customHeight="1">
      <c r="A674" s="109"/>
      <c r="B674" s="109"/>
      <c r="C674" s="109"/>
      <c r="D674" s="109"/>
      <c r="E674" s="109"/>
      <c r="F674" s="109"/>
      <c r="G674" s="109"/>
      <c r="H674" s="109"/>
      <c r="I674" s="109"/>
      <c r="J674" s="109"/>
      <c r="K674" s="109"/>
      <c r="L674" s="109"/>
      <c r="M674" s="109"/>
      <c r="N674" s="109"/>
      <c r="O674" s="109"/>
      <c r="P674" s="109"/>
      <c r="Q674" s="109"/>
      <c r="R674" s="109"/>
      <c r="S674" s="109"/>
      <c r="T674" s="109"/>
      <c r="U674" s="109"/>
      <c r="V674" s="109"/>
      <c r="W674" s="109"/>
      <c r="X674" s="109"/>
      <c r="Y674" s="109"/>
      <c r="Z674" s="109"/>
    </row>
    <row r="675" spans="1:26" ht="11.25" customHeight="1">
      <c r="A675" s="109"/>
      <c r="B675" s="109"/>
      <c r="C675" s="109"/>
      <c r="D675" s="109"/>
      <c r="E675" s="109"/>
      <c r="F675" s="109"/>
      <c r="G675" s="109"/>
      <c r="H675" s="109"/>
      <c r="I675" s="109"/>
      <c r="J675" s="109"/>
      <c r="K675" s="109"/>
      <c r="L675" s="109"/>
      <c r="M675" s="109"/>
      <c r="N675" s="109"/>
      <c r="O675" s="109"/>
      <c r="P675" s="109"/>
      <c r="Q675" s="109"/>
      <c r="R675" s="109"/>
      <c r="S675" s="109"/>
      <c r="T675" s="109"/>
      <c r="U675" s="109"/>
      <c r="V675" s="109"/>
      <c r="W675" s="109"/>
      <c r="X675" s="109"/>
      <c r="Y675" s="109"/>
      <c r="Z675" s="109"/>
    </row>
    <row r="676" spans="1:26" ht="11.25" customHeight="1">
      <c r="A676" s="109"/>
      <c r="B676" s="109"/>
      <c r="C676" s="109"/>
      <c r="D676" s="109"/>
      <c r="E676" s="109"/>
      <c r="F676" s="109"/>
      <c r="G676" s="109"/>
      <c r="H676" s="109"/>
      <c r="I676" s="109"/>
      <c r="J676" s="109"/>
      <c r="K676" s="109"/>
      <c r="L676" s="109"/>
      <c r="M676" s="109"/>
      <c r="N676" s="109"/>
      <c r="O676" s="109"/>
      <c r="P676" s="109"/>
      <c r="Q676" s="109"/>
      <c r="R676" s="109"/>
      <c r="S676" s="109"/>
      <c r="T676" s="109"/>
      <c r="U676" s="109"/>
      <c r="V676" s="109"/>
      <c r="W676" s="109"/>
      <c r="X676" s="109"/>
      <c r="Y676" s="109"/>
      <c r="Z676" s="109"/>
    </row>
    <row r="677" spans="1:26" ht="11.25" customHeight="1">
      <c r="A677" s="109"/>
      <c r="B677" s="109"/>
      <c r="C677" s="109"/>
      <c r="D677" s="109"/>
      <c r="E677" s="109"/>
      <c r="F677" s="109"/>
      <c r="G677" s="109"/>
      <c r="H677" s="109"/>
      <c r="I677" s="109"/>
      <c r="J677" s="109"/>
      <c r="K677" s="109"/>
      <c r="L677" s="109"/>
      <c r="M677" s="109"/>
      <c r="N677" s="109"/>
      <c r="O677" s="109"/>
      <c r="P677" s="109"/>
      <c r="Q677" s="109"/>
      <c r="R677" s="109"/>
      <c r="S677" s="109"/>
      <c r="T677" s="109"/>
      <c r="U677" s="109"/>
      <c r="V677" s="109"/>
      <c r="W677" s="109"/>
      <c r="X677" s="109"/>
      <c r="Y677" s="109"/>
      <c r="Z677" s="109"/>
    </row>
    <row r="678" spans="1:26" ht="11.25" customHeight="1">
      <c r="A678" s="109"/>
      <c r="B678" s="109"/>
      <c r="C678" s="109"/>
      <c r="D678" s="109"/>
      <c r="E678" s="109"/>
      <c r="F678" s="109"/>
      <c r="G678" s="109"/>
      <c r="H678" s="109"/>
      <c r="I678" s="109"/>
      <c r="J678" s="109"/>
      <c r="K678" s="109"/>
      <c r="L678" s="109"/>
      <c r="M678" s="109"/>
      <c r="N678" s="109"/>
      <c r="O678" s="109"/>
      <c r="P678" s="109"/>
      <c r="Q678" s="109"/>
      <c r="R678" s="109"/>
      <c r="S678" s="109"/>
      <c r="T678" s="109"/>
      <c r="U678" s="109"/>
      <c r="V678" s="109"/>
      <c r="W678" s="109"/>
      <c r="X678" s="109"/>
      <c r="Y678" s="109"/>
      <c r="Z678" s="109"/>
    </row>
    <row r="679" spans="1:26" ht="11.25" customHeight="1">
      <c r="A679" s="109"/>
      <c r="B679" s="109"/>
      <c r="C679" s="109"/>
      <c r="D679" s="109"/>
      <c r="E679" s="109"/>
      <c r="F679" s="109"/>
      <c r="G679" s="109"/>
      <c r="H679" s="109"/>
      <c r="I679" s="109"/>
      <c r="J679" s="109"/>
      <c r="K679" s="109"/>
      <c r="L679" s="109"/>
      <c r="M679" s="109"/>
      <c r="N679" s="109"/>
      <c r="O679" s="109"/>
      <c r="P679" s="109"/>
      <c r="Q679" s="109"/>
      <c r="R679" s="109"/>
      <c r="S679" s="109"/>
      <c r="T679" s="109"/>
      <c r="U679" s="109"/>
      <c r="V679" s="109"/>
      <c r="W679" s="109"/>
      <c r="X679" s="109"/>
      <c r="Y679" s="109"/>
      <c r="Z679" s="109"/>
    </row>
    <row r="680" spans="1:26" ht="11.25" customHeight="1">
      <c r="A680" s="109"/>
      <c r="B680" s="109"/>
      <c r="C680" s="109"/>
      <c r="D680" s="109"/>
      <c r="E680" s="109"/>
      <c r="F680" s="109"/>
      <c r="G680" s="109"/>
      <c r="H680" s="109"/>
      <c r="I680" s="109"/>
      <c r="J680" s="109"/>
      <c r="K680" s="109"/>
      <c r="L680" s="109"/>
      <c r="M680" s="109"/>
      <c r="N680" s="109"/>
      <c r="O680" s="109"/>
      <c r="P680" s="109"/>
      <c r="Q680" s="109"/>
      <c r="R680" s="109"/>
      <c r="S680" s="109"/>
      <c r="T680" s="109"/>
      <c r="U680" s="109"/>
      <c r="V680" s="109"/>
      <c r="W680" s="109"/>
      <c r="X680" s="109"/>
      <c r="Y680" s="109"/>
      <c r="Z680" s="109"/>
    </row>
    <row r="681" spans="1:26" ht="11.25" customHeight="1">
      <c r="A681" s="109"/>
      <c r="B681" s="109"/>
      <c r="C681" s="109"/>
      <c r="D681" s="109"/>
      <c r="E681" s="109"/>
      <c r="F681" s="109"/>
      <c r="G681" s="109"/>
      <c r="H681" s="109"/>
      <c r="I681" s="109"/>
      <c r="J681" s="109"/>
      <c r="K681" s="109"/>
      <c r="L681" s="109"/>
      <c r="M681" s="109"/>
      <c r="N681" s="109"/>
      <c r="O681" s="109"/>
      <c r="P681" s="109"/>
      <c r="Q681" s="109"/>
      <c r="R681" s="109"/>
      <c r="S681" s="109"/>
      <c r="T681" s="109"/>
      <c r="U681" s="109"/>
      <c r="V681" s="109"/>
      <c r="W681" s="109"/>
      <c r="X681" s="109"/>
      <c r="Y681" s="109"/>
      <c r="Z681" s="109"/>
    </row>
    <row r="682" spans="1:26" ht="11.25" customHeight="1">
      <c r="A682" s="109"/>
      <c r="B682" s="109"/>
      <c r="C682" s="109"/>
      <c r="D682" s="109"/>
      <c r="E682" s="109"/>
      <c r="F682" s="109"/>
      <c r="G682" s="109"/>
      <c r="H682" s="109"/>
      <c r="I682" s="109"/>
      <c r="J682" s="109"/>
      <c r="K682" s="109"/>
      <c r="L682" s="109"/>
      <c r="M682" s="109"/>
      <c r="N682" s="109"/>
      <c r="O682" s="109"/>
      <c r="P682" s="109"/>
      <c r="Q682" s="109"/>
      <c r="R682" s="109"/>
      <c r="S682" s="109"/>
      <c r="T682" s="109"/>
      <c r="U682" s="109"/>
      <c r="V682" s="109"/>
      <c r="W682" s="109"/>
      <c r="X682" s="109"/>
      <c r="Y682" s="109"/>
      <c r="Z682" s="109"/>
    </row>
    <row r="683" spans="1:26" ht="11.25" customHeight="1">
      <c r="A683" s="109"/>
      <c r="B683" s="109"/>
      <c r="C683" s="109"/>
      <c r="D683" s="109"/>
      <c r="E683" s="109"/>
      <c r="F683" s="109"/>
      <c r="G683" s="109"/>
      <c r="H683" s="109"/>
      <c r="I683" s="109"/>
      <c r="J683" s="109"/>
      <c r="K683" s="109"/>
      <c r="L683" s="109"/>
      <c r="M683" s="109"/>
      <c r="N683" s="109"/>
      <c r="O683" s="109"/>
      <c r="P683" s="109"/>
      <c r="Q683" s="109"/>
      <c r="R683" s="109"/>
      <c r="S683" s="109"/>
      <c r="T683" s="109"/>
      <c r="U683" s="109"/>
      <c r="V683" s="109"/>
      <c r="W683" s="109"/>
      <c r="X683" s="109"/>
      <c r="Y683" s="109"/>
      <c r="Z683" s="109"/>
    </row>
    <row r="684" spans="1:26" ht="11.25" customHeight="1">
      <c r="A684" s="109"/>
      <c r="B684" s="109"/>
      <c r="C684" s="109"/>
      <c r="D684" s="109"/>
      <c r="E684" s="109"/>
      <c r="F684" s="109"/>
      <c r="G684" s="109"/>
      <c r="H684" s="109"/>
      <c r="I684" s="109"/>
      <c r="J684" s="109"/>
      <c r="K684" s="109"/>
      <c r="L684" s="109"/>
      <c r="M684" s="109"/>
      <c r="N684" s="109"/>
      <c r="O684" s="109"/>
      <c r="P684" s="109"/>
      <c r="Q684" s="109"/>
      <c r="R684" s="109"/>
      <c r="S684" s="109"/>
      <c r="T684" s="109"/>
      <c r="U684" s="109"/>
      <c r="V684" s="109"/>
      <c r="W684" s="109"/>
      <c r="X684" s="109"/>
      <c r="Y684" s="109"/>
      <c r="Z684" s="109"/>
    </row>
    <row r="685" spans="1:26" ht="11.25" customHeight="1">
      <c r="A685" s="109"/>
      <c r="B685" s="109"/>
      <c r="C685" s="109"/>
      <c r="D685" s="109"/>
      <c r="E685" s="109"/>
      <c r="F685" s="109"/>
      <c r="G685" s="109"/>
      <c r="H685" s="109"/>
      <c r="I685" s="109"/>
      <c r="J685" s="109"/>
      <c r="K685" s="109"/>
      <c r="L685" s="109"/>
      <c r="M685" s="109"/>
      <c r="N685" s="109"/>
      <c r="O685" s="109"/>
      <c r="P685" s="109"/>
      <c r="Q685" s="109"/>
      <c r="R685" s="109"/>
      <c r="S685" s="109"/>
      <c r="T685" s="109"/>
      <c r="U685" s="109"/>
      <c r="V685" s="109"/>
      <c r="W685" s="109"/>
      <c r="X685" s="109"/>
      <c r="Y685" s="109"/>
      <c r="Z685" s="109"/>
    </row>
    <row r="686" spans="1:26" ht="11.25" customHeight="1">
      <c r="A686" s="109"/>
      <c r="B686" s="109"/>
      <c r="C686" s="109"/>
      <c r="D686" s="109"/>
      <c r="E686" s="109"/>
      <c r="F686" s="109"/>
      <c r="G686" s="109"/>
      <c r="H686" s="109"/>
      <c r="I686" s="109"/>
      <c r="J686" s="109"/>
      <c r="K686" s="109"/>
      <c r="L686" s="109"/>
      <c r="M686" s="109"/>
      <c r="N686" s="109"/>
      <c r="O686" s="109"/>
      <c r="P686" s="109"/>
      <c r="Q686" s="109"/>
      <c r="R686" s="109"/>
      <c r="S686" s="109"/>
      <c r="T686" s="109"/>
      <c r="U686" s="109"/>
      <c r="V686" s="109"/>
      <c r="W686" s="109"/>
      <c r="X686" s="109"/>
      <c r="Y686" s="109"/>
      <c r="Z686" s="109"/>
    </row>
    <row r="687" spans="1:26" ht="11.25" customHeight="1">
      <c r="A687" s="109"/>
      <c r="B687" s="109"/>
      <c r="C687" s="109"/>
      <c r="D687" s="109"/>
      <c r="E687" s="109"/>
      <c r="F687" s="109"/>
      <c r="G687" s="109"/>
      <c r="H687" s="109"/>
      <c r="I687" s="109"/>
      <c r="J687" s="109"/>
      <c r="K687" s="109"/>
      <c r="L687" s="109"/>
      <c r="M687" s="109"/>
      <c r="N687" s="109"/>
      <c r="O687" s="109"/>
      <c r="P687" s="109"/>
      <c r="Q687" s="109"/>
      <c r="R687" s="109"/>
      <c r="S687" s="109"/>
      <c r="T687" s="109"/>
      <c r="U687" s="109"/>
      <c r="V687" s="109"/>
      <c r="W687" s="109"/>
      <c r="X687" s="109"/>
      <c r="Y687" s="109"/>
      <c r="Z687" s="109"/>
    </row>
    <row r="688" spans="1:26" ht="11.25" customHeight="1">
      <c r="A688" s="109"/>
      <c r="B688" s="109"/>
      <c r="C688" s="109"/>
      <c r="D688" s="109"/>
      <c r="E688" s="109"/>
      <c r="F688" s="109"/>
      <c r="G688" s="109"/>
      <c r="H688" s="109"/>
      <c r="I688" s="109"/>
      <c r="J688" s="109"/>
      <c r="K688" s="109"/>
      <c r="L688" s="109"/>
      <c r="M688" s="109"/>
      <c r="N688" s="109"/>
      <c r="O688" s="109"/>
      <c r="P688" s="109"/>
      <c r="Q688" s="109"/>
      <c r="R688" s="109"/>
      <c r="S688" s="109"/>
      <c r="T688" s="109"/>
      <c r="U688" s="109"/>
      <c r="V688" s="109"/>
      <c r="W688" s="109"/>
      <c r="X688" s="109"/>
      <c r="Y688" s="109"/>
      <c r="Z688" s="109"/>
    </row>
    <row r="689" spans="1:26" ht="11.25" customHeight="1">
      <c r="A689" s="109"/>
      <c r="B689" s="109"/>
      <c r="C689" s="109"/>
      <c r="D689" s="109"/>
      <c r="E689" s="109"/>
      <c r="F689" s="109"/>
      <c r="G689" s="109"/>
      <c r="H689" s="109"/>
      <c r="I689" s="109"/>
      <c r="J689" s="109"/>
      <c r="K689" s="109"/>
      <c r="L689" s="109"/>
      <c r="M689" s="109"/>
      <c r="N689" s="109"/>
      <c r="O689" s="109"/>
      <c r="P689" s="109"/>
      <c r="Q689" s="109"/>
      <c r="R689" s="109"/>
      <c r="S689" s="109"/>
      <c r="T689" s="109"/>
      <c r="U689" s="109"/>
      <c r="V689" s="109"/>
      <c r="W689" s="109"/>
      <c r="X689" s="109"/>
      <c r="Y689" s="109"/>
      <c r="Z689" s="109"/>
    </row>
    <row r="690" spans="1:26" ht="11.25" customHeight="1">
      <c r="A690" s="109"/>
      <c r="B690" s="109"/>
      <c r="C690" s="109"/>
      <c r="D690" s="109"/>
      <c r="E690" s="109"/>
      <c r="F690" s="109"/>
      <c r="G690" s="109"/>
      <c r="H690" s="109"/>
      <c r="I690" s="109"/>
      <c r="J690" s="109"/>
      <c r="K690" s="109"/>
      <c r="L690" s="109"/>
      <c r="M690" s="109"/>
      <c r="N690" s="109"/>
      <c r="O690" s="109"/>
      <c r="P690" s="109"/>
      <c r="Q690" s="109"/>
      <c r="R690" s="109"/>
      <c r="S690" s="109"/>
      <c r="T690" s="109"/>
      <c r="U690" s="109"/>
      <c r="V690" s="109"/>
      <c r="W690" s="109"/>
      <c r="X690" s="109"/>
      <c r="Y690" s="109"/>
      <c r="Z690" s="109"/>
    </row>
    <row r="691" spans="1:26" ht="11.25" customHeight="1">
      <c r="A691" s="109"/>
      <c r="B691" s="109"/>
      <c r="C691" s="109"/>
      <c r="D691" s="109"/>
      <c r="E691" s="109"/>
      <c r="F691" s="109"/>
      <c r="G691" s="109"/>
      <c r="H691" s="109"/>
      <c r="I691" s="109"/>
      <c r="J691" s="109"/>
      <c r="K691" s="109"/>
      <c r="L691" s="109"/>
      <c r="M691" s="109"/>
      <c r="N691" s="109"/>
      <c r="O691" s="109"/>
      <c r="P691" s="109"/>
      <c r="Q691" s="109"/>
      <c r="R691" s="109"/>
      <c r="S691" s="109"/>
      <c r="T691" s="109"/>
      <c r="U691" s="109"/>
      <c r="V691" s="109"/>
      <c r="W691" s="109"/>
      <c r="X691" s="109"/>
      <c r="Y691" s="109"/>
      <c r="Z691" s="109"/>
    </row>
    <row r="692" spans="1:26" ht="11.25" customHeight="1">
      <c r="A692" s="109"/>
      <c r="B692" s="109"/>
      <c r="C692" s="109"/>
      <c r="D692" s="109"/>
      <c r="E692" s="109"/>
      <c r="F692" s="109"/>
      <c r="G692" s="109"/>
      <c r="H692" s="109"/>
      <c r="I692" s="109"/>
      <c r="J692" s="109"/>
      <c r="K692" s="109"/>
      <c r="L692" s="109"/>
      <c r="M692" s="109"/>
      <c r="N692" s="109"/>
      <c r="O692" s="109"/>
      <c r="P692" s="109"/>
      <c r="Q692" s="109"/>
      <c r="R692" s="109"/>
      <c r="S692" s="109"/>
      <c r="T692" s="109"/>
      <c r="U692" s="109"/>
      <c r="V692" s="109"/>
      <c r="W692" s="109"/>
      <c r="X692" s="109"/>
      <c r="Y692" s="109"/>
      <c r="Z692" s="109"/>
    </row>
    <row r="693" spans="1:26" ht="11.25" customHeight="1">
      <c r="A693" s="109"/>
      <c r="B693" s="109"/>
      <c r="C693" s="109"/>
      <c r="D693" s="109"/>
      <c r="E693" s="109"/>
      <c r="F693" s="109"/>
      <c r="G693" s="109"/>
      <c r="H693" s="109"/>
      <c r="I693" s="109"/>
      <c r="J693" s="109"/>
      <c r="K693" s="109"/>
      <c r="L693" s="109"/>
      <c r="M693" s="109"/>
      <c r="N693" s="109"/>
      <c r="O693" s="109"/>
      <c r="P693" s="109"/>
      <c r="Q693" s="109"/>
      <c r="R693" s="109"/>
      <c r="S693" s="109"/>
      <c r="T693" s="109"/>
      <c r="U693" s="109"/>
      <c r="V693" s="109"/>
      <c r="W693" s="109"/>
      <c r="X693" s="109"/>
      <c r="Y693" s="109"/>
      <c r="Z693" s="109"/>
    </row>
    <row r="694" spans="1:26" ht="11.25" customHeight="1">
      <c r="A694" s="109"/>
      <c r="B694" s="109"/>
      <c r="C694" s="109"/>
      <c r="D694" s="109"/>
      <c r="E694" s="109"/>
      <c r="F694" s="109"/>
      <c r="G694" s="109"/>
      <c r="H694" s="109"/>
      <c r="I694" s="109"/>
      <c r="J694" s="109"/>
      <c r="K694" s="109"/>
      <c r="L694" s="109"/>
      <c r="M694" s="109"/>
      <c r="N694" s="109"/>
      <c r="O694" s="109"/>
      <c r="P694" s="109"/>
      <c r="Q694" s="109"/>
      <c r="R694" s="109"/>
      <c r="S694" s="109"/>
      <c r="T694" s="109"/>
      <c r="U694" s="109"/>
      <c r="V694" s="109"/>
      <c r="W694" s="109"/>
      <c r="X694" s="109"/>
      <c r="Y694" s="109"/>
      <c r="Z694" s="109"/>
    </row>
    <row r="695" spans="1:26" ht="11.25" customHeight="1">
      <c r="A695" s="109"/>
      <c r="B695" s="109"/>
      <c r="C695" s="109"/>
      <c r="D695" s="109"/>
      <c r="E695" s="109"/>
      <c r="F695" s="109"/>
      <c r="G695" s="109"/>
      <c r="H695" s="109"/>
      <c r="I695" s="109"/>
      <c r="J695" s="109"/>
      <c r="K695" s="109"/>
      <c r="L695" s="109"/>
      <c r="M695" s="109"/>
      <c r="N695" s="109"/>
      <c r="O695" s="109"/>
      <c r="P695" s="109"/>
      <c r="Q695" s="109"/>
      <c r="R695" s="109"/>
      <c r="S695" s="109"/>
      <c r="T695" s="109"/>
      <c r="U695" s="109"/>
      <c r="V695" s="109"/>
      <c r="W695" s="109"/>
      <c r="X695" s="109"/>
      <c r="Y695" s="109"/>
      <c r="Z695" s="109"/>
    </row>
    <row r="696" spans="1:26" ht="11.25" customHeight="1">
      <c r="A696" s="109"/>
      <c r="B696" s="109"/>
      <c r="C696" s="109"/>
      <c r="D696" s="109"/>
      <c r="E696" s="109"/>
      <c r="F696" s="109"/>
      <c r="G696" s="109"/>
      <c r="H696" s="109"/>
      <c r="I696" s="109"/>
      <c r="J696" s="109"/>
      <c r="K696" s="109"/>
      <c r="L696" s="109"/>
      <c r="M696" s="109"/>
      <c r="N696" s="109"/>
      <c r="O696" s="109"/>
      <c r="P696" s="109"/>
      <c r="Q696" s="109"/>
      <c r="R696" s="109"/>
      <c r="S696" s="109"/>
      <c r="T696" s="109"/>
      <c r="U696" s="109"/>
      <c r="V696" s="109"/>
      <c r="W696" s="109"/>
      <c r="X696" s="109"/>
      <c r="Y696" s="109"/>
      <c r="Z696" s="109"/>
    </row>
    <row r="697" spans="1:26" ht="11.25" customHeight="1">
      <c r="A697" s="109"/>
      <c r="B697" s="109"/>
      <c r="C697" s="109"/>
      <c r="D697" s="109"/>
      <c r="E697" s="109"/>
      <c r="F697" s="109"/>
      <c r="G697" s="109"/>
      <c r="H697" s="109"/>
      <c r="I697" s="109"/>
      <c r="J697" s="109"/>
      <c r="K697" s="109"/>
      <c r="L697" s="109"/>
      <c r="M697" s="109"/>
      <c r="N697" s="109"/>
      <c r="O697" s="109"/>
      <c r="P697" s="109"/>
      <c r="Q697" s="109"/>
      <c r="R697" s="109"/>
      <c r="S697" s="109"/>
      <c r="T697" s="109"/>
      <c r="U697" s="109"/>
      <c r="V697" s="109"/>
      <c r="W697" s="109"/>
      <c r="X697" s="109"/>
      <c r="Y697" s="109"/>
      <c r="Z697" s="109"/>
    </row>
    <row r="698" spans="1:26" ht="11.25" customHeight="1">
      <c r="A698" s="109"/>
      <c r="B698" s="109"/>
      <c r="C698" s="109"/>
      <c r="D698" s="109"/>
      <c r="E698" s="109"/>
      <c r="F698" s="109"/>
      <c r="G698" s="109"/>
      <c r="H698" s="109"/>
      <c r="I698" s="109"/>
      <c r="J698" s="109"/>
      <c r="K698" s="109"/>
      <c r="L698" s="109"/>
      <c r="M698" s="109"/>
      <c r="N698" s="109"/>
      <c r="O698" s="109"/>
      <c r="P698" s="109"/>
      <c r="Q698" s="109"/>
      <c r="R698" s="109"/>
      <c r="S698" s="109"/>
      <c r="T698" s="109"/>
      <c r="U698" s="109"/>
      <c r="V698" s="109"/>
      <c r="W698" s="109"/>
      <c r="X698" s="109"/>
      <c r="Y698" s="109"/>
      <c r="Z698" s="109"/>
    </row>
    <row r="699" spans="1:26" ht="11.25" customHeight="1">
      <c r="A699" s="109"/>
      <c r="B699" s="109"/>
      <c r="C699" s="109"/>
      <c r="D699" s="109"/>
      <c r="E699" s="109"/>
      <c r="F699" s="109"/>
      <c r="G699" s="109"/>
      <c r="H699" s="109"/>
      <c r="I699" s="109"/>
      <c r="J699" s="109"/>
      <c r="K699" s="109"/>
      <c r="L699" s="109"/>
      <c r="M699" s="109"/>
      <c r="N699" s="109"/>
      <c r="O699" s="109"/>
      <c r="P699" s="109"/>
      <c r="Q699" s="109"/>
      <c r="R699" s="109"/>
      <c r="S699" s="109"/>
      <c r="T699" s="109"/>
      <c r="U699" s="109"/>
      <c r="V699" s="109"/>
      <c r="W699" s="109"/>
      <c r="X699" s="109"/>
      <c r="Y699" s="109"/>
      <c r="Z699" s="109"/>
    </row>
    <row r="700" spans="1:26" ht="11.25" customHeight="1">
      <c r="A700" s="109"/>
      <c r="B700" s="109"/>
      <c r="C700" s="109"/>
      <c r="D700" s="109"/>
      <c r="E700" s="109"/>
      <c r="F700" s="109"/>
      <c r="G700" s="109"/>
      <c r="H700" s="109"/>
      <c r="I700" s="109"/>
      <c r="J700" s="109"/>
      <c r="K700" s="109"/>
      <c r="L700" s="109"/>
      <c r="M700" s="109"/>
      <c r="N700" s="109"/>
      <c r="O700" s="109"/>
      <c r="P700" s="109"/>
      <c r="Q700" s="109"/>
      <c r="R700" s="109"/>
      <c r="S700" s="109"/>
      <c r="T700" s="109"/>
      <c r="U700" s="109"/>
      <c r="V700" s="109"/>
      <c r="W700" s="109"/>
      <c r="X700" s="109"/>
      <c r="Y700" s="109"/>
      <c r="Z700" s="109"/>
    </row>
    <row r="701" spans="1:26" ht="11.25" customHeight="1">
      <c r="A701" s="109"/>
      <c r="B701" s="109"/>
      <c r="C701" s="109"/>
      <c r="D701" s="109"/>
      <c r="E701" s="109"/>
      <c r="F701" s="109"/>
      <c r="G701" s="109"/>
      <c r="H701" s="109"/>
      <c r="I701" s="109"/>
      <c r="J701" s="109"/>
      <c r="K701" s="109"/>
      <c r="L701" s="109"/>
      <c r="M701" s="109"/>
      <c r="N701" s="109"/>
      <c r="O701" s="109"/>
      <c r="P701" s="109"/>
      <c r="Q701" s="109"/>
      <c r="R701" s="109"/>
      <c r="S701" s="109"/>
      <c r="T701" s="109"/>
      <c r="U701" s="109"/>
      <c r="V701" s="109"/>
      <c r="W701" s="109"/>
      <c r="X701" s="109"/>
      <c r="Y701" s="109"/>
      <c r="Z701" s="109"/>
    </row>
    <row r="702" spans="1:26" ht="11.25" customHeight="1">
      <c r="A702" s="109"/>
      <c r="B702" s="109"/>
      <c r="C702" s="109"/>
      <c r="D702" s="109"/>
      <c r="E702" s="109"/>
      <c r="F702" s="109"/>
      <c r="G702" s="109"/>
      <c r="H702" s="109"/>
      <c r="I702" s="109"/>
      <c r="J702" s="109"/>
      <c r="K702" s="109"/>
      <c r="L702" s="109"/>
      <c r="M702" s="109"/>
      <c r="N702" s="109"/>
      <c r="O702" s="109"/>
      <c r="P702" s="109"/>
      <c r="Q702" s="109"/>
      <c r="R702" s="109"/>
      <c r="S702" s="109"/>
      <c r="T702" s="109"/>
      <c r="U702" s="109"/>
      <c r="V702" s="109"/>
      <c r="W702" s="109"/>
      <c r="X702" s="109"/>
      <c r="Y702" s="109"/>
      <c r="Z702" s="109"/>
    </row>
    <row r="703" spans="1:26" ht="11.25" customHeight="1">
      <c r="A703" s="109"/>
      <c r="B703" s="109"/>
      <c r="C703" s="109"/>
      <c r="D703" s="109"/>
      <c r="E703" s="109"/>
      <c r="F703" s="109"/>
      <c r="G703" s="109"/>
      <c r="H703" s="109"/>
      <c r="I703" s="109"/>
      <c r="J703" s="109"/>
      <c r="K703" s="109"/>
      <c r="L703" s="109"/>
      <c r="M703" s="109"/>
      <c r="N703" s="109"/>
      <c r="O703" s="109"/>
      <c r="P703" s="109"/>
      <c r="Q703" s="109"/>
      <c r="R703" s="109"/>
      <c r="S703" s="109"/>
      <c r="T703" s="109"/>
      <c r="U703" s="109"/>
      <c r="V703" s="109"/>
      <c r="W703" s="109"/>
      <c r="X703" s="109"/>
      <c r="Y703" s="109"/>
      <c r="Z703" s="109"/>
    </row>
    <row r="704" spans="1:26" ht="11.25" customHeight="1">
      <c r="A704" s="109"/>
      <c r="B704" s="109"/>
      <c r="C704" s="109"/>
      <c r="D704" s="109"/>
      <c r="E704" s="109"/>
      <c r="F704" s="109"/>
      <c r="G704" s="109"/>
      <c r="H704" s="109"/>
      <c r="I704" s="109"/>
      <c r="J704" s="109"/>
      <c r="K704" s="109"/>
      <c r="L704" s="109"/>
      <c r="M704" s="109"/>
      <c r="N704" s="109"/>
      <c r="O704" s="109"/>
      <c r="P704" s="109"/>
      <c r="Q704" s="109"/>
      <c r="R704" s="109"/>
      <c r="S704" s="109"/>
      <c r="T704" s="109"/>
      <c r="U704" s="109"/>
      <c r="V704" s="109"/>
      <c r="W704" s="109"/>
      <c r="X704" s="109"/>
      <c r="Y704" s="109"/>
      <c r="Z704" s="109"/>
    </row>
    <row r="705" spans="1:26" ht="11.25" customHeight="1">
      <c r="A705" s="109"/>
      <c r="B705" s="109"/>
      <c r="C705" s="109"/>
      <c r="D705" s="109"/>
      <c r="E705" s="109"/>
      <c r="F705" s="109"/>
      <c r="G705" s="109"/>
      <c r="H705" s="109"/>
      <c r="I705" s="109"/>
      <c r="J705" s="109"/>
      <c r="K705" s="109"/>
      <c r="L705" s="109"/>
      <c r="M705" s="109"/>
      <c r="N705" s="109"/>
      <c r="O705" s="109"/>
      <c r="P705" s="109"/>
      <c r="Q705" s="109"/>
      <c r="R705" s="109"/>
      <c r="S705" s="109"/>
      <c r="T705" s="109"/>
      <c r="U705" s="109"/>
      <c r="V705" s="109"/>
      <c r="W705" s="109"/>
      <c r="X705" s="109"/>
      <c r="Y705" s="109"/>
      <c r="Z705" s="109"/>
    </row>
    <row r="706" spans="1:26" ht="11.25" customHeight="1">
      <c r="A706" s="109"/>
      <c r="B706" s="109"/>
      <c r="C706" s="109"/>
      <c r="D706" s="109"/>
      <c r="E706" s="109"/>
      <c r="F706" s="109"/>
      <c r="G706" s="109"/>
      <c r="H706" s="109"/>
      <c r="I706" s="109"/>
      <c r="J706" s="109"/>
      <c r="K706" s="109"/>
      <c r="L706" s="109"/>
      <c r="M706" s="109"/>
      <c r="N706" s="109"/>
      <c r="O706" s="109"/>
      <c r="P706" s="109"/>
      <c r="Q706" s="109"/>
      <c r="R706" s="109"/>
      <c r="S706" s="109"/>
      <c r="T706" s="109"/>
      <c r="U706" s="109"/>
      <c r="V706" s="109"/>
      <c r="W706" s="109"/>
      <c r="X706" s="109"/>
      <c r="Y706" s="109"/>
      <c r="Z706" s="109"/>
    </row>
    <row r="707" spans="1:26" ht="11.25" customHeight="1">
      <c r="A707" s="109"/>
      <c r="B707" s="109"/>
      <c r="C707" s="109"/>
      <c r="D707" s="109"/>
      <c r="E707" s="109"/>
      <c r="F707" s="109"/>
      <c r="G707" s="109"/>
      <c r="H707" s="109"/>
      <c r="I707" s="109"/>
      <c r="J707" s="109"/>
      <c r="K707" s="109"/>
      <c r="L707" s="109"/>
      <c r="M707" s="109"/>
      <c r="N707" s="109"/>
      <c r="O707" s="109"/>
      <c r="P707" s="109"/>
      <c r="Q707" s="109"/>
      <c r="R707" s="109"/>
      <c r="S707" s="109"/>
      <c r="T707" s="109"/>
      <c r="U707" s="109"/>
      <c r="V707" s="109"/>
      <c r="W707" s="109"/>
      <c r="X707" s="109"/>
      <c r="Y707" s="109"/>
      <c r="Z707" s="109"/>
    </row>
    <row r="708" spans="1:26" ht="11.25" customHeight="1">
      <c r="A708" s="109"/>
      <c r="B708" s="109"/>
      <c r="C708" s="109"/>
      <c r="D708" s="109"/>
      <c r="E708" s="109"/>
      <c r="F708" s="109"/>
      <c r="G708" s="109"/>
      <c r="H708" s="109"/>
      <c r="I708" s="109"/>
      <c r="J708" s="109"/>
      <c r="K708" s="109"/>
      <c r="L708" s="109"/>
      <c r="M708" s="109"/>
      <c r="N708" s="109"/>
      <c r="O708" s="109"/>
      <c r="P708" s="109"/>
      <c r="Q708" s="109"/>
      <c r="R708" s="109"/>
      <c r="S708" s="109"/>
      <c r="T708" s="109"/>
      <c r="U708" s="109"/>
      <c r="V708" s="109"/>
      <c r="W708" s="109"/>
      <c r="X708" s="109"/>
      <c r="Y708" s="109"/>
      <c r="Z708" s="109"/>
    </row>
    <row r="709" spans="1:26" ht="11.25" customHeight="1">
      <c r="A709" s="109"/>
      <c r="B709" s="109"/>
      <c r="C709" s="109"/>
      <c r="D709" s="109"/>
      <c r="E709" s="109"/>
      <c r="F709" s="109"/>
      <c r="G709" s="109"/>
      <c r="H709" s="109"/>
      <c r="I709" s="109"/>
      <c r="J709" s="109"/>
      <c r="K709" s="109"/>
      <c r="L709" s="109"/>
      <c r="M709" s="109"/>
      <c r="N709" s="109"/>
      <c r="O709" s="109"/>
      <c r="P709" s="109"/>
      <c r="Q709" s="109"/>
      <c r="R709" s="109"/>
      <c r="S709" s="109"/>
      <c r="T709" s="109"/>
      <c r="U709" s="109"/>
      <c r="V709" s="109"/>
      <c r="W709" s="109"/>
      <c r="X709" s="109"/>
      <c r="Y709" s="109"/>
      <c r="Z709" s="109"/>
    </row>
    <row r="710" spans="1:26" ht="11.25" customHeight="1">
      <c r="A710" s="109"/>
      <c r="B710" s="109"/>
      <c r="C710" s="109"/>
      <c r="D710" s="109"/>
      <c r="E710" s="109"/>
      <c r="F710" s="109"/>
      <c r="G710" s="109"/>
      <c r="H710" s="109"/>
      <c r="I710" s="109"/>
      <c r="J710" s="109"/>
      <c r="K710" s="109"/>
      <c r="L710" s="109"/>
      <c r="M710" s="109"/>
      <c r="N710" s="109"/>
      <c r="O710" s="109"/>
      <c r="P710" s="109"/>
      <c r="Q710" s="109"/>
      <c r="R710" s="109"/>
      <c r="S710" s="109"/>
      <c r="T710" s="109"/>
      <c r="U710" s="109"/>
      <c r="V710" s="109"/>
      <c r="W710" s="109"/>
      <c r="X710" s="109"/>
      <c r="Y710" s="109"/>
      <c r="Z710" s="109"/>
    </row>
    <row r="711" spans="1:26" ht="11.25" customHeight="1">
      <c r="A711" s="109"/>
      <c r="B711" s="109"/>
      <c r="C711" s="109"/>
      <c r="D711" s="109"/>
      <c r="E711" s="109"/>
      <c r="F711" s="109"/>
      <c r="G711" s="109"/>
      <c r="H711" s="109"/>
      <c r="I711" s="109"/>
      <c r="J711" s="109"/>
      <c r="K711" s="109"/>
      <c r="L711" s="109"/>
      <c r="M711" s="109"/>
      <c r="N711" s="109"/>
      <c r="O711" s="109"/>
      <c r="P711" s="109"/>
      <c r="Q711" s="109"/>
      <c r="R711" s="109"/>
      <c r="S711" s="109"/>
      <c r="T711" s="109"/>
      <c r="U711" s="109"/>
      <c r="V711" s="109"/>
      <c r="W711" s="109"/>
      <c r="X711" s="109"/>
      <c r="Y711" s="109"/>
      <c r="Z711" s="109"/>
    </row>
    <row r="712" spans="1:26" ht="11.25" customHeight="1">
      <c r="A712" s="109"/>
      <c r="B712" s="109"/>
      <c r="C712" s="109"/>
      <c r="D712" s="109"/>
      <c r="E712" s="109"/>
      <c r="F712" s="109"/>
      <c r="G712" s="109"/>
      <c r="H712" s="109"/>
      <c r="I712" s="109"/>
      <c r="J712" s="109"/>
      <c r="K712" s="109"/>
      <c r="L712" s="109"/>
      <c r="M712" s="109"/>
      <c r="N712" s="109"/>
      <c r="O712" s="109"/>
      <c r="P712" s="109"/>
      <c r="Q712" s="109"/>
      <c r="R712" s="109"/>
      <c r="S712" s="109"/>
      <c r="T712" s="109"/>
      <c r="U712" s="109"/>
      <c r="V712" s="109"/>
      <c r="W712" s="109"/>
      <c r="X712" s="109"/>
      <c r="Y712" s="109"/>
      <c r="Z712" s="109"/>
    </row>
    <row r="713" spans="1:26" ht="11.25" customHeight="1">
      <c r="A713" s="109"/>
      <c r="B713" s="109"/>
      <c r="C713" s="109"/>
      <c r="D713" s="109"/>
      <c r="E713" s="109"/>
      <c r="F713" s="109"/>
      <c r="G713" s="109"/>
      <c r="H713" s="109"/>
      <c r="I713" s="109"/>
      <c r="J713" s="109"/>
      <c r="K713" s="109"/>
      <c r="L713" s="109"/>
      <c r="M713" s="109"/>
      <c r="N713" s="109"/>
      <c r="O713" s="109"/>
      <c r="P713" s="109"/>
      <c r="Q713" s="109"/>
      <c r="R713" s="109"/>
      <c r="S713" s="109"/>
      <c r="T713" s="109"/>
      <c r="U713" s="109"/>
      <c r="V713" s="109"/>
      <c r="W713" s="109"/>
      <c r="X713" s="109"/>
      <c r="Y713" s="109"/>
      <c r="Z713" s="109"/>
    </row>
    <row r="714" spans="1:26" ht="11.25" customHeight="1">
      <c r="A714" s="109"/>
      <c r="B714" s="109"/>
      <c r="C714" s="109"/>
      <c r="D714" s="109"/>
      <c r="E714" s="109"/>
      <c r="F714" s="109"/>
      <c r="G714" s="109"/>
      <c r="H714" s="109"/>
      <c r="I714" s="109"/>
      <c r="J714" s="109"/>
      <c r="K714" s="109"/>
      <c r="L714" s="109"/>
      <c r="M714" s="109"/>
      <c r="N714" s="109"/>
      <c r="O714" s="109"/>
      <c r="P714" s="109"/>
      <c r="Q714" s="109"/>
      <c r="R714" s="109"/>
      <c r="S714" s="109"/>
      <c r="T714" s="109"/>
      <c r="U714" s="109"/>
      <c r="V714" s="109"/>
      <c r="W714" s="109"/>
      <c r="X714" s="109"/>
      <c r="Y714" s="109"/>
      <c r="Z714" s="109"/>
    </row>
    <row r="715" spans="1:26" ht="11.25" customHeight="1">
      <c r="A715" s="109"/>
      <c r="B715" s="109"/>
      <c r="C715" s="109"/>
      <c r="D715" s="109"/>
      <c r="E715" s="109"/>
      <c r="F715" s="109"/>
      <c r="G715" s="109"/>
      <c r="H715" s="109"/>
      <c r="I715" s="109"/>
      <c r="J715" s="109"/>
      <c r="K715" s="109"/>
      <c r="L715" s="109"/>
      <c r="M715" s="109"/>
      <c r="N715" s="109"/>
      <c r="O715" s="109"/>
      <c r="P715" s="109"/>
      <c r="Q715" s="109"/>
      <c r="R715" s="109"/>
      <c r="S715" s="109"/>
      <c r="T715" s="109"/>
      <c r="U715" s="109"/>
      <c r="V715" s="109"/>
      <c r="W715" s="109"/>
      <c r="X715" s="109"/>
      <c r="Y715" s="109"/>
      <c r="Z715" s="109"/>
    </row>
    <row r="716" spans="1:26" ht="11.25" customHeight="1">
      <c r="A716" s="109"/>
      <c r="B716" s="109"/>
      <c r="C716" s="109"/>
      <c r="D716" s="109"/>
      <c r="E716" s="109"/>
      <c r="F716" s="109"/>
      <c r="G716" s="109"/>
      <c r="H716" s="109"/>
      <c r="I716" s="109"/>
      <c r="J716" s="109"/>
      <c r="K716" s="109"/>
      <c r="L716" s="109"/>
      <c r="M716" s="109"/>
      <c r="N716" s="109"/>
      <c r="O716" s="109"/>
      <c r="P716" s="109"/>
      <c r="Q716" s="109"/>
      <c r="R716" s="109"/>
      <c r="S716" s="109"/>
      <c r="T716" s="109"/>
      <c r="U716" s="109"/>
      <c r="V716" s="109"/>
      <c r="W716" s="109"/>
      <c r="X716" s="109"/>
      <c r="Y716" s="109"/>
      <c r="Z716" s="109"/>
    </row>
    <row r="717" spans="1:26" ht="11.25" customHeight="1">
      <c r="A717" s="109"/>
      <c r="B717" s="109"/>
      <c r="C717" s="109"/>
      <c r="D717" s="109"/>
      <c r="E717" s="109"/>
      <c r="F717" s="109"/>
      <c r="G717" s="109"/>
      <c r="H717" s="109"/>
      <c r="I717" s="109"/>
      <c r="J717" s="109"/>
      <c r="K717" s="109"/>
      <c r="L717" s="109"/>
      <c r="M717" s="109"/>
      <c r="N717" s="109"/>
      <c r="O717" s="109"/>
      <c r="P717" s="109"/>
      <c r="Q717" s="109"/>
      <c r="R717" s="109"/>
      <c r="S717" s="109"/>
      <c r="T717" s="109"/>
      <c r="U717" s="109"/>
      <c r="V717" s="109"/>
      <c r="W717" s="109"/>
      <c r="X717" s="109"/>
      <c r="Y717" s="109"/>
      <c r="Z717" s="109"/>
    </row>
    <row r="718" spans="1:26" ht="11.25" customHeight="1">
      <c r="A718" s="109"/>
      <c r="B718" s="109"/>
      <c r="C718" s="109"/>
      <c r="D718" s="109"/>
      <c r="E718" s="109"/>
      <c r="F718" s="109"/>
      <c r="G718" s="109"/>
      <c r="H718" s="109"/>
      <c r="I718" s="109"/>
      <c r="J718" s="109"/>
      <c r="K718" s="109"/>
      <c r="L718" s="109"/>
      <c r="M718" s="109"/>
      <c r="N718" s="109"/>
      <c r="O718" s="109"/>
      <c r="P718" s="109"/>
      <c r="Q718" s="109"/>
      <c r="R718" s="109"/>
      <c r="S718" s="109"/>
      <c r="T718" s="109"/>
      <c r="U718" s="109"/>
      <c r="V718" s="109"/>
      <c r="W718" s="109"/>
      <c r="X718" s="109"/>
      <c r="Y718" s="109"/>
      <c r="Z718" s="109"/>
    </row>
    <row r="719" spans="1:26" ht="11.25" customHeight="1">
      <c r="A719" s="109"/>
      <c r="B719" s="109"/>
      <c r="C719" s="109"/>
      <c r="D719" s="109"/>
      <c r="E719" s="109"/>
      <c r="F719" s="109"/>
      <c r="G719" s="109"/>
      <c r="H719" s="109"/>
      <c r="I719" s="109"/>
      <c r="J719" s="109"/>
      <c r="K719" s="109"/>
      <c r="L719" s="109"/>
      <c r="M719" s="109"/>
      <c r="N719" s="109"/>
      <c r="O719" s="109"/>
      <c r="P719" s="109"/>
      <c r="Q719" s="109"/>
      <c r="R719" s="109"/>
      <c r="S719" s="109"/>
      <c r="T719" s="109"/>
      <c r="U719" s="109"/>
      <c r="V719" s="109"/>
      <c r="W719" s="109"/>
      <c r="X719" s="109"/>
      <c r="Y719" s="109"/>
      <c r="Z719" s="109"/>
    </row>
    <row r="720" spans="1:26" ht="11.25" customHeight="1">
      <c r="A720" s="109"/>
      <c r="B720" s="109"/>
      <c r="C720" s="109"/>
      <c r="D720" s="109"/>
      <c r="E720" s="109"/>
      <c r="F720" s="109"/>
      <c r="G720" s="109"/>
      <c r="H720" s="109"/>
      <c r="I720" s="109"/>
      <c r="J720" s="109"/>
      <c r="K720" s="109"/>
      <c r="L720" s="109"/>
      <c r="M720" s="109"/>
      <c r="N720" s="109"/>
      <c r="O720" s="109"/>
      <c r="P720" s="109"/>
      <c r="Q720" s="109"/>
      <c r="R720" s="109"/>
      <c r="S720" s="109"/>
      <c r="T720" s="109"/>
      <c r="U720" s="109"/>
      <c r="V720" s="109"/>
      <c r="W720" s="109"/>
      <c r="X720" s="109"/>
      <c r="Y720" s="109"/>
      <c r="Z720" s="109"/>
    </row>
    <row r="721" spans="1:26" ht="11.25" customHeight="1">
      <c r="A721" s="109"/>
      <c r="B721" s="109"/>
      <c r="C721" s="109"/>
      <c r="D721" s="109"/>
      <c r="E721" s="109"/>
      <c r="F721" s="109"/>
      <c r="G721" s="109"/>
      <c r="H721" s="109"/>
      <c r="I721" s="109"/>
      <c r="J721" s="109"/>
      <c r="K721" s="109"/>
      <c r="L721" s="109"/>
      <c r="M721" s="109"/>
      <c r="N721" s="109"/>
      <c r="O721" s="109"/>
      <c r="P721" s="109"/>
      <c r="Q721" s="109"/>
      <c r="R721" s="109"/>
      <c r="S721" s="109"/>
      <c r="T721" s="109"/>
      <c r="U721" s="109"/>
      <c r="V721" s="109"/>
      <c r="W721" s="109"/>
      <c r="X721" s="109"/>
      <c r="Y721" s="109"/>
      <c r="Z721" s="109"/>
    </row>
    <row r="722" spans="1:26" ht="11.25" customHeight="1">
      <c r="A722" s="109"/>
      <c r="B722" s="109"/>
      <c r="C722" s="109"/>
      <c r="D722" s="109"/>
      <c r="E722" s="109"/>
      <c r="F722" s="109"/>
      <c r="G722" s="109"/>
      <c r="H722" s="109"/>
      <c r="I722" s="109"/>
      <c r="J722" s="109"/>
      <c r="K722" s="109"/>
      <c r="L722" s="109"/>
      <c r="M722" s="109"/>
      <c r="N722" s="109"/>
      <c r="O722" s="109"/>
      <c r="P722" s="109"/>
      <c r="Q722" s="109"/>
      <c r="R722" s="109"/>
      <c r="S722" s="109"/>
      <c r="T722" s="109"/>
      <c r="U722" s="109"/>
      <c r="V722" s="109"/>
      <c r="W722" s="109"/>
      <c r="X722" s="109"/>
      <c r="Y722" s="109"/>
      <c r="Z722" s="109"/>
    </row>
    <row r="723" spans="1:26" ht="11.25" customHeight="1">
      <c r="A723" s="109"/>
      <c r="B723" s="109"/>
      <c r="C723" s="109"/>
      <c r="D723" s="109"/>
      <c r="E723" s="109"/>
      <c r="F723" s="109"/>
      <c r="G723" s="109"/>
      <c r="H723" s="109"/>
      <c r="I723" s="109"/>
      <c r="J723" s="109"/>
      <c r="K723" s="109"/>
      <c r="L723" s="109"/>
      <c r="M723" s="109"/>
      <c r="N723" s="109"/>
      <c r="O723" s="109"/>
      <c r="P723" s="109"/>
      <c r="Q723" s="109"/>
      <c r="R723" s="109"/>
      <c r="S723" s="109"/>
      <c r="T723" s="109"/>
      <c r="U723" s="109"/>
      <c r="V723" s="109"/>
      <c r="W723" s="109"/>
      <c r="X723" s="109"/>
      <c r="Y723" s="109"/>
      <c r="Z723" s="109"/>
    </row>
    <row r="724" spans="1:26" ht="11.25" customHeight="1">
      <c r="A724" s="109"/>
      <c r="B724" s="109"/>
      <c r="C724" s="109"/>
      <c r="D724" s="109"/>
      <c r="E724" s="109"/>
      <c r="F724" s="109"/>
      <c r="G724" s="109"/>
      <c r="H724" s="109"/>
      <c r="I724" s="109"/>
      <c r="J724" s="109"/>
      <c r="K724" s="109"/>
      <c r="L724" s="109"/>
      <c r="M724" s="109"/>
      <c r="N724" s="109"/>
      <c r="O724" s="109"/>
      <c r="P724" s="109"/>
      <c r="Q724" s="109"/>
      <c r="R724" s="109"/>
      <c r="S724" s="109"/>
      <c r="T724" s="109"/>
      <c r="U724" s="109"/>
      <c r="V724" s="109"/>
      <c r="W724" s="109"/>
      <c r="X724" s="109"/>
      <c r="Y724" s="109"/>
      <c r="Z724" s="109"/>
    </row>
    <row r="725" spans="1:26" ht="11.25" customHeight="1">
      <c r="A725" s="109"/>
      <c r="B725" s="109"/>
      <c r="C725" s="109"/>
      <c r="D725" s="109"/>
      <c r="E725" s="109"/>
      <c r="F725" s="109"/>
      <c r="G725" s="109"/>
      <c r="H725" s="109"/>
      <c r="I725" s="109"/>
      <c r="J725" s="109"/>
      <c r="K725" s="109"/>
      <c r="L725" s="109"/>
      <c r="M725" s="109"/>
      <c r="N725" s="109"/>
      <c r="O725" s="109"/>
      <c r="P725" s="109"/>
      <c r="Q725" s="109"/>
      <c r="R725" s="109"/>
      <c r="S725" s="109"/>
      <c r="T725" s="109"/>
      <c r="U725" s="109"/>
      <c r="V725" s="109"/>
      <c r="W725" s="109"/>
      <c r="X725" s="109"/>
      <c r="Y725" s="109"/>
      <c r="Z725" s="109"/>
    </row>
    <row r="726" spans="1:26" ht="11.25" customHeight="1">
      <c r="A726" s="109"/>
      <c r="B726" s="109"/>
      <c r="C726" s="109"/>
      <c r="D726" s="109"/>
      <c r="E726" s="109"/>
      <c r="F726" s="109"/>
      <c r="G726" s="109"/>
      <c r="H726" s="109"/>
      <c r="I726" s="109"/>
      <c r="J726" s="109"/>
      <c r="K726" s="109"/>
      <c r="L726" s="109"/>
      <c r="M726" s="109"/>
      <c r="N726" s="109"/>
      <c r="O726" s="109"/>
      <c r="P726" s="109"/>
      <c r="Q726" s="109"/>
      <c r="R726" s="109"/>
      <c r="S726" s="109"/>
      <c r="T726" s="109"/>
      <c r="U726" s="109"/>
      <c r="V726" s="109"/>
      <c r="W726" s="109"/>
      <c r="X726" s="109"/>
      <c r="Y726" s="109"/>
      <c r="Z726" s="109"/>
    </row>
    <row r="727" spans="1:26" ht="11.25" customHeight="1">
      <c r="A727" s="109"/>
      <c r="B727" s="109"/>
      <c r="C727" s="109"/>
      <c r="D727" s="109"/>
      <c r="E727" s="109"/>
      <c r="F727" s="109"/>
      <c r="G727" s="109"/>
      <c r="H727" s="109"/>
      <c r="I727" s="109"/>
      <c r="J727" s="109"/>
      <c r="K727" s="109"/>
      <c r="L727" s="109"/>
      <c r="M727" s="109"/>
      <c r="N727" s="109"/>
      <c r="O727" s="109"/>
      <c r="P727" s="109"/>
      <c r="Q727" s="109"/>
      <c r="R727" s="109"/>
      <c r="S727" s="109"/>
      <c r="T727" s="109"/>
      <c r="U727" s="109"/>
      <c r="V727" s="109"/>
      <c r="W727" s="109"/>
      <c r="X727" s="109"/>
      <c r="Y727" s="109"/>
      <c r="Z727" s="109"/>
    </row>
    <row r="728" spans="1:26" ht="11.25" customHeight="1">
      <c r="A728" s="109"/>
      <c r="B728" s="109"/>
      <c r="C728" s="109"/>
      <c r="D728" s="109"/>
      <c r="E728" s="109"/>
      <c r="F728" s="109"/>
      <c r="G728" s="109"/>
      <c r="H728" s="109"/>
      <c r="I728" s="109"/>
      <c r="J728" s="109"/>
      <c r="K728" s="109"/>
      <c r="L728" s="109"/>
      <c r="M728" s="109"/>
      <c r="N728" s="109"/>
      <c r="O728" s="109"/>
      <c r="P728" s="109"/>
      <c r="Q728" s="109"/>
      <c r="R728" s="109"/>
      <c r="S728" s="109"/>
      <c r="T728" s="109"/>
      <c r="U728" s="109"/>
      <c r="V728" s="109"/>
      <c r="W728" s="109"/>
      <c r="X728" s="109"/>
      <c r="Y728" s="109"/>
      <c r="Z728" s="109"/>
    </row>
    <row r="729" spans="1:26" ht="11.25" customHeight="1">
      <c r="A729" s="109"/>
      <c r="B729" s="109"/>
      <c r="C729" s="109"/>
      <c r="D729" s="109"/>
      <c r="E729" s="109"/>
      <c r="F729" s="109"/>
      <c r="G729" s="109"/>
      <c r="H729" s="109"/>
      <c r="I729" s="109"/>
      <c r="J729" s="109"/>
      <c r="K729" s="109"/>
      <c r="L729" s="109"/>
      <c r="M729" s="109"/>
      <c r="N729" s="109"/>
      <c r="O729" s="109"/>
      <c r="P729" s="109"/>
      <c r="Q729" s="109"/>
      <c r="R729" s="109"/>
      <c r="S729" s="109"/>
      <c r="T729" s="109"/>
      <c r="U729" s="109"/>
      <c r="V729" s="109"/>
      <c r="W729" s="109"/>
      <c r="X729" s="109"/>
      <c r="Y729" s="109"/>
      <c r="Z729" s="109"/>
    </row>
    <row r="730" spans="1:26" ht="11.25" customHeight="1">
      <c r="A730" s="109"/>
      <c r="B730" s="109"/>
      <c r="C730" s="109"/>
      <c r="D730" s="109"/>
      <c r="E730" s="109"/>
      <c r="F730" s="109"/>
      <c r="G730" s="109"/>
      <c r="H730" s="109"/>
      <c r="I730" s="109"/>
      <c r="J730" s="109"/>
      <c r="K730" s="109"/>
      <c r="L730" s="109"/>
      <c r="M730" s="109"/>
      <c r="N730" s="109"/>
      <c r="O730" s="109"/>
      <c r="P730" s="109"/>
      <c r="Q730" s="109"/>
      <c r="R730" s="109"/>
      <c r="S730" s="109"/>
      <c r="T730" s="109"/>
      <c r="U730" s="109"/>
      <c r="V730" s="109"/>
      <c r="W730" s="109"/>
      <c r="X730" s="109"/>
      <c r="Y730" s="109"/>
      <c r="Z730" s="109"/>
    </row>
    <row r="731" spans="1:26" ht="11.25" customHeight="1">
      <c r="A731" s="109"/>
      <c r="B731" s="109"/>
      <c r="C731" s="109"/>
      <c r="D731" s="109"/>
      <c r="E731" s="109"/>
      <c r="F731" s="109"/>
      <c r="G731" s="109"/>
      <c r="H731" s="109"/>
      <c r="I731" s="109"/>
      <c r="J731" s="109"/>
      <c r="K731" s="109"/>
      <c r="L731" s="109"/>
      <c r="M731" s="109"/>
      <c r="N731" s="109"/>
      <c r="O731" s="109"/>
      <c r="P731" s="109"/>
      <c r="Q731" s="109"/>
      <c r="R731" s="109"/>
      <c r="S731" s="109"/>
      <c r="T731" s="109"/>
      <c r="U731" s="109"/>
      <c r="V731" s="109"/>
      <c r="W731" s="109"/>
      <c r="X731" s="109"/>
      <c r="Y731" s="109"/>
      <c r="Z731" s="109"/>
    </row>
    <row r="732" spans="1:26" ht="11.25" customHeight="1">
      <c r="A732" s="109"/>
      <c r="B732" s="109"/>
      <c r="C732" s="109"/>
      <c r="D732" s="109"/>
      <c r="E732" s="109"/>
      <c r="F732" s="109"/>
      <c r="G732" s="109"/>
      <c r="H732" s="109"/>
      <c r="I732" s="109"/>
      <c r="J732" s="109"/>
      <c r="K732" s="109"/>
      <c r="L732" s="109"/>
      <c r="M732" s="109"/>
      <c r="N732" s="109"/>
      <c r="O732" s="109"/>
      <c r="P732" s="109"/>
      <c r="Q732" s="109"/>
      <c r="R732" s="109"/>
      <c r="S732" s="109"/>
      <c r="T732" s="109"/>
      <c r="U732" s="109"/>
      <c r="V732" s="109"/>
      <c r="W732" s="109"/>
      <c r="X732" s="109"/>
      <c r="Y732" s="109"/>
      <c r="Z732" s="109"/>
    </row>
    <row r="733" spans="1:26" ht="11.25" customHeight="1">
      <c r="A733" s="109"/>
      <c r="B733" s="109"/>
      <c r="C733" s="109"/>
      <c r="D733" s="109"/>
      <c r="E733" s="109"/>
      <c r="F733" s="109"/>
      <c r="G733" s="109"/>
      <c r="H733" s="109"/>
      <c r="I733" s="109"/>
      <c r="J733" s="109"/>
      <c r="K733" s="109"/>
      <c r="L733" s="109"/>
      <c r="M733" s="109"/>
      <c r="N733" s="109"/>
      <c r="O733" s="109"/>
      <c r="P733" s="109"/>
      <c r="Q733" s="109"/>
      <c r="R733" s="109"/>
      <c r="S733" s="109"/>
      <c r="T733" s="109"/>
      <c r="U733" s="109"/>
      <c r="V733" s="109"/>
      <c r="W733" s="109"/>
      <c r="X733" s="109"/>
      <c r="Y733" s="109"/>
      <c r="Z733" s="109"/>
    </row>
    <row r="734" spans="1:26" ht="11.25" customHeight="1">
      <c r="A734" s="109"/>
      <c r="B734" s="109"/>
      <c r="C734" s="109"/>
      <c r="D734" s="109"/>
      <c r="E734" s="109"/>
      <c r="F734" s="109"/>
      <c r="G734" s="109"/>
      <c r="H734" s="109"/>
      <c r="I734" s="109"/>
      <c r="J734" s="109"/>
      <c r="K734" s="109"/>
      <c r="L734" s="109"/>
      <c r="M734" s="109"/>
      <c r="N734" s="109"/>
      <c r="O734" s="109"/>
      <c r="P734" s="109"/>
      <c r="Q734" s="109"/>
      <c r="R734" s="109"/>
      <c r="S734" s="109"/>
      <c r="T734" s="109"/>
      <c r="U734" s="109"/>
      <c r="V734" s="109"/>
      <c r="W734" s="109"/>
      <c r="X734" s="109"/>
      <c r="Y734" s="109"/>
      <c r="Z734" s="109"/>
    </row>
    <row r="735" spans="1:26" ht="11.25" customHeight="1">
      <c r="A735" s="109"/>
      <c r="B735" s="109"/>
      <c r="C735" s="109"/>
      <c r="D735" s="109"/>
      <c r="E735" s="109"/>
      <c r="F735" s="109"/>
      <c r="G735" s="109"/>
      <c r="H735" s="109"/>
      <c r="I735" s="109"/>
      <c r="J735" s="109"/>
      <c r="K735" s="109"/>
      <c r="L735" s="109"/>
      <c r="M735" s="109"/>
      <c r="N735" s="109"/>
      <c r="O735" s="109"/>
      <c r="P735" s="109"/>
      <c r="Q735" s="109"/>
      <c r="R735" s="109"/>
      <c r="S735" s="109"/>
      <c r="T735" s="109"/>
      <c r="U735" s="109"/>
      <c r="V735" s="109"/>
      <c r="W735" s="109"/>
      <c r="X735" s="109"/>
      <c r="Y735" s="109"/>
      <c r="Z735" s="109"/>
    </row>
    <row r="736" spans="1:26" ht="11.25" customHeight="1">
      <c r="A736" s="109"/>
      <c r="B736" s="109"/>
      <c r="C736" s="109"/>
      <c r="D736" s="109"/>
      <c r="E736" s="109"/>
      <c r="F736" s="109"/>
      <c r="G736" s="109"/>
      <c r="H736" s="109"/>
      <c r="I736" s="109"/>
      <c r="J736" s="109"/>
      <c r="K736" s="109"/>
      <c r="L736" s="109"/>
      <c r="M736" s="109"/>
      <c r="N736" s="109"/>
      <c r="O736" s="109"/>
      <c r="P736" s="109"/>
      <c r="Q736" s="109"/>
      <c r="R736" s="109"/>
      <c r="S736" s="109"/>
      <c r="T736" s="109"/>
      <c r="U736" s="109"/>
      <c r="V736" s="109"/>
      <c r="W736" s="109"/>
      <c r="X736" s="109"/>
      <c r="Y736" s="109"/>
      <c r="Z736" s="109"/>
    </row>
    <row r="737" spans="1:26" ht="11.25" customHeight="1">
      <c r="A737" s="109"/>
      <c r="B737" s="109"/>
      <c r="C737" s="109"/>
      <c r="D737" s="109"/>
      <c r="E737" s="109"/>
      <c r="F737" s="109"/>
      <c r="G737" s="109"/>
      <c r="H737" s="109"/>
      <c r="I737" s="109"/>
      <c r="J737" s="109"/>
      <c r="K737" s="109"/>
      <c r="L737" s="109"/>
      <c r="M737" s="109"/>
      <c r="N737" s="109"/>
      <c r="O737" s="109"/>
      <c r="P737" s="109"/>
      <c r="Q737" s="109"/>
      <c r="R737" s="109"/>
      <c r="S737" s="109"/>
      <c r="T737" s="109"/>
      <c r="U737" s="109"/>
      <c r="V737" s="109"/>
      <c r="W737" s="109"/>
      <c r="X737" s="109"/>
      <c r="Y737" s="109"/>
      <c r="Z737" s="109"/>
    </row>
    <row r="738" spans="1:26" ht="11.25" customHeight="1">
      <c r="A738" s="109"/>
      <c r="B738" s="109"/>
      <c r="C738" s="109"/>
      <c r="D738" s="109"/>
      <c r="E738" s="109"/>
      <c r="F738" s="109"/>
      <c r="G738" s="109"/>
      <c r="H738" s="109"/>
      <c r="I738" s="109"/>
      <c r="J738" s="109"/>
      <c r="K738" s="109"/>
      <c r="L738" s="109"/>
      <c r="M738" s="109"/>
      <c r="N738" s="109"/>
      <c r="O738" s="109"/>
      <c r="P738" s="109"/>
      <c r="Q738" s="109"/>
      <c r="R738" s="109"/>
      <c r="S738" s="109"/>
      <c r="T738" s="109"/>
      <c r="U738" s="109"/>
      <c r="V738" s="109"/>
      <c r="W738" s="109"/>
      <c r="X738" s="109"/>
      <c r="Y738" s="109"/>
      <c r="Z738" s="109"/>
    </row>
    <row r="739" spans="1:26" ht="11.25" customHeight="1">
      <c r="A739" s="109"/>
      <c r="B739" s="109"/>
      <c r="C739" s="109"/>
      <c r="D739" s="109"/>
      <c r="E739" s="109"/>
      <c r="F739" s="109"/>
      <c r="G739" s="109"/>
      <c r="H739" s="109"/>
      <c r="I739" s="109"/>
      <c r="J739" s="109"/>
      <c r="K739" s="109"/>
      <c r="L739" s="109"/>
      <c r="M739" s="109"/>
      <c r="N739" s="109"/>
      <c r="O739" s="109"/>
      <c r="P739" s="109"/>
      <c r="Q739" s="109"/>
      <c r="R739" s="109"/>
      <c r="S739" s="109"/>
      <c r="T739" s="109"/>
      <c r="U739" s="109"/>
      <c r="V739" s="109"/>
      <c r="W739" s="109"/>
      <c r="X739" s="109"/>
      <c r="Y739" s="109"/>
      <c r="Z739" s="109"/>
    </row>
    <row r="740" spans="1:26" ht="11.25" customHeight="1">
      <c r="A740" s="109"/>
      <c r="B740" s="109"/>
      <c r="C740" s="109"/>
      <c r="D740" s="109"/>
      <c r="E740" s="109"/>
      <c r="F740" s="109"/>
      <c r="G740" s="109"/>
      <c r="H740" s="109"/>
      <c r="I740" s="109"/>
      <c r="J740" s="109"/>
      <c r="K740" s="109"/>
      <c r="L740" s="109"/>
      <c r="M740" s="109"/>
      <c r="N740" s="109"/>
      <c r="O740" s="109"/>
      <c r="P740" s="109"/>
      <c r="Q740" s="109"/>
      <c r="R740" s="109"/>
      <c r="S740" s="109"/>
      <c r="T740" s="109"/>
      <c r="U740" s="109"/>
      <c r="V740" s="109"/>
      <c r="W740" s="109"/>
      <c r="X740" s="109"/>
      <c r="Y740" s="109"/>
      <c r="Z740" s="109"/>
    </row>
    <row r="741" spans="1:26" ht="11.25" customHeight="1">
      <c r="A741" s="109"/>
      <c r="B741" s="109"/>
      <c r="C741" s="109"/>
      <c r="D741" s="109"/>
      <c r="E741" s="109"/>
      <c r="F741" s="109"/>
      <c r="G741" s="109"/>
      <c r="H741" s="109"/>
      <c r="I741" s="109"/>
      <c r="J741" s="109"/>
      <c r="K741" s="109"/>
      <c r="L741" s="109"/>
      <c r="M741" s="109"/>
      <c r="N741" s="109"/>
      <c r="O741" s="109"/>
      <c r="P741" s="109"/>
      <c r="Q741" s="109"/>
      <c r="R741" s="109"/>
      <c r="S741" s="109"/>
      <c r="T741" s="109"/>
      <c r="U741" s="109"/>
      <c r="V741" s="109"/>
      <c r="W741" s="109"/>
      <c r="X741" s="109"/>
      <c r="Y741" s="109"/>
      <c r="Z741" s="109"/>
    </row>
    <row r="742" spans="1:26" ht="11.25" customHeight="1">
      <c r="A742" s="109"/>
      <c r="B742" s="109"/>
      <c r="C742" s="109"/>
      <c r="D742" s="109"/>
      <c r="E742" s="109"/>
      <c r="F742" s="109"/>
      <c r="G742" s="109"/>
      <c r="H742" s="109"/>
      <c r="I742" s="109"/>
      <c r="J742" s="109"/>
      <c r="K742" s="109"/>
      <c r="L742" s="109"/>
      <c r="M742" s="109"/>
      <c r="N742" s="109"/>
      <c r="O742" s="109"/>
      <c r="P742" s="109"/>
      <c r="Q742" s="109"/>
      <c r="R742" s="109"/>
      <c r="S742" s="109"/>
      <c r="T742" s="109"/>
      <c r="U742" s="109"/>
      <c r="V742" s="109"/>
      <c r="W742" s="109"/>
      <c r="X742" s="109"/>
      <c r="Y742" s="109"/>
      <c r="Z742" s="109"/>
    </row>
    <row r="743" spans="1:26" ht="11.25" customHeight="1">
      <c r="A743" s="109"/>
      <c r="B743" s="109"/>
      <c r="C743" s="109"/>
      <c r="D743" s="109"/>
      <c r="E743" s="109"/>
      <c r="F743" s="109"/>
      <c r="G743" s="109"/>
      <c r="H743" s="109"/>
      <c r="I743" s="109"/>
      <c r="J743" s="109"/>
      <c r="K743" s="109"/>
      <c r="L743" s="109"/>
      <c r="M743" s="109"/>
      <c r="N743" s="109"/>
      <c r="O743" s="109"/>
      <c r="P743" s="109"/>
      <c r="Q743" s="109"/>
      <c r="R743" s="109"/>
      <c r="S743" s="109"/>
      <c r="T743" s="109"/>
      <c r="U743" s="109"/>
      <c r="V743" s="109"/>
      <c r="W743" s="109"/>
      <c r="X743" s="109"/>
      <c r="Y743" s="109"/>
      <c r="Z743" s="109"/>
    </row>
    <row r="744" spans="1:26" ht="11.25" customHeight="1">
      <c r="A744" s="109"/>
      <c r="B744" s="109"/>
      <c r="C744" s="109"/>
      <c r="D744" s="109"/>
      <c r="E744" s="109"/>
      <c r="F744" s="109"/>
      <c r="G744" s="109"/>
      <c r="H744" s="109"/>
      <c r="I744" s="109"/>
      <c r="J744" s="109"/>
      <c r="K744" s="109"/>
      <c r="L744" s="109"/>
      <c r="M744" s="109"/>
      <c r="N744" s="109"/>
      <c r="O744" s="109"/>
      <c r="P744" s="109"/>
      <c r="Q744" s="109"/>
      <c r="R744" s="109"/>
      <c r="S744" s="109"/>
      <c r="T744" s="109"/>
      <c r="U744" s="109"/>
      <c r="V744" s="109"/>
      <c r="W744" s="109"/>
      <c r="X744" s="109"/>
      <c r="Y744" s="109"/>
      <c r="Z744" s="109"/>
    </row>
    <row r="745" spans="1:26" ht="11.25" customHeight="1">
      <c r="A745" s="109"/>
      <c r="B745" s="109"/>
      <c r="C745" s="109"/>
      <c r="D745" s="109"/>
      <c r="E745" s="109"/>
      <c r="F745" s="109"/>
      <c r="G745" s="109"/>
      <c r="H745" s="109"/>
      <c r="I745" s="109"/>
      <c r="J745" s="109"/>
      <c r="K745" s="109"/>
      <c r="L745" s="109"/>
      <c r="M745" s="109"/>
      <c r="N745" s="109"/>
      <c r="O745" s="109"/>
      <c r="P745" s="109"/>
      <c r="Q745" s="109"/>
      <c r="R745" s="109"/>
      <c r="S745" s="109"/>
      <c r="T745" s="109"/>
      <c r="U745" s="109"/>
      <c r="V745" s="109"/>
      <c r="W745" s="109"/>
      <c r="X745" s="109"/>
      <c r="Y745" s="109"/>
      <c r="Z745" s="109"/>
    </row>
    <row r="746" spans="1:26" ht="11.25" customHeight="1">
      <c r="A746" s="109"/>
      <c r="B746" s="109"/>
      <c r="C746" s="109"/>
      <c r="D746" s="109"/>
      <c r="E746" s="109"/>
      <c r="F746" s="109"/>
      <c r="G746" s="109"/>
      <c r="H746" s="109"/>
      <c r="I746" s="109"/>
      <c r="J746" s="109"/>
      <c r="K746" s="109"/>
      <c r="L746" s="109"/>
      <c r="M746" s="109"/>
      <c r="N746" s="109"/>
      <c r="O746" s="109"/>
      <c r="P746" s="109"/>
      <c r="Q746" s="109"/>
      <c r="R746" s="109"/>
      <c r="S746" s="109"/>
      <c r="T746" s="109"/>
      <c r="U746" s="109"/>
      <c r="V746" s="109"/>
      <c r="W746" s="109"/>
      <c r="X746" s="109"/>
      <c r="Y746" s="109"/>
      <c r="Z746" s="109"/>
    </row>
    <row r="747" spans="1:26" ht="11.25" customHeight="1">
      <c r="A747" s="109"/>
      <c r="B747" s="109"/>
      <c r="C747" s="109"/>
      <c r="D747" s="109"/>
      <c r="E747" s="109"/>
      <c r="F747" s="109"/>
      <c r="G747" s="109"/>
      <c r="H747" s="109"/>
      <c r="I747" s="109"/>
      <c r="J747" s="109"/>
      <c r="K747" s="109"/>
      <c r="L747" s="109"/>
      <c r="M747" s="109"/>
      <c r="N747" s="109"/>
      <c r="O747" s="109"/>
      <c r="P747" s="109"/>
      <c r="Q747" s="109"/>
      <c r="R747" s="109"/>
      <c r="S747" s="109"/>
      <c r="T747" s="109"/>
      <c r="U747" s="109"/>
      <c r="V747" s="109"/>
      <c r="W747" s="109"/>
      <c r="X747" s="109"/>
      <c r="Y747" s="109"/>
      <c r="Z747" s="109"/>
    </row>
    <row r="748" spans="1:26" ht="11.25" customHeight="1">
      <c r="A748" s="109"/>
      <c r="B748" s="109"/>
      <c r="C748" s="109"/>
      <c r="D748" s="109"/>
      <c r="E748" s="109"/>
      <c r="F748" s="109"/>
      <c r="G748" s="109"/>
      <c r="H748" s="109"/>
      <c r="I748" s="109"/>
      <c r="J748" s="109"/>
      <c r="K748" s="109"/>
      <c r="L748" s="109"/>
      <c r="M748" s="109"/>
      <c r="N748" s="109"/>
      <c r="O748" s="109"/>
      <c r="P748" s="109"/>
      <c r="Q748" s="109"/>
      <c r="R748" s="109"/>
      <c r="S748" s="109"/>
      <c r="T748" s="109"/>
      <c r="U748" s="109"/>
      <c r="V748" s="109"/>
      <c r="W748" s="109"/>
      <c r="X748" s="109"/>
      <c r="Y748" s="109"/>
      <c r="Z748" s="109"/>
    </row>
    <row r="749" spans="1:26" ht="11.25" customHeight="1">
      <c r="A749" s="109"/>
      <c r="B749" s="109"/>
      <c r="C749" s="109"/>
      <c r="D749" s="109"/>
      <c r="E749" s="109"/>
      <c r="F749" s="109"/>
      <c r="G749" s="109"/>
      <c r="H749" s="109"/>
      <c r="I749" s="109"/>
      <c r="J749" s="109"/>
      <c r="K749" s="109"/>
      <c r="L749" s="109"/>
      <c r="M749" s="109"/>
      <c r="N749" s="109"/>
      <c r="O749" s="109"/>
      <c r="P749" s="109"/>
      <c r="Q749" s="109"/>
      <c r="R749" s="109"/>
      <c r="S749" s="109"/>
      <c r="T749" s="109"/>
      <c r="U749" s="109"/>
      <c r="V749" s="109"/>
      <c r="W749" s="109"/>
      <c r="X749" s="109"/>
      <c r="Y749" s="109"/>
      <c r="Z749" s="109"/>
    </row>
    <row r="750" spans="1:26" ht="11.25" customHeight="1">
      <c r="A750" s="109"/>
      <c r="B750" s="109"/>
      <c r="C750" s="109"/>
      <c r="D750" s="109"/>
      <c r="E750" s="109"/>
      <c r="F750" s="109"/>
      <c r="G750" s="109"/>
      <c r="H750" s="109"/>
      <c r="I750" s="109"/>
      <c r="J750" s="109"/>
      <c r="K750" s="109"/>
      <c r="L750" s="109"/>
      <c r="M750" s="109"/>
      <c r="N750" s="109"/>
      <c r="O750" s="109"/>
      <c r="P750" s="109"/>
      <c r="Q750" s="109"/>
      <c r="R750" s="109"/>
      <c r="S750" s="109"/>
      <c r="T750" s="109"/>
      <c r="U750" s="109"/>
      <c r="V750" s="109"/>
      <c r="W750" s="109"/>
      <c r="X750" s="109"/>
      <c r="Y750" s="109"/>
      <c r="Z750" s="109"/>
    </row>
    <row r="751" spans="1:26" ht="11.25" customHeight="1">
      <c r="A751" s="109"/>
      <c r="B751" s="109"/>
      <c r="C751" s="109"/>
      <c r="D751" s="109"/>
      <c r="E751" s="109"/>
      <c r="F751" s="109"/>
      <c r="G751" s="109"/>
      <c r="H751" s="109"/>
      <c r="I751" s="109"/>
      <c r="J751" s="109"/>
      <c r="K751" s="109"/>
      <c r="L751" s="109"/>
      <c r="M751" s="109"/>
      <c r="N751" s="109"/>
      <c r="O751" s="109"/>
      <c r="P751" s="109"/>
      <c r="Q751" s="109"/>
      <c r="R751" s="109"/>
      <c r="S751" s="109"/>
      <c r="T751" s="109"/>
      <c r="U751" s="109"/>
      <c r="V751" s="109"/>
      <c r="W751" s="109"/>
      <c r="X751" s="109"/>
      <c r="Y751" s="109"/>
      <c r="Z751" s="109"/>
    </row>
    <row r="752" spans="1:26" ht="11.25" customHeight="1">
      <c r="A752" s="109"/>
      <c r="B752" s="109"/>
      <c r="C752" s="109"/>
      <c r="D752" s="109"/>
      <c r="E752" s="109"/>
      <c r="F752" s="109"/>
      <c r="G752" s="109"/>
      <c r="H752" s="109"/>
      <c r="I752" s="109"/>
      <c r="J752" s="109"/>
      <c r="K752" s="109"/>
      <c r="L752" s="109"/>
      <c r="M752" s="109"/>
      <c r="N752" s="109"/>
      <c r="O752" s="109"/>
      <c r="P752" s="109"/>
      <c r="Q752" s="109"/>
      <c r="R752" s="109"/>
      <c r="S752" s="109"/>
      <c r="T752" s="109"/>
      <c r="U752" s="109"/>
      <c r="V752" s="109"/>
      <c r="W752" s="109"/>
      <c r="X752" s="109"/>
      <c r="Y752" s="109"/>
      <c r="Z752" s="109"/>
    </row>
    <row r="753" spans="1:26" ht="11.25" customHeight="1">
      <c r="A753" s="109"/>
      <c r="B753" s="109"/>
      <c r="C753" s="109"/>
      <c r="D753" s="109"/>
      <c r="E753" s="109"/>
      <c r="F753" s="109"/>
      <c r="G753" s="109"/>
      <c r="H753" s="109"/>
      <c r="I753" s="109"/>
      <c r="J753" s="109"/>
      <c r="K753" s="109"/>
      <c r="L753" s="109"/>
      <c r="M753" s="109"/>
      <c r="N753" s="109"/>
      <c r="O753" s="109"/>
      <c r="P753" s="109"/>
      <c r="Q753" s="109"/>
      <c r="R753" s="109"/>
      <c r="S753" s="109"/>
      <c r="T753" s="109"/>
      <c r="U753" s="109"/>
      <c r="V753" s="109"/>
      <c r="W753" s="109"/>
      <c r="X753" s="109"/>
      <c r="Y753" s="109"/>
      <c r="Z753" s="109"/>
    </row>
    <row r="754" spans="1:26" ht="11.25" customHeight="1">
      <c r="A754" s="109"/>
      <c r="B754" s="109"/>
      <c r="C754" s="109"/>
      <c r="D754" s="109"/>
      <c r="E754" s="109"/>
      <c r="F754" s="109"/>
      <c r="G754" s="109"/>
      <c r="H754" s="109"/>
      <c r="I754" s="109"/>
      <c r="J754" s="109"/>
      <c r="K754" s="109"/>
      <c r="L754" s="109"/>
      <c r="M754" s="109"/>
      <c r="N754" s="109"/>
      <c r="O754" s="109"/>
      <c r="P754" s="109"/>
      <c r="Q754" s="109"/>
      <c r="R754" s="109"/>
      <c r="S754" s="109"/>
      <c r="T754" s="109"/>
      <c r="U754" s="109"/>
      <c r="V754" s="109"/>
      <c r="W754" s="109"/>
      <c r="X754" s="109"/>
      <c r="Y754" s="109"/>
      <c r="Z754" s="109"/>
    </row>
    <row r="755" spans="1:26" ht="11.25" customHeight="1">
      <c r="A755" s="109"/>
      <c r="B755" s="109"/>
      <c r="C755" s="109"/>
      <c r="D755" s="109"/>
      <c r="E755" s="109"/>
      <c r="F755" s="109"/>
      <c r="G755" s="109"/>
      <c r="H755" s="109"/>
      <c r="I755" s="109"/>
      <c r="J755" s="109"/>
      <c r="K755" s="109"/>
      <c r="L755" s="109"/>
      <c r="M755" s="109"/>
      <c r="N755" s="109"/>
      <c r="O755" s="109"/>
      <c r="P755" s="109"/>
      <c r="Q755" s="109"/>
      <c r="R755" s="109"/>
      <c r="S755" s="109"/>
      <c r="T755" s="109"/>
      <c r="U755" s="109"/>
      <c r="V755" s="109"/>
      <c r="W755" s="109"/>
      <c r="X755" s="109"/>
      <c r="Y755" s="109"/>
      <c r="Z755" s="109"/>
    </row>
    <row r="756" spans="1:26" ht="11.25" customHeight="1">
      <c r="A756" s="109"/>
      <c r="B756" s="109"/>
      <c r="C756" s="109"/>
      <c r="D756" s="109"/>
      <c r="E756" s="109"/>
      <c r="F756" s="109"/>
      <c r="G756" s="109"/>
      <c r="H756" s="109"/>
      <c r="I756" s="109"/>
      <c r="J756" s="109"/>
      <c r="K756" s="109"/>
      <c r="L756" s="109"/>
      <c r="M756" s="109"/>
      <c r="N756" s="109"/>
      <c r="O756" s="109"/>
      <c r="P756" s="109"/>
      <c r="Q756" s="109"/>
      <c r="R756" s="109"/>
      <c r="S756" s="109"/>
      <c r="T756" s="109"/>
      <c r="U756" s="109"/>
      <c r="V756" s="109"/>
      <c r="W756" s="109"/>
      <c r="X756" s="109"/>
      <c r="Y756" s="109"/>
      <c r="Z756" s="109"/>
    </row>
    <row r="757" spans="1:26" ht="11.25" customHeight="1">
      <c r="A757" s="109"/>
      <c r="B757" s="109"/>
      <c r="C757" s="109"/>
      <c r="D757" s="109"/>
      <c r="E757" s="109"/>
      <c r="F757" s="109"/>
      <c r="G757" s="109"/>
      <c r="H757" s="109"/>
      <c r="I757" s="109"/>
      <c r="J757" s="109"/>
      <c r="K757" s="109"/>
      <c r="L757" s="109"/>
      <c r="M757" s="109"/>
      <c r="N757" s="109"/>
      <c r="O757" s="109"/>
      <c r="P757" s="109"/>
      <c r="Q757" s="109"/>
      <c r="R757" s="109"/>
      <c r="S757" s="109"/>
      <c r="T757" s="109"/>
      <c r="U757" s="109"/>
      <c r="V757" s="109"/>
      <c r="W757" s="109"/>
      <c r="X757" s="109"/>
      <c r="Y757" s="109"/>
      <c r="Z757" s="109"/>
    </row>
    <row r="758" spans="1:26" ht="11.25" customHeight="1">
      <c r="A758" s="109"/>
      <c r="B758" s="109"/>
      <c r="C758" s="109"/>
      <c r="D758" s="109"/>
      <c r="E758" s="109"/>
      <c r="F758" s="109"/>
      <c r="G758" s="109"/>
      <c r="H758" s="109"/>
      <c r="I758" s="109"/>
      <c r="J758" s="109"/>
      <c r="K758" s="109"/>
      <c r="L758" s="109"/>
      <c r="M758" s="109"/>
      <c r="N758" s="109"/>
      <c r="O758" s="109"/>
      <c r="P758" s="109"/>
      <c r="Q758" s="109"/>
      <c r="R758" s="109"/>
      <c r="S758" s="109"/>
      <c r="T758" s="109"/>
      <c r="U758" s="109"/>
      <c r="V758" s="109"/>
      <c r="W758" s="109"/>
      <c r="X758" s="109"/>
      <c r="Y758" s="109"/>
      <c r="Z758" s="109"/>
    </row>
    <row r="759" spans="1:26" ht="11.25" customHeight="1">
      <c r="A759" s="109"/>
      <c r="B759" s="109"/>
      <c r="C759" s="109"/>
      <c r="D759" s="109"/>
      <c r="E759" s="109"/>
      <c r="F759" s="109"/>
      <c r="G759" s="109"/>
      <c r="H759" s="109"/>
      <c r="I759" s="109"/>
      <c r="J759" s="109"/>
      <c r="K759" s="109"/>
      <c r="L759" s="109"/>
      <c r="M759" s="109"/>
      <c r="N759" s="109"/>
      <c r="O759" s="109"/>
      <c r="P759" s="109"/>
      <c r="Q759" s="109"/>
      <c r="R759" s="109"/>
      <c r="S759" s="109"/>
      <c r="T759" s="109"/>
      <c r="U759" s="109"/>
      <c r="V759" s="109"/>
      <c r="W759" s="109"/>
      <c r="X759" s="109"/>
      <c r="Y759" s="109"/>
      <c r="Z759" s="109"/>
    </row>
    <row r="760" spans="1:26" ht="11.25" customHeight="1">
      <c r="A760" s="109"/>
      <c r="B760" s="109"/>
      <c r="C760" s="109"/>
      <c r="D760" s="109"/>
      <c r="E760" s="109"/>
      <c r="F760" s="109"/>
      <c r="G760" s="109"/>
      <c r="H760" s="109"/>
      <c r="I760" s="109"/>
      <c r="J760" s="109"/>
      <c r="K760" s="109"/>
      <c r="L760" s="109"/>
      <c r="M760" s="109"/>
      <c r="N760" s="109"/>
      <c r="O760" s="109"/>
      <c r="P760" s="109"/>
      <c r="Q760" s="109"/>
      <c r="R760" s="109"/>
      <c r="S760" s="109"/>
      <c r="T760" s="109"/>
      <c r="U760" s="109"/>
      <c r="V760" s="109"/>
      <c r="W760" s="109"/>
      <c r="X760" s="109"/>
      <c r="Y760" s="109"/>
      <c r="Z760" s="109"/>
    </row>
    <row r="761" spans="1:26" ht="11.25" customHeight="1">
      <c r="A761" s="109"/>
      <c r="B761" s="109"/>
      <c r="C761" s="109"/>
      <c r="D761" s="109"/>
      <c r="E761" s="109"/>
      <c r="F761" s="109"/>
      <c r="G761" s="109"/>
      <c r="H761" s="109"/>
      <c r="I761" s="109"/>
      <c r="J761" s="109"/>
      <c r="K761" s="109"/>
      <c r="L761" s="109"/>
      <c r="M761" s="109"/>
      <c r="N761" s="109"/>
      <c r="O761" s="109"/>
      <c r="P761" s="109"/>
      <c r="Q761" s="109"/>
      <c r="R761" s="109"/>
      <c r="S761" s="109"/>
      <c r="T761" s="109"/>
      <c r="U761" s="109"/>
      <c r="V761" s="109"/>
      <c r="W761" s="109"/>
      <c r="X761" s="109"/>
      <c r="Y761" s="109"/>
      <c r="Z761" s="109"/>
    </row>
    <row r="762" spans="1:26" ht="11.25" customHeight="1">
      <c r="A762" s="109"/>
      <c r="B762" s="109"/>
      <c r="C762" s="109"/>
      <c r="D762" s="109"/>
      <c r="E762" s="109"/>
      <c r="F762" s="109"/>
      <c r="G762" s="109"/>
      <c r="H762" s="109"/>
      <c r="I762" s="109"/>
      <c r="J762" s="109"/>
      <c r="K762" s="109"/>
      <c r="L762" s="109"/>
      <c r="M762" s="109"/>
      <c r="N762" s="109"/>
      <c r="O762" s="109"/>
      <c r="P762" s="109"/>
      <c r="Q762" s="109"/>
      <c r="R762" s="109"/>
      <c r="S762" s="109"/>
      <c r="T762" s="109"/>
      <c r="U762" s="109"/>
      <c r="V762" s="109"/>
      <c r="W762" s="109"/>
      <c r="X762" s="109"/>
      <c r="Y762" s="109"/>
      <c r="Z762" s="109"/>
    </row>
    <row r="763" spans="1:26" ht="11.25" customHeight="1">
      <c r="A763" s="109"/>
      <c r="B763" s="109"/>
      <c r="C763" s="109"/>
      <c r="D763" s="109"/>
      <c r="E763" s="109"/>
      <c r="F763" s="109"/>
      <c r="G763" s="109"/>
      <c r="H763" s="109"/>
      <c r="I763" s="109"/>
      <c r="J763" s="109"/>
      <c r="K763" s="109"/>
      <c r="L763" s="109"/>
      <c r="M763" s="109"/>
      <c r="N763" s="109"/>
      <c r="O763" s="109"/>
      <c r="P763" s="109"/>
      <c r="Q763" s="109"/>
      <c r="R763" s="109"/>
      <c r="S763" s="109"/>
      <c r="T763" s="109"/>
      <c r="U763" s="109"/>
      <c r="V763" s="109"/>
      <c r="W763" s="109"/>
      <c r="X763" s="109"/>
      <c r="Y763" s="109"/>
      <c r="Z763" s="109"/>
    </row>
    <row r="764" spans="1:26" ht="11.25" customHeight="1">
      <c r="A764" s="109"/>
      <c r="B764" s="109"/>
      <c r="C764" s="109"/>
      <c r="D764" s="109"/>
      <c r="E764" s="109"/>
      <c r="F764" s="109"/>
      <c r="G764" s="109"/>
      <c r="H764" s="109"/>
      <c r="I764" s="109"/>
      <c r="J764" s="109"/>
      <c r="K764" s="109"/>
      <c r="L764" s="109"/>
      <c r="M764" s="109"/>
      <c r="N764" s="109"/>
      <c r="O764" s="109"/>
      <c r="P764" s="109"/>
      <c r="Q764" s="109"/>
      <c r="R764" s="109"/>
      <c r="S764" s="109"/>
      <c r="T764" s="109"/>
      <c r="U764" s="109"/>
      <c r="V764" s="109"/>
      <c r="W764" s="109"/>
      <c r="X764" s="109"/>
      <c r="Y764" s="109"/>
      <c r="Z764" s="109"/>
    </row>
    <row r="765" spans="1:26" ht="11.25" customHeight="1">
      <c r="A765" s="109"/>
      <c r="B765" s="109"/>
      <c r="C765" s="109"/>
      <c r="D765" s="109"/>
      <c r="E765" s="109"/>
      <c r="F765" s="109"/>
      <c r="G765" s="109"/>
      <c r="H765" s="109"/>
      <c r="I765" s="109"/>
      <c r="J765" s="109"/>
      <c r="K765" s="109"/>
      <c r="L765" s="109"/>
      <c r="M765" s="109"/>
      <c r="N765" s="109"/>
      <c r="O765" s="109"/>
      <c r="P765" s="109"/>
      <c r="Q765" s="109"/>
      <c r="R765" s="109"/>
      <c r="S765" s="109"/>
      <c r="T765" s="109"/>
      <c r="U765" s="109"/>
      <c r="V765" s="109"/>
      <c r="W765" s="109"/>
      <c r="X765" s="109"/>
      <c r="Y765" s="109"/>
      <c r="Z765" s="109"/>
    </row>
    <row r="766" spans="1:26" ht="11.25" customHeight="1">
      <c r="A766" s="109"/>
      <c r="B766" s="109"/>
      <c r="C766" s="109"/>
      <c r="D766" s="109"/>
      <c r="E766" s="109"/>
      <c r="F766" s="109"/>
      <c r="G766" s="109"/>
      <c r="H766" s="109"/>
      <c r="I766" s="109"/>
      <c r="J766" s="109"/>
      <c r="K766" s="109"/>
      <c r="L766" s="109"/>
      <c r="M766" s="109"/>
      <c r="N766" s="109"/>
      <c r="O766" s="109"/>
      <c r="P766" s="109"/>
      <c r="Q766" s="109"/>
      <c r="R766" s="109"/>
      <c r="S766" s="109"/>
      <c r="T766" s="109"/>
      <c r="U766" s="109"/>
      <c r="V766" s="109"/>
      <c r="W766" s="109"/>
      <c r="X766" s="109"/>
      <c r="Y766" s="109"/>
      <c r="Z766" s="109"/>
    </row>
    <row r="767" spans="1:26" ht="11.25" customHeight="1">
      <c r="A767" s="109"/>
      <c r="B767" s="109"/>
      <c r="C767" s="109"/>
      <c r="D767" s="109"/>
      <c r="E767" s="109"/>
      <c r="F767" s="109"/>
      <c r="G767" s="109"/>
      <c r="H767" s="109"/>
      <c r="I767" s="109"/>
      <c r="J767" s="109"/>
      <c r="K767" s="109"/>
      <c r="L767" s="109"/>
      <c r="M767" s="109"/>
      <c r="N767" s="109"/>
      <c r="O767" s="109"/>
      <c r="P767" s="109"/>
      <c r="Q767" s="109"/>
      <c r="R767" s="109"/>
      <c r="S767" s="109"/>
      <c r="T767" s="109"/>
      <c r="U767" s="109"/>
      <c r="V767" s="109"/>
      <c r="W767" s="109"/>
      <c r="X767" s="109"/>
      <c r="Y767" s="109"/>
      <c r="Z767" s="109"/>
    </row>
    <row r="768" spans="1:26" ht="11.25" customHeight="1">
      <c r="A768" s="109"/>
      <c r="B768" s="109"/>
      <c r="C768" s="109"/>
      <c r="D768" s="109"/>
      <c r="E768" s="109"/>
      <c r="F768" s="109"/>
      <c r="G768" s="109"/>
      <c r="H768" s="109"/>
      <c r="I768" s="109"/>
      <c r="J768" s="109"/>
      <c r="K768" s="109"/>
      <c r="L768" s="109"/>
      <c r="M768" s="109"/>
      <c r="N768" s="109"/>
      <c r="O768" s="109"/>
      <c r="P768" s="109"/>
      <c r="Q768" s="109"/>
      <c r="R768" s="109"/>
      <c r="S768" s="109"/>
      <c r="T768" s="109"/>
      <c r="U768" s="109"/>
      <c r="V768" s="109"/>
      <c r="W768" s="109"/>
      <c r="X768" s="109"/>
      <c r="Y768" s="109"/>
      <c r="Z768" s="109"/>
    </row>
    <row r="769" spans="1:26" ht="11.25" customHeight="1">
      <c r="A769" s="109"/>
      <c r="B769" s="109"/>
      <c r="C769" s="109"/>
      <c r="D769" s="109"/>
      <c r="E769" s="109"/>
      <c r="F769" s="109"/>
      <c r="G769" s="109"/>
      <c r="H769" s="109"/>
      <c r="I769" s="109"/>
      <c r="J769" s="109"/>
      <c r="K769" s="109"/>
      <c r="L769" s="109"/>
      <c r="M769" s="109"/>
      <c r="N769" s="109"/>
      <c r="O769" s="109"/>
      <c r="P769" s="109"/>
      <c r="Q769" s="109"/>
      <c r="R769" s="109"/>
      <c r="S769" s="109"/>
      <c r="T769" s="109"/>
      <c r="U769" s="109"/>
      <c r="V769" s="109"/>
      <c r="W769" s="109"/>
      <c r="X769" s="109"/>
      <c r="Y769" s="109"/>
      <c r="Z769" s="109"/>
    </row>
    <row r="770" spans="1:26" ht="11.25" customHeight="1">
      <c r="A770" s="109"/>
      <c r="B770" s="109"/>
      <c r="C770" s="109"/>
      <c r="D770" s="109"/>
      <c r="E770" s="109"/>
      <c r="F770" s="109"/>
      <c r="G770" s="109"/>
      <c r="H770" s="109"/>
      <c r="I770" s="109"/>
      <c r="J770" s="109"/>
      <c r="K770" s="109"/>
      <c r="L770" s="109"/>
      <c r="M770" s="109"/>
      <c r="N770" s="109"/>
      <c r="O770" s="109"/>
      <c r="P770" s="109"/>
      <c r="Q770" s="109"/>
      <c r="R770" s="109"/>
      <c r="S770" s="109"/>
      <c r="T770" s="109"/>
      <c r="U770" s="109"/>
      <c r="V770" s="109"/>
      <c r="W770" s="109"/>
      <c r="X770" s="109"/>
      <c r="Y770" s="109"/>
      <c r="Z770" s="109"/>
    </row>
    <row r="771" spans="1:26" ht="11.25" customHeight="1">
      <c r="A771" s="109"/>
      <c r="B771" s="109"/>
      <c r="C771" s="109"/>
      <c r="D771" s="109"/>
      <c r="E771" s="109"/>
      <c r="F771" s="109"/>
      <c r="G771" s="109"/>
      <c r="H771" s="109"/>
      <c r="I771" s="109"/>
      <c r="J771" s="109"/>
      <c r="K771" s="109"/>
      <c r="L771" s="109"/>
      <c r="M771" s="109"/>
      <c r="N771" s="109"/>
      <c r="O771" s="109"/>
      <c r="P771" s="109"/>
      <c r="Q771" s="109"/>
      <c r="R771" s="109"/>
      <c r="S771" s="109"/>
      <c r="T771" s="109"/>
      <c r="U771" s="109"/>
      <c r="V771" s="109"/>
      <c r="W771" s="109"/>
      <c r="X771" s="109"/>
      <c r="Y771" s="109"/>
      <c r="Z771" s="109"/>
    </row>
    <row r="772" spans="1:26" ht="11.25" customHeight="1">
      <c r="A772" s="109"/>
      <c r="B772" s="109"/>
      <c r="C772" s="109"/>
      <c r="D772" s="109"/>
      <c r="E772" s="109"/>
      <c r="F772" s="109"/>
      <c r="G772" s="109"/>
      <c r="H772" s="109"/>
      <c r="I772" s="109"/>
      <c r="J772" s="109"/>
      <c r="K772" s="109"/>
      <c r="L772" s="109"/>
      <c r="M772" s="109"/>
      <c r="N772" s="109"/>
      <c r="O772" s="109"/>
      <c r="P772" s="109"/>
      <c r="Q772" s="109"/>
      <c r="R772" s="109"/>
      <c r="S772" s="109"/>
      <c r="T772" s="109"/>
      <c r="U772" s="109"/>
      <c r="V772" s="109"/>
      <c r="W772" s="109"/>
      <c r="X772" s="109"/>
      <c r="Y772" s="109"/>
      <c r="Z772" s="109"/>
    </row>
    <row r="773" spans="1:26" ht="11.25" customHeight="1">
      <c r="A773" s="109"/>
      <c r="B773" s="109"/>
      <c r="C773" s="109"/>
      <c r="D773" s="109"/>
      <c r="E773" s="109"/>
      <c r="F773" s="109"/>
      <c r="G773" s="109"/>
      <c r="H773" s="109"/>
      <c r="I773" s="109"/>
      <c r="J773" s="109"/>
      <c r="K773" s="109"/>
      <c r="L773" s="109"/>
      <c r="M773" s="109"/>
      <c r="N773" s="109"/>
      <c r="O773" s="109"/>
      <c r="P773" s="109"/>
      <c r="Q773" s="109"/>
      <c r="R773" s="109"/>
      <c r="S773" s="109"/>
      <c r="T773" s="109"/>
      <c r="U773" s="109"/>
      <c r="V773" s="109"/>
      <c r="W773" s="109"/>
      <c r="X773" s="109"/>
      <c r="Y773" s="109"/>
      <c r="Z773" s="109"/>
    </row>
    <row r="774" spans="1:26" ht="11.25" customHeight="1">
      <c r="A774" s="109"/>
      <c r="B774" s="109"/>
      <c r="C774" s="109"/>
      <c r="D774" s="109"/>
      <c r="E774" s="109"/>
      <c r="F774" s="109"/>
      <c r="G774" s="109"/>
      <c r="H774" s="109"/>
      <c r="I774" s="109"/>
      <c r="J774" s="109"/>
      <c r="K774" s="109"/>
      <c r="L774" s="109"/>
      <c r="M774" s="109"/>
      <c r="N774" s="109"/>
      <c r="O774" s="109"/>
      <c r="P774" s="109"/>
      <c r="Q774" s="109"/>
      <c r="R774" s="109"/>
      <c r="S774" s="109"/>
      <c r="T774" s="109"/>
      <c r="U774" s="109"/>
      <c r="V774" s="109"/>
      <c r="W774" s="109"/>
      <c r="X774" s="109"/>
      <c r="Y774" s="109"/>
      <c r="Z774" s="109"/>
    </row>
    <row r="775" spans="1:26" ht="11.25" customHeight="1">
      <c r="A775" s="109"/>
      <c r="B775" s="109"/>
      <c r="C775" s="109"/>
      <c r="D775" s="109"/>
      <c r="E775" s="109"/>
      <c r="F775" s="109"/>
      <c r="G775" s="109"/>
      <c r="H775" s="109"/>
      <c r="I775" s="109"/>
      <c r="J775" s="109"/>
      <c r="K775" s="109"/>
      <c r="L775" s="109"/>
      <c r="M775" s="109"/>
      <c r="N775" s="109"/>
      <c r="O775" s="109"/>
      <c r="P775" s="109"/>
      <c r="Q775" s="109"/>
      <c r="R775" s="109"/>
      <c r="S775" s="109"/>
      <c r="T775" s="109"/>
      <c r="U775" s="109"/>
      <c r="V775" s="109"/>
      <c r="W775" s="109"/>
      <c r="X775" s="109"/>
      <c r="Y775" s="109"/>
      <c r="Z775" s="109"/>
    </row>
    <row r="776" spans="1:26" ht="11.25" customHeight="1">
      <c r="A776" s="109"/>
      <c r="B776" s="109"/>
      <c r="C776" s="109"/>
      <c r="D776" s="109"/>
      <c r="E776" s="109"/>
      <c r="F776" s="109"/>
      <c r="G776" s="109"/>
      <c r="H776" s="109"/>
      <c r="I776" s="109"/>
      <c r="J776" s="109"/>
      <c r="K776" s="109"/>
      <c r="L776" s="109"/>
      <c r="M776" s="109"/>
      <c r="N776" s="109"/>
      <c r="O776" s="109"/>
      <c r="P776" s="109"/>
      <c r="Q776" s="109"/>
      <c r="R776" s="109"/>
      <c r="S776" s="109"/>
      <c r="T776" s="109"/>
      <c r="U776" s="109"/>
      <c r="V776" s="109"/>
      <c r="W776" s="109"/>
      <c r="X776" s="109"/>
      <c r="Y776" s="109"/>
      <c r="Z776" s="109"/>
    </row>
    <row r="777" spans="1:26" ht="11.25" customHeight="1">
      <c r="A777" s="109"/>
      <c r="B777" s="109"/>
      <c r="C777" s="109"/>
      <c r="D777" s="109"/>
      <c r="E777" s="109"/>
      <c r="F777" s="109"/>
      <c r="G777" s="109"/>
      <c r="H777" s="109"/>
      <c r="I777" s="109"/>
      <c r="J777" s="109"/>
      <c r="K777" s="109"/>
      <c r="L777" s="109"/>
      <c r="M777" s="109"/>
      <c r="N777" s="109"/>
      <c r="O777" s="109"/>
      <c r="P777" s="109"/>
      <c r="Q777" s="109"/>
      <c r="R777" s="109"/>
      <c r="S777" s="109"/>
      <c r="T777" s="109"/>
      <c r="U777" s="109"/>
      <c r="V777" s="109"/>
      <c r="W777" s="109"/>
      <c r="X777" s="109"/>
      <c r="Y777" s="109"/>
      <c r="Z777" s="109"/>
    </row>
    <row r="778" spans="1:26" ht="11.25" customHeight="1">
      <c r="A778" s="109"/>
      <c r="B778" s="109"/>
      <c r="C778" s="109"/>
      <c r="D778" s="109"/>
      <c r="E778" s="109"/>
      <c r="F778" s="109"/>
      <c r="G778" s="109"/>
      <c r="H778" s="109"/>
      <c r="I778" s="109"/>
      <c r="J778" s="109"/>
      <c r="K778" s="109"/>
      <c r="L778" s="109"/>
      <c r="M778" s="109"/>
      <c r="N778" s="109"/>
      <c r="O778" s="109"/>
      <c r="P778" s="109"/>
      <c r="Q778" s="109"/>
      <c r="R778" s="109"/>
      <c r="S778" s="109"/>
      <c r="T778" s="109"/>
      <c r="U778" s="109"/>
      <c r="V778" s="109"/>
      <c r="W778" s="109"/>
      <c r="X778" s="109"/>
      <c r="Y778" s="109"/>
      <c r="Z778" s="109"/>
    </row>
    <row r="779" spans="1:26" ht="11.25" customHeight="1">
      <c r="A779" s="109"/>
      <c r="B779" s="109"/>
      <c r="C779" s="109"/>
      <c r="D779" s="109"/>
      <c r="E779" s="109"/>
      <c r="F779" s="109"/>
      <c r="G779" s="109"/>
      <c r="H779" s="109"/>
      <c r="I779" s="109"/>
      <c r="J779" s="109"/>
      <c r="K779" s="109"/>
      <c r="L779" s="109"/>
      <c r="M779" s="109"/>
      <c r="N779" s="109"/>
      <c r="O779" s="109"/>
      <c r="P779" s="109"/>
      <c r="Q779" s="109"/>
      <c r="R779" s="109"/>
      <c r="S779" s="109"/>
      <c r="T779" s="109"/>
      <c r="U779" s="109"/>
      <c r="V779" s="109"/>
      <c r="W779" s="109"/>
      <c r="X779" s="109"/>
      <c r="Y779" s="109"/>
      <c r="Z779" s="109"/>
    </row>
    <row r="780" spans="1:26" ht="11.25" customHeight="1">
      <c r="A780" s="109"/>
      <c r="B780" s="109"/>
      <c r="C780" s="109"/>
      <c r="D780" s="109"/>
      <c r="E780" s="109"/>
      <c r="F780" s="109"/>
      <c r="G780" s="109"/>
      <c r="H780" s="109"/>
      <c r="I780" s="109"/>
      <c r="J780" s="109"/>
      <c r="K780" s="109"/>
      <c r="L780" s="109"/>
      <c r="M780" s="109"/>
      <c r="N780" s="109"/>
      <c r="O780" s="109"/>
      <c r="P780" s="109"/>
      <c r="Q780" s="109"/>
      <c r="R780" s="109"/>
      <c r="S780" s="109"/>
      <c r="T780" s="109"/>
      <c r="U780" s="109"/>
      <c r="V780" s="109"/>
      <c r="W780" s="109"/>
      <c r="X780" s="109"/>
      <c r="Y780" s="109"/>
      <c r="Z780" s="109"/>
    </row>
    <row r="781" spans="1:26" ht="11.25" customHeight="1">
      <c r="A781" s="109"/>
      <c r="B781" s="109"/>
      <c r="C781" s="109"/>
      <c r="D781" s="109"/>
      <c r="E781" s="109"/>
      <c r="F781" s="109"/>
      <c r="G781" s="109"/>
      <c r="H781" s="109"/>
      <c r="I781" s="109"/>
      <c r="J781" s="109"/>
      <c r="K781" s="109"/>
      <c r="L781" s="109"/>
      <c r="M781" s="109"/>
      <c r="N781" s="109"/>
      <c r="O781" s="109"/>
      <c r="P781" s="109"/>
      <c r="Q781" s="109"/>
      <c r="R781" s="109"/>
      <c r="S781" s="109"/>
      <c r="T781" s="109"/>
      <c r="U781" s="109"/>
      <c r="V781" s="109"/>
      <c r="W781" s="109"/>
      <c r="X781" s="109"/>
      <c r="Y781" s="109"/>
      <c r="Z781" s="109"/>
    </row>
    <row r="782" spans="1:26" ht="11.25" customHeight="1">
      <c r="A782" s="109"/>
      <c r="B782" s="109"/>
      <c r="C782" s="109"/>
      <c r="D782" s="109"/>
      <c r="E782" s="109"/>
      <c r="F782" s="109"/>
      <c r="G782" s="109"/>
      <c r="H782" s="109"/>
      <c r="I782" s="109"/>
      <c r="J782" s="109"/>
      <c r="K782" s="109"/>
      <c r="L782" s="109"/>
      <c r="M782" s="109"/>
      <c r="N782" s="109"/>
      <c r="O782" s="109"/>
      <c r="P782" s="109"/>
      <c r="Q782" s="109"/>
      <c r="R782" s="109"/>
      <c r="S782" s="109"/>
      <c r="T782" s="109"/>
      <c r="U782" s="109"/>
      <c r="V782" s="109"/>
      <c r="W782" s="109"/>
      <c r="X782" s="109"/>
      <c r="Y782" s="109"/>
      <c r="Z782" s="109"/>
    </row>
    <row r="783" spans="1:26" ht="11.25" customHeight="1">
      <c r="A783" s="109"/>
      <c r="B783" s="109"/>
      <c r="C783" s="109"/>
      <c r="D783" s="109"/>
      <c r="E783" s="109"/>
      <c r="F783" s="109"/>
      <c r="G783" s="109"/>
      <c r="H783" s="109"/>
      <c r="I783" s="109"/>
      <c r="J783" s="109"/>
      <c r="K783" s="109"/>
      <c r="L783" s="109"/>
      <c r="M783" s="109"/>
      <c r="N783" s="109"/>
      <c r="O783" s="109"/>
      <c r="P783" s="109"/>
      <c r="Q783" s="109"/>
      <c r="R783" s="109"/>
      <c r="S783" s="109"/>
      <c r="T783" s="109"/>
      <c r="U783" s="109"/>
      <c r="V783" s="109"/>
      <c r="W783" s="109"/>
      <c r="X783" s="109"/>
      <c r="Y783" s="109"/>
      <c r="Z783" s="109"/>
    </row>
    <row r="784" spans="1:26" ht="11.25" customHeight="1">
      <c r="A784" s="109"/>
      <c r="B784" s="109"/>
      <c r="C784" s="109"/>
      <c r="D784" s="109"/>
      <c r="E784" s="109"/>
      <c r="F784" s="109"/>
      <c r="G784" s="109"/>
      <c r="H784" s="109"/>
      <c r="I784" s="109"/>
      <c r="J784" s="109"/>
      <c r="K784" s="109"/>
      <c r="L784" s="109"/>
      <c r="M784" s="109"/>
      <c r="N784" s="109"/>
      <c r="O784" s="109"/>
      <c r="P784" s="109"/>
      <c r="Q784" s="109"/>
      <c r="R784" s="109"/>
      <c r="S784" s="109"/>
      <c r="T784" s="109"/>
      <c r="U784" s="109"/>
      <c r="V784" s="109"/>
      <c r="W784" s="109"/>
      <c r="X784" s="109"/>
      <c r="Y784" s="109"/>
      <c r="Z784" s="109"/>
    </row>
    <row r="785" spans="1:26" ht="11.25" customHeight="1">
      <c r="A785" s="109"/>
      <c r="B785" s="109"/>
      <c r="C785" s="109"/>
      <c r="D785" s="109"/>
      <c r="E785" s="109"/>
      <c r="F785" s="109"/>
      <c r="G785" s="109"/>
      <c r="H785" s="109"/>
      <c r="I785" s="109"/>
      <c r="J785" s="109"/>
      <c r="K785" s="109"/>
      <c r="L785" s="109"/>
      <c r="M785" s="109"/>
      <c r="N785" s="109"/>
      <c r="O785" s="109"/>
      <c r="P785" s="109"/>
      <c r="Q785" s="109"/>
      <c r="R785" s="109"/>
      <c r="S785" s="109"/>
      <c r="T785" s="109"/>
      <c r="U785" s="109"/>
      <c r="V785" s="109"/>
      <c r="W785" s="109"/>
      <c r="X785" s="109"/>
      <c r="Y785" s="109"/>
      <c r="Z785" s="109"/>
    </row>
    <row r="786" spans="1:26" ht="11.25" customHeight="1">
      <c r="A786" s="109"/>
      <c r="B786" s="109"/>
      <c r="C786" s="109"/>
      <c r="D786" s="109"/>
      <c r="E786" s="109"/>
      <c r="F786" s="109"/>
      <c r="G786" s="109"/>
      <c r="H786" s="109"/>
      <c r="I786" s="109"/>
      <c r="J786" s="109"/>
      <c r="K786" s="109"/>
      <c r="L786" s="109"/>
      <c r="M786" s="109"/>
      <c r="N786" s="109"/>
      <c r="O786" s="109"/>
      <c r="P786" s="109"/>
      <c r="Q786" s="109"/>
      <c r="R786" s="109"/>
      <c r="S786" s="109"/>
      <c r="T786" s="109"/>
      <c r="U786" s="109"/>
      <c r="V786" s="109"/>
      <c r="W786" s="109"/>
      <c r="X786" s="109"/>
      <c r="Y786" s="109"/>
      <c r="Z786" s="109"/>
    </row>
    <row r="787" spans="1:26" ht="11.25" customHeight="1">
      <c r="A787" s="109"/>
      <c r="B787" s="109"/>
      <c r="C787" s="109"/>
      <c r="D787" s="109"/>
      <c r="E787" s="109"/>
      <c r="F787" s="109"/>
      <c r="G787" s="109"/>
      <c r="H787" s="109"/>
      <c r="I787" s="109"/>
      <c r="J787" s="109"/>
      <c r="K787" s="109"/>
      <c r="L787" s="109"/>
      <c r="M787" s="109"/>
      <c r="N787" s="109"/>
      <c r="O787" s="109"/>
      <c r="P787" s="109"/>
      <c r="Q787" s="109"/>
      <c r="R787" s="109"/>
      <c r="S787" s="109"/>
      <c r="T787" s="109"/>
      <c r="U787" s="109"/>
      <c r="V787" s="109"/>
      <c r="W787" s="109"/>
      <c r="X787" s="109"/>
      <c r="Y787" s="109"/>
      <c r="Z787" s="109"/>
    </row>
    <row r="788" spans="1:26" ht="11.25" customHeight="1">
      <c r="A788" s="109"/>
      <c r="B788" s="109"/>
      <c r="C788" s="109"/>
      <c r="D788" s="109"/>
      <c r="E788" s="109"/>
      <c r="F788" s="109"/>
      <c r="G788" s="109"/>
      <c r="H788" s="109"/>
      <c r="I788" s="109"/>
      <c r="J788" s="109"/>
      <c r="K788" s="109"/>
      <c r="L788" s="109"/>
      <c r="M788" s="109"/>
      <c r="N788" s="109"/>
      <c r="O788" s="109"/>
      <c r="P788" s="109"/>
      <c r="Q788" s="109"/>
      <c r="R788" s="109"/>
      <c r="S788" s="109"/>
      <c r="T788" s="109"/>
      <c r="U788" s="109"/>
      <c r="V788" s="109"/>
      <c r="W788" s="109"/>
      <c r="X788" s="109"/>
      <c r="Y788" s="109"/>
      <c r="Z788" s="109"/>
    </row>
    <row r="789" spans="1:26" ht="11.25" customHeight="1">
      <c r="A789" s="109"/>
      <c r="B789" s="109"/>
      <c r="C789" s="109"/>
      <c r="D789" s="109"/>
      <c r="E789" s="109"/>
      <c r="F789" s="109"/>
      <c r="G789" s="109"/>
      <c r="H789" s="109"/>
      <c r="I789" s="109"/>
      <c r="J789" s="109"/>
      <c r="K789" s="109"/>
      <c r="L789" s="109"/>
      <c r="M789" s="109"/>
      <c r="N789" s="109"/>
      <c r="O789" s="109"/>
      <c r="P789" s="109"/>
      <c r="Q789" s="109"/>
      <c r="R789" s="109"/>
      <c r="S789" s="109"/>
      <c r="T789" s="109"/>
      <c r="U789" s="109"/>
      <c r="V789" s="109"/>
      <c r="W789" s="109"/>
      <c r="X789" s="109"/>
      <c r="Y789" s="109"/>
      <c r="Z789" s="109"/>
    </row>
    <row r="790" spans="1:26" ht="11.25" customHeight="1">
      <c r="A790" s="109"/>
      <c r="B790" s="109"/>
      <c r="C790" s="109"/>
      <c r="D790" s="109"/>
      <c r="E790" s="109"/>
      <c r="F790" s="109"/>
      <c r="G790" s="109"/>
      <c r="H790" s="109"/>
      <c r="I790" s="109"/>
      <c r="J790" s="109"/>
      <c r="K790" s="109"/>
      <c r="L790" s="109"/>
      <c r="M790" s="109"/>
      <c r="N790" s="109"/>
      <c r="O790" s="109"/>
      <c r="P790" s="109"/>
      <c r="Q790" s="109"/>
      <c r="R790" s="109"/>
      <c r="S790" s="109"/>
      <c r="T790" s="109"/>
      <c r="U790" s="109"/>
      <c r="V790" s="109"/>
      <c r="W790" s="109"/>
      <c r="X790" s="109"/>
      <c r="Y790" s="109"/>
      <c r="Z790" s="109"/>
    </row>
    <row r="791" spans="1:26" ht="11.25" customHeight="1">
      <c r="A791" s="109"/>
      <c r="B791" s="109"/>
      <c r="C791" s="109"/>
      <c r="D791" s="109"/>
      <c r="E791" s="109"/>
      <c r="F791" s="109"/>
      <c r="G791" s="109"/>
      <c r="H791" s="109"/>
      <c r="I791" s="109"/>
      <c r="J791" s="109"/>
      <c r="K791" s="109"/>
      <c r="L791" s="109"/>
      <c r="M791" s="109"/>
      <c r="N791" s="109"/>
      <c r="O791" s="109"/>
      <c r="P791" s="109"/>
      <c r="Q791" s="109"/>
      <c r="R791" s="109"/>
      <c r="S791" s="109"/>
      <c r="T791" s="109"/>
      <c r="U791" s="109"/>
      <c r="V791" s="109"/>
      <c r="W791" s="109"/>
      <c r="X791" s="109"/>
      <c r="Y791" s="109"/>
      <c r="Z791" s="109"/>
    </row>
    <row r="792" spans="1:26" ht="11.25" customHeight="1">
      <c r="A792" s="109"/>
      <c r="B792" s="109"/>
      <c r="C792" s="109"/>
      <c r="D792" s="109"/>
      <c r="E792" s="109"/>
      <c r="F792" s="109"/>
      <c r="G792" s="109"/>
      <c r="H792" s="109"/>
      <c r="I792" s="109"/>
      <c r="J792" s="109"/>
      <c r="K792" s="109"/>
      <c r="L792" s="109"/>
      <c r="M792" s="109"/>
      <c r="N792" s="109"/>
      <c r="O792" s="109"/>
      <c r="P792" s="109"/>
      <c r="Q792" s="109"/>
      <c r="R792" s="109"/>
      <c r="S792" s="109"/>
      <c r="T792" s="109"/>
      <c r="U792" s="109"/>
      <c r="V792" s="109"/>
      <c r="W792" s="109"/>
      <c r="X792" s="109"/>
      <c r="Y792" s="109"/>
      <c r="Z792" s="109"/>
    </row>
    <row r="793" spans="1:26" ht="11.25" customHeight="1">
      <c r="A793" s="109"/>
      <c r="B793" s="109"/>
      <c r="C793" s="109"/>
      <c r="D793" s="109"/>
      <c r="E793" s="109"/>
      <c r="F793" s="109"/>
      <c r="G793" s="109"/>
      <c r="H793" s="109"/>
      <c r="I793" s="109"/>
      <c r="J793" s="109"/>
      <c r="K793" s="109"/>
      <c r="L793" s="109"/>
      <c r="M793" s="109"/>
      <c r="N793" s="109"/>
      <c r="O793" s="109"/>
      <c r="P793" s="109"/>
      <c r="Q793" s="109"/>
      <c r="R793" s="109"/>
      <c r="S793" s="109"/>
      <c r="T793" s="109"/>
      <c r="U793" s="109"/>
      <c r="V793" s="109"/>
      <c r="W793" s="109"/>
      <c r="X793" s="109"/>
      <c r="Y793" s="109"/>
      <c r="Z793" s="109"/>
    </row>
    <row r="794" spans="1:26" ht="11.25" customHeight="1">
      <c r="A794" s="109"/>
      <c r="B794" s="109"/>
      <c r="C794" s="109"/>
      <c r="D794" s="109"/>
      <c r="E794" s="109"/>
      <c r="F794" s="109"/>
      <c r="G794" s="109"/>
      <c r="H794" s="109"/>
      <c r="I794" s="109"/>
      <c r="J794" s="109"/>
      <c r="K794" s="109"/>
      <c r="L794" s="109"/>
      <c r="M794" s="109"/>
      <c r="N794" s="109"/>
      <c r="O794" s="109"/>
      <c r="P794" s="109"/>
      <c r="Q794" s="109"/>
      <c r="R794" s="109"/>
      <c r="S794" s="109"/>
      <c r="T794" s="109"/>
      <c r="U794" s="109"/>
      <c r="V794" s="109"/>
      <c r="W794" s="109"/>
      <c r="X794" s="109"/>
      <c r="Y794" s="109"/>
      <c r="Z794" s="109"/>
    </row>
    <row r="795" spans="1:26" ht="11.25" customHeight="1">
      <c r="A795" s="109"/>
      <c r="B795" s="109"/>
      <c r="C795" s="109"/>
      <c r="D795" s="109"/>
      <c r="E795" s="109"/>
      <c r="F795" s="109"/>
      <c r="G795" s="109"/>
      <c r="H795" s="109"/>
      <c r="I795" s="109"/>
      <c r="J795" s="109"/>
      <c r="K795" s="109"/>
      <c r="L795" s="109"/>
      <c r="M795" s="109"/>
      <c r="N795" s="109"/>
      <c r="O795" s="109"/>
      <c r="P795" s="109"/>
      <c r="Q795" s="109"/>
      <c r="R795" s="109"/>
      <c r="S795" s="109"/>
      <c r="T795" s="109"/>
      <c r="U795" s="109"/>
      <c r="V795" s="109"/>
      <c r="W795" s="109"/>
      <c r="X795" s="109"/>
      <c r="Y795" s="109"/>
      <c r="Z795" s="109"/>
    </row>
    <row r="796" spans="1:26" ht="11.25" customHeight="1">
      <c r="A796" s="109"/>
      <c r="B796" s="109"/>
      <c r="C796" s="109"/>
      <c r="D796" s="109"/>
      <c r="E796" s="109"/>
      <c r="F796" s="109"/>
      <c r="G796" s="109"/>
      <c r="H796" s="109"/>
      <c r="I796" s="109"/>
      <c r="J796" s="109"/>
      <c r="K796" s="109"/>
      <c r="L796" s="109"/>
      <c r="M796" s="109"/>
      <c r="N796" s="109"/>
      <c r="O796" s="109"/>
      <c r="P796" s="109"/>
      <c r="Q796" s="109"/>
      <c r="R796" s="109"/>
      <c r="S796" s="109"/>
      <c r="T796" s="109"/>
      <c r="U796" s="109"/>
      <c r="V796" s="109"/>
      <c r="W796" s="109"/>
      <c r="X796" s="109"/>
      <c r="Y796" s="109"/>
      <c r="Z796" s="109"/>
    </row>
    <row r="797" spans="1:26" ht="11.25" customHeight="1">
      <c r="A797" s="109"/>
      <c r="B797" s="109"/>
      <c r="C797" s="109"/>
      <c r="D797" s="109"/>
      <c r="E797" s="109"/>
      <c r="F797" s="109"/>
      <c r="G797" s="109"/>
      <c r="H797" s="109"/>
      <c r="I797" s="109"/>
      <c r="J797" s="109"/>
      <c r="K797" s="109"/>
      <c r="L797" s="109"/>
      <c r="M797" s="109"/>
      <c r="N797" s="109"/>
      <c r="O797" s="109"/>
      <c r="P797" s="109"/>
      <c r="Q797" s="109"/>
      <c r="R797" s="109"/>
      <c r="S797" s="109"/>
      <c r="T797" s="109"/>
      <c r="U797" s="109"/>
      <c r="V797" s="109"/>
      <c r="W797" s="109"/>
      <c r="X797" s="109"/>
      <c r="Y797" s="109"/>
      <c r="Z797" s="109"/>
    </row>
    <row r="798" spans="1:26" ht="11.25" customHeight="1">
      <c r="A798" s="109"/>
      <c r="B798" s="109"/>
      <c r="C798" s="109"/>
      <c r="D798" s="109"/>
      <c r="E798" s="109"/>
      <c r="F798" s="109"/>
      <c r="G798" s="109"/>
      <c r="H798" s="109"/>
      <c r="I798" s="109"/>
      <c r="J798" s="109"/>
      <c r="K798" s="109"/>
      <c r="L798" s="109"/>
      <c r="M798" s="109"/>
      <c r="N798" s="109"/>
      <c r="O798" s="109"/>
      <c r="P798" s="109"/>
      <c r="Q798" s="109"/>
      <c r="R798" s="109"/>
      <c r="S798" s="109"/>
      <c r="T798" s="109"/>
      <c r="U798" s="109"/>
      <c r="V798" s="109"/>
      <c r="W798" s="109"/>
      <c r="X798" s="109"/>
      <c r="Y798" s="109"/>
      <c r="Z798" s="109"/>
    </row>
    <row r="799" spans="1:26" ht="11.25" customHeight="1">
      <c r="A799" s="109"/>
      <c r="B799" s="109"/>
      <c r="C799" s="109"/>
      <c r="D799" s="109"/>
      <c r="E799" s="109"/>
      <c r="F799" s="109"/>
      <c r="G799" s="109"/>
      <c r="H799" s="109"/>
      <c r="I799" s="109"/>
      <c r="J799" s="109"/>
      <c r="K799" s="109"/>
      <c r="L799" s="109"/>
      <c r="M799" s="109"/>
      <c r="N799" s="109"/>
      <c r="O799" s="109"/>
      <c r="P799" s="109"/>
      <c r="Q799" s="109"/>
      <c r="R799" s="109"/>
      <c r="S799" s="109"/>
      <c r="T799" s="109"/>
      <c r="U799" s="109"/>
      <c r="V799" s="109"/>
      <c r="W799" s="109"/>
      <c r="X799" s="109"/>
      <c r="Y799" s="109"/>
      <c r="Z799" s="109"/>
    </row>
    <row r="800" spans="1:26" ht="11.25" customHeight="1">
      <c r="A800" s="109"/>
      <c r="B800" s="109"/>
      <c r="C800" s="109"/>
      <c r="D800" s="109"/>
      <c r="E800" s="109"/>
      <c r="F800" s="109"/>
      <c r="G800" s="109"/>
      <c r="H800" s="109"/>
      <c r="I800" s="109"/>
      <c r="J800" s="109"/>
      <c r="K800" s="109"/>
      <c r="L800" s="109"/>
      <c r="M800" s="109"/>
      <c r="N800" s="109"/>
      <c r="O800" s="109"/>
      <c r="P800" s="109"/>
      <c r="Q800" s="109"/>
      <c r="R800" s="109"/>
      <c r="S800" s="109"/>
      <c r="T800" s="109"/>
      <c r="U800" s="109"/>
      <c r="V800" s="109"/>
      <c r="W800" s="109"/>
      <c r="X800" s="109"/>
      <c r="Y800" s="109"/>
      <c r="Z800" s="109"/>
    </row>
    <row r="801" spans="1:26" ht="11.25" customHeight="1">
      <c r="A801" s="109"/>
      <c r="B801" s="109"/>
      <c r="C801" s="109"/>
      <c r="D801" s="109"/>
      <c r="E801" s="109"/>
      <c r="F801" s="109"/>
      <c r="G801" s="109"/>
      <c r="H801" s="109"/>
      <c r="I801" s="109"/>
      <c r="J801" s="109"/>
      <c r="K801" s="109"/>
      <c r="L801" s="109"/>
      <c r="M801" s="109"/>
      <c r="N801" s="109"/>
      <c r="O801" s="109"/>
      <c r="P801" s="109"/>
      <c r="Q801" s="109"/>
      <c r="R801" s="109"/>
      <c r="S801" s="109"/>
      <c r="T801" s="109"/>
      <c r="U801" s="109"/>
      <c r="V801" s="109"/>
      <c r="W801" s="109"/>
      <c r="X801" s="109"/>
      <c r="Y801" s="109"/>
      <c r="Z801" s="109"/>
    </row>
    <row r="802" spans="1:26" ht="11.25" customHeight="1">
      <c r="A802" s="109"/>
      <c r="B802" s="109"/>
      <c r="C802" s="109"/>
      <c r="D802" s="109"/>
      <c r="E802" s="109"/>
      <c r="F802" s="109"/>
      <c r="G802" s="109"/>
      <c r="H802" s="109"/>
      <c r="I802" s="109"/>
      <c r="J802" s="109"/>
      <c r="K802" s="109"/>
      <c r="L802" s="109"/>
      <c r="M802" s="109"/>
      <c r="N802" s="109"/>
      <c r="O802" s="109"/>
      <c r="P802" s="109"/>
      <c r="Q802" s="109"/>
      <c r="R802" s="109"/>
      <c r="S802" s="109"/>
      <c r="T802" s="109"/>
      <c r="U802" s="109"/>
      <c r="V802" s="109"/>
      <c r="W802" s="109"/>
      <c r="X802" s="109"/>
      <c r="Y802" s="109"/>
      <c r="Z802" s="109"/>
    </row>
    <row r="803" spans="1:26" ht="11.25" customHeight="1">
      <c r="A803" s="109"/>
      <c r="B803" s="109"/>
      <c r="C803" s="109"/>
      <c r="D803" s="109"/>
      <c r="E803" s="109"/>
      <c r="F803" s="109"/>
      <c r="G803" s="109"/>
      <c r="H803" s="109"/>
      <c r="I803" s="109"/>
      <c r="J803" s="109"/>
      <c r="K803" s="109"/>
      <c r="L803" s="109"/>
      <c r="M803" s="109"/>
      <c r="N803" s="109"/>
      <c r="O803" s="109"/>
      <c r="P803" s="109"/>
      <c r="Q803" s="109"/>
      <c r="R803" s="109"/>
      <c r="S803" s="109"/>
      <c r="T803" s="109"/>
      <c r="U803" s="109"/>
      <c r="V803" s="109"/>
      <c r="W803" s="109"/>
      <c r="X803" s="109"/>
      <c r="Y803" s="109"/>
      <c r="Z803" s="109"/>
    </row>
    <row r="804" spans="1:26" ht="11.25" customHeight="1">
      <c r="A804" s="109"/>
      <c r="B804" s="109"/>
      <c r="C804" s="109"/>
      <c r="D804" s="109"/>
      <c r="E804" s="109"/>
      <c r="F804" s="109"/>
      <c r="G804" s="109"/>
      <c r="H804" s="109"/>
      <c r="I804" s="109"/>
      <c r="J804" s="109"/>
      <c r="K804" s="109"/>
      <c r="L804" s="109"/>
      <c r="M804" s="109"/>
      <c r="N804" s="109"/>
      <c r="O804" s="109"/>
      <c r="P804" s="109"/>
      <c r="Q804" s="109"/>
      <c r="R804" s="109"/>
      <c r="S804" s="109"/>
      <c r="T804" s="109"/>
      <c r="U804" s="109"/>
      <c r="V804" s="109"/>
      <c r="W804" s="109"/>
      <c r="X804" s="109"/>
      <c r="Y804" s="109"/>
      <c r="Z804" s="109"/>
    </row>
    <row r="805" spans="1:26" ht="11.25" customHeight="1">
      <c r="A805" s="109"/>
      <c r="B805" s="109"/>
      <c r="C805" s="109"/>
      <c r="D805" s="109"/>
      <c r="E805" s="109"/>
      <c r="F805" s="109"/>
      <c r="G805" s="109"/>
      <c r="H805" s="109"/>
      <c r="I805" s="109"/>
      <c r="J805" s="109"/>
      <c r="K805" s="109"/>
      <c r="L805" s="109"/>
      <c r="M805" s="109"/>
      <c r="N805" s="109"/>
      <c r="O805" s="109"/>
      <c r="P805" s="109"/>
      <c r="Q805" s="109"/>
      <c r="R805" s="109"/>
      <c r="S805" s="109"/>
      <c r="T805" s="109"/>
      <c r="U805" s="109"/>
      <c r="V805" s="109"/>
      <c r="W805" s="109"/>
      <c r="X805" s="109"/>
      <c r="Y805" s="109"/>
      <c r="Z805" s="109"/>
    </row>
    <row r="806" spans="1:26" ht="11.25" customHeight="1">
      <c r="A806" s="109"/>
      <c r="B806" s="109"/>
      <c r="C806" s="109"/>
      <c r="D806" s="109"/>
      <c r="E806" s="109"/>
      <c r="F806" s="109"/>
      <c r="G806" s="109"/>
      <c r="H806" s="109"/>
      <c r="I806" s="109"/>
      <c r="J806" s="109"/>
      <c r="K806" s="109"/>
      <c r="L806" s="109"/>
      <c r="M806" s="109"/>
      <c r="N806" s="109"/>
      <c r="O806" s="109"/>
      <c r="P806" s="109"/>
      <c r="Q806" s="109"/>
      <c r="R806" s="109"/>
      <c r="S806" s="109"/>
      <c r="T806" s="109"/>
      <c r="U806" s="109"/>
      <c r="V806" s="109"/>
      <c r="W806" s="109"/>
      <c r="X806" s="109"/>
      <c r="Y806" s="109"/>
      <c r="Z806" s="109"/>
    </row>
    <row r="807" spans="1:26" ht="11.25" customHeight="1">
      <c r="A807" s="109"/>
      <c r="B807" s="109"/>
      <c r="C807" s="109"/>
      <c r="D807" s="109"/>
      <c r="E807" s="109"/>
      <c r="F807" s="109"/>
      <c r="G807" s="109"/>
      <c r="H807" s="109"/>
      <c r="I807" s="109"/>
      <c r="J807" s="109"/>
      <c r="K807" s="109"/>
      <c r="L807" s="109"/>
      <c r="M807" s="109"/>
      <c r="N807" s="109"/>
      <c r="O807" s="109"/>
      <c r="P807" s="109"/>
      <c r="Q807" s="109"/>
      <c r="R807" s="109"/>
      <c r="S807" s="109"/>
      <c r="T807" s="109"/>
      <c r="U807" s="109"/>
      <c r="V807" s="109"/>
      <c r="W807" s="109"/>
      <c r="X807" s="109"/>
      <c r="Y807" s="109"/>
      <c r="Z807" s="109"/>
    </row>
    <row r="808" spans="1:26" ht="11.25" customHeight="1">
      <c r="A808" s="109"/>
      <c r="B808" s="109"/>
      <c r="C808" s="109"/>
      <c r="D808" s="109"/>
      <c r="E808" s="109"/>
      <c r="F808" s="109"/>
      <c r="G808" s="109"/>
      <c r="H808" s="109"/>
      <c r="I808" s="109"/>
      <c r="J808" s="109"/>
      <c r="K808" s="109"/>
      <c r="L808" s="109"/>
      <c r="M808" s="109"/>
      <c r="N808" s="109"/>
      <c r="O808" s="109"/>
      <c r="P808" s="109"/>
      <c r="Q808" s="109"/>
      <c r="R808" s="109"/>
      <c r="S808" s="109"/>
      <c r="T808" s="109"/>
      <c r="U808" s="109"/>
      <c r="V808" s="109"/>
      <c r="W808" s="109"/>
      <c r="X808" s="109"/>
      <c r="Y808" s="109"/>
      <c r="Z808" s="109"/>
    </row>
    <row r="809" spans="1:26" ht="11.25" customHeight="1">
      <c r="A809" s="109"/>
      <c r="B809" s="109"/>
      <c r="C809" s="109"/>
      <c r="D809" s="109"/>
      <c r="E809" s="109"/>
      <c r="F809" s="109"/>
      <c r="G809" s="109"/>
      <c r="H809" s="109"/>
      <c r="I809" s="109"/>
      <c r="J809" s="109"/>
      <c r="K809" s="109"/>
      <c r="L809" s="109"/>
      <c r="M809" s="109"/>
      <c r="N809" s="109"/>
      <c r="O809" s="109"/>
      <c r="P809" s="109"/>
      <c r="Q809" s="109"/>
      <c r="R809" s="109"/>
      <c r="S809" s="109"/>
      <c r="T809" s="109"/>
      <c r="U809" s="109"/>
      <c r="V809" s="109"/>
      <c r="W809" s="109"/>
      <c r="X809" s="109"/>
      <c r="Y809" s="109"/>
      <c r="Z809" s="109"/>
    </row>
    <row r="810" spans="1:26" ht="11.25" customHeight="1">
      <c r="A810" s="109"/>
      <c r="B810" s="109"/>
      <c r="C810" s="109"/>
      <c r="D810" s="109"/>
      <c r="E810" s="109"/>
      <c r="F810" s="109"/>
      <c r="G810" s="109"/>
      <c r="H810" s="109"/>
      <c r="I810" s="109"/>
      <c r="J810" s="109"/>
      <c r="K810" s="109"/>
      <c r="L810" s="109"/>
      <c r="M810" s="109"/>
      <c r="N810" s="109"/>
      <c r="O810" s="109"/>
      <c r="P810" s="109"/>
      <c r="Q810" s="109"/>
      <c r="R810" s="109"/>
      <c r="S810" s="109"/>
      <c r="T810" s="109"/>
      <c r="U810" s="109"/>
      <c r="V810" s="109"/>
      <c r="W810" s="109"/>
      <c r="X810" s="109"/>
      <c r="Y810" s="109"/>
      <c r="Z810" s="109"/>
    </row>
    <row r="811" spans="1:26" ht="11.25" customHeight="1">
      <c r="A811" s="109"/>
      <c r="B811" s="109"/>
      <c r="C811" s="109"/>
      <c r="D811" s="109"/>
      <c r="E811" s="109"/>
      <c r="F811" s="109"/>
      <c r="G811" s="109"/>
      <c r="H811" s="109"/>
      <c r="I811" s="109"/>
      <c r="J811" s="109"/>
      <c r="K811" s="109"/>
      <c r="L811" s="109"/>
      <c r="M811" s="109"/>
      <c r="N811" s="109"/>
      <c r="O811" s="109"/>
      <c r="P811" s="109"/>
      <c r="Q811" s="109"/>
      <c r="R811" s="109"/>
      <c r="S811" s="109"/>
      <c r="T811" s="109"/>
      <c r="U811" s="109"/>
      <c r="V811" s="109"/>
      <c r="W811" s="109"/>
      <c r="X811" s="109"/>
      <c r="Y811" s="109"/>
      <c r="Z811" s="109"/>
    </row>
    <row r="812" spans="1:26" ht="11.25" customHeight="1">
      <c r="A812" s="109"/>
      <c r="B812" s="109"/>
      <c r="C812" s="109"/>
      <c r="D812" s="109"/>
      <c r="E812" s="109"/>
      <c r="F812" s="109"/>
      <c r="G812" s="109"/>
      <c r="H812" s="109"/>
      <c r="I812" s="109"/>
      <c r="J812" s="109"/>
      <c r="K812" s="109"/>
      <c r="L812" s="109"/>
      <c r="M812" s="109"/>
      <c r="N812" s="109"/>
      <c r="O812" s="109"/>
      <c r="P812" s="109"/>
      <c r="Q812" s="109"/>
      <c r="R812" s="109"/>
      <c r="S812" s="109"/>
      <c r="T812" s="109"/>
      <c r="U812" s="109"/>
      <c r="V812" s="109"/>
      <c r="W812" s="109"/>
      <c r="X812" s="109"/>
      <c r="Y812" s="109"/>
      <c r="Z812" s="109"/>
    </row>
    <row r="813" spans="1:26" ht="11.25" customHeight="1">
      <c r="A813" s="109"/>
      <c r="B813" s="109"/>
      <c r="C813" s="109"/>
      <c r="D813" s="109"/>
      <c r="E813" s="109"/>
      <c r="F813" s="109"/>
      <c r="G813" s="109"/>
      <c r="H813" s="109"/>
      <c r="I813" s="109"/>
      <c r="J813" s="109"/>
      <c r="K813" s="109"/>
      <c r="L813" s="109"/>
      <c r="M813" s="109"/>
      <c r="N813" s="109"/>
      <c r="O813" s="109"/>
      <c r="P813" s="109"/>
      <c r="Q813" s="109"/>
      <c r="R813" s="109"/>
      <c r="S813" s="109"/>
      <c r="T813" s="109"/>
      <c r="U813" s="109"/>
      <c r="V813" s="109"/>
      <c r="W813" s="109"/>
      <c r="X813" s="109"/>
      <c r="Y813" s="109"/>
      <c r="Z813" s="109"/>
    </row>
    <row r="814" spans="1:26" ht="11.25" customHeight="1">
      <c r="A814" s="109"/>
      <c r="B814" s="109"/>
      <c r="C814" s="109"/>
      <c r="D814" s="109"/>
      <c r="E814" s="109"/>
      <c r="F814" s="109"/>
      <c r="G814" s="109"/>
      <c r="H814" s="109"/>
      <c r="I814" s="109"/>
      <c r="J814" s="109"/>
      <c r="K814" s="109"/>
      <c r="L814" s="109"/>
      <c r="M814" s="109"/>
      <c r="N814" s="109"/>
      <c r="O814" s="109"/>
      <c r="P814" s="109"/>
      <c r="Q814" s="109"/>
      <c r="R814" s="109"/>
      <c r="S814" s="109"/>
      <c r="T814" s="109"/>
      <c r="U814" s="109"/>
      <c r="V814" s="109"/>
      <c r="W814" s="109"/>
      <c r="X814" s="109"/>
      <c r="Y814" s="109"/>
      <c r="Z814" s="109"/>
    </row>
    <row r="815" spans="1:26" ht="11.25" customHeight="1">
      <c r="A815" s="109"/>
      <c r="B815" s="109"/>
      <c r="C815" s="109"/>
      <c r="D815" s="109"/>
      <c r="E815" s="109"/>
      <c r="F815" s="109"/>
      <c r="G815" s="109"/>
      <c r="H815" s="109"/>
      <c r="I815" s="109"/>
      <c r="J815" s="109"/>
      <c r="K815" s="109"/>
      <c r="L815" s="109"/>
      <c r="M815" s="109"/>
      <c r="N815" s="109"/>
      <c r="O815" s="109"/>
      <c r="P815" s="109"/>
      <c r="Q815" s="109"/>
      <c r="R815" s="109"/>
      <c r="S815" s="109"/>
      <c r="T815" s="109"/>
      <c r="U815" s="109"/>
      <c r="V815" s="109"/>
      <c r="W815" s="109"/>
      <c r="X815" s="109"/>
      <c r="Y815" s="109"/>
      <c r="Z815" s="109"/>
    </row>
    <row r="816" spans="1:26" ht="11.25" customHeight="1">
      <c r="A816" s="109"/>
      <c r="B816" s="109"/>
      <c r="C816" s="109"/>
      <c r="D816" s="109"/>
      <c r="E816" s="109"/>
      <c r="F816" s="109"/>
      <c r="G816" s="109"/>
      <c r="H816" s="109"/>
      <c r="I816" s="109"/>
      <c r="J816" s="109"/>
      <c r="K816" s="109"/>
      <c r="L816" s="109"/>
      <c r="M816" s="109"/>
      <c r="N816" s="109"/>
      <c r="O816" s="109"/>
      <c r="P816" s="109"/>
      <c r="Q816" s="109"/>
      <c r="R816" s="109"/>
      <c r="S816" s="109"/>
      <c r="T816" s="109"/>
      <c r="U816" s="109"/>
      <c r="V816" s="109"/>
      <c r="W816" s="109"/>
      <c r="X816" s="109"/>
      <c r="Y816" s="109"/>
      <c r="Z816" s="109"/>
    </row>
    <row r="817" spans="1:26" ht="11.25" customHeight="1">
      <c r="A817" s="109"/>
      <c r="B817" s="109"/>
      <c r="C817" s="109"/>
      <c r="D817" s="109"/>
      <c r="E817" s="109"/>
      <c r="F817" s="109"/>
      <c r="G817" s="109"/>
      <c r="H817" s="109"/>
      <c r="I817" s="109"/>
      <c r="J817" s="109"/>
      <c r="K817" s="109"/>
      <c r="L817" s="109"/>
      <c r="M817" s="109"/>
      <c r="N817" s="109"/>
      <c r="O817" s="109"/>
      <c r="P817" s="109"/>
      <c r="Q817" s="109"/>
      <c r="R817" s="109"/>
      <c r="S817" s="109"/>
      <c r="T817" s="109"/>
      <c r="U817" s="109"/>
      <c r="V817" s="109"/>
      <c r="W817" s="109"/>
      <c r="X817" s="109"/>
      <c r="Y817" s="109"/>
      <c r="Z817" s="109"/>
    </row>
    <row r="818" spans="1:26" ht="11.25" customHeight="1">
      <c r="A818" s="109"/>
      <c r="B818" s="109"/>
      <c r="C818" s="109"/>
      <c r="D818" s="109"/>
      <c r="E818" s="109"/>
      <c r="F818" s="109"/>
      <c r="G818" s="109"/>
      <c r="H818" s="109"/>
      <c r="I818" s="109"/>
      <c r="J818" s="109"/>
      <c r="K818" s="109"/>
      <c r="L818" s="109"/>
      <c r="M818" s="109"/>
      <c r="N818" s="109"/>
      <c r="O818" s="109"/>
      <c r="P818" s="109"/>
      <c r="Q818" s="109"/>
      <c r="R818" s="109"/>
      <c r="S818" s="109"/>
      <c r="T818" s="109"/>
      <c r="U818" s="109"/>
      <c r="V818" s="109"/>
      <c r="W818" s="109"/>
      <c r="X818" s="109"/>
      <c r="Y818" s="109"/>
      <c r="Z818" s="109"/>
    </row>
    <row r="819" spans="1:26" ht="11.25" customHeight="1">
      <c r="A819" s="109"/>
      <c r="B819" s="109"/>
      <c r="C819" s="109"/>
      <c r="D819" s="109"/>
      <c r="E819" s="109"/>
      <c r="F819" s="109"/>
      <c r="G819" s="109"/>
      <c r="H819" s="109"/>
      <c r="I819" s="109"/>
      <c r="J819" s="109"/>
      <c r="K819" s="109"/>
      <c r="L819" s="109"/>
      <c r="M819" s="109"/>
      <c r="N819" s="109"/>
      <c r="O819" s="109"/>
      <c r="P819" s="109"/>
      <c r="Q819" s="109"/>
      <c r="R819" s="109"/>
      <c r="S819" s="109"/>
      <c r="T819" s="109"/>
      <c r="U819" s="109"/>
      <c r="V819" s="109"/>
      <c r="W819" s="109"/>
      <c r="X819" s="109"/>
      <c r="Y819" s="109"/>
      <c r="Z819" s="109"/>
    </row>
    <row r="820" spans="1:26" ht="11.25" customHeight="1">
      <c r="A820" s="109"/>
      <c r="B820" s="109"/>
      <c r="C820" s="109"/>
      <c r="D820" s="109"/>
      <c r="E820" s="109"/>
      <c r="F820" s="109"/>
      <c r="G820" s="109"/>
      <c r="H820" s="109"/>
      <c r="I820" s="109"/>
      <c r="J820" s="109"/>
      <c r="K820" s="109"/>
      <c r="L820" s="109"/>
      <c r="M820" s="109"/>
      <c r="N820" s="109"/>
      <c r="O820" s="109"/>
      <c r="P820" s="109"/>
      <c r="Q820" s="109"/>
      <c r="R820" s="109"/>
      <c r="S820" s="109"/>
      <c r="T820" s="109"/>
      <c r="U820" s="109"/>
      <c r="V820" s="109"/>
      <c r="W820" s="109"/>
      <c r="X820" s="109"/>
      <c r="Y820" s="109"/>
      <c r="Z820" s="109"/>
    </row>
    <row r="821" spans="1:26" ht="11.25" customHeight="1">
      <c r="A821" s="109"/>
      <c r="B821" s="109"/>
      <c r="C821" s="109"/>
      <c r="D821" s="109"/>
      <c r="E821" s="109"/>
      <c r="F821" s="109"/>
      <c r="G821" s="109"/>
      <c r="H821" s="109"/>
      <c r="I821" s="109"/>
      <c r="J821" s="109"/>
      <c r="K821" s="109"/>
      <c r="L821" s="109"/>
      <c r="M821" s="109"/>
      <c r="N821" s="109"/>
      <c r="O821" s="109"/>
      <c r="P821" s="109"/>
      <c r="Q821" s="109"/>
      <c r="R821" s="109"/>
      <c r="S821" s="109"/>
      <c r="T821" s="109"/>
      <c r="U821" s="109"/>
      <c r="V821" s="109"/>
      <c r="W821" s="109"/>
      <c r="X821" s="109"/>
      <c r="Y821" s="109"/>
      <c r="Z821" s="109"/>
    </row>
    <row r="822" spans="1:26" ht="11.25" customHeight="1">
      <c r="A822" s="109"/>
      <c r="B822" s="109"/>
      <c r="C822" s="109"/>
      <c r="D822" s="109"/>
      <c r="E822" s="109"/>
      <c r="F822" s="109"/>
      <c r="G822" s="109"/>
      <c r="H822" s="109"/>
      <c r="I822" s="109"/>
      <c r="J822" s="109"/>
      <c r="K822" s="109"/>
      <c r="L822" s="109"/>
      <c r="M822" s="109"/>
      <c r="N822" s="109"/>
      <c r="O822" s="109"/>
      <c r="P822" s="109"/>
      <c r="Q822" s="109"/>
      <c r="R822" s="109"/>
      <c r="S822" s="109"/>
      <c r="T822" s="109"/>
      <c r="U822" s="109"/>
      <c r="V822" s="109"/>
      <c r="W822" s="109"/>
      <c r="X822" s="109"/>
      <c r="Y822" s="109"/>
      <c r="Z822" s="109"/>
    </row>
    <row r="823" spans="1:26" ht="11.25" customHeight="1">
      <c r="A823" s="109"/>
      <c r="B823" s="109"/>
      <c r="C823" s="109"/>
      <c r="D823" s="109"/>
      <c r="E823" s="109"/>
      <c r="F823" s="109"/>
      <c r="G823" s="109"/>
      <c r="H823" s="109"/>
      <c r="I823" s="109"/>
      <c r="J823" s="109"/>
      <c r="K823" s="109"/>
      <c r="L823" s="109"/>
      <c r="M823" s="109"/>
      <c r="N823" s="109"/>
      <c r="O823" s="109"/>
      <c r="P823" s="109"/>
      <c r="Q823" s="109"/>
      <c r="R823" s="109"/>
      <c r="S823" s="109"/>
      <c r="T823" s="109"/>
      <c r="U823" s="109"/>
      <c r="V823" s="109"/>
      <c r="W823" s="109"/>
      <c r="X823" s="109"/>
      <c r="Y823" s="109"/>
      <c r="Z823" s="109"/>
    </row>
    <row r="824" spans="1:26" ht="11.25" customHeight="1">
      <c r="A824" s="109"/>
      <c r="B824" s="109"/>
      <c r="C824" s="109"/>
      <c r="D824" s="109"/>
      <c r="E824" s="109"/>
      <c r="F824" s="109"/>
      <c r="G824" s="109"/>
      <c r="H824" s="109"/>
      <c r="I824" s="109"/>
      <c r="J824" s="109"/>
      <c r="K824" s="109"/>
      <c r="L824" s="109"/>
      <c r="M824" s="109"/>
      <c r="N824" s="109"/>
      <c r="O824" s="109"/>
      <c r="P824" s="109"/>
      <c r="Q824" s="109"/>
      <c r="R824" s="109"/>
      <c r="S824" s="109"/>
      <c r="T824" s="109"/>
      <c r="U824" s="109"/>
      <c r="V824" s="109"/>
      <c r="W824" s="109"/>
      <c r="X824" s="109"/>
      <c r="Y824" s="109"/>
      <c r="Z824" s="109"/>
    </row>
    <row r="825" spans="1:26" ht="11.25" customHeight="1">
      <c r="A825" s="109"/>
      <c r="B825" s="109"/>
      <c r="C825" s="109"/>
      <c r="D825" s="109"/>
      <c r="E825" s="109"/>
      <c r="F825" s="109"/>
      <c r="G825" s="109"/>
      <c r="H825" s="109"/>
      <c r="I825" s="109"/>
      <c r="J825" s="109"/>
      <c r="K825" s="109"/>
      <c r="L825" s="109"/>
      <c r="M825" s="109"/>
      <c r="N825" s="109"/>
      <c r="O825" s="109"/>
      <c r="P825" s="109"/>
      <c r="Q825" s="109"/>
      <c r="R825" s="109"/>
      <c r="S825" s="109"/>
      <c r="T825" s="109"/>
      <c r="U825" s="109"/>
      <c r="V825" s="109"/>
      <c r="W825" s="109"/>
      <c r="X825" s="109"/>
      <c r="Y825" s="109"/>
      <c r="Z825" s="109"/>
    </row>
    <row r="826" spans="1:26" ht="11.25" customHeight="1">
      <c r="A826" s="109"/>
      <c r="B826" s="109"/>
      <c r="C826" s="109"/>
      <c r="D826" s="109"/>
      <c r="E826" s="109"/>
      <c r="F826" s="109"/>
      <c r="G826" s="109"/>
      <c r="H826" s="109"/>
      <c r="I826" s="109"/>
      <c r="J826" s="109"/>
      <c r="K826" s="109"/>
      <c r="L826" s="109"/>
      <c r="M826" s="109"/>
      <c r="N826" s="109"/>
      <c r="O826" s="109"/>
      <c r="P826" s="109"/>
      <c r="Q826" s="109"/>
      <c r="R826" s="109"/>
      <c r="S826" s="109"/>
      <c r="T826" s="109"/>
      <c r="U826" s="109"/>
      <c r="V826" s="109"/>
      <c r="W826" s="109"/>
      <c r="X826" s="109"/>
      <c r="Y826" s="109"/>
      <c r="Z826" s="109"/>
    </row>
    <row r="827" spans="1:26" ht="11.25" customHeight="1">
      <c r="A827" s="109"/>
      <c r="B827" s="109"/>
      <c r="C827" s="109"/>
      <c r="D827" s="109"/>
      <c r="E827" s="109"/>
      <c r="F827" s="109"/>
      <c r="G827" s="109"/>
      <c r="H827" s="109"/>
      <c r="I827" s="109"/>
      <c r="J827" s="109"/>
      <c r="K827" s="109"/>
      <c r="L827" s="109"/>
      <c r="M827" s="109"/>
      <c r="N827" s="109"/>
      <c r="O827" s="109"/>
      <c r="P827" s="109"/>
      <c r="Q827" s="109"/>
      <c r="R827" s="109"/>
      <c r="S827" s="109"/>
      <c r="T827" s="109"/>
      <c r="U827" s="109"/>
      <c r="V827" s="109"/>
      <c r="W827" s="109"/>
      <c r="X827" s="109"/>
      <c r="Y827" s="109"/>
      <c r="Z827" s="109"/>
    </row>
    <row r="828" spans="1:26" ht="11.25" customHeight="1">
      <c r="A828" s="109"/>
      <c r="B828" s="109"/>
      <c r="C828" s="109"/>
      <c r="D828" s="109"/>
      <c r="E828" s="109"/>
      <c r="F828" s="109"/>
      <c r="G828" s="109"/>
      <c r="H828" s="109"/>
      <c r="I828" s="109"/>
      <c r="J828" s="109"/>
      <c r="K828" s="109"/>
      <c r="L828" s="109"/>
      <c r="M828" s="109"/>
      <c r="N828" s="109"/>
      <c r="O828" s="109"/>
      <c r="P828" s="109"/>
      <c r="Q828" s="109"/>
      <c r="R828" s="109"/>
      <c r="S828" s="109"/>
      <c r="T828" s="109"/>
      <c r="U828" s="109"/>
      <c r="V828" s="109"/>
      <c r="W828" s="109"/>
      <c r="X828" s="109"/>
      <c r="Y828" s="109"/>
      <c r="Z828" s="109"/>
    </row>
    <row r="829" spans="1:26" ht="11.25" customHeight="1">
      <c r="A829" s="109"/>
      <c r="B829" s="109"/>
      <c r="C829" s="109"/>
      <c r="D829" s="109"/>
      <c r="E829" s="109"/>
      <c r="F829" s="109"/>
      <c r="G829" s="109"/>
      <c r="H829" s="109"/>
      <c r="I829" s="109"/>
      <c r="J829" s="109"/>
      <c r="K829" s="109"/>
      <c r="L829" s="109"/>
      <c r="M829" s="109"/>
      <c r="N829" s="109"/>
      <c r="O829" s="109"/>
      <c r="P829" s="109"/>
      <c r="Q829" s="109"/>
      <c r="R829" s="109"/>
      <c r="S829" s="109"/>
      <c r="T829" s="109"/>
      <c r="U829" s="109"/>
      <c r="V829" s="109"/>
      <c r="W829" s="109"/>
      <c r="X829" s="109"/>
      <c r="Y829" s="109"/>
      <c r="Z829" s="109"/>
    </row>
    <row r="830" spans="1:26" ht="11.25" customHeight="1">
      <c r="A830" s="109"/>
      <c r="B830" s="109"/>
      <c r="C830" s="109"/>
      <c r="D830" s="109"/>
      <c r="E830" s="109"/>
      <c r="F830" s="109"/>
      <c r="G830" s="109"/>
      <c r="H830" s="109"/>
      <c r="I830" s="109"/>
      <c r="J830" s="109"/>
      <c r="K830" s="109"/>
      <c r="L830" s="109"/>
      <c r="M830" s="109"/>
      <c r="N830" s="109"/>
      <c r="O830" s="109"/>
      <c r="P830" s="109"/>
      <c r="Q830" s="109"/>
      <c r="R830" s="109"/>
      <c r="S830" s="109"/>
      <c r="T830" s="109"/>
      <c r="U830" s="109"/>
      <c r="V830" s="109"/>
      <c r="W830" s="109"/>
      <c r="X830" s="109"/>
      <c r="Y830" s="109"/>
      <c r="Z830" s="109"/>
    </row>
    <row r="831" spans="1:26" ht="11.25" customHeight="1">
      <c r="A831" s="109"/>
      <c r="B831" s="109"/>
      <c r="C831" s="109"/>
      <c r="D831" s="109"/>
      <c r="E831" s="109"/>
      <c r="F831" s="109"/>
      <c r="G831" s="109"/>
      <c r="H831" s="109"/>
      <c r="I831" s="109"/>
      <c r="J831" s="109"/>
      <c r="K831" s="109"/>
      <c r="L831" s="109"/>
      <c r="M831" s="109"/>
      <c r="N831" s="109"/>
      <c r="O831" s="109"/>
      <c r="P831" s="109"/>
      <c r="Q831" s="109"/>
      <c r="R831" s="109"/>
      <c r="S831" s="109"/>
      <c r="T831" s="109"/>
      <c r="U831" s="109"/>
      <c r="V831" s="109"/>
      <c r="W831" s="109"/>
      <c r="X831" s="109"/>
      <c r="Y831" s="109"/>
      <c r="Z831" s="109"/>
    </row>
    <row r="832" spans="1:26" ht="11.25" customHeight="1">
      <c r="A832" s="109"/>
      <c r="B832" s="109"/>
      <c r="C832" s="109"/>
      <c r="D832" s="109"/>
      <c r="E832" s="109"/>
      <c r="F832" s="109"/>
      <c r="G832" s="109"/>
      <c r="H832" s="109"/>
      <c r="I832" s="109"/>
      <c r="J832" s="109"/>
      <c r="K832" s="109"/>
      <c r="L832" s="109"/>
      <c r="M832" s="109"/>
      <c r="N832" s="109"/>
      <c r="O832" s="109"/>
      <c r="P832" s="109"/>
      <c r="Q832" s="109"/>
      <c r="R832" s="109"/>
      <c r="S832" s="109"/>
      <c r="T832" s="109"/>
      <c r="U832" s="109"/>
      <c r="V832" s="109"/>
      <c r="W832" s="109"/>
      <c r="X832" s="109"/>
      <c r="Y832" s="109"/>
      <c r="Z832" s="109"/>
    </row>
    <row r="833" spans="1:26" ht="11.25" customHeight="1">
      <c r="A833" s="109"/>
      <c r="B833" s="109"/>
      <c r="C833" s="109"/>
      <c r="D833" s="109"/>
      <c r="E833" s="109"/>
      <c r="F833" s="109"/>
      <c r="G833" s="109"/>
      <c r="H833" s="109"/>
      <c r="I833" s="109"/>
      <c r="J833" s="109"/>
      <c r="K833" s="109"/>
      <c r="L833" s="109"/>
      <c r="M833" s="109"/>
      <c r="N833" s="109"/>
      <c r="O833" s="109"/>
      <c r="P833" s="109"/>
      <c r="Q833" s="109"/>
      <c r="R833" s="109"/>
      <c r="S833" s="109"/>
      <c r="T833" s="109"/>
      <c r="U833" s="109"/>
      <c r="V833" s="109"/>
      <c r="W833" s="109"/>
      <c r="X833" s="109"/>
      <c r="Y833" s="109"/>
      <c r="Z833" s="109"/>
    </row>
    <row r="834" spans="1:26" ht="11.25" customHeight="1">
      <c r="A834" s="109"/>
      <c r="B834" s="109"/>
      <c r="C834" s="109"/>
      <c r="D834" s="109"/>
      <c r="E834" s="109"/>
      <c r="F834" s="109"/>
      <c r="G834" s="109"/>
      <c r="H834" s="109"/>
      <c r="I834" s="109"/>
      <c r="J834" s="109"/>
      <c r="K834" s="109"/>
      <c r="L834" s="109"/>
      <c r="M834" s="109"/>
      <c r="N834" s="109"/>
      <c r="O834" s="109"/>
      <c r="P834" s="109"/>
      <c r="Q834" s="109"/>
      <c r="R834" s="109"/>
      <c r="S834" s="109"/>
      <c r="T834" s="109"/>
      <c r="U834" s="109"/>
      <c r="V834" s="109"/>
      <c r="W834" s="109"/>
      <c r="X834" s="109"/>
      <c r="Y834" s="109"/>
      <c r="Z834" s="109"/>
    </row>
    <row r="835" spans="1:26" ht="11.25" customHeight="1">
      <c r="A835" s="109"/>
      <c r="B835" s="109"/>
      <c r="C835" s="109"/>
      <c r="D835" s="109"/>
      <c r="E835" s="109"/>
      <c r="F835" s="109"/>
      <c r="G835" s="109"/>
      <c r="H835" s="109"/>
      <c r="I835" s="109"/>
      <c r="J835" s="109"/>
      <c r="K835" s="109"/>
      <c r="L835" s="109"/>
      <c r="M835" s="109"/>
      <c r="N835" s="109"/>
      <c r="O835" s="109"/>
      <c r="P835" s="109"/>
      <c r="Q835" s="109"/>
      <c r="R835" s="109"/>
      <c r="S835" s="109"/>
      <c r="T835" s="109"/>
      <c r="U835" s="109"/>
      <c r="V835" s="109"/>
      <c r="W835" s="109"/>
      <c r="X835" s="109"/>
      <c r="Y835" s="109"/>
      <c r="Z835" s="109"/>
    </row>
    <row r="836" spans="1:26" ht="11.25" customHeight="1">
      <c r="A836" s="109"/>
      <c r="B836" s="109"/>
      <c r="C836" s="109"/>
      <c r="D836" s="109"/>
      <c r="E836" s="109"/>
      <c r="F836" s="109"/>
      <c r="G836" s="109"/>
      <c r="H836" s="109"/>
      <c r="I836" s="109"/>
      <c r="J836" s="109"/>
      <c r="K836" s="109"/>
      <c r="L836" s="109"/>
      <c r="M836" s="109"/>
      <c r="N836" s="109"/>
      <c r="O836" s="109"/>
      <c r="P836" s="109"/>
      <c r="Q836" s="109"/>
      <c r="R836" s="109"/>
      <c r="S836" s="109"/>
      <c r="T836" s="109"/>
      <c r="U836" s="109"/>
      <c r="V836" s="109"/>
      <c r="W836" s="109"/>
      <c r="X836" s="109"/>
      <c r="Y836" s="109"/>
      <c r="Z836" s="109"/>
    </row>
    <row r="837" spans="1:26" ht="11.25" customHeight="1">
      <c r="A837" s="109"/>
      <c r="B837" s="109"/>
      <c r="C837" s="109"/>
      <c r="D837" s="109"/>
      <c r="E837" s="109"/>
      <c r="F837" s="109"/>
      <c r="G837" s="109"/>
      <c r="H837" s="109"/>
      <c r="I837" s="109"/>
      <c r="J837" s="109"/>
      <c r="K837" s="109"/>
      <c r="L837" s="109"/>
      <c r="M837" s="109"/>
      <c r="N837" s="109"/>
      <c r="O837" s="109"/>
      <c r="P837" s="109"/>
      <c r="Q837" s="109"/>
      <c r="R837" s="109"/>
      <c r="S837" s="109"/>
      <c r="T837" s="109"/>
      <c r="U837" s="109"/>
      <c r="V837" s="109"/>
      <c r="W837" s="109"/>
      <c r="X837" s="109"/>
      <c r="Y837" s="109"/>
      <c r="Z837" s="109"/>
    </row>
    <row r="838" spans="1:26" ht="11.25" customHeight="1">
      <c r="A838" s="109"/>
      <c r="B838" s="109"/>
      <c r="C838" s="109"/>
      <c r="D838" s="109"/>
      <c r="E838" s="109"/>
      <c r="F838" s="109"/>
      <c r="G838" s="109"/>
      <c r="H838" s="109"/>
      <c r="I838" s="109"/>
      <c r="J838" s="109"/>
      <c r="K838" s="109"/>
      <c r="L838" s="109"/>
      <c r="M838" s="109"/>
      <c r="N838" s="109"/>
      <c r="O838" s="109"/>
      <c r="P838" s="109"/>
      <c r="Q838" s="109"/>
      <c r="R838" s="109"/>
      <c r="S838" s="109"/>
      <c r="T838" s="109"/>
      <c r="U838" s="109"/>
      <c r="V838" s="109"/>
      <c r="W838" s="109"/>
      <c r="X838" s="109"/>
      <c r="Y838" s="109"/>
      <c r="Z838" s="109"/>
    </row>
    <row r="839" spans="1:26" ht="11.25" customHeight="1">
      <c r="A839" s="109"/>
      <c r="B839" s="109"/>
      <c r="C839" s="109"/>
      <c r="D839" s="109"/>
      <c r="E839" s="109"/>
      <c r="F839" s="109"/>
      <c r="G839" s="109"/>
      <c r="H839" s="109"/>
      <c r="I839" s="109"/>
      <c r="J839" s="109"/>
      <c r="K839" s="109"/>
      <c r="L839" s="109"/>
      <c r="M839" s="109"/>
      <c r="N839" s="109"/>
      <c r="O839" s="109"/>
      <c r="P839" s="109"/>
      <c r="Q839" s="109"/>
      <c r="R839" s="109"/>
      <c r="S839" s="109"/>
      <c r="T839" s="109"/>
      <c r="U839" s="109"/>
      <c r="V839" s="109"/>
      <c r="W839" s="109"/>
      <c r="X839" s="109"/>
      <c r="Y839" s="109"/>
      <c r="Z839" s="109"/>
    </row>
    <row r="840" spans="1:26" ht="11.25" customHeight="1">
      <c r="A840" s="109"/>
      <c r="B840" s="109"/>
      <c r="C840" s="109"/>
      <c r="D840" s="109"/>
      <c r="E840" s="109"/>
      <c r="F840" s="109"/>
      <c r="G840" s="109"/>
      <c r="H840" s="109"/>
      <c r="I840" s="109"/>
      <c r="J840" s="109"/>
      <c r="K840" s="109"/>
      <c r="L840" s="109"/>
      <c r="M840" s="109"/>
      <c r="N840" s="109"/>
      <c r="O840" s="109"/>
      <c r="P840" s="109"/>
      <c r="Q840" s="109"/>
      <c r="R840" s="109"/>
      <c r="S840" s="109"/>
      <c r="T840" s="109"/>
      <c r="U840" s="109"/>
      <c r="V840" s="109"/>
      <c r="W840" s="109"/>
      <c r="X840" s="109"/>
      <c r="Y840" s="109"/>
      <c r="Z840" s="109"/>
    </row>
    <row r="841" spans="1:26" ht="11.25" customHeight="1">
      <c r="A841" s="109"/>
      <c r="B841" s="109"/>
      <c r="C841" s="109"/>
      <c r="D841" s="109"/>
      <c r="E841" s="109"/>
      <c r="F841" s="109"/>
      <c r="G841" s="109"/>
      <c r="H841" s="109"/>
      <c r="I841" s="109"/>
      <c r="J841" s="109"/>
      <c r="K841" s="109"/>
      <c r="L841" s="109"/>
      <c r="M841" s="109"/>
      <c r="N841" s="109"/>
      <c r="O841" s="109"/>
      <c r="P841" s="109"/>
      <c r="Q841" s="109"/>
      <c r="R841" s="109"/>
      <c r="S841" s="109"/>
      <c r="T841" s="109"/>
      <c r="U841" s="109"/>
      <c r="V841" s="109"/>
      <c r="W841" s="109"/>
      <c r="X841" s="109"/>
      <c r="Y841" s="109"/>
      <c r="Z841" s="109"/>
    </row>
    <row r="842" spans="1:26" ht="11.25" customHeight="1">
      <c r="A842" s="109"/>
      <c r="B842" s="109"/>
      <c r="C842" s="109"/>
      <c r="D842" s="109"/>
      <c r="E842" s="109"/>
      <c r="F842" s="109"/>
      <c r="G842" s="109"/>
      <c r="H842" s="109"/>
      <c r="I842" s="109"/>
      <c r="J842" s="109"/>
      <c r="K842" s="109"/>
      <c r="L842" s="109"/>
      <c r="M842" s="109"/>
      <c r="N842" s="109"/>
      <c r="O842" s="109"/>
      <c r="P842" s="109"/>
      <c r="Q842" s="109"/>
      <c r="R842" s="109"/>
      <c r="S842" s="109"/>
      <c r="T842" s="109"/>
      <c r="U842" s="109"/>
      <c r="V842" s="109"/>
      <c r="W842" s="109"/>
      <c r="X842" s="109"/>
      <c r="Y842" s="109"/>
      <c r="Z842" s="109"/>
    </row>
    <row r="843" spans="1:26" ht="11.25" customHeight="1">
      <c r="A843" s="109"/>
      <c r="B843" s="109"/>
      <c r="C843" s="109"/>
      <c r="D843" s="109"/>
      <c r="E843" s="109"/>
      <c r="F843" s="109"/>
      <c r="G843" s="109"/>
      <c r="H843" s="109"/>
      <c r="I843" s="109"/>
      <c r="J843" s="109"/>
      <c r="K843" s="109"/>
      <c r="L843" s="109"/>
      <c r="M843" s="109"/>
      <c r="N843" s="109"/>
      <c r="O843" s="109"/>
      <c r="P843" s="109"/>
      <c r="Q843" s="109"/>
      <c r="R843" s="109"/>
      <c r="S843" s="109"/>
      <c r="T843" s="109"/>
      <c r="U843" s="109"/>
      <c r="V843" s="109"/>
      <c r="W843" s="109"/>
      <c r="X843" s="109"/>
      <c r="Y843" s="109"/>
      <c r="Z843" s="109"/>
    </row>
    <row r="844" spans="1:26" ht="11.25" customHeight="1">
      <c r="A844" s="109"/>
      <c r="B844" s="109"/>
      <c r="C844" s="109"/>
      <c r="D844" s="109"/>
      <c r="E844" s="109"/>
      <c r="F844" s="109"/>
      <c r="G844" s="109"/>
      <c r="H844" s="109"/>
      <c r="I844" s="109"/>
      <c r="J844" s="109"/>
      <c r="K844" s="109"/>
      <c r="L844" s="109"/>
      <c r="M844" s="109"/>
      <c r="N844" s="109"/>
      <c r="O844" s="109"/>
      <c r="P844" s="109"/>
      <c r="Q844" s="109"/>
      <c r="R844" s="109"/>
      <c r="S844" s="109"/>
      <c r="T844" s="109"/>
      <c r="U844" s="109"/>
      <c r="V844" s="109"/>
      <c r="W844" s="109"/>
      <c r="X844" s="109"/>
      <c r="Y844" s="109"/>
      <c r="Z844" s="109"/>
    </row>
    <row r="845" spans="1:26" ht="11.25" customHeight="1">
      <c r="A845" s="109"/>
      <c r="B845" s="109"/>
      <c r="C845" s="109"/>
      <c r="D845" s="109"/>
      <c r="E845" s="109"/>
      <c r="F845" s="109"/>
      <c r="G845" s="109"/>
      <c r="H845" s="109"/>
      <c r="I845" s="109"/>
      <c r="J845" s="109"/>
      <c r="K845" s="109"/>
      <c r="L845" s="109"/>
      <c r="M845" s="109"/>
      <c r="N845" s="109"/>
      <c r="O845" s="109"/>
      <c r="P845" s="109"/>
      <c r="Q845" s="109"/>
      <c r="R845" s="109"/>
      <c r="S845" s="109"/>
      <c r="T845" s="109"/>
      <c r="U845" s="109"/>
      <c r="V845" s="109"/>
      <c r="W845" s="109"/>
      <c r="X845" s="109"/>
      <c r="Y845" s="109"/>
      <c r="Z845" s="109"/>
    </row>
    <row r="846" spans="1:26" ht="11.25" customHeight="1">
      <c r="A846" s="109"/>
      <c r="B846" s="109"/>
      <c r="C846" s="109"/>
      <c r="D846" s="109"/>
      <c r="E846" s="109"/>
      <c r="F846" s="109"/>
      <c r="G846" s="109"/>
      <c r="H846" s="109"/>
      <c r="I846" s="109"/>
      <c r="J846" s="109"/>
      <c r="K846" s="109"/>
      <c r="L846" s="109"/>
      <c r="M846" s="109"/>
      <c r="N846" s="109"/>
      <c r="O846" s="109"/>
      <c r="P846" s="109"/>
      <c r="Q846" s="109"/>
      <c r="R846" s="109"/>
      <c r="S846" s="109"/>
      <c r="T846" s="109"/>
      <c r="U846" s="109"/>
      <c r="V846" s="109"/>
      <c r="W846" s="109"/>
      <c r="X846" s="109"/>
      <c r="Y846" s="109"/>
      <c r="Z846" s="109"/>
    </row>
    <row r="847" spans="1:26" ht="11.25" customHeight="1">
      <c r="A847" s="109"/>
      <c r="B847" s="109"/>
      <c r="C847" s="109"/>
      <c r="D847" s="109"/>
      <c r="E847" s="109"/>
      <c r="F847" s="109"/>
      <c r="G847" s="109"/>
      <c r="H847" s="109"/>
      <c r="I847" s="109"/>
      <c r="J847" s="109"/>
      <c r="K847" s="109"/>
      <c r="L847" s="109"/>
      <c r="M847" s="109"/>
      <c r="N847" s="109"/>
      <c r="O847" s="109"/>
      <c r="P847" s="109"/>
      <c r="Q847" s="109"/>
      <c r="R847" s="109"/>
      <c r="S847" s="109"/>
      <c r="T847" s="109"/>
      <c r="U847" s="109"/>
      <c r="V847" s="109"/>
      <c r="W847" s="109"/>
      <c r="X847" s="109"/>
      <c r="Y847" s="109"/>
      <c r="Z847" s="109"/>
    </row>
    <row r="848" spans="1:26" ht="11.25" customHeight="1">
      <c r="A848" s="109"/>
      <c r="B848" s="109"/>
      <c r="C848" s="109"/>
      <c r="D848" s="109"/>
      <c r="E848" s="109"/>
      <c r="F848" s="109"/>
      <c r="G848" s="109"/>
      <c r="H848" s="109"/>
      <c r="I848" s="109"/>
      <c r="J848" s="109"/>
      <c r="K848" s="109"/>
      <c r="L848" s="109"/>
      <c r="M848" s="109"/>
      <c r="N848" s="109"/>
      <c r="O848" s="109"/>
      <c r="P848" s="109"/>
      <c r="Q848" s="109"/>
      <c r="R848" s="109"/>
      <c r="S848" s="109"/>
      <c r="T848" s="109"/>
      <c r="U848" s="109"/>
      <c r="V848" s="109"/>
      <c r="W848" s="109"/>
      <c r="X848" s="109"/>
      <c r="Y848" s="109"/>
      <c r="Z848" s="109"/>
    </row>
    <row r="849" spans="1:26" ht="11.25" customHeight="1">
      <c r="A849" s="109"/>
      <c r="B849" s="109"/>
      <c r="C849" s="109"/>
      <c r="D849" s="109"/>
      <c r="E849" s="109"/>
      <c r="F849" s="109"/>
      <c r="G849" s="109"/>
      <c r="H849" s="109"/>
      <c r="I849" s="109"/>
      <c r="J849" s="109"/>
      <c r="K849" s="109"/>
      <c r="L849" s="109"/>
      <c r="M849" s="109"/>
      <c r="N849" s="109"/>
      <c r="O849" s="109"/>
      <c r="P849" s="109"/>
      <c r="Q849" s="109"/>
      <c r="R849" s="109"/>
      <c r="S849" s="109"/>
      <c r="T849" s="109"/>
      <c r="U849" s="109"/>
      <c r="V849" s="109"/>
      <c r="W849" s="109"/>
      <c r="X849" s="109"/>
      <c r="Y849" s="109"/>
      <c r="Z849" s="109"/>
    </row>
    <row r="850" spans="1:26" ht="11.25" customHeight="1">
      <c r="A850" s="109"/>
      <c r="B850" s="109"/>
      <c r="C850" s="109"/>
      <c r="D850" s="109"/>
      <c r="E850" s="109"/>
      <c r="F850" s="109"/>
      <c r="G850" s="109"/>
      <c r="H850" s="109"/>
      <c r="I850" s="109"/>
      <c r="J850" s="109"/>
      <c r="K850" s="109"/>
      <c r="L850" s="109"/>
      <c r="M850" s="109"/>
      <c r="N850" s="109"/>
      <c r="O850" s="109"/>
      <c r="P850" s="109"/>
      <c r="Q850" s="109"/>
      <c r="R850" s="109"/>
      <c r="S850" s="109"/>
      <c r="T850" s="109"/>
      <c r="U850" s="109"/>
      <c r="V850" s="109"/>
      <c r="W850" s="109"/>
      <c r="X850" s="109"/>
      <c r="Y850" s="109"/>
      <c r="Z850" s="109"/>
    </row>
    <row r="851" spans="1:26" ht="11.25" customHeight="1">
      <c r="A851" s="109"/>
      <c r="B851" s="109"/>
      <c r="C851" s="109"/>
      <c r="D851" s="109"/>
      <c r="E851" s="109"/>
      <c r="F851" s="109"/>
      <c r="G851" s="109"/>
      <c r="H851" s="109"/>
      <c r="I851" s="109"/>
      <c r="J851" s="109"/>
      <c r="K851" s="109"/>
      <c r="L851" s="109"/>
      <c r="M851" s="109"/>
      <c r="N851" s="109"/>
      <c r="O851" s="109"/>
      <c r="P851" s="109"/>
      <c r="Q851" s="109"/>
      <c r="R851" s="109"/>
      <c r="S851" s="109"/>
      <c r="T851" s="109"/>
      <c r="U851" s="109"/>
      <c r="V851" s="109"/>
      <c r="W851" s="109"/>
      <c r="X851" s="109"/>
      <c r="Y851" s="109"/>
      <c r="Z851" s="109"/>
    </row>
    <row r="852" spans="1:26" ht="11.25" customHeight="1">
      <c r="A852" s="109"/>
      <c r="B852" s="109"/>
      <c r="C852" s="109"/>
      <c r="D852" s="109"/>
      <c r="E852" s="109"/>
      <c r="F852" s="109"/>
      <c r="G852" s="109"/>
      <c r="H852" s="109"/>
      <c r="I852" s="109"/>
      <c r="J852" s="109"/>
      <c r="K852" s="109"/>
      <c r="L852" s="109"/>
      <c r="M852" s="109"/>
      <c r="N852" s="109"/>
      <c r="O852" s="109"/>
      <c r="P852" s="109"/>
      <c r="Q852" s="109"/>
      <c r="R852" s="109"/>
      <c r="S852" s="109"/>
      <c r="T852" s="109"/>
      <c r="U852" s="109"/>
      <c r="V852" s="109"/>
      <c r="W852" s="109"/>
      <c r="X852" s="109"/>
      <c r="Y852" s="109"/>
      <c r="Z852" s="109"/>
    </row>
    <row r="853" spans="1:26" ht="11.25" customHeight="1">
      <c r="A853" s="109"/>
      <c r="B853" s="109"/>
      <c r="C853" s="109"/>
      <c r="D853" s="109"/>
      <c r="E853" s="109"/>
      <c r="F853" s="109"/>
      <c r="G853" s="109"/>
      <c r="H853" s="109"/>
      <c r="I853" s="109"/>
      <c r="J853" s="109"/>
      <c r="K853" s="109"/>
      <c r="L853" s="109"/>
      <c r="M853" s="109"/>
      <c r="N853" s="109"/>
      <c r="O853" s="109"/>
      <c r="P853" s="109"/>
      <c r="Q853" s="109"/>
      <c r="R853" s="109"/>
      <c r="S853" s="109"/>
      <c r="T853" s="109"/>
      <c r="U853" s="109"/>
      <c r="V853" s="109"/>
      <c r="W853" s="109"/>
      <c r="X853" s="109"/>
      <c r="Y853" s="109"/>
      <c r="Z853" s="109"/>
    </row>
    <row r="854" spans="1:26" ht="11.25" customHeight="1">
      <c r="A854" s="109"/>
      <c r="B854" s="109"/>
      <c r="C854" s="109"/>
      <c r="D854" s="109"/>
      <c r="E854" s="109"/>
      <c r="F854" s="109"/>
      <c r="G854" s="109"/>
      <c r="H854" s="109"/>
      <c r="I854" s="109"/>
      <c r="J854" s="109"/>
      <c r="K854" s="109"/>
      <c r="L854" s="109"/>
      <c r="M854" s="109"/>
      <c r="N854" s="109"/>
      <c r="O854" s="109"/>
      <c r="P854" s="109"/>
      <c r="Q854" s="109"/>
      <c r="R854" s="109"/>
      <c r="S854" s="109"/>
      <c r="T854" s="109"/>
      <c r="U854" s="109"/>
      <c r="V854" s="109"/>
      <c r="W854" s="109"/>
      <c r="X854" s="109"/>
      <c r="Y854" s="109"/>
      <c r="Z854" s="109"/>
    </row>
    <row r="855" spans="1:26" ht="11.25" customHeight="1">
      <c r="A855" s="109"/>
      <c r="B855" s="109"/>
      <c r="C855" s="109"/>
      <c r="D855" s="109"/>
      <c r="E855" s="109"/>
      <c r="F855" s="109"/>
      <c r="G855" s="109"/>
      <c r="H855" s="109"/>
      <c r="I855" s="109"/>
      <c r="J855" s="109"/>
      <c r="K855" s="109"/>
      <c r="L855" s="109"/>
      <c r="M855" s="109"/>
      <c r="N855" s="109"/>
      <c r="O855" s="109"/>
      <c r="P855" s="109"/>
      <c r="Q855" s="109"/>
      <c r="R855" s="109"/>
      <c r="S855" s="109"/>
      <c r="T855" s="109"/>
      <c r="U855" s="109"/>
      <c r="V855" s="109"/>
      <c r="W855" s="109"/>
      <c r="X855" s="109"/>
      <c r="Y855" s="109"/>
      <c r="Z855" s="109"/>
    </row>
    <row r="856" spans="1:26" ht="11.25" customHeight="1">
      <c r="A856" s="109"/>
      <c r="B856" s="109"/>
      <c r="C856" s="109"/>
      <c r="D856" s="109"/>
      <c r="E856" s="109"/>
      <c r="F856" s="109"/>
      <c r="G856" s="109"/>
      <c r="H856" s="109"/>
      <c r="I856" s="109"/>
      <c r="J856" s="109"/>
      <c r="K856" s="109"/>
      <c r="L856" s="109"/>
      <c r="M856" s="109"/>
      <c r="N856" s="109"/>
      <c r="O856" s="109"/>
      <c r="P856" s="109"/>
      <c r="Q856" s="109"/>
      <c r="R856" s="109"/>
      <c r="S856" s="109"/>
      <c r="T856" s="109"/>
      <c r="U856" s="109"/>
      <c r="V856" s="109"/>
      <c r="W856" s="109"/>
      <c r="X856" s="109"/>
      <c r="Y856" s="109"/>
      <c r="Z856" s="109"/>
    </row>
    <row r="857" spans="1:26" ht="11.25" customHeight="1">
      <c r="A857" s="109"/>
      <c r="B857" s="109"/>
      <c r="C857" s="109"/>
      <c r="D857" s="109"/>
      <c r="E857" s="109"/>
      <c r="F857" s="109"/>
      <c r="G857" s="109"/>
      <c r="H857" s="109"/>
      <c r="I857" s="109"/>
      <c r="J857" s="109"/>
      <c r="K857" s="109"/>
      <c r="L857" s="109"/>
      <c r="M857" s="109"/>
      <c r="N857" s="109"/>
      <c r="O857" s="109"/>
      <c r="P857" s="109"/>
      <c r="Q857" s="109"/>
      <c r="R857" s="109"/>
      <c r="S857" s="109"/>
      <c r="T857" s="109"/>
      <c r="U857" s="109"/>
      <c r="V857" s="109"/>
      <c r="W857" s="109"/>
      <c r="X857" s="109"/>
      <c r="Y857" s="109"/>
      <c r="Z857" s="109"/>
    </row>
    <row r="858" spans="1:26" ht="11.25" customHeight="1">
      <c r="A858" s="109"/>
      <c r="B858" s="109"/>
      <c r="C858" s="109"/>
      <c r="D858" s="109"/>
      <c r="E858" s="109"/>
      <c r="F858" s="109"/>
      <c r="G858" s="109"/>
      <c r="H858" s="109"/>
      <c r="I858" s="109"/>
      <c r="J858" s="109"/>
      <c r="K858" s="109"/>
      <c r="L858" s="109"/>
      <c r="M858" s="109"/>
      <c r="N858" s="109"/>
      <c r="O858" s="109"/>
      <c r="P858" s="109"/>
      <c r="Q858" s="109"/>
      <c r="R858" s="109"/>
      <c r="S858" s="109"/>
      <c r="T858" s="109"/>
      <c r="U858" s="109"/>
      <c r="V858" s="109"/>
      <c r="W858" s="109"/>
      <c r="X858" s="109"/>
      <c r="Y858" s="109"/>
      <c r="Z858" s="109"/>
    </row>
    <row r="859" spans="1:26" ht="11.25" customHeight="1">
      <c r="A859" s="109"/>
      <c r="B859" s="109"/>
      <c r="C859" s="109"/>
      <c r="D859" s="109"/>
      <c r="E859" s="109"/>
      <c r="F859" s="109"/>
      <c r="G859" s="109"/>
      <c r="H859" s="109"/>
      <c r="I859" s="109"/>
      <c r="J859" s="109"/>
      <c r="K859" s="109"/>
      <c r="L859" s="109"/>
      <c r="M859" s="109"/>
      <c r="N859" s="109"/>
      <c r="O859" s="109"/>
      <c r="P859" s="109"/>
      <c r="Q859" s="109"/>
      <c r="R859" s="109"/>
      <c r="S859" s="109"/>
      <c r="T859" s="109"/>
      <c r="U859" s="109"/>
      <c r="V859" s="109"/>
      <c r="W859" s="109"/>
      <c r="X859" s="109"/>
      <c r="Y859" s="109"/>
      <c r="Z859" s="109"/>
    </row>
    <row r="860" spans="1:26" ht="11.25" customHeight="1">
      <c r="A860" s="109"/>
      <c r="B860" s="109"/>
      <c r="C860" s="109"/>
      <c r="D860" s="109"/>
      <c r="E860" s="109"/>
      <c r="F860" s="109"/>
      <c r="G860" s="109"/>
      <c r="H860" s="109"/>
      <c r="I860" s="109"/>
      <c r="J860" s="109"/>
      <c r="K860" s="109"/>
      <c r="L860" s="109"/>
      <c r="M860" s="109"/>
      <c r="N860" s="109"/>
      <c r="O860" s="109"/>
      <c r="P860" s="109"/>
      <c r="Q860" s="109"/>
      <c r="R860" s="109"/>
      <c r="S860" s="109"/>
      <c r="T860" s="109"/>
      <c r="U860" s="109"/>
      <c r="V860" s="109"/>
      <c r="W860" s="109"/>
      <c r="X860" s="109"/>
      <c r="Y860" s="109"/>
      <c r="Z860" s="109"/>
    </row>
    <row r="861" spans="1:26" ht="11.25" customHeight="1">
      <c r="A861" s="109"/>
      <c r="B861" s="109"/>
      <c r="C861" s="109"/>
      <c r="D861" s="109"/>
      <c r="E861" s="109"/>
      <c r="F861" s="109"/>
      <c r="G861" s="109"/>
      <c r="H861" s="109"/>
      <c r="I861" s="109"/>
      <c r="J861" s="109"/>
      <c r="K861" s="109"/>
      <c r="L861" s="109"/>
      <c r="M861" s="109"/>
      <c r="N861" s="109"/>
      <c r="O861" s="109"/>
      <c r="P861" s="109"/>
      <c r="Q861" s="109"/>
      <c r="R861" s="109"/>
      <c r="S861" s="109"/>
      <c r="T861" s="109"/>
      <c r="U861" s="109"/>
      <c r="V861" s="109"/>
      <c r="W861" s="109"/>
      <c r="X861" s="109"/>
      <c r="Y861" s="109"/>
      <c r="Z861" s="109"/>
    </row>
    <row r="862" spans="1:26" ht="11.25" customHeight="1">
      <c r="A862" s="109"/>
      <c r="B862" s="109"/>
      <c r="C862" s="109"/>
      <c r="D862" s="109"/>
      <c r="E862" s="109"/>
      <c r="F862" s="109"/>
      <c r="G862" s="109"/>
      <c r="H862" s="109"/>
      <c r="I862" s="109"/>
      <c r="J862" s="109"/>
      <c r="K862" s="109"/>
      <c r="L862" s="109"/>
      <c r="M862" s="109"/>
      <c r="N862" s="109"/>
      <c r="O862" s="109"/>
      <c r="P862" s="109"/>
      <c r="Q862" s="109"/>
      <c r="R862" s="109"/>
      <c r="S862" s="109"/>
      <c r="T862" s="109"/>
      <c r="U862" s="109"/>
      <c r="V862" s="109"/>
      <c r="W862" s="109"/>
      <c r="X862" s="109"/>
      <c r="Y862" s="109"/>
      <c r="Z862" s="109"/>
    </row>
    <row r="863" spans="1:26" ht="11.25" customHeight="1">
      <c r="A863" s="109"/>
      <c r="B863" s="109"/>
      <c r="C863" s="109"/>
      <c r="D863" s="109"/>
      <c r="E863" s="109"/>
      <c r="F863" s="109"/>
      <c r="G863" s="109"/>
      <c r="H863" s="109"/>
      <c r="I863" s="109"/>
      <c r="J863" s="109"/>
      <c r="K863" s="109"/>
      <c r="L863" s="109"/>
      <c r="M863" s="109"/>
      <c r="N863" s="109"/>
      <c r="O863" s="109"/>
      <c r="P863" s="109"/>
      <c r="Q863" s="109"/>
      <c r="R863" s="109"/>
      <c r="S863" s="109"/>
      <c r="T863" s="109"/>
      <c r="U863" s="109"/>
      <c r="V863" s="109"/>
      <c r="W863" s="109"/>
      <c r="X863" s="109"/>
      <c r="Y863" s="109"/>
      <c r="Z863" s="109"/>
    </row>
    <row r="864" spans="1:26" ht="11.25" customHeight="1">
      <c r="A864" s="109"/>
      <c r="B864" s="109"/>
      <c r="C864" s="109"/>
      <c r="D864" s="109"/>
      <c r="E864" s="109"/>
      <c r="F864" s="109"/>
      <c r="G864" s="109"/>
      <c r="H864" s="109"/>
      <c r="I864" s="109"/>
      <c r="J864" s="109"/>
      <c r="K864" s="109"/>
      <c r="L864" s="109"/>
      <c r="M864" s="109"/>
      <c r="N864" s="109"/>
      <c r="O864" s="109"/>
      <c r="P864" s="109"/>
      <c r="Q864" s="109"/>
      <c r="R864" s="109"/>
      <c r="S864" s="109"/>
      <c r="T864" s="109"/>
      <c r="U864" s="109"/>
      <c r="V864" s="109"/>
      <c r="W864" s="109"/>
      <c r="X864" s="109"/>
      <c r="Y864" s="109"/>
      <c r="Z864" s="109"/>
    </row>
    <row r="865" spans="1:26" ht="11.25" customHeight="1">
      <c r="A865" s="109"/>
      <c r="B865" s="109"/>
      <c r="C865" s="109"/>
      <c r="D865" s="109"/>
      <c r="E865" s="109"/>
      <c r="F865" s="109"/>
      <c r="G865" s="109"/>
      <c r="H865" s="109"/>
      <c r="I865" s="109"/>
      <c r="J865" s="109"/>
      <c r="K865" s="109"/>
      <c r="L865" s="109"/>
      <c r="M865" s="109"/>
      <c r="N865" s="109"/>
      <c r="O865" s="109"/>
      <c r="P865" s="109"/>
      <c r="Q865" s="109"/>
      <c r="R865" s="109"/>
      <c r="S865" s="109"/>
      <c r="T865" s="109"/>
      <c r="U865" s="109"/>
      <c r="V865" s="109"/>
      <c r="W865" s="109"/>
      <c r="X865" s="109"/>
      <c r="Y865" s="109"/>
      <c r="Z865" s="109"/>
    </row>
    <row r="866" spans="1:26" ht="11.25" customHeight="1">
      <c r="A866" s="109"/>
      <c r="B866" s="109"/>
      <c r="C866" s="109"/>
      <c r="D866" s="109"/>
      <c r="E866" s="109"/>
      <c r="F866" s="109"/>
      <c r="G866" s="109"/>
      <c r="H866" s="109"/>
      <c r="I866" s="109"/>
      <c r="J866" s="109"/>
      <c r="K866" s="109"/>
      <c r="L866" s="109"/>
      <c r="M866" s="109"/>
      <c r="N866" s="109"/>
      <c r="O866" s="109"/>
      <c r="P866" s="109"/>
      <c r="Q866" s="109"/>
      <c r="R866" s="109"/>
      <c r="S866" s="109"/>
      <c r="T866" s="109"/>
      <c r="U866" s="109"/>
      <c r="V866" s="109"/>
      <c r="W866" s="109"/>
      <c r="X866" s="109"/>
      <c r="Y866" s="109"/>
      <c r="Z866" s="109"/>
    </row>
    <row r="867" spans="1:26" ht="11.25" customHeight="1">
      <c r="A867" s="109"/>
      <c r="B867" s="109"/>
      <c r="C867" s="109"/>
      <c r="D867" s="109"/>
      <c r="E867" s="109"/>
      <c r="F867" s="109"/>
      <c r="G867" s="109"/>
      <c r="H867" s="109"/>
      <c r="I867" s="109"/>
      <c r="J867" s="109"/>
      <c r="K867" s="109"/>
      <c r="L867" s="109"/>
      <c r="M867" s="109"/>
      <c r="N867" s="109"/>
      <c r="O867" s="109"/>
      <c r="P867" s="109"/>
      <c r="Q867" s="109"/>
      <c r="R867" s="109"/>
      <c r="S867" s="109"/>
      <c r="T867" s="109"/>
      <c r="U867" s="109"/>
      <c r="V867" s="109"/>
      <c r="W867" s="109"/>
      <c r="X867" s="109"/>
      <c r="Y867" s="109"/>
      <c r="Z867" s="109"/>
    </row>
    <row r="868" spans="1:26" ht="11.25" customHeight="1">
      <c r="A868" s="109"/>
      <c r="B868" s="109"/>
      <c r="C868" s="109"/>
      <c r="D868" s="109"/>
      <c r="E868" s="109"/>
      <c r="F868" s="109"/>
      <c r="G868" s="109"/>
      <c r="H868" s="109"/>
      <c r="I868" s="109"/>
      <c r="J868" s="109"/>
      <c r="K868" s="109"/>
      <c r="L868" s="109"/>
      <c r="M868" s="109"/>
      <c r="N868" s="109"/>
      <c r="O868" s="109"/>
      <c r="P868" s="109"/>
      <c r="Q868" s="109"/>
      <c r="R868" s="109"/>
      <c r="S868" s="109"/>
      <c r="T868" s="109"/>
      <c r="U868" s="109"/>
      <c r="V868" s="109"/>
      <c r="W868" s="109"/>
      <c r="X868" s="109"/>
      <c r="Y868" s="109"/>
      <c r="Z868" s="109"/>
    </row>
    <row r="869" spans="1:26" ht="11.25" customHeight="1">
      <c r="A869" s="109"/>
      <c r="B869" s="109"/>
      <c r="C869" s="109"/>
      <c r="D869" s="109"/>
      <c r="E869" s="109"/>
      <c r="F869" s="109"/>
      <c r="G869" s="109"/>
      <c r="H869" s="109"/>
      <c r="I869" s="109"/>
      <c r="J869" s="109"/>
      <c r="K869" s="109"/>
      <c r="L869" s="109"/>
      <c r="M869" s="109"/>
      <c r="N869" s="109"/>
      <c r="O869" s="109"/>
      <c r="P869" s="109"/>
      <c r="Q869" s="109"/>
      <c r="R869" s="109"/>
      <c r="S869" s="109"/>
      <c r="T869" s="109"/>
      <c r="U869" s="109"/>
      <c r="V869" s="109"/>
      <c r="W869" s="109"/>
      <c r="X869" s="109"/>
      <c r="Y869" s="109"/>
      <c r="Z869" s="109"/>
    </row>
    <row r="870" spans="1:26" ht="11.25" customHeight="1">
      <c r="A870" s="109"/>
      <c r="B870" s="109"/>
      <c r="C870" s="109"/>
      <c r="D870" s="109"/>
      <c r="E870" s="109"/>
      <c r="F870" s="109"/>
      <c r="G870" s="109"/>
      <c r="H870" s="109"/>
      <c r="I870" s="109"/>
      <c r="J870" s="109"/>
      <c r="K870" s="109"/>
      <c r="L870" s="109"/>
      <c r="M870" s="109"/>
      <c r="N870" s="109"/>
      <c r="O870" s="109"/>
      <c r="P870" s="109"/>
      <c r="Q870" s="109"/>
      <c r="R870" s="109"/>
      <c r="S870" s="109"/>
      <c r="T870" s="109"/>
      <c r="U870" s="109"/>
      <c r="V870" s="109"/>
      <c r="W870" s="109"/>
      <c r="X870" s="109"/>
      <c r="Y870" s="109"/>
      <c r="Z870" s="109"/>
    </row>
    <row r="871" spans="1:26" ht="11.25" customHeight="1">
      <c r="A871" s="109"/>
      <c r="B871" s="109"/>
      <c r="C871" s="109"/>
      <c r="D871" s="109"/>
      <c r="E871" s="109"/>
      <c r="F871" s="109"/>
      <c r="G871" s="109"/>
      <c r="H871" s="109"/>
      <c r="I871" s="109"/>
      <c r="J871" s="109"/>
      <c r="K871" s="109"/>
      <c r="L871" s="109"/>
      <c r="M871" s="109"/>
      <c r="N871" s="109"/>
      <c r="O871" s="109"/>
      <c r="P871" s="109"/>
      <c r="Q871" s="109"/>
      <c r="R871" s="109"/>
      <c r="S871" s="109"/>
      <c r="T871" s="109"/>
      <c r="U871" s="109"/>
      <c r="V871" s="109"/>
      <c r="W871" s="109"/>
      <c r="X871" s="109"/>
      <c r="Y871" s="109"/>
      <c r="Z871" s="109"/>
    </row>
    <row r="872" spans="1:26" ht="11.25" customHeight="1">
      <c r="A872" s="109"/>
      <c r="B872" s="109"/>
      <c r="C872" s="109"/>
      <c r="D872" s="109"/>
      <c r="E872" s="109"/>
      <c r="F872" s="109"/>
      <c r="G872" s="109"/>
      <c r="H872" s="109"/>
      <c r="I872" s="109"/>
      <c r="J872" s="109"/>
      <c r="K872" s="109"/>
      <c r="L872" s="109"/>
      <c r="M872" s="109"/>
      <c r="N872" s="109"/>
      <c r="O872" s="109"/>
      <c r="P872" s="109"/>
      <c r="Q872" s="109"/>
      <c r="R872" s="109"/>
      <c r="S872" s="109"/>
      <c r="T872" s="109"/>
      <c r="U872" s="109"/>
      <c r="V872" s="109"/>
      <c r="W872" s="109"/>
      <c r="X872" s="109"/>
      <c r="Y872" s="109"/>
      <c r="Z872" s="109"/>
    </row>
    <row r="873" spans="1:26" ht="11.25" customHeight="1">
      <c r="A873" s="109"/>
      <c r="B873" s="109"/>
      <c r="C873" s="109"/>
      <c r="D873" s="109"/>
      <c r="E873" s="109"/>
      <c r="F873" s="109"/>
      <c r="G873" s="109"/>
      <c r="H873" s="109"/>
      <c r="I873" s="109"/>
      <c r="J873" s="109"/>
      <c r="K873" s="109"/>
      <c r="L873" s="109"/>
      <c r="M873" s="109"/>
      <c r="N873" s="109"/>
      <c r="O873" s="109"/>
      <c r="P873" s="109"/>
      <c r="Q873" s="109"/>
      <c r="R873" s="109"/>
      <c r="S873" s="109"/>
      <c r="T873" s="109"/>
      <c r="U873" s="109"/>
      <c r="V873" s="109"/>
      <c r="W873" s="109"/>
      <c r="X873" s="109"/>
      <c r="Y873" s="109"/>
      <c r="Z873" s="109"/>
    </row>
    <row r="874" spans="1:26" ht="11.25" customHeight="1">
      <c r="A874" s="109"/>
      <c r="B874" s="109"/>
      <c r="C874" s="109"/>
      <c r="D874" s="109"/>
      <c r="E874" s="109"/>
      <c r="F874" s="109"/>
      <c r="G874" s="109"/>
      <c r="H874" s="109"/>
      <c r="I874" s="109"/>
      <c r="J874" s="109"/>
      <c r="K874" s="109"/>
      <c r="L874" s="109"/>
      <c r="M874" s="109"/>
      <c r="N874" s="109"/>
      <c r="O874" s="109"/>
      <c r="P874" s="109"/>
      <c r="Q874" s="109"/>
      <c r="R874" s="109"/>
      <c r="S874" s="109"/>
      <c r="T874" s="109"/>
      <c r="U874" s="109"/>
      <c r="V874" s="109"/>
      <c r="W874" s="109"/>
      <c r="X874" s="109"/>
      <c r="Y874" s="109"/>
      <c r="Z874" s="109"/>
    </row>
    <row r="875" spans="1:26" ht="11.25" customHeight="1">
      <c r="A875" s="109"/>
      <c r="B875" s="109"/>
      <c r="C875" s="109"/>
      <c r="D875" s="109"/>
      <c r="E875" s="109"/>
      <c r="F875" s="109"/>
      <c r="G875" s="109"/>
      <c r="H875" s="109"/>
      <c r="I875" s="109"/>
      <c r="J875" s="109"/>
      <c r="K875" s="109"/>
      <c r="L875" s="109"/>
      <c r="M875" s="109"/>
      <c r="N875" s="109"/>
      <c r="O875" s="109"/>
      <c r="P875" s="109"/>
      <c r="Q875" s="109"/>
      <c r="R875" s="109"/>
      <c r="S875" s="109"/>
      <c r="T875" s="109"/>
      <c r="U875" s="109"/>
      <c r="V875" s="109"/>
      <c r="W875" s="109"/>
      <c r="X875" s="109"/>
      <c r="Y875" s="109"/>
      <c r="Z875" s="109"/>
    </row>
    <row r="876" spans="1:26" ht="11.25" customHeight="1">
      <c r="A876" s="109"/>
      <c r="B876" s="109"/>
      <c r="C876" s="109"/>
      <c r="D876" s="109"/>
      <c r="E876" s="109"/>
      <c r="F876" s="109"/>
      <c r="G876" s="109"/>
      <c r="H876" s="109"/>
      <c r="I876" s="109"/>
      <c r="J876" s="109"/>
      <c r="K876" s="109"/>
      <c r="L876" s="109"/>
      <c r="M876" s="109"/>
      <c r="N876" s="109"/>
      <c r="O876" s="109"/>
      <c r="P876" s="109"/>
      <c r="Q876" s="109"/>
      <c r="R876" s="109"/>
      <c r="S876" s="109"/>
      <c r="T876" s="109"/>
      <c r="U876" s="109"/>
      <c r="V876" s="109"/>
      <c r="W876" s="109"/>
      <c r="X876" s="109"/>
      <c r="Y876" s="109"/>
      <c r="Z876" s="109"/>
    </row>
    <row r="877" spans="1:26" ht="11.25" customHeight="1">
      <c r="A877" s="109"/>
      <c r="B877" s="109"/>
      <c r="C877" s="109"/>
      <c r="D877" s="109"/>
      <c r="E877" s="109"/>
      <c r="F877" s="109"/>
      <c r="G877" s="109"/>
      <c r="H877" s="109"/>
      <c r="I877" s="109"/>
      <c r="J877" s="109"/>
      <c r="K877" s="109"/>
      <c r="L877" s="109"/>
      <c r="M877" s="109"/>
      <c r="N877" s="109"/>
      <c r="O877" s="109"/>
      <c r="P877" s="109"/>
      <c r="Q877" s="109"/>
      <c r="R877" s="109"/>
      <c r="S877" s="109"/>
      <c r="T877" s="109"/>
      <c r="U877" s="109"/>
      <c r="V877" s="109"/>
      <c r="W877" s="109"/>
      <c r="X877" s="109"/>
      <c r="Y877" s="109"/>
      <c r="Z877" s="109"/>
    </row>
    <row r="878" spans="1:26" ht="11.25" customHeight="1">
      <c r="A878" s="109"/>
      <c r="B878" s="109"/>
      <c r="C878" s="109"/>
      <c r="D878" s="109"/>
      <c r="E878" s="109"/>
      <c r="F878" s="109"/>
      <c r="G878" s="109"/>
      <c r="H878" s="109"/>
      <c r="I878" s="109"/>
      <c r="J878" s="109"/>
      <c r="K878" s="109"/>
      <c r="L878" s="109"/>
      <c r="M878" s="109"/>
      <c r="N878" s="109"/>
      <c r="O878" s="109"/>
      <c r="P878" s="109"/>
      <c r="Q878" s="109"/>
      <c r="R878" s="109"/>
      <c r="S878" s="109"/>
      <c r="T878" s="109"/>
      <c r="U878" s="109"/>
      <c r="V878" s="109"/>
      <c r="W878" s="109"/>
      <c r="X878" s="109"/>
      <c r="Y878" s="109"/>
      <c r="Z878" s="109"/>
    </row>
    <row r="879" spans="1:26" ht="11.25" customHeight="1">
      <c r="A879" s="109"/>
      <c r="B879" s="109"/>
      <c r="C879" s="109"/>
      <c r="D879" s="109"/>
      <c r="E879" s="109"/>
      <c r="F879" s="109"/>
      <c r="G879" s="109"/>
      <c r="H879" s="109"/>
      <c r="I879" s="109"/>
      <c r="J879" s="109"/>
      <c r="K879" s="109"/>
      <c r="L879" s="109"/>
      <c r="M879" s="109"/>
      <c r="N879" s="109"/>
      <c r="O879" s="109"/>
      <c r="P879" s="109"/>
      <c r="Q879" s="109"/>
      <c r="R879" s="109"/>
      <c r="S879" s="109"/>
      <c r="T879" s="109"/>
      <c r="U879" s="109"/>
      <c r="V879" s="109"/>
      <c r="W879" s="109"/>
      <c r="X879" s="109"/>
      <c r="Y879" s="109"/>
      <c r="Z879" s="109"/>
    </row>
    <row r="880" spans="1:26" ht="11.25" customHeight="1">
      <c r="A880" s="109"/>
      <c r="B880" s="109"/>
      <c r="C880" s="109"/>
      <c r="D880" s="109"/>
      <c r="E880" s="109"/>
      <c r="F880" s="109"/>
      <c r="G880" s="109"/>
      <c r="H880" s="109"/>
      <c r="I880" s="109"/>
      <c r="J880" s="109"/>
      <c r="K880" s="109"/>
      <c r="L880" s="109"/>
      <c r="M880" s="109"/>
      <c r="N880" s="109"/>
      <c r="O880" s="109"/>
      <c r="P880" s="109"/>
      <c r="Q880" s="109"/>
      <c r="R880" s="109"/>
      <c r="S880" s="109"/>
      <c r="T880" s="109"/>
      <c r="U880" s="109"/>
      <c r="V880" s="109"/>
      <c r="W880" s="109"/>
      <c r="X880" s="109"/>
      <c r="Y880" s="109"/>
      <c r="Z880" s="109"/>
    </row>
    <row r="881" spans="1:26" ht="11.25" customHeight="1">
      <c r="A881" s="109"/>
      <c r="B881" s="109"/>
      <c r="C881" s="109"/>
      <c r="D881" s="109"/>
      <c r="E881" s="109"/>
      <c r="F881" s="109"/>
      <c r="G881" s="109"/>
      <c r="H881" s="109"/>
      <c r="I881" s="109"/>
      <c r="J881" s="109"/>
      <c r="K881" s="109"/>
      <c r="L881" s="109"/>
      <c r="M881" s="109"/>
      <c r="N881" s="109"/>
      <c r="O881" s="109"/>
      <c r="P881" s="109"/>
      <c r="Q881" s="109"/>
      <c r="R881" s="109"/>
      <c r="S881" s="109"/>
      <c r="T881" s="109"/>
      <c r="U881" s="109"/>
      <c r="V881" s="109"/>
      <c r="W881" s="109"/>
      <c r="X881" s="109"/>
      <c r="Y881" s="109"/>
      <c r="Z881" s="109"/>
    </row>
    <row r="882" spans="1:26" ht="11.25" customHeight="1">
      <c r="A882" s="109"/>
      <c r="B882" s="109"/>
      <c r="C882" s="109"/>
      <c r="D882" s="109"/>
      <c r="E882" s="109"/>
      <c r="F882" s="109"/>
      <c r="G882" s="109"/>
      <c r="H882" s="109"/>
      <c r="I882" s="109"/>
      <c r="J882" s="109"/>
      <c r="K882" s="109"/>
      <c r="L882" s="109"/>
      <c r="M882" s="109"/>
      <c r="N882" s="109"/>
      <c r="O882" s="109"/>
      <c r="P882" s="109"/>
      <c r="Q882" s="109"/>
      <c r="R882" s="109"/>
      <c r="S882" s="109"/>
      <c r="T882" s="109"/>
      <c r="U882" s="109"/>
      <c r="V882" s="109"/>
      <c r="W882" s="109"/>
      <c r="X882" s="109"/>
      <c r="Y882" s="109"/>
      <c r="Z882" s="109"/>
    </row>
    <row r="883" spans="1:26" ht="11.25" customHeight="1">
      <c r="A883" s="109"/>
      <c r="B883" s="109"/>
      <c r="C883" s="109"/>
      <c r="D883" s="109"/>
      <c r="E883" s="109"/>
      <c r="F883" s="109"/>
      <c r="G883" s="109"/>
      <c r="H883" s="109"/>
      <c r="I883" s="109"/>
      <c r="J883" s="109"/>
      <c r="K883" s="109"/>
      <c r="L883" s="109"/>
      <c r="M883" s="109"/>
      <c r="N883" s="109"/>
      <c r="O883" s="109"/>
      <c r="P883" s="109"/>
      <c r="Q883" s="109"/>
      <c r="R883" s="109"/>
      <c r="S883" s="109"/>
      <c r="T883" s="109"/>
      <c r="U883" s="109"/>
      <c r="V883" s="109"/>
      <c r="W883" s="109"/>
      <c r="X883" s="109"/>
      <c r="Y883" s="109"/>
      <c r="Z883" s="109"/>
    </row>
    <row r="884" spans="1:26" ht="11.25" customHeight="1">
      <c r="A884" s="109"/>
      <c r="B884" s="109"/>
      <c r="C884" s="109"/>
      <c r="D884" s="109"/>
      <c r="E884" s="109"/>
      <c r="F884" s="109"/>
      <c r="G884" s="109"/>
      <c r="H884" s="109"/>
      <c r="I884" s="109"/>
      <c r="J884" s="109"/>
      <c r="K884" s="109"/>
      <c r="L884" s="109"/>
      <c r="M884" s="109"/>
      <c r="N884" s="109"/>
      <c r="O884" s="109"/>
      <c r="P884" s="109"/>
      <c r="Q884" s="109"/>
      <c r="R884" s="109"/>
      <c r="S884" s="109"/>
      <c r="T884" s="109"/>
      <c r="U884" s="109"/>
      <c r="V884" s="109"/>
      <c r="W884" s="109"/>
      <c r="X884" s="109"/>
      <c r="Y884" s="109"/>
      <c r="Z884" s="109"/>
    </row>
    <row r="885" spans="1:26" ht="11.25" customHeight="1">
      <c r="A885" s="109"/>
      <c r="B885" s="109"/>
      <c r="C885" s="109"/>
      <c r="D885" s="109"/>
      <c r="E885" s="109"/>
      <c r="F885" s="109"/>
      <c r="G885" s="109"/>
      <c r="H885" s="109"/>
      <c r="I885" s="109"/>
      <c r="J885" s="109"/>
      <c r="K885" s="109"/>
      <c r="L885" s="109"/>
      <c r="M885" s="109"/>
      <c r="N885" s="109"/>
      <c r="O885" s="109"/>
      <c r="P885" s="109"/>
      <c r="Q885" s="109"/>
      <c r="R885" s="109"/>
      <c r="S885" s="109"/>
      <c r="T885" s="109"/>
      <c r="U885" s="109"/>
      <c r="V885" s="109"/>
      <c r="W885" s="109"/>
      <c r="X885" s="109"/>
      <c r="Y885" s="109"/>
      <c r="Z885" s="109"/>
    </row>
    <row r="886" spans="1:26" ht="11.25" customHeight="1">
      <c r="A886" s="109"/>
      <c r="B886" s="109"/>
      <c r="C886" s="109"/>
      <c r="D886" s="109"/>
      <c r="E886" s="109"/>
      <c r="F886" s="109"/>
      <c r="G886" s="109"/>
      <c r="H886" s="109"/>
      <c r="I886" s="109"/>
      <c r="J886" s="109"/>
      <c r="K886" s="109"/>
      <c r="L886" s="109"/>
      <c r="M886" s="109"/>
      <c r="N886" s="109"/>
      <c r="O886" s="109"/>
      <c r="P886" s="109"/>
      <c r="Q886" s="109"/>
      <c r="R886" s="109"/>
      <c r="S886" s="109"/>
      <c r="T886" s="109"/>
      <c r="U886" s="109"/>
      <c r="V886" s="109"/>
      <c r="W886" s="109"/>
      <c r="X886" s="109"/>
      <c r="Y886" s="109"/>
      <c r="Z886" s="109"/>
    </row>
    <row r="887" spans="1:26" ht="11.25" customHeight="1">
      <c r="A887" s="109"/>
      <c r="B887" s="109"/>
      <c r="C887" s="109"/>
      <c r="D887" s="109"/>
      <c r="E887" s="109"/>
      <c r="F887" s="109"/>
      <c r="G887" s="109"/>
      <c r="H887" s="109"/>
      <c r="I887" s="109"/>
      <c r="J887" s="109"/>
      <c r="K887" s="109"/>
      <c r="L887" s="109"/>
      <c r="M887" s="109"/>
      <c r="N887" s="109"/>
      <c r="O887" s="109"/>
      <c r="P887" s="109"/>
      <c r="Q887" s="109"/>
      <c r="R887" s="109"/>
      <c r="S887" s="109"/>
      <c r="T887" s="109"/>
      <c r="U887" s="109"/>
      <c r="V887" s="109"/>
      <c r="W887" s="109"/>
      <c r="X887" s="109"/>
      <c r="Y887" s="109"/>
      <c r="Z887" s="109"/>
    </row>
    <row r="888" spans="1:26" ht="11.25" customHeight="1">
      <c r="A888" s="109"/>
      <c r="B888" s="109"/>
      <c r="C888" s="109"/>
      <c r="D888" s="109"/>
      <c r="E888" s="109"/>
      <c r="F888" s="109"/>
      <c r="G888" s="109"/>
      <c r="H888" s="109"/>
      <c r="I888" s="109"/>
      <c r="J888" s="109"/>
      <c r="K888" s="109"/>
      <c r="L888" s="109"/>
      <c r="M888" s="109"/>
      <c r="N888" s="109"/>
      <c r="O888" s="109"/>
      <c r="P888" s="109"/>
      <c r="Q888" s="109"/>
      <c r="R888" s="109"/>
      <c r="S888" s="109"/>
      <c r="T888" s="109"/>
      <c r="U888" s="109"/>
      <c r="V888" s="109"/>
      <c r="W888" s="109"/>
      <c r="X888" s="109"/>
      <c r="Y888" s="109"/>
      <c r="Z888" s="109"/>
    </row>
    <row r="889" spans="1:26" ht="11.25" customHeight="1">
      <c r="A889" s="109"/>
      <c r="B889" s="109"/>
      <c r="C889" s="109"/>
      <c r="D889" s="109"/>
      <c r="E889" s="109"/>
      <c r="F889" s="109"/>
      <c r="G889" s="109"/>
      <c r="H889" s="109"/>
      <c r="I889" s="109"/>
      <c r="J889" s="109"/>
      <c r="K889" s="109"/>
      <c r="L889" s="109"/>
      <c r="M889" s="109"/>
      <c r="N889" s="109"/>
      <c r="O889" s="109"/>
      <c r="P889" s="109"/>
      <c r="Q889" s="109"/>
      <c r="R889" s="109"/>
      <c r="S889" s="109"/>
      <c r="T889" s="109"/>
      <c r="U889" s="109"/>
      <c r="V889" s="109"/>
      <c r="W889" s="109"/>
      <c r="X889" s="109"/>
      <c r="Y889" s="109"/>
      <c r="Z889" s="109"/>
    </row>
    <row r="890" spans="1:26" ht="11.25" customHeight="1">
      <c r="A890" s="109"/>
      <c r="B890" s="109"/>
      <c r="C890" s="109"/>
      <c r="D890" s="109"/>
      <c r="E890" s="109"/>
      <c r="F890" s="109"/>
      <c r="G890" s="109"/>
      <c r="H890" s="109"/>
      <c r="I890" s="109"/>
      <c r="J890" s="109"/>
      <c r="K890" s="109"/>
      <c r="L890" s="109"/>
      <c r="M890" s="109"/>
      <c r="N890" s="109"/>
      <c r="O890" s="109"/>
      <c r="P890" s="109"/>
      <c r="Q890" s="109"/>
      <c r="R890" s="109"/>
      <c r="S890" s="109"/>
      <c r="T890" s="109"/>
      <c r="U890" s="109"/>
      <c r="V890" s="109"/>
      <c r="W890" s="109"/>
      <c r="X890" s="109"/>
      <c r="Y890" s="109"/>
      <c r="Z890" s="109"/>
    </row>
    <row r="891" spans="1:26" ht="11.25" customHeight="1">
      <c r="A891" s="109"/>
      <c r="B891" s="109"/>
      <c r="C891" s="109"/>
      <c r="D891" s="109"/>
      <c r="E891" s="109"/>
      <c r="F891" s="109"/>
      <c r="G891" s="109"/>
      <c r="H891" s="109"/>
      <c r="I891" s="109"/>
      <c r="J891" s="109"/>
      <c r="K891" s="109"/>
      <c r="L891" s="109"/>
      <c r="M891" s="109"/>
      <c r="N891" s="109"/>
      <c r="O891" s="109"/>
      <c r="P891" s="109"/>
      <c r="Q891" s="109"/>
      <c r="R891" s="109"/>
      <c r="S891" s="109"/>
      <c r="T891" s="109"/>
      <c r="U891" s="109"/>
      <c r="V891" s="109"/>
      <c r="W891" s="109"/>
      <c r="X891" s="109"/>
      <c r="Y891" s="109"/>
      <c r="Z891" s="109"/>
    </row>
    <row r="892" spans="1:26" ht="11.25" customHeight="1">
      <c r="A892" s="109"/>
      <c r="B892" s="109"/>
      <c r="C892" s="109"/>
      <c r="D892" s="109"/>
      <c r="E892" s="109"/>
      <c r="F892" s="109"/>
      <c r="G892" s="109"/>
      <c r="H892" s="109"/>
      <c r="I892" s="109"/>
      <c r="J892" s="109"/>
      <c r="K892" s="109"/>
      <c r="L892" s="109"/>
      <c r="M892" s="109"/>
      <c r="N892" s="109"/>
      <c r="O892" s="109"/>
      <c r="P892" s="109"/>
      <c r="Q892" s="109"/>
      <c r="R892" s="109"/>
      <c r="S892" s="109"/>
      <c r="T892" s="109"/>
      <c r="U892" s="109"/>
      <c r="V892" s="109"/>
      <c r="W892" s="109"/>
      <c r="X892" s="109"/>
      <c r="Y892" s="109"/>
      <c r="Z892" s="109"/>
    </row>
    <row r="893" spans="1:26" ht="11.25" customHeight="1">
      <c r="A893" s="109"/>
      <c r="B893" s="109"/>
      <c r="C893" s="109"/>
      <c r="D893" s="109"/>
      <c r="E893" s="109"/>
      <c r="F893" s="109"/>
      <c r="G893" s="109"/>
      <c r="H893" s="109"/>
      <c r="I893" s="109"/>
      <c r="J893" s="109"/>
      <c r="K893" s="109"/>
      <c r="L893" s="109"/>
      <c r="M893" s="109"/>
      <c r="N893" s="109"/>
      <c r="O893" s="109"/>
      <c r="P893" s="109"/>
      <c r="Q893" s="109"/>
      <c r="R893" s="109"/>
      <c r="S893" s="109"/>
      <c r="T893" s="109"/>
      <c r="U893" s="109"/>
      <c r="V893" s="109"/>
      <c r="W893" s="109"/>
      <c r="X893" s="109"/>
      <c r="Y893" s="109"/>
      <c r="Z893" s="109"/>
    </row>
    <row r="894" spans="1:26" ht="11.25" customHeight="1">
      <c r="A894" s="109"/>
      <c r="B894" s="109"/>
      <c r="C894" s="109"/>
      <c r="D894" s="109"/>
      <c r="E894" s="109"/>
      <c r="F894" s="109"/>
      <c r="G894" s="109"/>
      <c r="H894" s="109"/>
      <c r="I894" s="109"/>
      <c r="J894" s="109"/>
      <c r="K894" s="109"/>
      <c r="L894" s="109"/>
      <c r="M894" s="109"/>
      <c r="N894" s="109"/>
      <c r="O894" s="109"/>
      <c r="P894" s="109"/>
      <c r="Q894" s="109"/>
      <c r="R894" s="109"/>
      <c r="S894" s="109"/>
      <c r="T894" s="109"/>
      <c r="U894" s="109"/>
      <c r="V894" s="109"/>
      <c r="W894" s="109"/>
      <c r="X894" s="109"/>
      <c r="Y894" s="109"/>
      <c r="Z894" s="109"/>
    </row>
    <row r="895" spans="1:26" ht="11.25" customHeight="1">
      <c r="A895" s="109"/>
      <c r="B895" s="109"/>
      <c r="C895" s="109"/>
      <c r="D895" s="109"/>
      <c r="E895" s="109"/>
      <c r="F895" s="109"/>
      <c r="G895" s="109"/>
      <c r="H895" s="109"/>
      <c r="I895" s="109"/>
      <c r="J895" s="109"/>
      <c r="K895" s="109"/>
      <c r="L895" s="109"/>
      <c r="M895" s="109"/>
      <c r="N895" s="109"/>
      <c r="O895" s="109"/>
      <c r="P895" s="109"/>
      <c r="Q895" s="109"/>
      <c r="R895" s="109"/>
      <c r="S895" s="109"/>
      <c r="T895" s="109"/>
      <c r="U895" s="109"/>
      <c r="V895" s="109"/>
      <c r="W895" s="109"/>
      <c r="X895" s="109"/>
      <c r="Y895" s="109"/>
      <c r="Z895" s="109"/>
    </row>
    <row r="896" spans="1:26" ht="11.25" customHeight="1">
      <c r="A896" s="109"/>
      <c r="B896" s="109"/>
      <c r="C896" s="109"/>
      <c r="D896" s="109"/>
      <c r="E896" s="109"/>
      <c r="F896" s="109"/>
      <c r="G896" s="109"/>
      <c r="H896" s="109"/>
      <c r="I896" s="109"/>
      <c r="J896" s="109"/>
      <c r="K896" s="109"/>
      <c r="L896" s="109"/>
      <c r="M896" s="109"/>
      <c r="N896" s="109"/>
      <c r="O896" s="109"/>
      <c r="P896" s="109"/>
      <c r="Q896" s="109"/>
      <c r="R896" s="109"/>
      <c r="S896" s="109"/>
      <c r="T896" s="109"/>
      <c r="U896" s="109"/>
      <c r="V896" s="109"/>
      <c r="W896" s="109"/>
      <c r="X896" s="109"/>
      <c r="Y896" s="109"/>
      <c r="Z896" s="109"/>
    </row>
    <row r="897" spans="1:26" ht="11.25" customHeight="1">
      <c r="A897" s="109"/>
      <c r="B897" s="109"/>
      <c r="C897" s="109"/>
      <c r="D897" s="109"/>
      <c r="E897" s="109"/>
      <c r="F897" s="109"/>
      <c r="G897" s="109"/>
      <c r="H897" s="109"/>
      <c r="I897" s="109"/>
      <c r="J897" s="109"/>
      <c r="K897" s="109"/>
      <c r="L897" s="109"/>
      <c r="M897" s="109"/>
      <c r="N897" s="109"/>
      <c r="O897" s="109"/>
      <c r="P897" s="109"/>
      <c r="Q897" s="109"/>
      <c r="R897" s="109"/>
      <c r="S897" s="109"/>
      <c r="T897" s="109"/>
      <c r="U897" s="109"/>
      <c r="V897" s="109"/>
      <c r="W897" s="109"/>
      <c r="X897" s="109"/>
      <c r="Y897" s="109"/>
      <c r="Z897" s="109"/>
    </row>
    <row r="898" spans="1:26" ht="11.25" customHeight="1">
      <c r="A898" s="109"/>
      <c r="B898" s="109"/>
      <c r="C898" s="109"/>
      <c r="D898" s="109"/>
      <c r="E898" s="109"/>
      <c r="F898" s="109"/>
      <c r="G898" s="109"/>
      <c r="H898" s="109"/>
      <c r="I898" s="109"/>
      <c r="J898" s="109"/>
      <c r="K898" s="109"/>
      <c r="L898" s="109"/>
      <c r="M898" s="109"/>
      <c r="N898" s="109"/>
      <c r="O898" s="109"/>
      <c r="P898" s="109"/>
      <c r="Q898" s="109"/>
      <c r="R898" s="109"/>
      <c r="S898" s="109"/>
      <c r="T898" s="109"/>
      <c r="U898" s="109"/>
      <c r="V898" s="109"/>
      <c r="W898" s="109"/>
      <c r="X898" s="109"/>
      <c r="Y898" s="109"/>
      <c r="Z898" s="109"/>
    </row>
    <row r="899" spans="1:26" ht="11.25" customHeight="1">
      <c r="A899" s="109"/>
      <c r="B899" s="109"/>
      <c r="C899" s="109"/>
      <c r="D899" s="109"/>
      <c r="E899" s="109"/>
      <c r="F899" s="109"/>
      <c r="G899" s="109"/>
      <c r="H899" s="109"/>
      <c r="I899" s="109"/>
      <c r="J899" s="109"/>
      <c r="K899" s="109"/>
      <c r="L899" s="109"/>
      <c r="M899" s="109"/>
      <c r="N899" s="109"/>
      <c r="O899" s="109"/>
      <c r="P899" s="109"/>
      <c r="Q899" s="109"/>
      <c r="R899" s="109"/>
      <c r="S899" s="109"/>
      <c r="T899" s="109"/>
      <c r="U899" s="109"/>
      <c r="V899" s="109"/>
      <c r="W899" s="109"/>
      <c r="X899" s="109"/>
      <c r="Y899" s="109"/>
      <c r="Z899" s="109"/>
    </row>
    <row r="900" spans="1:26" ht="11.25" customHeight="1">
      <c r="A900" s="109"/>
      <c r="B900" s="109"/>
      <c r="C900" s="109"/>
      <c r="D900" s="109"/>
      <c r="E900" s="109"/>
      <c r="F900" s="109"/>
      <c r="G900" s="109"/>
      <c r="H900" s="109"/>
      <c r="I900" s="109"/>
      <c r="J900" s="109"/>
      <c r="K900" s="109"/>
      <c r="L900" s="109"/>
      <c r="M900" s="109"/>
      <c r="N900" s="109"/>
      <c r="O900" s="109"/>
      <c r="P900" s="109"/>
      <c r="Q900" s="109"/>
      <c r="R900" s="109"/>
      <c r="S900" s="109"/>
      <c r="T900" s="109"/>
      <c r="U900" s="109"/>
      <c r="V900" s="109"/>
      <c r="W900" s="109"/>
      <c r="X900" s="109"/>
      <c r="Y900" s="109"/>
      <c r="Z900" s="109"/>
    </row>
    <row r="901" spans="1:26" ht="11.25" customHeight="1">
      <c r="A901" s="109"/>
      <c r="B901" s="109"/>
      <c r="C901" s="109"/>
      <c r="D901" s="109"/>
      <c r="E901" s="109"/>
      <c r="F901" s="109"/>
      <c r="G901" s="109"/>
      <c r="H901" s="109"/>
      <c r="I901" s="109"/>
      <c r="J901" s="109"/>
      <c r="K901" s="109"/>
      <c r="L901" s="109"/>
      <c r="M901" s="109"/>
      <c r="N901" s="109"/>
      <c r="O901" s="109"/>
      <c r="P901" s="109"/>
      <c r="Q901" s="109"/>
      <c r="R901" s="109"/>
      <c r="S901" s="109"/>
      <c r="T901" s="109"/>
      <c r="U901" s="109"/>
      <c r="V901" s="109"/>
      <c r="W901" s="109"/>
      <c r="X901" s="109"/>
      <c r="Y901" s="109"/>
      <c r="Z901" s="109"/>
    </row>
    <row r="902" spans="1:26" ht="11.25" customHeight="1">
      <c r="A902" s="109"/>
      <c r="B902" s="109"/>
      <c r="C902" s="109"/>
      <c r="D902" s="109"/>
      <c r="E902" s="109"/>
      <c r="F902" s="109"/>
      <c r="G902" s="109"/>
      <c r="H902" s="109"/>
      <c r="I902" s="109"/>
      <c r="J902" s="109"/>
      <c r="K902" s="109"/>
      <c r="L902" s="109"/>
      <c r="M902" s="109"/>
      <c r="N902" s="109"/>
      <c r="O902" s="109"/>
      <c r="P902" s="109"/>
      <c r="Q902" s="109"/>
      <c r="R902" s="109"/>
      <c r="S902" s="109"/>
      <c r="T902" s="109"/>
      <c r="U902" s="109"/>
      <c r="V902" s="109"/>
      <c r="W902" s="109"/>
      <c r="X902" s="109"/>
      <c r="Y902" s="109"/>
      <c r="Z902" s="109"/>
    </row>
    <row r="903" spans="1:26" ht="11.25" customHeight="1">
      <c r="A903" s="109"/>
      <c r="B903" s="109"/>
      <c r="C903" s="109"/>
      <c r="D903" s="109"/>
      <c r="E903" s="109"/>
      <c r="F903" s="109"/>
      <c r="G903" s="109"/>
      <c r="H903" s="109"/>
      <c r="I903" s="109"/>
      <c r="J903" s="109"/>
      <c r="K903" s="109"/>
      <c r="L903" s="109"/>
      <c r="M903" s="109"/>
      <c r="N903" s="109"/>
      <c r="O903" s="109"/>
      <c r="P903" s="109"/>
      <c r="Q903" s="109"/>
      <c r="R903" s="109"/>
      <c r="S903" s="109"/>
      <c r="T903" s="109"/>
      <c r="U903" s="109"/>
      <c r="V903" s="109"/>
      <c r="W903" s="109"/>
      <c r="X903" s="109"/>
      <c r="Y903" s="109"/>
      <c r="Z903" s="109"/>
    </row>
    <row r="904" spans="1:26" ht="11.25" customHeight="1">
      <c r="A904" s="109"/>
      <c r="B904" s="109"/>
      <c r="C904" s="109"/>
      <c r="D904" s="109"/>
      <c r="E904" s="109"/>
      <c r="F904" s="109"/>
      <c r="G904" s="109"/>
      <c r="H904" s="109"/>
      <c r="I904" s="109"/>
      <c r="J904" s="109"/>
      <c r="K904" s="109"/>
      <c r="L904" s="109"/>
      <c r="M904" s="109"/>
      <c r="N904" s="109"/>
      <c r="O904" s="109"/>
      <c r="P904" s="109"/>
      <c r="Q904" s="109"/>
      <c r="R904" s="109"/>
      <c r="S904" s="109"/>
      <c r="T904" s="109"/>
      <c r="U904" s="109"/>
      <c r="V904" s="109"/>
      <c r="W904" s="109"/>
      <c r="X904" s="109"/>
      <c r="Y904" s="109"/>
      <c r="Z904" s="109"/>
    </row>
    <row r="905" spans="1:26" ht="11.25" customHeight="1">
      <c r="A905" s="109"/>
      <c r="B905" s="109"/>
      <c r="C905" s="109"/>
      <c r="D905" s="109"/>
      <c r="E905" s="109"/>
      <c r="F905" s="109"/>
      <c r="G905" s="109"/>
      <c r="H905" s="109"/>
      <c r="I905" s="109"/>
      <c r="J905" s="109"/>
      <c r="K905" s="109"/>
      <c r="L905" s="109"/>
      <c r="M905" s="109"/>
      <c r="N905" s="109"/>
      <c r="O905" s="109"/>
      <c r="P905" s="109"/>
      <c r="Q905" s="109"/>
      <c r="R905" s="109"/>
      <c r="S905" s="109"/>
      <c r="T905" s="109"/>
      <c r="U905" s="109"/>
      <c r="V905" s="109"/>
      <c r="W905" s="109"/>
      <c r="X905" s="109"/>
      <c r="Y905" s="109"/>
      <c r="Z905" s="109"/>
    </row>
    <row r="906" spans="1:26" ht="11.25" customHeight="1">
      <c r="A906" s="109"/>
      <c r="B906" s="109"/>
      <c r="C906" s="109"/>
      <c r="D906" s="109"/>
      <c r="E906" s="109"/>
      <c r="F906" s="109"/>
      <c r="G906" s="109"/>
      <c r="H906" s="109"/>
      <c r="I906" s="109"/>
      <c r="J906" s="109"/>
      <c r="K906" s="109"/>
      <c r="L906" s="109"/>
      <c r="M906" s="109"/>
      <c r="N906" s="109"/>
      <c r="O906" s="109"/>
      <c r="P906" s="109"/>
      <c r="Q906" s="109"/>
      <c r="R906" s="109"/>
      <c r="S906" s="109"/>
      <c r="T906" s="109"/>
      <c r="U906" s="109"/>
      <c r="V906" s="109"/>
      <c r="W906" s="109"/>
      <c r="X906" s="109"/>
      <c r="Y906" s="109"/>
      <c r="Z906" s="109"/>
    </row>
    <row r="907" spans="1:26" ht="11.25" customHeight="1">
      <c r="A907" s="109"/>
      <c r="B907" s="109"/>
      <c r="C907" s="109"/>
      <c r="D907" s="109"/>
      <c r="E907" s="109"/>
      <c r="F907" s="109"/>
      <c r="G907" s="109"/>
      <c r="H907" s="109"/>
      <c r="I907" s="109"/>
      <c r="J907" s="109"/>
      <c r="K907" s="109"/>
      <c r="L907" s="109"/>
      <c r="M907" s="109"/>
      <c r="N907" s="109"/>
      <c r="O907" s="109"/>
      <c r="P907" s="109"/>
      <c r="Q907" s="109"/>
      <c r="R907" s="109"/>
      <c r="S907" s="109"/>
      <c r="T907" s="109"/>
      <c r="U907" s="109"/>
      <c r="V907" s="109"/>
      <c r="W907" s="109"/>
      <c r="X907" s="109"/>
      <c r="Y907" s="109"/>
      <c r="Z907" s="109"/>
    </row>
    <row r="908" spans="1:26" ht="11.25" customHeight="1">
      <c r="A908" s="109"/>
      <c r="B908" s="109"/>
      <c r="C908" s="109"/>
      <c r="D908" s="109"/>
      <c r="E908" s="109"/>
      <c r="F908" s="109"/>
      <c r="G908" s="109"/>
      <c r="H908" s="109"/>
      <c r="I908" s="109"/>
      <c r="J908" s="109"/>
      <c r="K908" s="109"/>
      <c r="L908" s="109"/>
      <c r="M908" s="109"/>
      <c r="N908" s="109"/>
      <c r="O908" s="109"/>
      <c r="P908" s="109"/>
      <c r="Q908" s="109"/>
      <c r="R908" s="109"/>
      <c r="S908" s="109"/>
      <c r="T908" s="109"/>
      <c r="U908" s="109"/>
      <c r="V908" s="109"/>
      <c r="W908" s="109"/>
      <c r="X908" s="109"/>
      <c r="Y908" s="109"/>
      <c r="Z908" s="109"/>
    </row>
    <row r="909" spans="1:26" ht="11.25" customHeight="1">
      <c r="A909" s="109"/>
      <c r="B909" s="109"/>
      <c r="C909" s="109"/>
      <c r="D909" s="109"/>
      <c r="E909" s="109"/>
      <c r="F909" s="109"/>
      <c r="G909" s="109"/>
      <c r="H909" s="109"/>
      <c r="I909" s="109"/>
      <c r="J909" s="109"/>
      <c r="K909" s="109"/>
      <c r="L909" s="109"/>
      <c r="M909" s="109"/>
      <c r="N909" s="109"/>
      <c r="O909" s="109"/>
      <c r="P909" s="109"/>
      <c r="Q909" s="109"/>
      <c r="R909" s="109"/>
      <c r="S909" s="109"/>
      <c r="T909" s="109"/>
      <c r="U909" s="109"/>
      <c r="V909" s="109"/>
      <c r="W909" s="109"/>
      <c r="X909" s="109"/>
      <c r="Y909" s="109"/>
      <c r="Z909" s="109"/>
    </row>
    <row r="910" spans="1:26" ht="11.25" customHeight="1">
      <c r="A910" s="109"/>
      <c r="B910" s="109"/>
      <c r="C910" s="109"/>
      <c r="D910" s="109"/>
      <c r="E910" s="109"/>
      <c r="F910" s="109"/>
      <c r="G910" s="109"/>
      <c r="H910" s="109"/>
      <c r="I910" s="109"/>
      <c r="J910" s="109"/>
      <c r="K910" s="109"/>
      <c r="L910" s="109"/>
      <c r="M910" s="109"/>
      <c r="N910" s="109"/>
      <c r="O910" s="109"/>
      <c r="P910" s="109"/>
      <c r="Q910" s="109"/>
      <c r="R910" s="109"/>
      <c r="S910" s="109"/>
      <c r="T910" s="109"/>
      <c r="U910" s="109"/>
      <c r="V910" s="109"/>
      <c r="W910" s="109"/>
      <c r="X910" s="109"/>
      <c r="Y910" s="109"/>
      <c r="Z910" s="109"/>
    </row>
    <row r="911" spans="1:26" ht="11.25" customHeight="1">
      <c r="A911" s="109"/>
      <c r="B911" s="109"/>
      <c r="C911" s="109"/>
      <c r="D911" s="109"/>
      <c r="E911" s="109"/>
      <c r="F911" s="109"/>
      <c r="G911" s="109"/>
      <c r="H911" s="109"/>
      <c r="I911" s="109"/>
      <c r="J911" s="109"/>
      <c r="K911" s="109"/>
      <c r="L911" s="109"/>
      <c r="M911" s="109"/>
      <c r="N911" s="109"/>
      <c r="O911" s="109"/>
      <c r="P911" s="109"/>
      <c r="Q911" s="109"/>
      <c r="R911" s="109"/>
      <c r="S911" s="109"/>
      <c r="T911" s="109"/>
      <c r="U911" s="109"/>
      <c r="V911" s="109"/>
      <c r="W911" s="109"/>
      <c r="X911" s="109"/>
      <c r="Y911" s="109"/>
      <c r="Z911" s="109"/>
    </row>
    <row r="912" spans="1:26" ht="11.25" customHeight="1">
      <c r="A912" s="109"/>
      <c r="B912" s="109"/>
      <c r="C912" s="109"/>
      <c r="D912" s="109"/>
      <c r="E912" s="109"/>
      <c r="F912" s="109"/>
      <c r="G912" s="109"/>
      <c r="H912" s="109"/>
      <c r="I912" s="109"/>
      <c r="J912" s="109"/>
      <c r="K912" s="109"/>
      <c r="L912" s="109"/>
      <c r="M912" s="109"/>
      <c r="N912" s="109"/>
      <c r="O912" s="109"/>
      <c r="P912" s="109"/>
      <c r="Q912" s="109"/>
      <c r="R912" s="109"/>
      <c r="S912" s="109"/>
      <c r="T912" s="109"/>
      <c r="U912" s="109"/>
      <c r="V912" s="109"/>
      <c r="W912" s="109"/>
      <c r="X912" s="109"/>
      <c r="Y912" s="109"/>
      <c r="Z912" s="109"/>
    </row>
    <row r="913" spans="1:26" ht="11.25" customHeight="1">
      <c r="A913" s="109"/>
      <c r="B913" s="109"/>
      <c r="C913" s="109"/>
      <c r="D913" s="109"/>
      <c r="E913" s="109"/>
      <c r="F913" s="109"/>
      <c r="G913" s="109"/>
      <c r="H913" s="109"/>
      <c r="I913" s="109"/>
      <c r="J913" s="109"/>
      <c r="K913" s="109"/>
      <c r="L913" s="109"/>
      <c r="M913" s="109"/>
      <c r="N913" s="109"/>
      <c r="O913" s="109"/>
      <c r="P913" s="109"/>
      <c r="Q913" s="109"/>
      <c r="R913" s="109"/>
      <c r="S913" s="109"/>
      <c r="T913" s="109"/>
      <c r="U913" s="109"/>
      <c r="V913" s="109"/>
      <c r="W913" s="109"/>
      <c r="X913" s="109"/>
      <c r="Y913" s="109"/>
      <c r="Z913" s="109"/>
    </row>
    <row r="914" spans="1:26" ht="11.25" customHeight="1">
      <c r="A914" s="109"/>
      <c r="B914" s="109"/>
      <c r="C914" s="109"/>
      <c r="D914" s="109"/>
      <c r="E914" s="109"/>
      <c r="F914" s="109"/>
      <c r="G914" s="109"/>
      <c r="H914" s="109"/>
      <c r="I914" s="109"/>
      <c r="J914" s="109"/>
      <c r="K914" s="109"/>
      <c r="L914" s="109"/>
      <c r="M914" s="109"/>
      <c r="N914" s="109"/>
      <c r="O914" s="109"/>
      <c r="P914" s="109"/>
      <c r="Q914" s="109"/>
      <c r="R914" s="109"/>
      <c r="S914" s="109"/>
      <c r="T914" s="109"/>
      <c r="U914" s="109"/>
      <c r="V914" s="109"/>
      <c r="W914" s="109"/>
      <c r="X914" s="109"/>
      <c r="Y914" s="109"/>
      <c r="Z914" s="109"/>
    </row>
    <row r="915" spans="1:26" ht="11.25" customHeight="1">
      <c r="A915" s="109"/>
      <c r="B915" s="109"/>
      <c r="C915" s="109"/>
      <c r="D915" s="109"/>
      <c r="E915" s="109"/>
      <c r="F915" s="109"/>
      <c r="G915" s="109"/>
      <c r="H915" s="109"/>
      <c r="I915" s="109"/>
      <c r="J915" s="109"/>
      <c r="K915" s="109"/>
      <c r="L915" s="109"/>
      <c r="M915" s="109"/>
      <c r="N915" s="109"/>
      <c r="O915" s="109"/>
      <c r="P915" s="109"/>
      <c r="Q915" s="109"/>
      <c r="R915" s="109"/>
      <c r="S915" s="109"/>
      <c r="T915" s="109"/>
      <c r="U915" s="109"/>
      <c r="V915" s="109"/>
      <c r="W915" s="109"/>
      <c r="X915" s="109"/>
      <c r="Y915" s="109"/>
      <c r="Z915" s="109"/>
    </row>
    <row r="916" spans="1:26" ht="11.25" customHeight="1">
      <c r="A916" s="109"/>
      <c r="B916" s="109"/>
      <c r="C916" s="109"/>
      <c r="D916" s="109"/>
      <c r="E916" s="109"/>
      <c r="F916" s="109"/>
      <c r="G916" s="109"/>
      <c r="H916" s="109"/>
      <c r="I916" s="109"/>
      <c r="J916" s="109"/>
      <c r="K916" s="109"/>
      <c r="L916" s="109"/>
      <c r="M916" s="109"/>
      <c r="N916" s="109"/>
      <c r="O916" s="109"/>
      <c r="P916" s="109"/>
      <c r="Q916" s="109"/>
      <c r="R916" s="109"/>
      <c r="S916" s="109"/>
      <c r="T916" s="109"/>
      <c r="U916" s="109"/>
      <c r="V916" s="109"/>
      <c r="W916" s="109"/>
      <c r="X916" s="109"/>
      <c r="Y916" s="109"/>
      <c r="Z916" s="109"/>
    </row>
    <row r="917" spans="1:26" ht="11.25" customHeight="1">
      <c r="A917" s="109"/>
      <c r="B917" s="109"/>
      <c r="C917" s="109"/>
      <c r="D917" s="109"/>
      <c r="E917" s="109"/>
      <c r="F917" s="109"/>
      <c r="G917" s="109"/>
      <c r="H917" s="109"/>
      <c r="I917" s="109"/>
      <c r="J917" s="109"/>
      <c r="K917" s="109"/>
      <c r="L917" s="109"/>
      <c r="M917" s="109"/>
      <c r="N917" s="109"/>
      <c r="O917" s="109"/>
      <c r="P917" s="109"/>
      <c r="Q917" s="109"/>
      <c r="R917" s="109"/>
      <c r="S917" s="109"/>
      <c r="T917" s="109"/>
      <c r="U917" s="109"/>
      <c r="V917" s="109"/>
      <c r="W917" s="109"/>
      <c r="X917" s="109"/>
      <c r="Y917" s="109"/>
      <c r="Z917" s="109"/>
    </row>
    <row r="918" spans="1:26" ht="11.25" customHeight="1">
      <c r="A918" s="109"/>
      <c r="B918" s="109"/>
      <c r="C918" s="109"/>
      <c r="D918" s="109"/>
      <c r="E918" s="109"/>
      <c r="F918" s="109"/>
      <c r="G918" s="109"/>
      <c r="H918" s="109"/>
      <c r="I918" s="109"/>
      <c r="J918" s="109"/>
      <c r="K918" s="109"/>
      <c r="L918" s="109"/>
      <c r="M918" s="109"/>
      <c r="N918" s="109"/>
      <c r="O918" s="109"/>
      <c r="P918" s="109"/>
      <c r="Q918" s="109"/>
      <c r="R918" s="109"/>
      <c r="S918" s="109"/>
      <c r="T918" s="109"/>
      <c r="U918" s="109"/>
      <c r="V918" s="109"/>
      <c r="W918" s="109"/>
      <c r="X918" s="109"/>
      <c r="Y918" s="109"/>
      <c r="Z918" s="109"/>
    </row>
    <row r="919" spans="1:26" ht="11.25" customHeight="1">
      <c r="A919" s="109"/>
      <c r="B919" s="109"/>
      <c r="C919" s="109"/>
      <c r="D919" s="109"/>
      <c r="E919" s="109"/>
      <c r="F919" s="109"/>
      <c r="G919" s="109"/>
      <c r="H919" s="109"/>
      <c r="I919" s="109"/>
      <c r="J919" s="109"/>
      <c r="K919" s="109"/>
      <c r="L919" s="109"/>
      <c r="M919" s="109"/>
      <c r="N919" s="109"/>
      <c r="O919" s="109"/>
      <c r="P919" s="109"/>
      <c r="Q919" s="109"/>
      <c r="R919" s="109"/>
      <c r="S919" s="109"/>
      <c r="T919" s="109"/>
      <c r="U919" s="109"/>
      <c r="V919" s="109"/>
      <c r="W919" s="109"/>
      <c r="X919" s="109"/>
      <c r="Y919" s="109"/>
      <c r="Z919" s="109"/>
    </row>
    <row r="920" spans="1:26" ht="11.25" customHeight="1">
      <c r="A920" s="109"/>
      <c r="B920" s="109"/>
      <c r="C920" s="109"/>
      <c r="D920" s="109"/>
      <c r="E920" s="109"/>
      <c r="F920" s="109"/>
      <c r="G920" s="109"/>
      <c r="H920" s="109"/>
      <c r="I920" s="109"/>
      <c r="J920" s="109"/>
      <c r="K920" s="109"/>
      <c r="L920" s="109"/>
      <c r="M920" s="109"/>
      <c r="N920" s="109"/>
      <c r="O920" s="109"/>
      <c r="P920" s="109"/>
      <c r="Q920" s="109"/>
      <c r="R920" s="109"/>
      <c r="S920" s="109"/>
      <c r="T920" s="109"/>
      <c r="U920" s="109"/>
      <c r="V920" s="109"/>
      <c r="W920" s="109"/>
      <c r="X920" s="109"/>
      <c r="Y920" s="109"/>
      <c r="Z920" s="109"/>
    </row>
    <row r="921" spans="1:26" ht="11.25" customHeight="1">
      <c r="A921" s="109"/>
      <c r="B921" s="109"/>
      <c r="C921" s="109"/>
      <c r="D921" s="109"/>
      <c r="E921" s="109"/>
      <c r="F921" s="109"/>
      <c r="G921" s="109"/>
      <c r="H921" s="109"/>
      <c r="I921" s="109"/>
      <c r="J921" s="109"/>
      <c r="K921" s="109"/>
      <c r="L921" s="109"/>
      <c r="M921" s="109"/>
      <c r="N921" s="109"/>
      <c r="O921" s="109"/>
      <c r="P921" s="109"/>
      <c r="Q921" s="109"/>
      <c r="R921" s="109"/>
      <c r="S921" s="109"/>
      <c r="T921" s="109"/>
      <c r="U921" s="109"/>
      <c r="V921" s="109"/>
      <c r="W921" s="109"/>
      <c r="X921" s="109"/>
      <c r="Y921" s="109"/>
      <c r="Z921" s="109"/>
    </row>
    <row r="922" spans="1:26" ht="11.25" customHeight="1">
      <c r="A922" s="109"/>
      <c r="B922" s="109"/>
      <c r="C922" s="109"/>
      <c r="D922" s="109"/>
      <c r="E922" s="109"/>
      <c r="F922" s="109"/>
      <c r="G922" s="109"/>
      <c r="H922" s="109"/>
      <c r="I922" s="109"/>
      <c r="J922" s="109"/>
      <c r="K922" s="109"/>
      <c r="L922" s="109"/>
      <c r="M922" s="109"/>
      <c r="N922" s="109"/>
      <c r="O922" s="109"/>
      <c r="P922" s="109"/>
      <c r="Q922" s="109"/>
      <c r="R922" s="109"/>
      <c r="S922" s="109"/>
      <c r="T922" s="109"/>
      <c r="U922" s="109"/>
      <c r="V922" s="109"/>
      <c r="W922" s="109"/>
      <c r="X922" s="109"/>
      <c r="Y922" s="109"/>
      <c r="Z922" s="109"/>
    </row>
    <row r="923" spans="1:26" ht="11.25" customHeight="1">
      <c r="A923" s="109"/>
      <c r="B923" s="109"/>
      <c r="C923" s="109"/>
      <c r="D923" s="109"/>
      <c r="E923" s="109"/>
      <c r="F923" s="109"/>
      <c r="G923" s="109"/>
      <c r="H923" s="109"/>
      <c r="I923" s="109"/>
      <c r="J923" s="109"/>
      <c r="K923" s="109"/>
      <c r="L923" s="109"/>
      <c r="M923" s="109"/>
      <c r="N923" s="109"/>
      <c r="O923" s="109"/>
      <c r="P923" s="109"/>
      <c r="Q923" s="109"/>
      <c r="R923" s="109"/>
      <c r="S923" s="109"/>
      <c r="T923" s="109"/>
      <c r="U923" s="109"/>
      <c r="V923" s="109"/>
      <c r="W923" s="109"/>
      <c r="X923" s="109"/>
      <c r="Y923" s="109"/>
      <c r="Z923" s="109"/>
    </row>
    <row r="924" spans="1:26" ht="11.25" customHeight="1">
      <c r="A924" s="109"/>
      <c r="B924" s="109"/>
      <c r="C924" s="109"/>
      <c r="D924" s="109"/>
      <c r="E924" s="109"/>
      <c r="F924" s="109"/>
      <c r="G924" s="109"/>
      <c r="H924" s="109"/>
      <c r="I924" s="109"/>
      <c r="J924" s="109"/>
      <c r="K924" s="109"/>
      <c r="L924" s="109"/>
      <c r="M924" s="109"/>
      <c r="N924" s="109"/>
      <c r="O924" s="109"/>
      <c r="P924" s="109"/>
      <c r="Q924" s="109"/>
      <c r="R924" s="109"/>
      <c r="S924" s="109"/>
      <c r="T924" s="109"/>
      <c r="U924" s="109"/>
      <c r="V924" s="109"/>
      <c r="W924" s="109"/>
      <c r="X924" s="109"/>
      <c r="Y924" s="109"/>
      <c r="Z924" s="109"/>
    </row>
    <row r="925" spans="1:26" ht="11.25" customHeight="1">
      <c r="A925" s="109"/>
      <c r="B925" s="109"/>
      <c r="C925" s="109"/>
      <c r="D925" s="109"/>
      <c r="E925" s="109"/>
      <c r="F925" s="109"/>
      <c r="G925" s="109"/>
      <c r="H925" s="109"/>
      <c r="I925" s="109"/>
      <c r="J925" s="109"/>
      <c r="K925" s="109"/>
      <c r="L925" s="109"/>
      <c r="M925" s="109"/>
      <c r="N925" s="109"/>
      <c r="O925" s="109"/>
      <c r="P925" s="109"/>
      <c r="Q925" s="109"/>
      <c r="R925" s="109"/>
      <c r="S925" s="109"/>
      <c r="T925" s="109"/>
      <c r="U925" s="109"/>
      <c r="V925" s="109"/>
      <c r="W925" s="109"/>
      <c r="X925" s="109"/>
      <c r="Y925" s="109"/>
      <c r="Z925" s="109"/>
    </row>
    <row r="926" spans="1:26" ht="11.25" customHeight="1">
      <c r="A926" s="109"/>
      <c r="B926" s="109"/>
      <c r="C926" s="109"/>
      <c r="D926" s="109"/>
      <c r="E926" s="109"/>
      <c r="F926" s="109"/>
      <c r="G926" s="109"/>
      <c r="H926" s="109"/>
      <c r="I926" s="109"/>
      <c r="J926" s="109"/>
      <c r="K926" s="109"/>
      <c r="L926" s="109"/>
      <c r="M926" s="109"/>
      <c r="N926" s="109"/>
      <c r="O926" s="109"/>
      <c r="P926" s="109"/>
      <c r="Q926" s="109"/>
      <c r="R926" s="109"/>
      <c r="S926" s="109"/>
      <c r="T926" s="109"/>
      <c r="U926" s="109"/>
      <c r="V926" s="109"/>
      <c r="W926" s="109"/>
      <c r="X926" s="109"/>
      <c r="Y926" s="109"/>
      <c r="Z926" s="109"/>
    </row>
    <row r="927" spans="1:26" ht="11.25" customHeight="1">
      <c r="A927" s="109"/>
      <c r="B927" s="109"/>
      <c r="C927" s="109"/>
      <c r="D927" s="109"/>
      <c r="E927" s="109"/>
      <c r="F927" s="109"/>
      <c r="G927" s="109"/>
      <c r="H927" s="109"/>
      <c r="I927" s="109"/>
      <c r="J927" s="109"/>
      <c r="K927" s="109"/>
      <c r="L927" s="109"/>
      <c r="M927" s="109"/>
      <c r="N927" s="109"/>
      <c r="O927" s="109"/>
      <c r="P927" s="109"/>
      <c r="Q927" s="109"/>
      <c r="R927" s="109"/>
      <c r="S927" s="109"/>
      <c r="T927" s="109"/>
      <c r="U927" s="109"/>
      <c r="V927" s="109"/>
      <c r="W927" s="109"/>
      <c r="X927" s="109"/>
      <c r="Y927" s="109"/>
      <c r="Z927" s="109"/>
    </row>
    <row r="928" spans="1:26" ht="11.25" customHeight="1">
      <c r="A928" s="109"/>
      <c r="B928" s="109"/>
      <c r="C928" s="109"/>
      <c r="D928" s="109"/>
      <c r="E928" s="109"/>
      <c r="F928" s="109"/>
      <c r="G928" s="109"/>
      <c r="H928" s="109"/>
      <c r="I928" s="109"/>
      <c r="J928" s="109"/>
      <c r="K928" s="109"/>
      <c r="L928" s="109"/>
      <c r="M928" s="109"/>
      <c r="N928" s="109"/>
      <c r="O928" s="109"/>
      <c r="P928" s="109"/>
      <c r="Q928" s="109"/>
      <c r="R928" s="109"/>
      <c r="S928" s="109"/>
      <c r="T928" s="109"/>
      <c r="U928" s="109"/>
      <c r="V928" s="109"/>
      <c r="W928" s="109"/>
      <c r="X928" s="109"/>
      <c r="Y928" s="109"/>
      <c r="Z928" s="109"/>
    </row>
    <row r="929" spans="1:26" ht="11.25" customHeight="1">
      <c r="A929" s="109"/>
      <c r="B929" s="109"/>
      <c r="C929" s="109"/>
      <c r="D929" s="109"/>
      <c r="E929" s="109"/>
      <c r="F929" s="109"/>
      <c r="G929" s="109"/>
      <c r="H929" s="109"/>
      <c r="I929" s="109"/>
      <c r="J929" s="109"/>
      <c r="K929" s="109"/>
      <c r="L929" s="109"/>
      <c r="M929" s="109"/>
      <c r="N929" s="109"/>
      <c r="O929" s="109"/>
      <c r="P929" s="109"/>
      <c r="Q929" s="109"/>
      <c r="R929" s="109"/>
      <c r="S929" s="109"/>
      <c r="T929" s="109"/>
      <c r="U929" s="109"/>
      <c r="V929" s="109"/>
      <c r="W929" s="109"/>
      <c r="X929" s="109"/>
      <c r="Y929" s="109"/>
      <c r="Z929" s="109"/>
    </row>
    <row r="930" spans="1:26" ht="11.25" customHeight="1">
      <c r="A930" s="109"/>
      <c r="B930" s="109"/>
      <c r="C930" s="109"/>
      <c r="D930" s="109"/>
      <c r="E930" s="109"/>
      <c r="F930" s="109"/>
      <c r="G930" s="109"/>
      <c r="H930" s="109"/>
      <c r="I930" s="109"/>
      <c r="J930" s="109"/>
      <c r="K930" s="109"/>
      <c r="L930" s="109"/>
      <c r="M930" s="109"/>
      <c r="N930" s="109"/>
      <c r="O930" s="109"/>
      <c r="P930" s="109"/>
      <c r="Q930" s="109"/>
      <c r="R930" s="109"/>
      <c r="S930" s="109"/>
      <c r="T930" s="109"/>
      <c r="U930" s="109"/>
      <c r="V930" s="109"/>
      <c r="W930" s="109"/>
      <c r="X930" s="109"/>
      <c r="Y930" s="109"/>
      <c r="Z930" s="109"/>
    </row>
    <row r="931" spans="1:26" ht="11.25" customHeight="1">
      <c r="A931" s="109"/>
      <c r="B931" s="109"/>
      <c r="C931" s="109"/>
      <c r="D931" s="109"/>
      <c r="E931" s="109"/>
      <c r="F931" s="109"/>
      <c r="G931" s="109"/>
      <c r="H931" s="109"/>
      <c r="I931" s="109"/>
      <c r="J931" s="109"/>
      <c r="K931" s="109"/>
      <c r="L931" s="109"/>
      <c r="M931" s="109"/>
      <c r="N931" s="109"/>
      <c r="O931" s="109"/>
      <c r="P931" s="109"/>
      <c r="Q931" s="109"/>
      <c r="R931" s="109"/>
      <c r="S931" s="109"/>
      <c r="T931" s="109"/>
      <c r="U931" s="109"/>
      <c r="V931" s="109"/>
      <c r="W931" s="109"/>
      <c r="X931" s="109"/>
      <c r="Y931" s="109"/>
      <c r="Z931" s="109"/>
    </row>
    <row r="932" spans="1:26" ht="11.25" customHeight="1">
      <c r="A932" s="109"/>
      <c r="B932" s="109"/>
      <c r="C932" s="109"/>
      <c r="D932" s="109"/>
      <c r="E932" s="109"/>
      <c r="F932" s="109"/>
      <c r="G932" s="109"/>
      <c r="H932" s="109"/>
      <c r="I932" s="109"/>
      <c r="J932" s="109"/>
      <c r="K932" s="109"/>
      <c r="L932" s="109"/>
      <c r="M932" s="109"/>
      <c r="N932" s="109"/>
      <c r="O932" s="109"/>
      <c r="P932" s="109"/>
      <c r="Q932" s="109"/>
      <c r="R932" s="109"/>
      <c r="S932" s="109"/>
      <c r="T932" s="109"/>
      <c r="U932" s="109"/>
      <c r="V932" s="109"/>
      <c r="W932" s="109"/>
      <c r="X932" s="109"/>
      <c r="Y932" s="109"/>
      <c r="Z932" s="109"/>
    </row>
    <row r="933" spans="1:26" ht="11.25" customHeight="1">
      <c r="A933" s="109"/>
      <c r="B933" s="109"/>
      <c r="C933" s="109"/>
      <c r="D933" s="109"/>
      <c r="E933" s="109"/>
      <c r="F933" s="109"/>
      <c r="G933" s="109"/>
      <c r="H933" s="109"/>
      <c r="I933" s="109"/>
      <c r="J933" s="109"/>
      <c r="K933" s="109"/>
      <c r="L933" s="109"/>
      <c r="M933" s="109"/>
      <c r="N933" s="109"/>
      <c r="O933" s="109"/>
      <c r="P933" s="109"/>
      <c r="Q933" s="109"/>
      <c r="R933" s="109"/>
      <c r="S933" s="109"/>
      <c r="T933" s="109"/>
      <c r="U933" s="109"/>
      <c r="V933" s="109"/>
      <c r="W933" s="109"/>
      <c r="X933" s="109"/>
      <c r="Y933" s="109"/>
      <c r="Z933" s="109"/>
    </row>
    <row r="934" spans="1:26" ht="11.25" customHeight="1">
      <c r="A934" s="109"/>
      <c r="B934" s="109"/>
      <c r="C934" s="109"/>
      <c r="D934" s="109"/>
      <c r="E934" s="109"/>
      <c r="F934" s="109"/>
      <c r="G934" s="109"/>
      <c r="H934" s="109"/>
      <c r="I934" s="109"/>
      <c r="J934" s="109"/>
      <c r="K934" s="109"/>
      <c r="L934" s="109"/>
      <c r="M934" s="109"/>
      <c r="N934" s="109"/>
      <c r="O934" s="109"/>
      <c r="P934" s="109"/>
      <c r="Q934" s="109"/>
      <c r="R934" s="109"/>
      <c r="S934" s="109"/>
      <c r="T934" s="109"/>
      <c r="U934" s="109"/>
      <c r="V934" s="109"/>
      <c r="W934" s="109"/>
      <c r="X934" s="109"/>
      <c r="Y934" s="109"/>
      <c r="Z934" s="109"/>
    </row>
    <row r="935" spans="1:26" ht="11.25" customHeight="1">
      <c r="A935" s="109"/>
      <c r="B935" s="109"/>
      <c r="C935" s="109"/>
      <c r="D935" s="109"/>
      <c r="E935" s="109"/>
      <c r="F935" s="109"/>
      <c r="G935" s="109"/>
      <c r="H935" s="109"/>
      <c r="I935" s="109"/>
      <c r="J935" s="109"/>
      <c r="K935" s="109"/>
      <c r="L935" s="109"/>
      <c r="M935" s="109"/>
      <c r="N935" s="109"/>
      <c r="O935" s="109"/>
      <c r="P935" s="109"/>
      <c r="Q935" s="109"/>
      <c r="R935" s="109"/>
      <c r="S935" s="109"/>
      <c r="T935" s="109"/>
      <c r="U935" s="109"/>
      <c r="V935" s="109"/>
      <c r="W935" s="109"/>
      <c r="X935" s="109"/>
      <c r="Y935" s="109"/>
      <c r="Z935" s="109"/>
    </row>
    <row r="936" spans="1:26" ht="11.25" customHeight="1">
      <c r="A936" s="109"/>
      <c r="B936" s="109"/>
      <c r="C936" s="109"/>
      <c r="D936" s="109"/>
      <c r="E936" s="109"/>
      <c r="F936" s="109"/>
      <c r="G936" s="109"/>
      <c r="H936" s="109"/>
      <c r="I936" s="109"/>
      <c r="J936" s="109"/>
      <c r="K936" s="109"/>
      <c r="L936" s="109"/>
      <c r="M936" s="109"/>
      <c r="N936" s="109"/>
      <c r="O936" s="109"/>
      <c r="P936" s="109"/>
      <c r="Q936" s="109"/>
      <c r="R936" s="109"/>
      <c r="S936" s="109"/>
      <c r="T936" s="109"/>
      <c r="U936" s="109"/>
      <c r="V936" s="109"/>
      <c r="W936" s="109"/>
      <c r="X936" s="109"/>
      <c r="Y936" s="109"/>
      <c r="Z936" s="109"/>
    </row>
    <row r="937" spans="1:26" ht="11.25" customHeight="1">
      <c r="A937" s="109"/>
      <c r="B937" s="109"/>
      <c r="C937" s="109"/>
      <c r="D937" s="109"/>
      <c r="E937" s="109"/>
      <c r="F937" s="109"/>
      <c r="G937" s="109"/>
      <c r="H937" s="109"/>
      <c r="I937" s="109"/>
      <c r="J937" s="109"/>
      <c r="K937" s="109"/>
      <c r="L937" s="109"/>
      <c r="M937" s="109"/>
      <c r="N937" s="109"/>
      <c r="O937" s="109"/>
      <c r="P937" s="109"/>
      <c r="Q937" s="109"/>
      <c r="R937" s="109"/>
      <c r="S937" s="109"/>
      <c r="T937" s="109"/>
      <c r="U937" s="109"/>
      <c r="V937" s="109"/>
      <c r="W937" s="109"/>
      <c r="X937" s="109"/>
      <c r="Y937" s="109"/>
      <c r="Z937" s="109"/>
    </row>
    <row r="938" spans="1:26" ht="11.25" customHeight="1">
      <c r="A938" s="109"/>
      <c r="B938" s="109"/>
      <c r="C938" s="109"/>
      <c r="D938" s="109"/>
      <c r="E938" s="109"/>
      <c r="F938" s="109"/>
      <c r="G938" s="109"/>
      <c r="H938" s="109"/>
      <c r="I938" s="109"/>
      <c r="J938" s="109"/>
      <c r="K938" s="109"/>
      <c r="L938" s="109"/>
      <c r="M938" s="109"/>
      <c r="N938" s="109"/>
      <c r="O938" s="109"/>
      <c r="P938" s="109"/>
      <c r="Q938" s="109"/>
      <c r="R938" s="109"/>
      <c r="S938" s="109"/>
      <c r="T938" s="109"/>
      <c r="U938" s="109"/>
      <c r="V938" s="109"/>
      <c r="W938" s="109"/>
      <c r="X938" s="109"/>
      <c r="Y938" s="109"/>
      <c r="Z938" s="109"/>
    </row>
    <row r="939" spans="1:26" ht="11.25" customHeight="1">
      <c r="A939" s="109"/>
      <c r="B939" s="109"/>
      <c r="C939" s="109"/>
      <c r="D939" s="109"/>
      <c r="E939" s="109"/>
      <c r="F939" s="109"/>
      <c r="G939" s="109"/>
      <c r="H939" s="109"/>
      <c r="I939" s="109"/>
      <c r="J939" s="109"/>
      <c r="K939" s="109"/>
      <c r="L939" s="109"/>
      <c r="M939" s="109"/>
      <c r="N939" s="109"/>
      <c r="O939" s="109"/>
      <c r="P939" s="109"/>
      <c r="Q939" s="109"/>
      <c r="R939" s="109"/>
      <c r="S939" s="109"/>
      <c r="T939" s="109"/>
      <c r="U939" s="109"/>
      <c r="V939" s="109"/>
      <c r="W939" s="109"/>
      <c r="X939" s="109"/>
      <c r="Y939" s="109"/>
      <c r="Z939" s="109"/>
    </row>
    <row r="940" spans="1:26" ht="11.25" customHeight="1">
      <c r="A940" s="109"/>
      <c r="B940" s="109"/>
      <c r="C940" s="109"/>
      <c r="D940" s="109"/>
      <c r="E940" s="109"/>
      <c r="F940" s="109"/>
      <c r="G940" s="109"/>
      <c r="H940" s="109"/>
      <c r="I940" s="109"/>
      <c r="J940" s="109"/>
      <c r="K940" s="109"/>
      <c r="L940" s="109"/>
      <c r="M940" s="109"/>
      <c r="N940" s="109"/>
      <c r="O940" s="109"/>
      <c r="P940" s="109"/>
      <c r="Q940" s="109"/>
      <c r="R940" s="109"/>
      <c r="S940" s="109"/>
      <c r="T940" s="109"/>
      <c r="U940" s="109"/>
      <c r="V940" s="109"/>
      <c r="W940" s="109"/>
      <c r="X940" s="109"/>
      <c r="Y940" s="109"/>
      <c r="Z940" s="109"/>
    </row>
    <row r="941" spans="1:26" ht="11.25" customHeight="1">
      <c r="A941" s="109"/>
      <c r="B941" s="109"/>
      <c r="C941" s="109"/>
      <c r="D941" s="109"/>
      <c r="E941" s="109"/>
      <c r="F941" s="109"/>
      <c r="G941" s="109"/>
      <c r="H941" s="109"/>
      <c r="I941" s="109"/>
      <c r="J941" s="109"/>
      <c r="K941" s="109"/>
      <c r="L941" s="109"/>
      <c r="M941" s="109"/>
      <c r="N941" s="109"/>
      <c r="O941" s="109"/>
      <c r="P941" s="109"/>
      <c r="Q941" s="109"/>
      <c r="R941" s="109"/>
      <c r="S941" s="109"/>
      <c r="T941" s="109"/>
      <c r="U941" s="109"/>
      <c r="V941" s="109"/>
      <c r="W941" s="109"/>
      <c r="X941" s="109"/>
      <c r="Y941" s="109"/>
      <c r="Z941" s="109"/>
    </row>
    <row r="942" spans="1:26" ht="11.25" customHeight="1">
      <c r="A942" s="109"/>
      <c r="B942" s="109"/>
      <c r="C942" s="109"/>
      <c r="D942" s="109"/>
      <c r="E942" s="109"/>
      <c r="F942" s="109"/>
      <c r="G942" s="109"/>
      <c r="H942" s="109"/>
      <c r="I942" s="109"/>
      <c r="J942" s="109"/>
      <c r="K942" s="109"/>
      <c r="L942" s="109"/>
      <c r="M942" s="109"/>
      <c r="N942" s="109"/>
      <c r="O942" s="109"/>
      <c r="P942" s="109"/>
      <c r="Q942" s="109"/>
      <c r="R942" s="109"/>
      <c r="S942" s="109"/>
      <c r="T942" s="109"/>
      <c r="U942" s="109"/>
      <c r="V942" s="109"/>
      <c r="W942" s="109"/>
      <c r="X942" s="109"/>
      <c r="Y942" s="109"/>
      <c r="Z942" s="109"/>
    </row>
    <row r="943" spans="1:26" ht="11.25" customHeight="1">
      <c r="A943" s="109"/>
      <c r="B943" s="109"/>
      <c r="C943" s="109"/>
      <c r="D943" s="109"/>
      <c r="E943" s="109"/>
      <c r="F943" s="109"/>
      <c r="G943" s="109"/>
      <c r="H943" s="109"/>
      <c r="I943" s="109"/>
      <c r="J943" s="109"/>
      <c r="K943" s="109"/>
      <c r="L943" s="109"/>
      <c r="M943" s="109"/>
      <c r="N943" s="109"/>
      <c r="O943" s="109"/>
      <c r="P943" s="109"/>
      <c r="Q943" s="109"/>
      <c r="R943" s="109"/>
      <c r="S943" s="109"/>
      <c r="T943" s="109"/>
      <c r="U943" s="109"/>
      <c r="V943" s="109"/>
      <c r="W943" s="109"/>
      <c r="X943" s="109"/>
      <c r="Y943" s="109"/>
      <c r="Z943" s="109"/>
    </row>
    <row r="944" spans="1:26" ht="11.25" customHeight="1">
      <c r="A944" s="109"/>
      <c r="B944" s="109"/>
      <c r="C944" s="109"/>
      <c r="D944" s="109"/>
      <c r="E944" s="109"/>
      <c r="F944" s="109"/>
      <c r="G944" s="109"/>
      <c r="H944" s="109"/>
      <c r="I944" s="109"/>
      <c r="J944" s="109"/>
      <c r="K944" s="109"/>
      <c r="L944" s="109"/>
      <c r="M944" s="109"/>
      <c r="N944" s="109"/>
      <c r="O944" s="109"/>
      <c r="P944" s="109"/>
      <c r="Q944" s="109"/>
      <c r="R944" s="109"/>
      <c r="S944" s="109"/>
      <c r="T944" s="109"/>
      <c r="U944" s="109"/>
      <c r="V944" s="109"/>
      <c r="W944" s="109"/>
      <c r="X944" s="109"/>
      <c r="Y944" s="109"/>
      <c r="Z944" s="109"/>
    </row>
    <row r="945" spans="1:26" ht="11.25" customHeight="1">
      <c r="A945" s="109"/>
      <c r="B945" s="109"/>
      <c r="C945" s="109"/>
      <c r="D945" s="109"/>
      <c r="E945" s="109"/>
      <c r="F945" s="109"/>
      <c r="G945" s="109"/>
      <c r="H945" s="109"/>
      <c r="I945" s="109"/>
      <c r="J945" s="109"/>
      <c r="K945" s="109"/>
      <c r="L945" s="109"/>
      <c r="M945" s="109"/>
      <c r="N945" s="109"/>
      <c r="O945" s="109"/>
      <c r="P945" s="109"/>
      <c r="Q945" s="109"/>
      <c r="R945" s="109"/>
      <c r="S945" s="109"/>
      <c r="T945" s="109"/>
      <c r="U945" s="109"/>
      <c r="V945" s="109"/>
      <c r="W945" s="109"/>
      <c r="X945" s="109"/>
      <c r="Y945" s="109"/>
      <c r="Z945" s="109"/>
    </row>
    <row r="946" spans="1:26" ht="11.25" customHeight="1">
      <c r="A946" s="109"/>
      <c r="B946" s="109"/>
      <c r="C946" s="109"/>
      <c r="D946" s="109"/>
      <c r="E946" s="109"/>
      <c r="F946" s="109"/>
      <c r="G946" s="109"/>
      <c r="H946" s="109"/>
      <c r="I946" s="109"/>
      <c r="J946" s="109"/>
      <c r="K946" s="109"/>
      <c r="L946" s="109"/>
      <c r="M946" s="109"/>
      <c r="N946" s="109"/>
      <c r="O946" s="109"/>
      <c r="P946" s="109"/>
      <c r="Q946" s="109"/>
      <c r="R946" s="109"/>
      <c r="S946" s="109"/>
      <c r="T946" s="109"/>
      <c r="U946" s="109"/>
      <c r="V946" s="109"/>
      <c r="W946" s="109"/>
      <c r="X946" s="109"/>
      <c r="Y946" s="109"/>
      <c r="Z946" s="109"/>
    </row>
    <row r="947" spans="1:26" ht="11.25" customHeight="1">
      <c r="A947" s="109"/>
      <c r="B947" s="109"/>
      <c r="C947" s="109"/>
      <c r="D947" s="109"/>
      <c r="E947" s="109"/>
      <c r="F947" s="109"/>
      <c r="G947" s="109"/>
      <c r="H947" s="109"/>
      <c r="I947" s="109"/>
      <c r="J947" s="109"/>
      <c r="K947" s="109"/>
      <c r="L947" s="109"/>
      <c r="M947" s="109"/>
      <c r="N947" s="109"/>
      <c r="O947" s="109"/>
      <c r="P947" s="109"/>
      <c r="Q947" s="109"/>
      <c r="R947" s="109"/>
      <c r="S947" s="109"/>
      <c r="T947" s="109"/>
      <c r="U947" s="109"/>
      <c r="V947" s="109"/>
      <c r="W947" s="109"/>
      <c r="X947" s="109"/>
      <c r="Y947" s="109"/>
      <c r="Z947" s="109"/>
    </row>
    <row r="948" spans="1:26" ht="11.25" customHeight="1">
      <c r="A948" s="109"/>
      <c r="B948" s="109"/>
      <c r="C948" s="109"/>
      <c r="D948" s="109"/>
      <c r="E948" s="109"/>
      <c r="F948" s="109"/>
      <c r="G948" s="109"/>
      <c r="H948" s="109"/>
      <c r="I948" s="109"/>
      <c r="J948" s="109"/>
      <c r="K948" s="109"/>
      <c r="L948" s="109"/>
      <c r="M948" s="109"/>
      <c r="N948" s="109"/>
      <c r="O948" s="109"/>
      <c r="P948" s="109"/>
      <c r="Q948" s="109"/>
      <c r="R948" s="109"/>
      <c r="S948" s="109"/>
      <c r="T948" s="109"/>
      <c r="U948" s="109"/>
      <c r="V948" s="109"/>
      <c r="W948" s="109"/>
      <c r="X948" s="109"/>
      <c r="Y948" s="109"/>
      <c r="Z948" s="109"/>
    </row>
    <row r="949" spans="1:26" ht="11.25" customHeight="1">
      <c r="A949" s="109"/>
      <c r="B949" s="109"/>
      <c r="C949" s="109"/>
      <c r="D949" s="109"/>
      <c r="E949" s="109"/>
      <c r="F949" s="109"/>
      <c r="G949" s="109"/>
      <c r="H949" s="109"/>
      <c r="I949" s="109"/>
      <c r="J949" s="109"/>
      <c r="K949" s="109"/>
      <c r="L949" s="109"/>
      <c r="M949" s="109"/>
      <c r="N949" s="109"/>
      <c r="O949" s="109"/>
      <c r="P949" s="109"/>
      <c r="Q949" s="109"/>
      <c r="R949" s="109"/>
      <c r="S949" s="109"/>
      <c r="T949" s="109"/>
      <c r="U949" s="109"/>
      <c r="V949" s="109"/>
      <c r="W949" s="109"/>
      <c r="X949" s="109"/>
      <c r="Y949" s="109"/>
      <c r="Z949" s="109"/>
    </row>
    <row r="950" spans="1:26" ht="11.25" customHeight="1">
      <c r="A950" s="109"/>
      <c r="B950" s="109"/>
      <c r="C950" s="109"/>
      <c r="D950" s="109"/>
      <c r="E950" s="109"/>
      <c r="F950" s="109"/>
      <c r="G950" s="109"/>
      <c r="H950" s="109"/>
      <c r="I950" s="109"/>
      <c r="J950" s="109"/>
      <c r="K950" s="109"/>
      <c r="L950" s="109"/>
      <c r="M950" s="109"/>
      <c r="N950" s="109"/>
      <c r="O950" s="109"/>
      <c r="P950" s="109"/>
      <c r="Q950" s="109"/>
      <c r="R950" s="109"/>
      <c r="S950" s="109"/>
      <c r="T950" s="109"/>
      <c r="U950" s="109"/>
      <c r="V950" s="109"/>
      <c r="W950" s="109"/>
      <c r="X950" s="109"/>
      <c r="Y950" s="109"/>
      <c r="Z950" s="109"/>
    </row>
    <row r="951" spans="1:26" ht="11.25" customHeight="1">
      <c r="A951" s="109"/>
      <c r="B951" s="109"/>
      <c r="C951" s="109"/>
      <c r="D951" s="109"/>
      <c r="E951" s="109"/>
      <c r="F951" s="109"/>
      <c r="G951" s="109"/>
      <c r="H951" s="109"/>
      <c r="I951" s="109"/>
      <c r="J951" s="109"/>
      <c r="K951" s="109"/>
      <c r="L951" s="109"/>
      <c r="M951" s="109"/>
      <c r="N951" s="109"/>
      <c r="O951" s="109"/>
      <c r="P951" s="109"/>
      <c r="Q951" s="109"/>
      <c r="R951" s="109"/>
      <c r="S951" s="109"/>
      <c r="T951" s="109"/>
      <c r="U951" s="109"/>
      <c r="V951" s="109"/>
      <c r="W951" s="109"/>
      <c r="X951" s="109"/>
      <c r="Y951" s="109"/>
      <c r="Z951" s="109"/>
    </row>
    <row r="952" spans="1:26" ht="11.25" customHeight="1">
      <c r="A952" s="109"/>
      <c r="B952" s="109"/>
      <c r="C952" s="109"/>
      <c r="D952" s="109"/>
      <c r="E952" s="109"/>
      <c r="F952" s="109"/>
      <c r="G952" s="109"/>
      <c r="H952" s="109"/>
      <c r="I952" s="109"/>
      <c r="J952" s="109"/>
      <c r="K952" s="109"/>
      <c r="L952" s="109"/>
      <c r="M952" s="109"/>
      <c r="N952" s="109"/>
      <c r="O952" s="109"/>
      <c r="P952" s="109"/>
      <c r="Q952" s="109"/>
      <c r="R952" s="109"/>
      <c r="S952" s="109"/>
      <c r="T952" s="109"/>
      <c r="U952" s="109"/>
      <c r="V952" s="109"/>
      <c r="W952" s="109"/>
      <c r="X952" s="109"/>
      <c r="Y952" s="109"/>
      <c r="Z952" s="109"/>
    </row>
    <row r="953" spans="1:26" ht="11.25" customHeight="1">
      <c r="A953" s="109"/>
      <c r="B953" s="109"/>
      <c r="C953" s="109"/>
      <c r="D953" s="109"/>
      <c r="E953" s="109"/>
      <c r="F953" s="109"/>
      <c r="G953" s="109"/>
      <c r="H953" s="109"/>
      <c r="I953" s="109"/>
      <c r="J953" s="109"/>
      <c r="K953" s="109"/>
      <c r="L953" s="109"/>
      <c r="M953" s="109"/>
      <c r="N953" s="109"/>
      <c r="O953" s="109"/>
      <c r="P953" s="109"/>
      <c r="Q953" s="109"/>
      <c r="R953" s="109"/>
      <c r="S953" s="109"/>
      <c r="T953" s="109"/>
      <c r="U953" s="109"/>
      <c r="V953" s="109"/>
      <c r="W953" s="109"/>
      <c r="X953" s="109"/>
      <c r="Y953" s="109"/>
      <c r="Z953" s="109"/>
    </row>
    <row r="954" spans="1:26" ht="11.25" customHeight="1">
      <c r="A954" s="109"/>
      <c r="B954" s="109"/>
      <c r="C954" s="109"/>
      <c r="D954" s="109"/>
      <c r="E954" s="109"/>
      <c r="F954" s="109"/>
      <c r="G954" s="109"/>
      <c r="H954" s="109"/>
      <c r="I954" s="109"/>
      <c r="J954" s="109"/>
      <c r="K954" s="109"/>
      <c r="L954" s="109"/>
      <c r="M954" s="109"/>
      <c r="N954" s="109"/>
      <c r="O954" s="109"/>
      <c r="P954" s="109"/>
      <c r="Q954" s="109"/>
      <c r="R954" s="109"/>
      <c r="S954" s="109"/>
      <c r="T954" s="109"/>
      <c r="U954" s="109"/>
      <c r="V954" s="109"/>
      <c r="W954" s="109"/>
      <c r="X954" s="109"/>
      <c r="Y954" s="109"/>
      <c r="Z954" s="109"/>
    </row>
    <row r="955" spans="1:26" ht="11.25" customHeight="1">
      <c r="A955" s="109"/>
      <c r="B955" s="109"/>
      <c r="C955" s="109"/>
      <c r="D955" s="109"/>
      <c r="E955" s="109"/>
      <c r="F955" s="109"/>
      <c r="G955" s="109"/>
      <c r="H955" s="109"/>
      <c r="I955" s="109"/>
      <c r="J955" s="109"/>
      <c r="K955" s="109"/>
      <c r="L955" s="109"/>
      <c r="M955" s="109"/>
      <c r="N955" s="109"/>
      <c r="O955" s="109"/>
      <c r="P955" s="109"/>
      <c r="Q955" s="109"/>
      <c r="R955" s="109"/>
      <c r="S955" s="109"/>
      <c r="T955" s="109"/>
      <c r="U955" s="109"/>
      <c r="V955" s="109"/>
      <c r="W955" s="109"/>
      <c r="X955" s="109"/>
      <c r="Y955" s="109"/>
      <c r="Z955" s="109"/>
    </row>
    <row r="956" spans="1:26" ht="11.25" customHeight="1">
      <c r="A956" s="109"/>
      <c r="B956" s="109"/>
      <c r="C956" s="109"/>
      <c r="D956" s="109"/>
      <c r="E956" s="109"/>
      <c r="F956" s="109"/>
      <c r="G956" s="109"/>
      <c r="H956" s="109"/>
      <c r="I956" s="109"/>
      <c r="J956" s="109"/>
      <c r="K956" s="109"/>
      <c r="L956" s="109"/>
      <c r="M956" s="109"/>
      <c r="N956" s="109"/>
      <c r="O956" s="109"/>
      <c r="P956" s="109"/>
      <c r="Q956" s="109"/>
      <c r="R956" s="109"/>
      <c r="S956" s="109"/>
      <c r="T956" s="109"/>
      <c r="U956" s="109"/>
      <c r="V956" s="109"/>
      <c r="W956" s="109"/>
      <c r="X956" s="109"/>
      <c r="Y956" s="109"/>
      <c r="Z956" s="109"/>
    </row>
    <row r="957" spans="1:26" ht="11.25" customHeight="1">
      <c r="A957" s="109"/>
      <c r="B957" s="109"/>
      <c r="C957" s="109"/>
      <c r="D957" s="109"/>
      <c r="E957" s="109"/>
      <c r="F957" s="109"/>
      <c r="G957" s="109"/>
      <c r="H957" s="109"/>
      <c r="I957" s="109"/>
      <c r="J957" s="109"/>
      <c r="K957" s="109"/>
      <c r="L957" s="109"/>
      <c r="M957" s="109"/>
      <c r="N957" s="109"/>
      <c r="O957" s="109"/>
      <c r="P957" s="109"/>
      <c r="Q957" s="109"/>
      <c r="R957" s="109"/>
      <c r="S957" s="109"/>
      <c r="T957" s="109"/>
      <c r="U957" s="109"/>
      <c r="V957" s="109"/>
      <c r="W957" s="109"/>
      <c r="X957" s="109"/>
      <c r="Y957" s="109"/>
      <c r="Z957" s="109"/>
    </row>
    <row r="958" spans="1:26" ht="11.25" customHeight="1">
      <c r="A958" s="109"/>
      <c r="B958" s="109"/>
      <c r="C958" s="109"/>
      <c r="D958" s="109"/>
      <c r="E958" s="109"/>
      <c r="F958" s="109"/>
      <c r="G958" s="109"/>
      <c r="H958" s="109"/>
      <c r="I958" s="109"/>
      <c r="J958" s="109"/>
      <c r="K958" s="109"/>
      <c r="L958" s="109"/>
      <c r="M958" s="109"/>
      <c r="N958" s="109"/>
      <c r="O958" s="109"/>
      <c r="P958" s="109"/>
      <c r="Q958" s="109"/>
      <c r="R958" s="109"/>
      <c r="S958" s="109"/>
      <c r="T958" s="109"/>
      <c r="U958" s="109"/>
      <c r="V958" s="109"/>
      <c r="W958" s="109"/>
      <c r="X958" s="109"/>
      <c r="Y958" s="109"/>
      <c r="Z958" s="109"/>
    </row>
    <row r="959" spans="1:26" ht="11.25" customHeight="1">
      <c r="A959" s="109"/>
      <c r="B959" s="109"/>
      <c r="C959" s="109"/>
      <c r="D959" s="109"/>
      <c r="E959" s="109"/>
      <c r="F959" s="109"/>
      <c r="G959" s="109"/>
      <c r="H959" s="109"/>
      <c r="I959" s="109"/>
      <c r="J959" s="109"/>
      <c r="K959" s="109"/>
      <c r="L959" s="109"/>
      <c r="M959" s="109"/>
      <c r="N959" s="109"/>
      <c r="O959" s="109"/>
      <c r="P959" s="109"/>
      <c r="Q959" s="109"/>
      <c r="R959" s="109"/>
      <c r="S959" s="109"/>
      <c r="T959" s="109"/>
      <c r="U959" s="109"/>
      <c r="V959" s="109"/>
      <c r="W959" s="109"/>
      <c r="X959" s="109"/>
      <c r="Y959" s="109"/>
      <c r="Z959" s="109"/>
    </row>
    <row r="960" spans="1:26" ht="11.25" customHeight="1">
      <c r="A960" s="109"/>
      <c r="B960" s="109"/>
      <c r="C960" s="109"/>
      <c r="D960" s="109"/>
      <c r="E960" s="109"/>
      <c r="F960" s="109"/>
      <c r="G960" s="109"/>
      <c r="H960" s="109"/>
      <c r="I960" s="109"/>
      <c r="J960" s="109"/>
      <c r="K960" s="109"/>
      <c r="L960" s="109"/>
      <c r="M960" s="109"/>
      <c r="N960" s="109"/>
      <c r="O960" s="109"/>
      <c r="P960" s="109"/>
      <c r="Q960" s="109"/>
      <c r="R960" s="109"/>
      <c r="S960" s="109"/>
      <c r="T960" s="109"/>
      <c r="U960" s="109"/>
      <c r="V960" s="109"/>
      <c r="W960" s="109"/>
      <c r="X960" s="109"/>
      <c r="Y960" s="109"/>
      <c r="Z960" s="109"/>
    </row>
    <row r="961" spans="1:26" ht="11.25" customHeight="1">
      <c r="A961" s="109"/>
      <c r="B961" s="109"/>
      <c r="C961" s="109"/>
      <c r="D961" s="109"/>
      <c r="E961" s="109"/>
      <c r="F961" s="109"/>
      <c r="G961" s="109"/>
      <c r="H961" s="109"/>
      <c r="I961" s="109"/>
      <c r="J961" s="109"/>
      <c r="K961" s="109"/>
      <c r="L961" s="109"/>
      <c r="M961" s="109"/>
      <c r="N961" s="109"/>
      <c r="O961" s="109"/>
      <c r="P961" s="109"/>
      <c r="Q961" s="109"/>
      <c r="R961" s="109"/>
      <c r="S961" s="109"/>
      <c r="T961" s="109"/>
      <c r="U961" s="109"/>
      <c r="V961" s="109"/>
      <c r="W961" s="109"/>
      <c r="X961" s="109"/>
      <c r="Y961" s="109"/>
      <c r="Z961" s="109"/>
    </row>
    <row r="962" spans="1:26" ht="11.25" customHeight="1">
      <c r="A962" s="109"/>
      <c r="B962" s="109"/>
      <c r="C962" s="109"/>
      <c r="D962" s="109"/>
      <c r="E962" s="109"/>
      <c r="F962" s="109"/>
      <c r="G962" s="109"/>
      <c r="H962" s="109"/>
      <c r="I962" s="109"/>
      <c r="J962" s="109"/>
      <c r="K962" s="109"/>
      <c r="L962" s="109"/>
      <c r="M962" s="109"/>
      <c r="N962" s="109"/>
      <c r="O962" s="109"/>
      <c r="P962" s="109"/>
      <c r="Q962" s="109"/>
      <c r="R962" s="109"/>
      <c r="S962" s="109"/>
      <c r="T962" s="109"/>
      <c r="U962" s="109"/>
      <c r="V962" s="109"/>
      <c r="W962" s="109"/>
      <c r="X962" s="109"/>
      <c r="Y962" s="109"/>
      <c r="Z962" s="109"/>
    </row>
    <row r="963" spans="1:26" ht="11.25" customHeight="1">
      <c r="A963" s="109"/>
      <c r="B963" s="109"/>
      <c r="C963" s="109"/>
      <c r="D963" s="109"/>
      <c r="E963" s="109"/>
      <c r="F963" s="109"/>
      <c r="G963" s="109"/>
      <c r="H963" s="109"/>
      <c r="I963" s="109"/>
      <c r="J963" s="109"/>
      <c r="K963" s="109"/>
      <c r="L963" s="109"/>
      <c r="M963" s="109"/>
      <c r="N963" s="109"/>
      <c r="O963" s="109"/>
      <c r="P963" s="109"/>
      <c r="Q963" s="109"/>
      <c r="R963" s="109"/>
      <c r="S963" s="109"/>
      <c r="T963" s="109"/>
      <c r="U963" s="109"/>
      <c r="V963" s="109"/>
      <c r="W963" s="109"/>
      <c r="X963" s="109"/>
      <c r="Y963" s="109"/>
      <c r="Z963" s="109"/>
    </row>
    <row r="964" spans="1:26" ht="11.25" customHeight="1">
      <c r="A964" s="109"/>
      <c r="B964" s="109"/>
      <c r="C964" s="109"/>
      <c r="D964" s="109"/>
      <c r="E964" s="109"/>
      <c r="F964" s="109"/>
      <c r="G964" s="109"/>
      <c r="H964" s="109"/>
      <c r="I964" s="109"/>
      <c r="J964" s="109"/>
      <c r="K964" s="109"/>
      <c r="L964" s="109"/>
      <c r="M964" s="109"/>
      <c r="N964" s="109"/>
      <c r="O964" s="109"/>
      <c r="P964" s="109"/>
      <c r="Q964" s="109"/>
      <c r="R964" s="109"/>
      <c r="S964" s="109"/>
      <c r="T964" s="109"/>
      <c r="U964" s="109"/>
      <c r="V964" s="109"/>
      <c r="W964" s="109"/>
      <c r="X964" s="109"/>
      <c r="Y964" s="109"/>
      <c r="Z964" s="109"/>
    </row>
    <row r="965" spans="1:26" ht="11.25" customHeight="1">
      <c r="A965" s="109"/>
      <c r="B965" s="109"/>
      <c r="C965" s="109"/>
      <c r="D965" s="109"/>
      <c r="E965" s="109"/>
      <c r="F965" s="109"/>
      <c r="G965" s="109"/>
      <c r="H965" s="109"/>
      <c r="I965" s="109"/>
      <c r="J965" s="109"/>
      <c r="K965" s="109"/>
      <c r="L965" s="109"/>
      <c r="M965" s="109"/>
      <c r="N965" s="109"/>
      <c r="O965" s="109"/>
      <c r="P965" s="109"/>
      <c r="Q965" s="109"/>
      <c r="R965" s="109"/>
      <c r="S965" s="109"/>
      <c r="T965" s="109"/>
      <c r="U965" s="109"/>
      <c r="V965" s="109"/>
      <c r="W965" s="109"/>
      <c r="X965" s="109"/>
      <c r="Y965" s="109"/>
      <c r="Z965" s="109"/>
    </row>
    <row r="966" spans="1:26" ht="11.25" customHeight="1">
      <c r="A966" s="109"/>
      <c r="B966" s="109"/>
      <c r="C966" s="109"/>
      <c r="D966" s="109"/>
      <c r="E966" s="109"/>
      <c r="F966" s="109"/>
      <c r="G966" s="109"/>
      <c r="H966" s="109"/>
      <c r="I966" s="109"/>
      <c r="J966" s="109"/>
      <c r="K966" s="109"/>
      <c r="L966" s="109"/>
      <c r="M966" s="109"/>
      <c r="N966" s="109"/>
      <c r="O966" s="109"/>
      <c r="P966" s="109"/>
      <c r="Q966" s="109"/>
      <c r="R966" s="109"/>
      <c r="S966" s="109"/>
      <c r="T966" s="109"/>
      <c r="U966" s="109"/>
      <c r="V966" s="109"/>
      <c r="W966" s="109"/>
      <c r="X966" s="109"/>
      <c r="Y966" s="109"/>
      <c r="Z966" s="109"/>
    </row>
    <row r="967" spans="1:26" ht="11.25" customHeight="1">
      <c r="A967" s="109"/>
      <c r="B967" s="109"/>
      <c r="C967" s="109"/>
      <c r="D967" s="109"/>
      <c r="E967" s="109"/>
      <c r="F967" s="109"/>
      <c r="G967" s="109"/>
      <c r="H967" s="109"/>
      <c r="I967" s="109"/>
      <c r="J967" s="109"/>
      <c r="K967" s="109"/>
      <c r="L967" s="109"/>
      <c r="M967" s="109"/>
      <c r="N967" s="109"/>
      <c r="O967" s="109"/>
      <c r="P967" s="109"/>
      <c r="Q967" s="109"/>
      <c r="R967" s="109"/>
      <c r="S967" s="109"/>
      <c r="T967" s="109"/>
      <c r="U967" s="109"/>
      <c r="V967" s="109"/>
      <c r="W967" s="109"/>
      <c r="X967" s="109"/>
      <c r="Y967" s="109"/>
      <c r="Z967" s="109"/>
    </row>
    <row r="968" spans="1:26" ht="11.25" customHeight="1">
      <c r="A968" s="109"/>
      <c r="B968" s="109"/>
      <c r="C968" s="109"/>
      <c r="D968" s="109"/>
      <c r="E968" s="109"/>
      <c r="F968" s="109"/>
      <c r="G968" s="109"/>
      <c r="H968" s="109"/>
      <c r="I968" s="109"/>
      <c r="J968" s="109"/>
      <c r="K968" s="109"/>
      <c r="L968" s="109"/>
      <c r="M968" s="109"/>
      <c r="N968" s="109"/>
      <c r="O968" s="109"/>
      <c r="P968" s="109"/>
      <c r="Q968" s="109"/>
      <c r="R968" s="109"/>
      <c r="S968" s="109"/>
      <c r="T968" s="109"/>
      <c r="U968" s="109"/>
      <c r="V968" s="109"/>
      <c r="W968" s="109"/>
      <c r="X968" s="109"/>
      <c r="Y968" s="109"/>
      <c r="Z968" s="109"/>
    </row>
    <row r="969" spans="1:26" ht="11.25" customHeight="1">
      <c r="A969" s="109"/>
      <c r="B969" s="109"/>
      <c r="C969" s="109"/>
      <c r="D969" s="109"/>
      <c r="E969" s="109"/>
      <c r="F969" s="109"/>
      <c r="G969" s="109"/>
      <c r="H969" s="109"/>
      <c r="I969" s="109"/>
      <c r="J969" s="109"/>
      <c r="K969" s="109"/>
      <c r="L969" s="109"/>
      <c r="M969" s="109"/>
      <c r="N969" s="109"/>
      <c r="O969" s="109"/>
      <c r="P969" s="109"/>
      <c r="Q969" s="109"/>
      <c r="R969" s="109"/>
      <c r="S969" s="109"/>
      <c r="T969" s="109"/>
      <c r="U969" s="109"/>
      <c r="V969" s="109"/>
      <c r="W969" s="109"/>
      <c r="X969" s="109"/>
      <c r="Y969" s="109"/>
      <c r="Z969" s="109"/>
    </row>
    <row r="970" spans="1:26" ht="11.25" customHeight="1">
      <c r="A970" s="109"/>
      <c r="B970" s="109"/>
      <c r="C970" s="109"/>
      <c r="D970" s="109"/>
      <c r="E970" s="109"/>
      <c r="F970" s="109"/>
      <c r="G970" s="109"/>
      <c r="H970" s="109"/>
      <c r="I970" s="109"/>
      <c r="J970" s="109"/>
      <c r="K970" s="109"/>
      <c r="L970" s="109"/>
      <c r="M970" s="109"/>
      <c r="N970" s="109"/>
      <c r="O970" s="109"/>
      <c r="P970" s="109"/>
      <c r="Q970" s="109"/>
      <c r="R970" s="109"/>
      <c r="S970" s="109"/>
      <c r="T970" s="109"/>
      <c r="U970" s="109"/>
      <c r="V970" s="109"/>
      <c r="W970" s="109"/>
      <c r="X970" s="109"/>
      <c r="Y970" s="109"/>
      <c r="Z970" s="109"/>
    </row>
    <row r="971" spans="1:26" ht="11.25" customHeight="1">
      <c r="A971" s="109"/>
      <c r="B971" s="109"/>
      <c r="C971" s="109"/>
      <c r="D971" s="109"/>
      <c r="E971" s="109"/>
      <c r="F971" s="109"/>
      <c r="G971" s="109"/>
      <c r="H971" s="109"/>
      <c r="I971" s="109"/>
      <c r="J971" s="109"/>
      <c r="K971" s="109"/>
      <c r="L971" s="109"/>
      <c r="M971" s="109"/>
      <c r="N971" s="109"/>
      <c r="O971" s="109"/>
      <c r="P971" s="109"/>
      <c r="Q971" s="109"/>
      <c r="R971" s="109"/>
      <c r="S971" s="109"/>
      <c r="T971" s="109"/>
      <c r="U971" s="109"/>
      <c r="V971" s="109"/>
      <c r="W971" s="109"/>
      <c r="X971" s="109"/>
      <c r="Y971" s="109"/>
      <c r="Z971" s="109"/>
    </row>
    <row r="972" spans="1:26" ht="11.25" customHeight="1">
      <c r="A972" s="109"/>
      <c r="B972" s="109"/>
      <c r="C972" s="109"/>
      <c r="D972" s="109"/>
      <c r="E972" s="109"/>
      <c r="F972" s="109"/>
      <c r="G972" s="109"/>
      <c r="H972" s="109"/>
      <c r="I972" s="109"/>
      <c r="J972" s="109"/>
      <c r="K972" s="109"/>
      <c r="L972" s="109"/>
      <c r="M972" s="109"/>
      <c r="N972" s="109"/>
      <c r="O972" s="109"/>
      <c r="P972" s="109"/>
      <c r="Q972" s="109"/>
      <c r="R972" s="109"/>
      <c r="S972" s="109"/>
      <c r="T972" s="109"/>
      <c r="U972" s="109"/>
      <c r="V972" s="109"/>
      <c r="W972" s="109"/>
      <c r="X972" s="109"/>
      <c r="Y972" s="109"/>
      <c r="Z972" s="109"/>
    </row>
    <row r="973" spans="1:26" ht="11.25" customHeight="1">
      <c r="A973" s="109"/>
      <c r="B973" s="109"/>
      <c r="C973" s="109"/>
      <c r="D973" s="109"/>
      <c r="E973" s="109"/>
      <c r="F973" s="109"/>
      <c r="G973" s="109"/>
      <c r="H973" s="109"/>
      <c r="I973" s="109"/>
      <c r="J973" s="109"/>
      <c r="K973" s="109"/>
      <c r="L973" s="109"/>
      <c r="M973" s="109"/>
      <c r="N973" s="109"/>
      <c r="O973" s="109"/>
      <c r="P973" s="109"/>
      <c r="Q973" s="109"/>
      <c r="R973" s="109"/>
      <c r="S973" s="109"/>
      <c r="T973" s="109"/>
      <c r="U973" s="109"/>
      <c r="V973" s="109"/>
      <c r="W973" s="109"/>
      <c r="X973" s="109"/>
      <c r="Y973" s="109"/>
      <c r="Z973" s="109"/>
    </row>
    <row r="974" spans="1:26" ht="11.25" customHeight="1">
      <c r="A974" s="109"/>
      <c r="B974" s="109"/>
      <c r="C974" s="109"/>
      <c r="D974" s="109"/>
      <c r="E974" s="109"/>
      <c r="F974" s="109"/>
      <c r="G974" s="109"/>
      <c r="H974" s="109"/>
      <c r="I974" s="109"/>
      <c r="J974" s="109"/>
      <c r="K974" s="109"/>
      <c r="L974" s="109"/>
      <c r="M974" s="109"/>
      <c r="N974" s="109"/>
      <c r="O974" s="109"/>
      <c r="P974" s="109"/>
      <c r="Q974" s="109"/>
      <c r="R974" s="109"/>
      <c r="S974" s="109"/>
      <c r="T974" s="109"/>
      <c r="U974" s="109"/>
      <c r="V974" s="109"/>
      <c r="W974" s="109"/>
      <c r="X974" s="109"/>
      <c r="Y974" s="109"/>
      <c r="Z974" s="109"/>
    </row>
    <row r="975" spans="1:26" ht="11.25" customHeight="1">
      <c r="A975" s="109"/>
      <c r="B975" s="109"/>
      <c r="C975" s="109"/>
      <c r="D975" s="109"/>
      <c r="E975" s="109"/>
      <c r="F975" s="109"/>
      <c r="G975" s="109"/>
      <c r="H975" s="109"/>
      <c r="I975" s="109"/>
      <c r="J975" s="109"/>
      <c r="K975" s="109"/>
      <c r="L975" s="109"/>
      <c r="M975" s="109"/>
      <c r="N975" s="109"/>
      <c r="O975" s="109"/>
      <c r="P975" s="109"/>
      <c r="Q975" s="109"/>
      <c r="R975" s="109"/>
      <c r="S975" s="109"/>
      <c r="T975" s="109"/>
      <c r="U975" s="109"/>
      <c r="V975" s="109"/>
      <c r="W975" s="109"/>
      <c r="X975" s="109"/>
      <c r="Y975" s="109"/>
      <c r="Z975" s="109"/>
    </row>
    <row r="976" spans="1:26" ht="11.25" customHeight="1">
      <c r="A976" s="109"/>
      <c r="B976" s="109"/>
      <c r="C976" s="109"/>
      <c r="D976" s="109"/>
      <c r="E976" s="109"/>
      <c r="F976" s="109"/>
      <c r="G976" s="109"/>
      <c r="H976" s="109"/>
      <c r="I976" s="109"/>
      <c r="J976" s="109"/>
      <c r="K976" s="109"/>
      <c r="L976" s="109"/>
      <c r="M976" s="109"/>
      <c r="N976" s="109"/>
      <c r="O976" s="109"/>
      <c r="P976" s="109"/>
      <c r="Q976" s="109"/>
      <c r="R976" s="109"/>
      <c r="S976" s="109"/>
      <c r="T976" s="109"/>
      <c r="U976" s="109"/>
      <c r="V976" s="109"/>
      <c r="W976" s="109"/>
      <c r="X976" s="109"/>
      <c r="Y976" s="109"/>
      <c r="Z976" s="109"/>
    </row>
    <row r="977" spans="1:26" ht="11.25" customHeight="1">
      <c r="A977" s="109"/>
      <c r="B977" s="109"/>
      <c r="C977" s="109"/>
      <c r="D977" s="109"/>
      <c r="E977" s="109"/>
      <c r="F977" s="109"/>
      <c r="G977" s="109"/>
      <c r="H977" s="109"/>
      <c r="I977" s="109"/>
      <c r="J977" s="109"/>
      <c r="K977" s="109"/>
      <c r="L977" s="109"/>
      <c r="M977" s="109"/>
      <c r="N977" s="109"/>
      <c r="O977" s="109"/>
      <c r="P977" s="109"/>
      <c r="Q977" s="109"/>
      <c r="R977" s="109"/>
      <c r="S977" s="109"/>
      <c r="T977" s="109"/>
      <c r="U977" s="109"/>
      <c r="V977" s="109"/>
      <c r="W977" s="109"/>
      <c r="X977" s="109"/>
      <c r="Y977" s="109"/>
      <c r="Z977" s="109"/>
    </row>
    <row r="978" spans="1:26" ht="11.25" customHeight="1">
      <c r="A978" s="109"/>
      <c r="B978" s="109"/>
      <c r="C978" s="109"/>
      <c r="D978" s="109"/>
      <c r="E978" s="109"/>
      <c r="F978" s="109"/>
      <c r="G978" s="109"/>
      <c r="H978" s="109"/>
      <c r="I978" s="109"/>
      <c r="J978" s="109"/>
      <c r="K978" s="109"/>
      <c r="L978" s="109"/>
      <c r="M978" s="109"/>
      <c r="N978" s="109"/>
      <c r="O978" s="109"/>
      <c r="P978" s="109"/>
      <c r="Q978" s="109"/>
      <c r="R978" s="109"/>
      <c r="S978" s="109"/>
      <c r="T978" s="109"/>
      <c r="U978" s="109"/>
      <c r="V978" s="109"/>
      <c r="W978" s="109"/>
      <c r="X978" s="109"/>
      <c r="Y978" s="109"/>
      <c r="Z978" s="109"/>
    </row>
    <row r="979" spans="1:26" ht="11.25" customHeight="1">
      <c r="A979" s="109"/>
      <c r="B979" s="109"/>
      <c r="C979" s="109"/>
      <c r="D979" s="109"/>
      <c r="E979" s="109"/>
      <c r="F979" s="109"/>
      <c r="G979" s="109"/>
      <c r="H979" s="109"/>
      <c r="I979" s="109"/>
      <c r="J979" s="109"/>
      <c r="K979" s="109"/>
      <c r="L979" s="109"/>
      <c r="M979" s="109"/>
      <c r="N979" s="109"/>
      <c r="O979" s="109"/>
      <c r="P979" s="109"/>
      <c r="Q979" s="109"/>
      <c r="R979" s="109"/>
      <c r="S979" s="109"/>
      <c r="T979" s="109"/>
      <c r="U979" s="109"/>
      <c r="V979" s="109"/>
      <c r="W979" s="109"/>
      <c r="X979" s="109"/>
      <c r="Y979" s="109"/>
      <c r="Z979" s="109"/>
    </row>
    <row r="980" spans="1:26" ht="11.25" customHeight="1">
      <c r="A980" s="109"/>
      <c r="B980" s="109"/>
      <c r="C980" s="109"/>
      <c r="D980" s="109"/>
      <c r="E980" s="109"/>
      <c r="F980" s="109"/>
      <c r="G980" s="109"/>
      <c r="H980" s="109"/>
      <c r="I980" s="109"/>
      <c r="J980" s="109"/>
      <c r="K980" s="109"/>
      <c r="L980" s="109"/>
      <c r="M980" s="109"/>
      <c r="N980" s="109"/>
      <c r="O980" s="109"/>
      <c r="P980" s="109"/>
      <c r="Q980" s="109"/>
      <c r="R980" s="109"/>
      <c r="S980" s="109"/>
      <c r="T980" s="109"/>
      <c r="U980" s="109"/>
      <c r="V980" s="109"/>
      <c r="W980" s="109"/>
      <c r="X980" s="109"/>
      <c r="Y980" s="109"/>
      <c r="Z980" s="109"/>
    </row>
    <row r="981" spans="1:26" ht="11.25" customHeight="1">
      <c r="A981" s="109"/>
      <c r="B981" s="109"/>
      <c r="C981" s="109"/>
      <c r="D981" s="109"/>
      <c r="E981" s="109"/>
      <c r="F981" s="109"/>
      <c r="G981" s="109"/>
      <c r="H981" s="109"/>
      <c r="I981" s="109"/>
      <c r="J981" s="109"/>
      <c r="K981" s="109"/>
      <c r="L981" s="109"/>
      <c r="M981" s="109"/>
      <c r="N981" s="109"/>
      <c r="O981" s="109"/>
      <c r="P981" s="109"/>
      <c r="Q981" s="109"/>
      <c r="R981" s="109"/>
      <c r="S981" s="109"/>
      <c r="T981" s="109"/>
      <c r="U981" s="109"/>
      <c r="V981" s="109"/>
      <c r="W981" s="109"/>
      <c r="X981" s="109"/>
      <c r="Y981" s="109"/>
      <c r="Z981" s="109"/>
    </row>
    <row r="982" spans="1:26" ht="11.25" customHeight="1">
      <c r="A982" s="109"/>
      <c r="B982" s="109"/>
      <c r="C982" s="109"/>
      <c r="D982" s="109"/>
      <c r="E982" s="109"/>
      <c r="F982" s="109"/>
      <c r="G982" s="109"/>
      <c r="H982" s="109"/>
      <c r="I982" s="109"/>
      <c r="J982" s="109"/>
      <c r="K982" s="109"/>
      <c r="L982" s="109"/>
      <c r="M982" s="109"/>
      <c r="N982" s="109"/>
      <c r="O982" s="109"/>
      <c r="P982" s="109"/>
      <c r="Q982" s="109"/>
      <c r="R982" s="109"/>
      <c r="S982" s="109"/>
      <c r="T982" s="109"/>
      <c r="U982" s="109"/>
      <c r="V982" s="109"/>
      <c r="W982" s="109"/>
      <c r="X982" s="109"/>
      <c r="Y982" s="109"/>
      <c r="Z982" s="109"/>
    </row>
    <row r="983" spans="1:26" ht="11.25" customHeight="1">
      <c r="A983" s="109"/>
      <c r="B983" s="109"/>
      <c r="C983" s="109"/>
      <c r="D983" s="109"/>
      <c r="E983" s="109"/>
      <c r="F983" s="109"/>
      <c r="G983" s="109"/>
      <c r="H983" s="109"/>
      <c r="I983" s="109"/>
      <c r="J983" s="109"/>
      <c r="K983" s="109"/>
      <c r="L983" s="109"/>
      <c r="M983" s="109"/>
      <c r="N983" s="109"/>
      <c r="O983" s="109"/>
      <c r="P983" s="109"/>
      <c r="Q983" s="109"/>
      <c r="R983" s="109"/>
      <c r="S983" s="109"/>
      <c r="T983" s="109"/>
      <c r="U983" s="109"/>
      <c r="V983" s="109"/>
      <c r="W983" s="109"/>
      <c r="X983" s="109"/>
      <c r="Y983" s="109"/>
      <c r="Z983" s="109"/>
    </row>
    <row r="984" spans="1:26" ht="11.25" customHeight="1">
      <c r="A984" s="109"/>
      <c r="B984" s="109"/>
      <c r="C984" s="109"/>
      <c r="D984" s="109"/>
      <c r="E984" s="109"/>
      <c r="F984" s="109"/>
      <c r="G984" s="109"/>
      <c r="H984" s="109"/>
      <c r="I984" s="109"/>
      <c r="J984" s="109"/>
      <c r="K984" s="109"/>
      <c r="L984" s="109"/>
      <c r="M984" s="109"/>
      <c r="N984" s="109"/>
      <c r="O984" s="109"/>
      <c r="P984" s="109"/>
      <c r="Q984" s="109"/>
      <c r="R984" s="109"/>
      <c r="S984" s="109"/>
      <c r="T984" s="109"/>
      <c r="U984" s="109"/>
      <c r="V984" s="109"/>
      <c r="W984" s="109"/>
      <c r="X984" s="109"/>
      <c r="Y984" s="109"/>
      <c r="Z984" s="109"/>
    </row>
    <row r="985" spans="1:26" ht="11.25" customHeight="1">
      <c r="A985" s="109"/>
      <c r="B985" s="109"/>
      <c r="C985" s="109"/>
      <c r="D985" s="109"/>
      <c r="E985" s="109"/>
      <c r="F985" s="109"/>
      <c r="G985" s="109"/>
      <c r="H985" s="109"/>
      <c r="I985" s="109"/>
      <c r="J985" s="109"/>
      <c r="K985" s="109"/>
      <c r="L985" s="109"/>
      <c r="M985" s="109"/>
      <c r="N985" s="109"/>
      <c r="O985" s="109"/>
      <c r="P985" s="109"/>
      <c r="Q985" s="109"/>
      <c r="R985" s="109"/>
      <c r="S985" s="109"/>
      <c r="T985" s="109"/>
      <c r="U985" s="109"/>
      <c r="V985" s="109"/>
      <c r="W985" s="109"/>
      <c r="X985" s="109"/>
      <c r="Y985" s="109"/>
      <c r="Z985" s="109"/>
    </row>
    <row r="986" spans="1:26" ht="11.25" customHeight="1">
      <c r="A986" s="109"/>
      <c r="B986" s="109"/>
      <c r="C986" s="109"/>
      <c r="D986" s="109"/>
      <c r="E986" s="109"/>
      <c r="F986" s="109"/>
      <c r="G986" s="109"/>
      <c r="H986" s="109"/>
      <c r="I986" s="109"/>
      <c r="J986" s="109"/>
      <c r="K986" s="109"/>
      <c r="L986" s="109"/>
      <c r="M986" s="109"/>
      <c r="N986" s="109"/>
      <c r="O986" s="109"/>
      <c r="P986" s="109"/>
      <c r="Q986" s="109"/>
      <c r="R986" s="109"/>
      <c r="S986" s="109"/>
      <c r="T986" s="109"/>
      <c r="U986" s="109"/>
      <c r="V986" s="109"/>
      <c r="W986" s="109"/>
      <c r="X986" s="109"/>
      <c r="Y986" s="109"/>
      <c r="Z986" s="109"/>
    </row>
    <row r="987" spans="1:26" ht="11.25" customHeight="1">
      <c r="A987" s="109"/>
      <c r="B987" s="109"/>
      <c r="C987" s="109"/>
      <c r="D987" s="109"/>
      <c r="E987" s="109"/>
      <c r="F987" s="109"/>
      <c r="G987" s="109"/>
      <c r="H987" s="109"/>
      <c r="I987" s="109"/>
      <c r="J987" s="109"/>
      <c r="K987" s="109"/>
      <c r="L987" s="109"/>
      <c r="M987" s="109"/>
      <c r="N987" s="109"/>
      <c r="O987" s="109"/>
      <c r="P987" s="109"/>
      <c r="Q987" s="109"/>
      <c r="R987" s="109"/>
      <c r="S987" s="109"/>
      <c r="T987" s="109"/>
      <c r="U987" s="109"/>
      <c r="V987" s="109"/>
      <c r="W987" s="109"/>
      <c r="X987" s="109"/>
      <c r="Y987" s="109"/>
      <c r="Z987" s="109"/>
    </row>
    <row r="988" spans="1:26" ht="11.25" customHeight="1">
      <c r="A988" s="109"/>
      <c r="B988" s="109"/>
      <c r="C988" s="109"/>
      <c r="D988" s="109"/>
      <c r="E988" s="109"/>
      <c r="F988" s="109"/>
      <c r="G988" s="109"/>
      <c r="H988" s="109"/>
      <c r="I988" s="109"/>
      <c r="J988" s="109"/>
      <c r="K988" s="109"/>
      <c r="L988" s="109"/>
      <c r="M988" s="109"/>
      <c r="N988" s="109"/>
      <c r="O988" s="109"/>
      <c r="P988" s="109"/>
      <c r="Q988" s="109"/>
      <c r="R988" s="109"/>
      <c r="S988" s="109"/>
      <c r="T988" s="109"/>
      <c r="U988" s="109"/>
      <c r="V988" s="109"/>
      <c r="W988" s="109"/>
      <c r="X988" s="109"/>
      <c r="Y988" s="109"/>
      <c r="Z988" s="109"/>
    </row>
    <row r="989" spans="1:26" ht="11.25" customHeight="1">
      <c r="A989" s="109"/>
      <c r="B989" s="109"/>
      <c r="C989" s="109"/>
      <c r="D989" s="109"/>
      <c r="E989" s="109"/>
      <c r="F989" s="109"/>
      <c r="G989" s="109"/>
      <c r="H989" s="109"/>
      <c r="I989" s="109"/>
      <c r="J989" s="109"/>
      <c r="K989" s="109"/>
      <c r="L989" s="109"/>
      <c r="M989" s="109"/>
      <c r="N989" s="109"/>
      <c r="O989" s="109"/>
      <c r="P989" s="109"/>
      <c r="Q989" s="109"/>
      <c r="R989" s="109"/>
      <c r="S989" s="109"/>
      <c r="T989" s="109"/>
      <c r="U989" s="109"/>
      <c r="V989" s="109"/>
      <c r="W989" s="109"/>
      <c r="X989" s="109"/>
      <c r="Y989" s="109"/>
      <c r="Z989" s="109"/>
    </row>
    <row r="990" spans="1:26" ht="11.25" customHeight="1">
      <c r="A990" s="109"/>
      <c r="B990" s="109"/>
      <c r="C990" s="109"/>
      <c r="D990" s="109"/>
      <c r="E990" s="109"/>
      <c r="F990" s="109"/>
      <c r="G990" s="109"/>
      <c r="H990" s="109"/>
      <c r="I990" s="109"/>
      <c r="J990" s="109"/>
      <c r="K990" s="109"/>
      <c r="L990" s="109"/>
      <c r="M990" s="109"/>
      <c r="N990" s="109"/>
      <c r="O990" s="109"/>
      <c r="P990" s="109"/>
      <c r="Q990" s="109"/>
      <c r="R990" s="109"/>
      <c r="S990" s="109"/>
      <c r="T990" s="109"/>
      <c r="U990" s="109"/>
      <c r="V990" s="109"/>
      <c r="W990" s="109"/>
      <c r="X990" s="109"/>
      <c r="Y990" s="109"/>
      <c r="Z990" s="109"/>
    </row>
    <row r="991" spans="1:26" ht="11.25" customHeight="1">
      <c r="A991" s="109"/>
      <c r="B991" s="109"/>
      <c r="C991" s="109"/>
      <c r="D991" s="109"/>
      <c r="E991" s="109"/>
      <c r="F991" s="109"/>
      <c r="G991" s="109"/>
      <c r="H991" s="109"/>
      <c r="I991" s="109"/>
      <c r="J991" s="109"/>
      <c r="K991" s="109"/>
      <c r="L991" s="109"/>
      <c r="M991" s="109"/>
      <c r="N991" s="109"/>
      <c r="O991" s="109"/>
      <c r="P991" s="109"/>
      <c r="Q991" s="109"/>
      <c r="R991" s="109"/>
      <c r="S991" s="109"/>
      <c r="T991" s="109"/>
      <c r="U991" s="109"/>
      <c r="V991" s="109"/>
      <c r="W991" s="109"/>
      <c r="X991" s="109"/>
      <c r="Y991" s="109"/>
      <c r="Z991" s="109"/>
    </row>
    <row r="992" spans="1:26" ht="11.25" customHeight="1">
      <c r="A992" s="109"/>
      <c r="B992" s="109"/>
      <c r="C992" s="109"/>
      <c r="D992" s="109"/>
      <c r="E992" s="109"/>
      <c r="F992" s="109"/>
      <c r="G992" s="109"/>
      <c r="H992" s="109"/>
      <c r="I992" s="109"/>
      <c r="J992" s="109"/>
      <c r="K992" s="109"/>
      <c r="L992" s="109"/>
      <c r="M992" s="109"/>
      <c r="N992" s="109"/>
      <c r="O992" s="109"/>
      <c r="P992" s="109"/>
      <c r="Q992" s="109"/>
      <c r="R992" s="109"/>
      <c r="S992" s="109"/>
      <c r="T992" s="109"/>
      <c r="U992" s="109"/>
      <c r="V992" s="109"/>
      <c r="W992" s="109"/>
      <c r="X992" s="109"/>
      <c r="Y992" s="109"/>
      <c r="Z992" s="109"/>
    </row>
    <row r="993" spans="1:26" ht="11.25" customHeight="1">
      <c r="A993" s="109"/>
      <c r="B993" s="109"/>
      <c r="C993" s="109"/>
      <c r="D993" s="109"/>
      <c r="E993" s="109"/>
      <c r="F993" s="109"/>
      <c r="G993" s="109"/>
      <c r="H993" s="109"/>
      <c r="I993" s="109"/>
      <c r="J993" s="109"/>
      <c r="K993" s="109"/>
      <c r="L993" s="109"/>
      <c r="M993" s="109"/>
      <c r="N993" s="109"/>
      <c r="O993" s="109"/>
      <c r="P993" s="109"/>
      <c r="Q993" s="109"/>
      <c r="R993" s="109"/>
      <c r="S993" s="109"/>
      <c r="T993" s="109"/>
      <c r="U993" s="109"/>
      <c r="V993" s="109"/>
      <c r="W993" s="109"/>
      <c r="X993" s="109"/>
      <c r="Y993" s="109"/>
      <c r="Z993" s="109"/>
    </row>
    <row r="994" spans="1:26" ht="11.25" customHeight="1">
      <c r="A994" s="109"/>
      <c r="B994" s="109"/>
      <c r="C994" s="109"/>
      <c r="D994" s="109"/>
      <c r="E994" s="109"/>
      <c r="F994" s="109"/>
      <c r="G994" s="109"/>
      <c r="H994" s="109"/>
      <c r="I994" s="109"/>
      <c r="J994" s="109"/>
      <c r="K994" s="109"/>
      <c r="L994" s="109"/>
      <c r="M994" s="109"/>
      <c r="N994" s="109"/>
      <c r="O994" s="109"/>
      <c r="P994" s="109"/>
      <c r="Q994" s="109"/>
      <c r="R994" s="109"/>
      <c r="S994" s="109"/>
      <c r="T994" s="109"/>
      <c r="U994" s="109"/>
      <c r="V994" s="109"/>
      <c r="W994" s="109"/>
      <c r="X994" s="109"/>
      <c r="Y994" s="109"/>
      <c r="Z994" s="109"/>
    </row>
  </sheetData>
  <pageMargins left="0.7" right="0.7" top="0.75" bottom="0.75" header="0" footer="0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8C66D-1A87-492E-BB3E-D73E3FA179AB}">
  <sheetPr>
    <tabColor rgb="FFCC9966"/>
  </sheetPr>
  <dimension ref="A1:O327"/>
  <sheetViews>
    <sheetView workbookViewId="0"/>
  </sheetViews>
  <sheetFormatPr defaultColWidth="12.796875" defaultRowHeight="13.95" customHeight="1"/>
  <cols>
    <col min="1" max="1" width="25.796875" style="18" customWidth="1"/>
    <col min="2" max="2" width="34.5" style="18" bestFit="1" customWidth="1"/>
    <col min="3" max="3" width="24" style="18" customWidth="1"/>
    <col min="4" max="4" width="30.69921875" style="18" customWidth="1"/>
    <col min="5" max="5" width="25.296875" style="18" bestFit="1" customWidth="1"/>
    <col min="6" max="6" width="39.296875" style="18" bestFit="1" customWidth="1"/>
    <col min="7" max="7" width="4.296875" style="289" bestFit="1" customWidth="1"/>
    <col min="8" max="8" width="36.19921875" style="18" bestFit="1" customWidth="1"/>
    <col min="9" max="9" width="4.296875" style="18" bestFit="1" customWidth="1"/>
    <col min="10" max="11" width="5.19921875" style="18" bestFit="1" customWidth="1"/>
    <col min="12" max="12" width="7.5" style="18" customWidth="1"/>
    <col min="13" max="13" width="10.296875" style="18" customWidth="1"/>
    <col min="14" max="14" width="8.796875" style="18" hidden="1" customWidth="1"/>
    <col min="15" max="16384" width="12.796875" style="18"/>
  </cols>
  <sheetData>
    <row r="1" spans="1:12" ht="13.95" customHeight="1">
      <c r="B1" s="2" t="s">
        <v>62</v>
      </c>
      <c r="C1" s="2" t="s">
        <v>63</v>
      </c>
      <c r="D1" s="49" t="s">
        <v>64</v>
      </c>
    </row>
    <row r="2" spans="1:12" ht="13.95" customHeight="1" thickBot="1">
      <c r="B2" s="2"/>
      <c r="C2" s="2"/>
      <c r="D2" s="51" t="s">
        <v>1241</v>
      </c>
    </row>
    <row r="3" spans="1:12" s="2" customFormat="1" ht="13.95" customHeight="1" thickTop="1" thickBot="1">
      <c r="A3" s="1" t="s">
        <v>61</v>
      </c>
      <c r="B3" s="26" t="s">
        <v>1728</v>
      </c>
      <c r="C3" s="16">
        <v>24</v>
      </c>
      <c r="D3" s="26" t="s">
        <v>1403</v>
      </c>
      <c r="E3" s="26" t="s">
        <v>1729</v>
      </c>
      <c r="G3" s="289"/>
      <c r="H3" s="18"/>
      <c r="I3" s="18"/>
      <c r="J3" s="18"/>
      <c r="K3" s="18"/>
      <c r="L3" s="18"/>
    </row>
    <row r="4" spans="1:12" ht="13.95" customHeight="1" thickTop="1" thickBot="1">
      <c r="A4" s="3">
        <v>46221</v>
      </c>
      <c r="B4" s="199" t="s">
        <v>64</v>
      </c>
      <c r="C4" s="16">
        <v>20</v>
      </c>
      <c r="D4" s="26" t="s">
        <v>1404</v>
      </c>
      <c r="E4" s="200" t="s">
        <v>1730</v>
      </c>
    </row>
    <row r="5" spans="1:12" s="2" customFormat="1" ht="13.95" customHeight="1" thickBot="1">
      <c r="A5" s="18"/>
      <c r="B5" s="287" t="s">
        <v>598</v>
      </c>
      <c r="D5" s="4" t="s">
        <v>72</v>
      </c>
      <c r="E5" s="18"/>
      <c r="F5" s="18"/>
    </row>
    <row r="6" spans="1:12" ht="13.95" customHeight="1">
      <c r="A6" s="332" t="s">
        <v>85</v>
      </c>
      <c r="B6" s="332" t="s">
        <v>86</v>
      </c>
      <c r="C6" s="332" t="s">
        <v>87</v>
      </c>
      <c r="D6" s="332" t="s">
        <v>88</v>
      </c>
      <c r="E6" s="332" t="s">
        <v>89</v>
      </c>
      <c r="F6" s="332" t="s">
        <v>90</v>
      </c>
      <c r="G6" s="19"/>
      <c r="H6" s="288" t="s">
        <v>227</v>
      </c>
    </row>
    <row r="7" spans="1:12" ht="13.95" customHeight="1">
      <c r="A7" s="5" t="s">
        <v>1731</v>
      </c>
      <c r="B7" s="5" t="s">
        <v>1732</v>
      </c>
      <c r="C7" s="5" t="s">
        <v>1733</v>
      </c>
      <c r="D7" s="5" t="s">
        <v>1734</v>
      </c>
      <c r="E7" s="5" t="s">
        <v>1735</v>
      </c>
      <c r="F7" s="5" t="s">
        <v>1736</v>
      </c>
      <c r="G7" s="19"/>
    </row>
    <row r="8" spans="1:12" ht="13.95" customHeight="1">
      <c r="A8" s="5" t="s">
        <v>1737</v>
      </c>
      <c r="B8" s="5" t="s">
        <v>1738</v>
      </c>
      <c r="C8" s="5" t="s">
        <v>1739</v>
      </c>
      <c r="D8" s="5" t="s">
        <v>1740</v>
      </c>
      <c r="E8" s="5" t="s">
        <v>1741</v>
      </c>
      <c r="F8" s="5" t="s">
        <v>1742</v>
      </c>
      <c r="G8" s="19"/>
    </row>
    <row r="9" spans="1:12" ht="13.95" customHeight="1">
      <c r="A9" s="5" t="s">
        <v>1743</v>
      </c>
      <c r="B9" s="5" t="s">
        <v>1744</v>
      </c>
      <c r="C9" s="5" t="s">
        <v>1745</v>
      </c>
      <c r="D9" s="5" t="s">
        <v>1746</v>
      </c>
      <c r="E9" s="5" t="s">
        <v>1747</v>
      </c>
      <c r="F9" s="5" t="s">
        <v>1748</v>
      </c>
      <c r="G9" s="19"/>
    </row>
    <row r="10" spans="1:12" ht="13.95" customHeight="1">
      <c r="A10" s="2"/>
      <c r="B10" s="2"/>
      <c r="C10" s="5" t="s">
        <v>1749</v>
      </c>
      <c r="D10" s="5" t="s">
        <v>1750</v>
      </c>
      <c r="E10" s="5" t="s">
        <v>1751</v>
      </c>
      <c r="F10" s="5" t="s">
        <v>1752</v>
      </c>
      <c r="G10" s="19"/>
    </row>
    <row r="11" spans="1:12" ht="13.95" customHeight="1">
      <c r="A11" s="2"/>
      <c r="B11" s="2"/>
      <c r="C11" s="2"/>
      <c r="D11" s="2"/>
      <c r="E11" s="2"/>
      <c r="F11" s="2"/>
      <c r="G11" s="19"/>
    </row>
    <row r="12" spans="1:12" ht="13.95" customHeight="1">
      <c r="A12" s="332" t="s">
        <v>246</v>
      </c>
      <c r="B12" s="332" t="s">
        <v>247</v>
      </c>
      <c r="C12" s="332" t="s">
        <v>248</v>
      </c>
      <c r="D12" s="332" t="s">
        <v>249</v>
      </c>
      <c r="E12" s="332" t="s">
        <v>250</v>
      </c>
      <c r="F12" s="332" t="s">
        <v>251</v>
      </c>
      <c r="G12" s="19"/>
      <c r="J12" s="2"/>
    </row>
    <row r="13" spans="1:12" ht="13.95" customHeight="1">
      <c r="A13" s="5" t="s">
        <v>1753</v>
      </c>
      <c r="B13" s="5" t="s">
        <v>1754</v>
      </c>
      <c r="C13" s="5" t="s">
        <v>1755</v>
      </c>
      <c r="D13" s="5" t="s">
        <v>1756</v>
      </c>
      <c r="E13" s="5" t="s">
        <v>1757</v>
      </c>
      <c r="F13" s="5" t="s">
        <v>1758</v>
      </c>
      <c r="G13" s="19"/>
      <c r="H13" s="28"/>
      <c r="J13" s="2"/>
    </row>
    <row r="14" spans="1:12" ht="13.95" customHeight="1">
      <c r="A14" s="5" t="s">
        <v>1759</v>
      </c>
      <c r="B14" s="5" t="s">
        <v>1760</v>
      </c>
      <c r="C14" s="5" t="s">
        <v>1761</v>
      </c>
      <c r="D14" s="5" t="s">
        <v>1762</v>
      </c>
      <c r="E14" s="5" t="s">
        <v>1763</v>
      </c>
      <c r="F14" s="5" t="s">
        <v>1764</v>
      </c>
      <c r="G14" s="19"/>
      <c r="J14" s="2"/>
    </row>
    <row r="15" spans="1:12" ht="13.95" customHeight="1">
      <c r="A15" s="5" t="s">
        <v>1765</v>
      </c>
      <c r="B15" s="5" t="s">
        <v>1766</v>
      </c>
      <c r="C15" s="5" t="s">
        <v>1767</v>
      </c>
      <c r="D15" s="5" t="s">
        <v>1768</v>
      </c>
      <c r="E15" s="5" t="s">
        <v>1769</v>
      </c>
      <c r="F15" s="5" t="s">
        <v>1770</v>
      </c>
      <c r="G15" s="19"/>
      <c r="J15" s="2"/>
    </row>
    <row r="16" spans="1:12" ht="13.95" customHeight="1">
      <c r="C16" s="5" t="s">
        <v>1771</v>
      </c>
      <c r="D16" s="5" t="s">
        <v>1772</v>
      </c>
      <c r="E16" s="5" t="s">
        <v>1773</v>
      </c>
      <c r="F16" s="5" t="s">
        <v>1774</v>
      </c>
      <c r="G16" s="19"/>
      <c r="J16" s="2"/>
    </row>
    <row r="17" spans="1:15" ht="13.95" customHeight="1" thickBot="1">
      <c r="G17" s="18"/>
      <c r="L17" s="18" t="s">
        <v>1775</v>
      </c>
    </row>
    <row r="18" spans="1:15" ht="13.95" customHeight="1" thickBot="1">
      <c r="B18" s="2"/>
      <c r="C18" s="2"/>
      <c r="D18" s="244" t="str">
        <f>'CHICLETS MASTER S1'!$AK$3</f>
        <v>LONG BEACH CC 2</v>
      </c>
      <c r="E18" s="2"/>
      <c r="F18" s="2" t="s">
        <v>1776</v>
      </c>
      <c r="G18" s="19"/>
      <c r="H18" s="2"/>
      <c r="I18" s="2"/>
      <c r="J18" s="2"/>
      <c r="K18" s="2"/>
      <c r="L18" s="2"/>
    </row>
    <row r="19" spans="1:15" ht="13.95" customHeight="1">
      <c r="A19" s="333" t="s">
        <v>110</v>
      </c>
      <c r="B19" s="333" t="s">
        <v>111</v>
      </c>
      <c r="C19" s="333" t="s">
        <v>112</v>
      </c>
      <c r="D19" s="333" t="s">
        <v>113</v>
      </c>
      <c r="E19" s="333" t="s">
        <v>114</v>
      </c>
      <c r="F19" s="333" t="s">
        <v>115</v>
      </c>
      <c r="G19" s="333" t="s">
        <v>116</v>
      </c>
      <c r="H19" s="333" t="s">
        <v>117</v>
      </c>
      <c r="I19" s="333" t="s">
        <v>116</v>
      </c>
      <c r="J19" s="333" t="s">
        <v>118</v>
      </c>
      <c r="K19" s="333" t="s">
        <v>119</v>
      </c>
      <c r="L19" s="333" t="s">
        <v>120</v>
      </c>
    </row>
    <row r="20" spans="1:15" ht="13.95" customHeight="1">
      <c r="A20" s="6">
        <f>$A$4</f>
        <v>46221</v>
      </c>
      <c r="B20" s="21">
        <f>'CHICLETS MASTER S1'!Z4</f>
        <v>0.29166666666666669</v>
      </c>
      <c r="C20" s="8" t="s">
        <v>163</v>
      </c>
      <c r="D20" s="334" t="str">
        <f>$D$18</f>
        <v>LONG BEACH CC 2</v>
      </c>
      <c r="E20" s="8">
        <v>9</v>
      </c>
      <c r="F20" s="54" t="str">
        <f>A7</f>
        <v>A1(1)-SAN CLEMENTE</v>
      </c>
      <c r="G20" s="56"/>
      <c r="H20" s="54" t="str">
        <f>A9</f>
        <v>A3(25)-NORTH IRVINE</v>
      </c>
      <c r="I20" s="8"/>
      <c r="J20" s="54"/>
      <c r="K20" s="54"/>
      <c r="L20" s="8" t="str">
        <f>IF(E20="","",$L$17&amp;"-"&amp;TEXT(E20,"000"))</f>
        <v>18GX-009</v>
      </c>
      <c r="M20" s="18" t="s">
        <v>85</v>
      </c>
    </row>
    <row r="21" spans="1:15" ht="13.95" customHeight="1">
      <c r="A21" s="6">
        <f t="shared" ref="A21:A31" si="0">$A$4</f>
        <v>46221</v>
      </c>
      <c r="B21" s="21">
        <f>'CHICLETS MASTER S1'!Z5</f>
        <v>0.3263888888888889</v>
      </c>
      <c r="C21" s="8" t="s">
        <v>163</v>
      </c>
      <c r="D21" s="334" t="str">
        <f t="shared" ref="D21:D36" si="1">$D$18</f>
        <v>LONG BEACH CC 2</v>
      </c>
      <c r="E21" s="8">
        <v>13</v>
      </c>
      <c r="F21" s="54" t="str">
        <f>B7</f>
        <v>B1(2)-TSUNAMI</v>
      </c>
      <c r="G21" s="56"/>
      <c r="H21" s="54" t="str">
        <f>B9</f>
        <v>B3(26)-NC SELECT</v>
      </c>
      <c r="I21" s="8"/>
      <c r="J21" s="54"/>
      <c r="K21" s="54"/>
      <c r="L21" s="8" t="str">
        <f>IF(E21="","",$L$17&amp;"-"&amp;TEXT(E21,"000"))</f>
        <v>18GX-013</v>
      </c>
      <c r="M21" s="18" t="s">
        <v>86</v>
      </c>
    </row>
    <row r="22" spans="1:15" ht="13.95" customHeight="1">
      <c r="A22" s="6">
        <f t="shared" si="0"/>
        <v>46221</v>
      </c>
      <c r="B22" s="21">
        <f>'CHICLETS MASTER S1'!Z6</f>
        <v>0.36111111111111099</v>
      </c>
      <c r="C22" s="8" t="s">
        <v>163</v>
      </c>
      <c r="D22" s="334" t="str">
        <f t="shared" si="1"/>
        <v>LONG BEACH CC 2</v>
      </c>
      <c r="E22" s="8">
        <v>1</v>
      </c>
      <c r="F22" s="8" t="str">
        <f>C7</f>
        <v>C1(3)-LB VIKING BLUE</v>
      </c>
      <c r="G22" s="13"/>
      <c r="H22" s="8" t="str">
        <f>C10</f>
        <v>C4(44)-CENTRAL COAST</v>
      </c>
      <c r="I22" s="8"/>
      <c r="J22" s="8">
        <v>25</v>
      </c>
      <c r="K22" s="8">
        <v>29</v>
      </c>
      <c r="L22" s="8" t="str">
        <f>IF(E22="","",$L$17&amp;"-"&amp;TEXT(E22,"000"))</f>
        <v>18GX-001</v>
      </c>
      <c r="M22" s="18" t="s">
        <v>87</v>
      </c>
    </row>
    <row r="23" spans="1:15" ht="13.95" customHeight="1">
      <c r="A23" s="6">
        <f t="shared" si="0"/>
        <v>46221</v>
      </c>
      <c r="B23" s="21">
        <f>'CHICLETS MASTER S1'!Z7</f>
        <v>0.39583333333333398</v>
      </c>
      <c r="C23" s="8" t="s">
        <v>163</v>
      </c>
      <c r="D23" s="334" t="str">
        <f t="shared" si="1"/>
        <v>LONG BEACH CC 2</v>
      </c>
      <c r="E23" s="8">
        <v>5</v>
      </c>
      <c r="F23" s="8" t="str">
        <f>C8</f>
        <v>C2(22)-CHICAGO PARK</v>
      </c>
      <c r="G23" s="13"/>
      <c r="H23" s="8" t="str">
        <f>C9</f>
        <v>C3(27)-TRI VALLEY TRITONS</v>
      </c>
      <c r="I23" s="8"/>
      <c r="J23" s="8">
        <v>25</v>
      </c>
      <c r="K23" s="8">
        <v>29</v>
      </c>
      <c r="L23" s="8" t="str">
        <f t="shared" ref="L23:L36" si="2">IF(E23="","",$L$17&amp;"-"&amp;TEXT(E23,"000"))</f>
        <v>18GX-005</v>
      </c>
      <c r="M23" s="18" t="s">
        <v>87</v>
      </c>
    </row>
    <row r="24" spans="1:15" ht="13.95" customHeight="1">
      <c r="A24" s="23"/>
      <c r="B24" s="21"/>
      <c r="C24" s="2"/>
      <c r="D24" s="2"/>
      <c r="E24" s="2"/>
      <c r="I24" s="2"/>
      <c r="J24" s="2"/>
      <c r="K24" s="2"/>
      <c r="L24" s="2"/>
    </row>
    <row r="25" spans="1:15" ht="13.95" customHeight="1">
      <c r="A25" s="6">
        <f t="shared" si="0"/>
        <v>46221</v>
      </c>
      <c r="B25" s="21">
        <f>'CHICLETS MASTER S1'!Z9</f>
        <v>0.46527777777777801</v>
      </c>
      <c r="C25" s="8" t="s">
        <v>163</v>
      </c>
      <c r="D25" s="334" t="str">
        <f t="shared" si="1"/>
        <v>LONG BEACH CC 2</v>
      </c>
      <c r="E25" s="8">
        <v>17</v>
      </c>
      <c r="F25" s="54" t="str">
        <f>A8</f>
        <v>A2(24)-CHAWP BLUE</v>
      </c>
      <c r="G25" s="56"/>
      <c r="H25" s="54" t="str">
        <f>A9</f>
        <v>A3(25)-NORTH IRVINE</v>
      </c>
      <c r="I25" s="8"/>
      <c r="J25" s="54"/>
      <c r="K25" s="54"/>
      <c r="L25" s="8" t="str">
        <f>IF(E25="","",$L$17&amp;"-"&amp;TEXT(E25,"000"))</f>
        <v>18GX-017</v>
      </c>
      <c r="M25" s="18" t="s">
        <v>85</v>
      </c>
    </row>
    <row r="26" spans="1:15" ht="13.95" customHeight="1">
      <c r="A26" s="6">
        <f t="shared" si="0"/>
        <v>46221</v>
      </c>
      <c r="B26" s="21">
        <f>'CHICLETS MASTER S1'!Z10</f>
        <v>0.5</v>
      </c>
      <c r="C26" s="8" t="s">
        <v>163</v>
      </c>
      <c r="D26" s="334" t="str">
        <f t="shared" si="1"/>
        <v>LONG BEACH CC 2</v>
      </c>
      <c r="E26" s="8">
        <v>21</v>
      </c>
      <c r="F26" s="54" t="str">
        <f>B8</f>
        <v>B2(23)-SAN JOSE EXPRESS</v>
      </c>
      <c r="G26" s="56"/>
      <c r="H26" s="54" t="str">
        <f>B9</f>
        <v>B3(26)-NC SELECT</v>
      </c>
      <c r="I26" s="8"/>
      <c r="J26" s="54"/>
      <c r="K26" s="54"/>
      <c r="L26" s="8" t="str">
        <f>IF(E26="","",$L$17&amp;"-"&amp;TEXT(E26,"000"))</f>
        <v>18GX-021</v>
      </c>
      <c r="M26" s="18" t="s">
        <v>86</v>
      </c>
    </row>
    <row r="27" spans="1:15" ht="13.95" customHeight="1">
      <c r="A27" s="6">
        <f t="shared" si="0"/>
        <v>46221</v>
      </c>
      <c r="B27" s="21">
        <f>'CHICLETS MASTER S1'!Z11</f>
        <v>0.53472222222222199</v>
      </c>
      <c r="C27" s="8" t="s">
        <v>163</v>
      </c>
      <c r="D27" s="334" t="str">
        <f t="shared" si="1"/>
        <v>LONG BEACH CC 2</v>
      </c>
      <c r="E27" s="8">
        <v>25</v>
      </c>
      <c r="F27" s="8" t="str">
        <f>IF(G22="","W1",IF(G22&gt;I22,_xlfn.CONCAT("W1-",RIGHT(F22,LEN(F22) - FIND("-",F22))), _xlfn.CONCAT("W1-",RIGHT(H22,LEN(H22) - FIND("-",H22)))))</f>
        <v>W1</v>
      </c>
      <c r="G27" s="335"/>
      <c r="H27" s="8" t="str">
        <f>IF(G23="","W5",IF(G23&gt;I23,_xlfn.CONCAT("W5-",RIGHT(F23,LEN(F23) - FIND("-",F23))), _xlfn.CONCAT("W5-",RIGHT(H23,LEN(H23) - FIND("-",H23)))))</f>
        <v>W5</v>
      </c>
      <c r="I27" s="8"/>
      <c r="J27" s="8" t="s">
        <v>1607</v>
      </c>
      <c r="K27" s="8">
        <v>50</v>
      </c>
      <c r="L27" s="8" t="str">
        <f>IF(E27="","",$L$17&amp;"-"&amp;TEXT(E27,"000"))</f>
        <v>18GX-025</v>
      </c>
      <c r="M27" s="18" t="s">
        <v>1777</v>
      </c>
      <c r="O27" s="18" t="s">
        <v>1778</v>
      </c>
    </row>
    <row r="28" spans="1:15" ht="13.95" customHeight="1">
      <c r="A28" s="6">
        <f t="shared" si="0"/>
        <v>46221</v>
      </c>
      <c r="B28" s="21">
        <f>'CHICLETS MASTER S1'!Z12</f>
        <v>0.56944444444444497</v>
      </c>
      <c r="C28" s="8" t="s">
        <v>163</v>
      </c>
      <c r="D28" s="334" t="str">
        <f t="shared" si="1"/>
        <v>LONG BEACH CC 2</v>
      </c>
      <c r="E28" s="8">
        <v>29</v>
      </c>
      <c r="F28" s="8" t="str">
        <f>IF(G22="","L1",IF(G22&lt;I22,_xlfn.CONCAT("L1-",RIGHT(F22,LEN(F22) - FIND("-",F22))), _xlfn.CONCAT("L1-",RIGHT(H22,LEN(H22) - FIND("-",H22)))))</f>
        <v>L1</v>
      </c>
      <c r="G28" s="335"/>
      <c r="H28" s="8" t="str">
        <f>IF(G23="","L5",IF(G23&lt;I23,_xlfn.CONCAT("L5-",RIGHT(F23,LEN(F23) - FIND("-",F23))), _xlfn.CONCAT("L5-",RIGHT(H23,LEN(H23) - FIND("-",H23)))))</f>
        <v>L5</v>
      </c>
      <c r="I28" s="8"/>
      <c r="J28" s="8">
        <v>49</v>
      </c>
      <c r="K28" s="336" t="s">
        <v>1617</v>
      </c>
      <c r="L28" s="8" t="str">
        <f>IF(E28="","",$L$17&amp;"-"&amp;TEXT(E28,"000"))</f>
        <v>18GX-029</v>
      </c>
      <c r="M28" s="18" t="s">
        <v>1779</v>
      </c>
      <c r="O28" s="18" t="s">
        <v>1780</v>
      </c>
    </row>
    <row r="29" spans="1:15" ht="13.95" customHeight="1">
      <c r="A29" s="23"/>
      <c r="B29" s="21"/>
      <c r="C29" s="2"/>
      <c r="D29" s="2"/>
      <c r="E29" s="2"/>
      <c r="I29" s="2"/>
      <c r="J29" s="2"/>
      <c r="K29" s="2"/>
      <c r="L29" s="2"/>
    </row>
    <row r="30" spans="1:15" ht="13.95" customHeight="1">
      <c r="A30" s="6">
        <f t="shared" si="0"/>
        <v>46221</v>
      </c>
      <c r="B30" s="21">
        <f>'CHICLETS MASTER S1'!Z14</f>
        <v>0.63888888888888895</v>
      </c>
      <c r="C30" s="8" t="s">
        <v>163</v>
      </c>
      <c r="D30" s="334" t="str">
        <f t="shared" si="1"/>
        <v>LONG BEACH CC 2</v>
      </c>
      <c r="E30" s="8">
        <v>33</v>
      </c>
      <c r="F30" s="54" t="str">
        <f>A7</f>
        <v>A1(1)-SAN CLEMENTE</v>
      </c>
      <c r="G30" s="290"/>
      <c r="H30" s="54" t="str">
        <f>A8</f>
        <v>A2(24)-CHAWP BLUE</v>
      </c>
      <c r="I30" s="8"/>
      <c r="J30" s="8"/>
      <c r="K30" s="8"/>
      <c r="L30" s="8" t="str">
        <f t="shared" si="2"/>
        <v>18GX-033</v>
      </c>
      <c r="M30" s="18" t="s">
        <v>85</v>
      </c>
    </row>
    <row r="31" spans="1:15" ht="13.95" customHeight="1">
      <c r="A31" s="6">
        <f t="shared" si="0"/>
        <v>46221</v>
      </c>
      <c r="B31" s="21">
        <f>'CHICLETS MASTER S1'!Z15</f>
        <v>0.67361111111111105</v>
      </c>
      <c r="C31" s="8" t="s">
        <v>163</v>
      </c>
      <c r="D31" s="334" t="str">
        <f t="shared" si="1"/>
        <v>LONG BEACH CC 2</v>
      </c>
      <c r="E31" s="8">
        <v>37</v>
      </c>
      <c r="F31" s="54" t="str">
        <f>B7</f>
        <v>B1(2)-TSUNAMI</v>
      </c>
      <c r="G31" s="290"/>
      <c r="H31" s="54" t="str">
        <f>B8</f>
        <v>B2(23)-SAN JOSE EXPRESS</v>
      </c>
      <c r="I31" s="8"/>
      <c r="J31" s="8"/>
      <c r="K31" s="8"/>
      <c r="L31" s="8" t="str">
        <f t="shared" si="2"/>
        <v>18GX-037</v>
      </c>
      <c r="M31" s="18" t="s">
        <v>86</v>
      </c>
    </row>
    <row r="32" spans="1:15" ht="13.95" customHeight="1">
      <c r="A32" s="23"/>
      <c r="B32" s="23"/>
      <c r="C32" s="23"/>
      <c r="D32" s="2"/>
      <c r="E32" s="2"/>
      <c r="I32" s="2"/>
      <c r="J32" s="2"/>
      <c r="K32" s="2"/>
      <c r="L32" s="2"/>
    </row>
    <row r="33" spans="1:15" ht="13.95" customHeight="1">
      <c r="A33" s="23"/>
      <c r="B33" s="23"/>
      <c r="C33" s="23"/>
      <c r="D33" s="2"/>
      <c r="E33" s="2"/>
      <c r="I33" s="2"/>
      <c r="J33" s="2"/>
      <c r="K33" s="2"/>
      <c r="L33" s="2"/>
    </row>
    <row r="34" spans="1:15" ht="13.95" customHeight="1">
      <c r="A34" s="6">
        <f t="shared" ref="A34:A36" si="3">$A$4</f>
        <v>46221</v>
      </c>
      <c r="B34" s="21">
        <f>'CHICLETS MASTER S1'!Z18</f>
        <v>0.77777777777777801</v>
      </c>
      <c r="C34" s="8" t="s">
        <v>275</v>
      </c>
      <c r="D34" s="334" t="str">
        <f t="shared" si="1"/>
        <v>LONG BEACH CC 2</v>
      </c>
      <c r="E34" s="8">
        <v>49</v>
      </c>
      <c r="F34" s="52" t="str">
        <f>IF(G46="","L26-2ndD",IF(G46&lt;I46,_xlfn.CONCAT("L26-2ndD-",RIGHT(F46,LEN(F46) - FIND("-",F46))), _xlfn.CONCAT("L26-2ndD-",RIGHT(H46,LEN(H46) - FIND("-",H46)))))</f>
        <v>L26-2ndD</v>
      </c>
      <c r="G34" s="335"/>
      <c r="H34" s="8" t="str">
        <f>IF(G28="","W29-3rdC",IF(G28&gt;I28,_xlfn.CONCAT("W29-3rdC-",RIGHT(F28,LEN(F28) - FIND("-",F28))), _xlfn.CONCAT("W29-3rdC-",RIGHT(H28,LEN(H28) - FIND("-",H28)))))</f>
        <v>W29-3rdC</v>
      </c>
      <c r="I34" s="8"/>
      <c r="J34" s="8" t="s">
        <v>1484</v>
      </c>
      <c r="K34" s="8" t="s">
        <v>1485</v>
      </c>
      <c r="L34" s="8" t="str">
        <f t="shared" si="2"/>
        <v>18GX-049</v>
      </c>
    </row>
    <row r="35" spans="1:15" ht="13.95" customHeight="1">
      <c r="A35" s="6">
        <f t="shared" si="3"/>
        <v>46221</v>
      </c>
      <c r="B35" s="21">
        <f>'CHICLETS MASTER S1'!Z19</f>
        <v>0.8125</v>
      </c>
      <c r="C35" s="8" t="s">
        <v>275</v>
      </c>
      <c r="D35" s="334" t="str">
        <f t="shared" si="1"/>
        <v>LONG BEACH CC 2</v>
      </c>
      <c r="E35" s="8">
        <v>53</v>
      </c>
      <c r="F35" s="8" t="s">
        <v>483</v>
      </c>
      <c r="G35" s="335"/>
      <c r="H35" s="8" t="s">
        <v>1781</v>
      </c>
      <c r="I35" s="8"/>
      <c r="J35" s="8" t="s">
        <v>1488</v>
      </c>
      <c r="K35" s="8" t="s">
        <v>1489</v>
      </c>
      <c r="L35" s="8" t="str">
        <f t="shared" si="2"/>
        <v>18GX-053</v>
      </c>
    </row>
    <row r="36" spans="1:15" ht="13.95" customHeight="1">
      <c r="A36" s="6">
        <f t="shared" si="3"/>
        <v>46221</v>
      </c>
      <c r="B36" s="21">
        <f>'CHICLETS MASTER S1'!Z20</f>
        <v>0.84722222222222199</v>
      </c>
      <c r="C36" s="8" t="s">
        <v>275</v>
      </c>
      <c r="D36" s="334" t="str">
        <f t="shared" si="1"/>
        <v>LONG BEACH CC 2</v>
      </c>
      <c r="E36" s="8">
        <v>57</v>
      </c>
      <c r="F36" s="8" t="s">
        <v>1782</v>
      </c>
      <c r="G36" s="335"/>
      <c r="H36" s="8" t="s">
        <v>486</v>
      </c>
      <c r="I36" s="8"/>
      <c r="J36" s="8" t="s">
        <v>1492</v>
      </c>
      <c r="K36" s="8" t="s">
        <v>1493</v>
      </c>
      <c r="L36" s="8" t="str">
        <f t="shared" si="2"/>
        <v>18GX-057</v>
      </c>
    </row>
    <row r="37" spans="1:15" ht="13.95" customHeight="1" thickBot="1">
      <c r="A37" s="23"/>
      <c r="B37" s="27"/>
      <c r="C37" s="2"/>
      <c r="D37" s="2"/>
      <c r="E37" s="2"/>
      <c r="I37" s="2"/>
      <c r="J37" s="2"/>
      <c r="K37" s="2"/>
      <c r="L37" s="2"/>
    </row>
    <row r="38" spans="1:15" ht="13.95" customHeight="1" thickBot="1">
      <c r="B38" s="27"/>
      <c r="C38" s="2"/>
      <c r="D38" s="244" t="str">
        <f>'CHICLETS MASTER S1'!$AQ$3</f>
        <v>EDISON HS</v>
      </c>
      <c r="E38" s="2"/>
      <c r="F38" s="18" t="s">
        <v>1783</v>
      </c>
      <c r="I38" s="2"/>
      <c r="J38" s="2"/>
      <c r="K38" s="2"/>
      <c r="L38" s="2"/>
    </row>
    <row r="39" spans="1:15" ht="13.95" customHeight="1">
      <c r="A39" s="333" t="s">
        <v>110</v>
      </c>
      <c r="B39" s="333" t="s">
        <v>111</v>
      </c>
      <c r="C39" s="333" t="s">
        <v>112</v>
      </c>
      <c r="D39" s="333" t="s">
        <v>113</v>
      </c>
      <c r="E39" s="333" t="s">
        <v>114</v>
      </c>
      <c r="F39" s="333" t="s">
        <v>115</v>
      </c>
      <c r="G39" s="333" t="s">
        <v>116</v>
      </c>
      <c r="H39" s="333" t="s">
        <v>117</v>
      </c>
      <c r="I39" s="333" t="s">
        <v>116</v>
      </c>
      <c r="J39" s="333" t="s">
        <v>118</v>
      </c>
      <c r="K39" s="333" t="s">
        <v>119</v>
      </c>
      <c r="L39" s="333" t="s">
        <v>120</v>
      </c>
    </row>
    <row r="40" spans="1:15" ht="13.95" customHeight="1">
      <c r="A40" s="6">
        <f t="shared" ref="A40:A51" si="4">$A$4</f>
        <v>46221</v>
      </c>
      <c r="B40" s="21">
        <f>'CHICLETS MASTER S1'!AL4</f>
        <v>0.29166666666666669</v>
      </c>
      <c r="C40" s="8" t="s">
        <v>163</v>
      </c>
      <c r="D40" s="334" t="str">
        <f>$D$38</f>
        <v>EDISON HS</v>
      </c>
      <c r="E40" s="8">
        <v>2</v>
      </c>
      <c r="F40" s="8" t="str">
        <f>D7</f>
        <v>D1(4)-PATRIOT NAVY</v>
      </c>
      <c r="G40" s="13"/>
      <c r="H40" s="8" t="str">
        <f>D10</f>
        <v>D4(43)-MOOSE</v>
      </c>
      <c r="I40" s="8"/>
      <c r="J40" s="8">
        <v>26</v>
      </c>
      <c r="K40" s="8">
        <v>30</v>
      </c>
      <c r="L40" s="8" t="str">
        <f t="shared" ref="L40:L56" si="5">IF(E40="","",$L$17&amp;"-"&amp;TEXT(E40,"000"))</f>
        <v>18GX-002</v>
      </c>
      <c r="M40" s="18" t="s">
        <v>88</v>
      </c>
    </row>
    <row r="41" spans="1:15" ht="13.95" customHeight="1">
      <c r="A41" s="6">
        <f t="shared" si="4"/>
        <v>46221</v>
      </c>
      <c r="B41" s="21">
        <f>'CHICLETS MASTER S1'!AL5</f>
        <v>0.3263888888888889</v>
      </c>
      <c r="C41" s="8" t="s">
        <v>163</v>
      </c>
      <c r="D41" s="334" t="str">
        <f t="shared" ref="D41:D56" si="6">$D$38</f>
        <v>EDISON HS</v>
      </c>
      <c r="E41" s="8">
        <v>6</v>
      </c>
      <c r="F41" s="8" t="str">
        <f>D8</f>
        <v>D2(21)-A TEAM CALLED QUEST</v>
      </c>
      <c r="G41" s="13"/>
      <c r="H41" s="8" t="str">
        <f>D9</f>
        <v>D3(28)-SAND CANYON</v>
      </c>
      <c r="I41" s="8"/>
      <c r="J41" s="8">
        <v>26</v>
      </c>
      <c r="K41" s="8">
        <v>30</v>
      </c>
      <c r="L41" s="8" t="str">
        <f t="shared" si="5"/>
        <v>18GX-006</v>
      </c>
      <c r="M41" s="18" t="s">
        <v>88</v>
      </c>
    </row>
    <row r="42" spans="1:15" ht="13.95" customHeight="1">
      <c r="A42" s="6">
        <f t="shared" si="4"/>
        <v>46221</v>
      </c>
      <c r="B42" s="21">
        <f>'CHICLETS MASTER S1'!AL6</f>
        <v>0.36111111111111099</v>
      </c>
      <c r="C42" s="8" t="s">
        <v>163</v>
      </c>
      <c r="D42" s="334" t="str">
        <f t="shared" si="6"/>
        <v>EDISON HS</v>
      </c>
      <c r="E42" s="8">
        <v>10</v>
      </c>
      <c r="F42" s="8" t="str">
        <f>E7</f>
        <v>E1(5)-SACRAMENTO</v>
      </c>
      <c r="G42" s="13"/>
      <c r="H42" s="8" t="str">
        <f>E10</f>
        <v>E4(42)-SOUTHSIDE</v>
      </c>
      <c r="I42" s="8"/>
      <c r="J42" s="8">
        <v>34</v>
      </c>
      <c r="K42" s="8">
        <v>38</v>
      </c>
      <c r="L42" s="8" t="str">
        <f t="shared" si="5"/>
        <v>18GX-010</v>
      </c>
      <c r="M42" s="18" t="s">
        <v>89</v>
      </c>
    </row>
    <row r="43" spans="1:15" ht="13.95" customHeight="1">
      <c r="A43" s="6">
        <f t="shared" si="4"/>
        <v>46221</v>
      </c>
      <c r="B43" s="21">
        <f>'CHICLETS MASTER S1'!AL7</f>
        <v>0.39583333333333398</v>
      </c>
      <c r="C43" s="8" t="s">
        <v>163</v>
      </c>
      <c r="D43" s="334" t="str">
        <f t="shared" si="6"/>
        <v>EDISON HS</v>
      </c>
      <c r="E43" s="8">
        <v>14</v>
      </c>
      <c r="F43" s="8" t="str">
        <f>E8</f>
        <v>E2(20)-TRI VALLEY</v>
      </c>
      <c r="G43" s="13"/>
      <c r="H43" s="8" t="str">
        <f>E9</f>
        <v>E3(29)-LA JOLLA UNITED</v>
      </c>
      <c r="I43" s="8"/>
      <c r="J43" s="8">
        <v>34</v>
      </c>
      <c r="K43" s="8">
        <v>38</v>
      </c>
      <c r="L43" s="8" t="str">
        <f t="shared" si="5"/>
        <v>18GX-014</v>
      </c>
      <c r="M43" s="18" t="s">
        <v>89</v>
      </c>
    </row>
    <row r="44" spans="1:15" ht="13.95" customHeight="1">
      <c r="A44" s="6">
        <f t="shared" si="4"/>
        <v>46221</v>
      </c>
      <c r="B44" s="21">
        <f>'CHICLETS MASTER S1'!AL8</f>
        <v>0.43055555555555602</v>
      </c>
      <c r="C44" s="8" t="s">
        <v>163</v>
      </c>
      <c r="D44" s="334" t="str">
        <f t="shared" si="6"/>
        <v>EDISON HS</v>
      </c>
      <c r="E44" s="8">
        <v>18</v>
      </c>
      <c r="F44" s="8" t="str">
        <f>F7</f>
        <v>F1(6)-ALAMEDA</v>
      </c>
      <c r="G44" s="13"/>
      <c r="H44" s="8" t="str">
        <f>F10</f>
        <v>F4(41)-HILO GRAMMAZ</v>
      </c>
      <c r="I44" s="8"/>
      <c r="J44" s="8">
        <v>42</v>
      </c>
      <c r="K44" s="8">
        <v>46</v>
      </c>
      <c r="L44" s="8" t="str">
        <f t="shared" si="5"/>
        <v>18GX-018</v>
      </c>
      <c r="M44" s="18" t="s">
        <v>90</v>
      </c>
    </row>
    <row r="45" spans="1:15" ht="13.95" customHeight="1">
      <c r="A45" s="6">
        <f t="shared" si="4"/>
        <v>46221</v>
      </c>
      <c r="B45" s="21">
        <f>'CHICLETS MASTER S1'!AL9</f>
        <v>0.46527777777777801</v>
      </c>
      <c r="C45" s="8" t="s">
        <v>163</v>
      </c>
      <c r="D45" s="334" t="str">
        <f t="shared" si="6"/>
        <v>EDISON HS</v>
      </c>
      <c r="E45" s="8">
        <v>22</v>
      </c>
      <c r="F45" s="8" t="str">
        <f>F8</f>
        <v>F2(19)-KERN PREMIER</v>
      </c>
      <c r="G45" s="13"/>
      <c r="H45" s="8" t="str">
        <f>F9</f>
        <v>F3(30)-SFV</v>
      </c>
      <c r="I45" s="8"/>
      <c r="J45" s="8">
        <v>42</v>
      </c>
      <c r="K45" s="8">
        <v>46</v>
      </c>
      <c r="L45" s="8" t="str">
        <f t="shared" si="5"/>
        <v>18GX-022</v>
      </c>
      <c r="M45" s="18" t="s">
        <v>90</v>
      </c>
    </row>
    <row r="46" spans="1:15" ht="13.95" customHeight="1">
      <c r="A46" s="6">
        <f t="shared" si="4"/>
        <v>46221</v>
      </c>
      <c r="B46" s="21">
        <f>'CHICLETS MASTER S1'!AL10</f>
        <v>0.5</v>
      </c>
      <c r="C46" s="8" t="s">
        <v>163</v>
      </c>
      <c r="D46" s="334" t="str">
        <f t="shared" si="6"/>
        <v>EDISON HS</v>
      </c>
      <c r="E46" s="8">
        <v>26</v>
      </c>
      <c r="F46" s="8" t="str">
        <f>IF(G40="","W2",IF(G40&gt;I40,_xlfn.CONCAT("W2-",RIGHT(F40,LEN(F40) - FIND("-",F40))), _xlfn.CONCAT("W2-",RIGHT(H40,LEN(H40) - FIND("-",H40)))))</f>
        <v>W2</v>
      </c>
      <c r="G46" s="335"/>
      <c r="H46" s="8" t="str">
        <f>IF(G41="","W6",IF(G41&gt;I41,_xlfn.CONCAT("W6-",RIGHT(F41,LEN(F41) - FIND("-",F41))), _xlfn.CONCAT("W6-",RIGHT(H41,LEN(H41) - FIND("-",H41)))))</f>
        <v>W6</v>
      </c>
      <c r="I46" s="8"/>
      <c r="J46" s="8" t="s">
        <v>1627</v>
      </c>
      <c r="K46" s="8">
        <v>49</v>
      </c>
      <c r="L46" s="8" t="str">
        <f t="shared" si="5"/>
        <v>18GX-026</v>
      </c>
      <c r="M46" s="18" t="s">
        <v>1784</v>
      </c>
      <c r="O46" s="18" t="s">
        <v>1785</v>
      </c>
    </row>
    <row r="47" spans="1:15" ht="13.95" customHeight="1">
      <c r="A47" s="6">
        <f t="shared" si="4"/>
        <v>46221</v>
      </c>
      <c r="B47" s="21">
        <f>'CHICLETS MASTER S1'!AL11</f>
        <v>0.53472222222222199</v>
      </c>
      <c r="C47" s="8" t="s">
        <v>163</v>
      </c>
      <c r="D47" s="334" t="str">
        <f t="shared" si="6"/>
        <v>EDISON HS</v>
      </c>
      <c r="E47" s="8">
        <v>30</v>
      </c>
      <c r="F47" s="8" t="str">
        <f>IF(G40="","L2",IF(G40&lt;I40,_xlfn.CONCAT("L2-",RIGHT(F40,LEN(F40) - FIND("-",F40))), _xlfn.CONCAT("L2-",RIGHT(H40,LEN(H40) - FIND("-",H40)))))</f>
        <v>L2</v>
      </c>
      <c r="G47" s="335"/>
      <c r="H47" s="8" t="str">
        <f>IF(G41="","L6",IF(G41&lt;I41,_xlfn.CONCAT("L6-",RIGHT(F41,LEN(F41) - FIND("-",F41))), _xlfn.CONCAT("L6-",RIGHT(H41,LEN(H41) - FIND("-",H41)))))</f>
        <v>L6</v>
      </c>
      <c r="I47" s="8"/>
      <c r="J47" s="8">
        <v>50</v>
      </c>
      <c r="K47" s="336" t="s">
        <v>1622</v>
      </c>
      <c r="L47" s="8" t="str">
        <f t="shared" si="5"/>
        <v>18GX-030</v>
      </c>
      <c r="M47" s="18" t="s">
        <v>1786</v>
      </c>
      <c r="O47" s="18" t="s">
        <v>1787</v>
      </c>
    </row>
    <row r="48" spans="1:15" ht="13.95" customHeight="1">
      <c r="A48" s="6">
        <f t="shared" si="4"/>
        <v>46221</v>
      </c>
      <c r="B48" s="21">
        <f>'CHICLETS MASTER S1'!AL12</f>
        <v>0.56944444444444497</v>
      </c>
      <c r="C48" s="8" t="s">
        <v>163</v>
      </c>
      <c r="D48" s="334" t="str">
        <f t="shared" si="6"/>
        <v>EDISON HS</v>
      </c>
      <c r="E48" s="8">
        <v>34</v>
      </c>
      <c r="F48" s="8" t="str">
        <f>IF(G42="","W10",IF(G42&gt;I42,_xlfn.CONCAT("W10-",RIGHT(F42,LEN(F42) - FIND("-",F42))), _xlfn.CONCAT("W10-",RIGHT(H42,LEN(H42) - FIND("-",H42)))))</f>
        <v>W10</v>
      </c>
      <c r="G48" s="335"/>
      <c r="H48" s="8" t="str">
        <f>IF(G43="","W14",IF(G43&gt;I43,_xlfn.CONCAT("W14-",RIGHT(F43,LEN(F43) - FIND("-",F43))), _xlfn.CONCAT("W14-",RIGHT(H43,LEN(H43) - FIND("-",H43)))))</f>
        <v>W14</v>
      </c>
      <c r="I48" s="8"/>
      <c r="J48" s="8" t="s">
        <v>1620</v>
      </c>
      <c r="K48" s="8">
        <v>58</v>
      </c>
      <c r="L48" s="8" t="str">
        <f t="shared" si="5"/>
        <v>18GX-034</v>
      </c>
      <c r="M48" s="18" t="s">
        <v>1788</v>
      </c>
      <c r="O48" s="18" t="s">
        <v>1789</v>
      </c>
    </row>
    <row r="49" spans="1:15" ht="13.95" customHeight="1">
      <c r="A49" s="6">
        <f t="shared" si="4"/>
        <v>46221</v>
      </c>
      <c r="B49" s="21">
        <f>'CHICLETS MASTER S1'!AL13</f>
        <v>0.60416666666666696</v>
      </c>
      <c r="C49" s="8" t="s">
        <v>163</v>
      </c>
      <c r="D49" s="334" t="str">
        <f t="shared" si="6"/>
        <v>EDISON HS</v>
      </c>
      <c r="E49" s="8">
        <v>38</v>
      </c>
      <c r="F49" s="8" t="str">
        <f>IF(G42="","L10",IF(G42&lt;I42,_xlfn.CONCAT("L10-",RIGHT(F42,LEN(F42) - FIND("-",F42))), _xlfn.CONCAT("L10-",RIGHT(H42,LEN(H42) - FIND("-",H42)))))</f>
        <v>L10</v>
      </c>
      <c r="G49" s="335"/>
      <c r="H49" s="8" t="str">
        <f>IF(G43="","L14",IF(G43&lt;I43,_xlfn.CONCAT("L14-",RIGHT(F43,LEN(F43) - FIND("-",F43))), _xlfn.CONCAT("L14-",RIGHT(H43,LEN(H43) - FIND("-",H43)))))</f>
        <v>L14</v>
      </c>
      <c r="I49" s="8"/>
      <c r="J49" s="8">
        <v>54</v>
      </c>
      <c r="K49" s="336" t="s">
        <v>1619</v>
      </c>
      <c r="L49" s="8" t="str">
        <f t="shared" si="5"/>
        <v>18GX-038</v>
      </c>
      <c r="M49" s="18" t="s">
        <v>1790</v>
      </c>
      <c r="O49" s="18" t="s">
        <v>1787</v>
      </c>
    </row>
    <row r="50" spans="1:15" ht="13.95" customHeight="1">
      <c r="A50" s="6">
        <f t="shared" si="4"/>
        <v>46221</v>
      </c>
      <c r="B50" s="21">
        <f>'CHICLETS MASTER S1'!AL14</f>
        <v>0.63888888888888895</v>
      </c>
      <c r="C50" s="8" t="s">
        <v>163</v>
      </c>
      <c r="D50" s="334" t="str">
        <f t="shared" si="6"/>
        <v>EDISON HS</v>
      </c>
      <c r="E50" s="8">
        <v>42</v>
      </c>
      <c r="F50" s="8" t="str">
        <f>IF(G44="","W18",IF(G44&gt;I44,_xlfn.CONCAT("W18-",RIGHT(F44,LEN(F44) - FIND("-",F44))), _xlfn.CONCAT("W18-",RIGHT(H44,LEN(H44) - FIND("-",H44)))))</f>
        <v>W18</v>
      </c>
      <c r="G50" s="335"/>
      <c r="H50" s="8" t="str">
        <f>IF(G45="","W22",IF(G45&gt;I45,_xlfn.CONCAT("W22-",RIGHT(F45,LEN(F45) - FIND("-",F45))), _xlfn.CONCAT("W22-",RIGHT(H45,LEN(H45) - FIND("-",H45)))))</f>
        <v>W22</v>
      </c>
      <c r="I50" s="8"/>
      <c r="J50" s="8" t="s">
        <v>1471</v>
      </c>
      <c r="K50" s="8">
        <v>54</v>
      </c>
      <c r="L50" s="8" t="str">
        <f t="shared" si="5"/>
        <v>18GX-042</v>
      </c>
      <c r="M50" s="18" t="s">
        <v>1791</v>
      </c>
      <c r="O50" s="18" t="s">
        <v>1792</v>
      </c>
    </row>
    <row r="51" spans="1:15" ht="13.95" customHeight="1">
      <c r="A51" s="6">
        <f t="shared" si="4"/>
        <v>46221</v>
      </c>
      <c r="B51" s="21">
        <f>'CHICLETS MASTER S1'!AL15</f>
        <v>0.67361111111111105</v>
      </c>
      <c r="C51" s="8" t="s">
        <v>163</v>
      </c>
      <c r="D51" s="334" t="str">
        <f t="shared" si="6"/>
        <v>EDISON HS</v>
      </c>
      <c r="E51" s="8">
        <v>46</v>
      </c>
      <c r="F51" s="8" t="str">
        <f>IF(G44="","L18",IF(G44&lt;I44,_xlfn.CONCAT("L18-",RIGHT(F44,LEN(F44) - FIND("-",F44))), _xlfn.CONCAT("L18-",RIGHT(H44,LEN(H44) - FIND("-",H44)))))</f>
        <v>L18</v>
      </c>
      <c r="G51" s="335"/>
      <c r="H51" s="8" t="str">
        <f>IF(G45="","L22",IF(G45&lt;I45,_xlfn.CONCAT("L22-",RIGHT(F45,LEN(F45) - FIND("-",F45))), _xlfn.CONCAT("L22-",RIGHT(H45,LEN(H45) - FIND("-",H45)))))</f>
        <v>L22</v>
      </c>
      <c r="I51" s="8"/>
      <c r="J51" s="8">
        <v>58</v>
      </c>
      <c r="K51" s="336" t="s">
        <v>1793</v>
      </c>
      <c r="L51" s="8" t="str">
        <f t="shared" si="5"/>
        <v>18GX-046</v>
      </c>
      <c r="M51" s="18" t="s">
        <v>1794</v>
      </c>
      <c r="O51" s="18" t="s">
        <v>1795</v>
      </c>
    </row>
    <row r="52" spans="1:15" ht="13.95" customHeight="1">
      <c r="A52" s="23"/>
      <c r="B52" s="23"/>
      <c r="C52" s="2"/>
      <c r="D52" s="2"/>
      <c r="E52" s="2"/>
      <c r="I52" s="2"/>
      <c r="J52" s="2"/>
      <c r="K52" s="2"/>
      <c r="L52" s="2"/>
    </row>
    <row r="53" spans="1:15" ht="13.95" customHeight="1">
      <c r="A53" s="23"/>
      <c r="B53" s="23"/>
      <c r="C53" s="2"/>
      <c r="D53" s="2"/>
      <c r="E53" s="2"/>
      <c r="I53" s="2"/>
      <c r="J53" s="2"/>
      <c r="K53" s="2"/>
      <c r="L53" s="2"/>
    </row>
    <row r="54" spans="1:15" ht="13.95" customHeight="1">
      <c r="A54" s="6">
        <f t="shared" ref="A54:A56" si="7">$A$4</f>
        <v>46221</v>
      </c>
      <c r="B54" s="21">
        <f>'CHICLETS MASTER S1'!AL18</f>
        <v>0.77777777777777801</v>
      </c>
      <c r="C54" s="8" t="s">
        <v>275</v>
      </c>
      <c r="D54" s="334" t="str">
        <f t="shared" si="6"/>
        <v>EDISON HS</v>
      </c>
      <c r="E54" s="8">
        <v>50</v>
      </c>
      <c r="F54" s="52" t="str">
        <f>IF(G27="","L25-2ndC",IF(G27&lt;I27,_xlfn.CONCAT("L25-2ndC-",RIGHT(F27,LEN(F27) - FIND("-",F27))), _xlfn.CONCAT("L25-2ndC-",RIGHT(H27,LEN(H27) - FIND("-",H27)))))</f>
        <v>L25-2ndC</v>
      </c>
      <c r="G54" s="335"/>
      <c r="H54" s="8" t="str">
        <f>IF(G47="","W30-3rdD",IF(G47&gt;I47,_xlfn.CONCAT("W30-3rdD-",RIGHT(F47,LEN(F47) - FIND("-",F47))), _xlfn.CONCAT("W30-3rdD-",RIGHT(H47,LEN(H47) - FIND("-",H47)))))</f>
        <v>W30-3rdD</v>
      </c>
      <c r="I54" s="8"/>
      <c r="J54" s="8" t="s">
        <v>1475</v>
      </c>
      <c r="K54" s="8" t="s">
        <v>1476</v>
      </c>
      <c r="L54" s="8" t="str">
        <f t="shared" si="5"/>
        <v>18GX-050</v>
      </c>
    </row>
    <row r="55" spans="1:15" ht="13.95" customHeight="1">
      <c r="A55" s="6">
        <f t="shared" si="7"/>
        <v>46221</v>
      </c>
      <c r="B55" s="21">
        <f>'CHICLETS MASTER S1'!AL19</f>
        <v>0.8125</v>
      </c>
      <c r="C55" s="8" t="s">
        <v>275</v>
      </c>
      <c r="D55" s="334" t="str">
        <f t="shared" si="6"/>
        <v>EDISON HS</v>
      </c>
      <c r="E55" s="8">
        <v>54</v>
      </c>
      <c r="F55" s="291" t="str">
        <f>IF(G50="","L42-2ndF",IF(G50&lt;I50,_xlfn.CONCAT("L42-2ndF-",RIGHT(F50,LEN(F50) - FIND("-",F50))), _xlfn.CONCAT("L42-2ndF-",RIGHT(H50,LEN(H50) - FIND("-",H50)))))</f>
        <v>L42-2ndF</v>
      </c>
      <c r="G55" s="335"/>
      <c r="H55" s="8" t="str">
        <f>IF(G49="","W38-3rdE",IF(G49&gt;I49,_xlfn.CONCAT("W38-3rdE-",RIGHT(F49,LEN(F49) - FIND("-",F49))), _xlfn.CONCAT("W38-3rdE-",RIGHT(H49,LEN(H49) - FIND("-",H49)))))</f>
        <v>W38-3rdE</v>
      </c>
      <c r="I55" s="8"/>
      <c r="J55" s="8" t="s">
        <v>1478</v>
      </c>
      <c r="K55" s="8" t="s">
        <v>1479</v>
      </c>
      <c r="L55" s="8" t="str">
        <f t="shared" si="5"/>
        <v>18GX-054</v>
      </c>
    </row>
    <row r="56" spans="1:15" ht="13.95" customHeight="1">
      <c r="A56" s="6">
        <f t="shared" si="7"/>
        <v>46221</v>
      </c>
      <c r="B56" s="21">
        <f>'CHICLETS MASTER S1'!AL20</f>
        <v>0.84722222222222199</v>
      </c>
      <c r="C56" s="8" t="s">
        <v>275</v>
      </c>
      <c r="D56" s="334" t="str">
        <f t="shared" si="6"/>
        <v>EDISON HS</v>
      </c>
      <c r="E56" s="8">
        <v>58</v>
      </c>
      <c r="F56" s="291" t="str">
        <f>IF(G48="","L34-2ndE",IF(G48&lt;I48,_xlfn.CONCAT("L34-2ndE-",RIGHT(F48,LEN(F48) - FIND("-",F48))), _xlfn.CONCAT("L34-2ndE-",RIGHT(H48,LEN(H48) - FIND("-",H48)))))</f>
        <v>L34-2ndE</v>
      </c>
      <c r="G56" s="335"/>
      <c r="H56" s="8" t="str">
        <f>IF(G51="","W46-3rdF",IF(G51&gt;I51,_xlfn.CONCAT("W46-3rdF-",RIGHT(F51,LEN(F51) - FIND("-",F51))), _xlfn.CONCAT("W46-3rdF-",RIGHT(H51,LEN(H51) - FIND("-",H51)))))</f>
        <v>W46-3rdF</v>
      </c>
      <c r="I56" s="8"/>
      <c r="J56" s="8" t="s">
        <v>1481</v>
      </c>
      <c r="K56" s="8" t="s">
        <v>1482</v>
      </c>
      <c r="L56" s="8" t="str">
        <f t="shared" si="5"/>
        <v>18GX-058</v>
      </c>
    </row>
    <row r="57" spans="1:15" s="2" customFormat="1" ht="13.95" customHeight="1">
      <c r="B57" s="18"/>
      <c r="C57" s="18"/>
    </row>
    <row r="58" spans="1:15" ht="13.95" customHeight="1" thickBot="1"/>
    <row r="59" spans="1:15" ht="13.95" customHeight="1" thickBot="1">
      <c r="B59" s="2"/>
      <c r="C59" s="2"/>
      <c r="D59" s="244" t="str">
        <f>'CHICLETS MASTER S1'!$AR$3</f>
        <v>SONORA HS</v>
      </c>
      <c r="E59" s="200"/>
      <c r="F59" s="18" t="s">
        <v>1796</v>
      </c>
      <c r="I59" s="2"/>
      <c r="J59" s="2"/>
      <c r="K59" s="2"/>
      <c r="L59" s="2"/>
    </row>
    <row r="60" spans="1:15" ht="13.95" customHeight="1">
      <c r="A60" s="333" t="s">
        <v>110</v>
      </c>
      <c r="B60" s="333" t="s">
        <v>111</v>
      </c>
      <c r="C60" s="333" t="s">
        <v>112</v>
      </c>
      <c r="D60" s="333" t="s">
        <v>113</v>
      </c>
      <c r="E60" s="333" t="s">
        <v>114</v>
      </c>
      <c r="F60" s="333" t="s">
        <v>115</v>
      </c>
      <c r="G60" s="333" t="s">
        <v>116</v>
      </c>
      <c r="H60" s="333" t="s">
        <v>117</v>
      </c>
      <c r="I60" s="333" t="s">
        <v>116</v>
      </c>
      <c r="J60" s="333" t="s">
        <v>118</v>
      </c>
      <c r="K60" s="333" t="s">
        <v>119</v>
      </c>
      <c r="L60" s="333" t="s">
        <v>120</v>
      </c>
    </row>
    <row r="61" spans="1:15" ht="13.95" customHeight="1">
      <c r="A61" s="6">
        <f t="shared" ref="A61:A72" si="8">$A$4</f>
        <v>46221</v>
      </c>
      <c r="B61" s="21">
        <f>'CHICLETS MASTER S1'!AL4</f>
        <v>0.29166666666666669</v>
      </c>
      <c r="C61" s="8" t="s">
        <v>163</v>
      </c>
      <c r="D61" s="334" t="str">
        <f>$D$59</f>
        <v>SONORA HS</v>
      </c>
      <c r="E61" s="8">
        <v>11</v>
      </c>
      <c r="F61" s="54" t="str">
        <f>A13</f>
        <v>G1(7)-SANTA BARBARA WPC C</v>
      </c>
      <c r="G61" s="56"/>
      <c r="H61" s="54" t="str">
        <f>A15</f>
        <v>G3(31)-DART</v>
      </c>
      <c r="I61" s="54"/>
      <c r="J61" s="54"/>
      <c r="K61" s="54"/>
      <c r="L61" s="8" t="str">
        <f>IF(E61="","",$L$17&amp;"-"&amp;TEXT(E61,"000"))</f>
        <v>18GX-011</v>
      </c>
    </row>
    <row r="62" spans="1:15" ht="13.95" customHeight="1">
      <c r="A62" s="6">
        <f t="shared" si="8"/>
        <v>46221</v>
      </c>
      <c r="B62" s="21">
        <f>'CHICLETS MASTER S1'!AL5</f>
        <v>0.3263888888888889</v>
      </c>
      <c r="C62" s="8" t="s">
        <v>163</v>
      </c>
      <c r="D62" s="334" t="str">
        <f t="shared" ref="D62:D77" si="9">$D$59</f>
        <v>SONORA HS</v>
      </c>
      <c r="E62" s="8">
        <v>15</v>
      </c>
      <c r="F62" s="54" t="str">
        <f>B13</f>
        <v>H1(8)-COMMERCE</v>
      </c>
      <c r="G62" s="56"/>
      <c r="H62" s="54" t="str">
        <f>B15</f>
        <v>H3(32)-CHULA VISTA PREMIER</v>
      </c>
      <c r="I62" s="54"/>
      <c r="J62" s="54"/>
      <c r="K62" s="54"/>
      <c r="L62" s="8" t="str">
        <f>IF(E62="","",$L$17&amp;"-"&amp;TEXT(E62,"000"))</f>
        <v>18GX-015</v>
      </c>
    </row>
    <row r="63" spans="1:15" ht="13.95" customHeight="1">
      <c r="A63" s="6">
        <f t="shared" si="8"/>
        <v>46221</v>
      </c>
      <c r="B63" s="21">
        <f>'CHICLETS MASTER S1'!AL6</f>
        <v>0.36111111111111099</v>
      </c>
      <c r="C63" s="8" t="s">
        <v>163</v>
      </c>
      <c r="D63" s="334" t="str">
        <f t="shared" si="9"/>
        <v>SONORA HS</v>
      </c>
      <c r="E63" s="8">
        <v>3</v>
      </c>
      <c r="F63" s="8" t="str">
        <f>C13</f>
        <v>I1(9)-WCAC UNITED</v>
      </c>
      <c r="G63" s="13"/>
      <c r="H63" s="8" t="str">
        <f>C16</f>
        <v>I4(40)-ATWATER</v>
      </c>
      <c r="I63" s="8"/>
      <c r="J63" s="8">
        <v>27</v>
      </c>
      <c r="K63" s="8">
        <v>31</v>
      </c>
      <c r="L63" s="8" t="str">
        <f>IF(E63="","",$L$17&amp;"-"&amp;TEXT(E63,"000"))</f>
        <v>18GX-003</v>
      </c>
    </row>
    <row r="64" spans="1:15" ht="13.95" customHeight="1">
      <c r="A64" s="6">
        <f t="shared" si="8"/>
        <v>46221</v>
      </c>
      <c r="B64" s="21">
        <f>'CHICLETS MASTER S1'!AL7</f>
        <v>0.39583333333333398</v>
      </c>
      <c r="C64" s="8" t="s">
        <v>163</v>
      </c>
      <c r="D64" s="334" t="str">
        <f t="shared" si="9"/>
        <v>SONORA HS</v>
      </c>
      <c r="E64" s="8">
        <v>7</v>
      </c>
      <c r="F64" s="8" t="str">
        <f>C14</f>
        <v>I2(16)-BROOKLYN HUSTLE</v>
      </c>
      <c r="G64" s="53"/>
      <c r="H64" s="8" t="str">
        <f>C15</f>
        <v>I3(33)-BURLINGAME</v>
      </c>
      <c r="I64" s="53"/>
      <c r="J64" s="8">
        <v>27</v>
      </c>
      <c r="K64" s="8">
        <v>31</v>
      </c>
      <c r="L64" s="8" t="str">
        <f>IF(E64="","",$L$17&amp;"-"&amp;TEXT(E64,"000"))</f>
        <v>18GX-007</v>
      </c>
    </row>
    <row r="66" spans="1:12" ht="13.95" customHeight="1">
      <c r="A66" s="6">
        <f t="shared" si="8"/>
        <v>46221</v>
      </c>
      <c r="B66" s="21">
        <f>'CHICLETS MASTER S1'!AL9</f>
        <v>0.46527777777777801</v>
      </c>
      <c r="C66" s="8" t="s">
        <v>163</v>
      </c>
      <c r="D66" s="334" t="str">
        <f t="shared" si="9"/>
        <v>SONORA HS</v>
      </c>
      <c r="E66" s="8">
        <v>19</v>
      </c>
      <c r="F66" s="54" t="str">
        <f>A14</f>
        <v>G2(18)-A TOWN</v>
      </c>
      <c r="G66" s="56"/>
      <c r="H66" s="54" t="str">
        <f>A15</f>
        <v>G3(31)-DART</v>
      </c>
      <c r="I66" s="54"/>
      <c r="J66" s="54"/>
      <c r="K66" s="54"/>
      <c r="L66" s="8" t="str">
        <f>IF(E66="","",$L$17&amp;"-"&amp;TEXT(E66,"000"))</f>
        <v>18GX-019</v>
      </c>
    </row>
    <row r="67" spans="1:12" ht="13.95" customHeight="1">
      <c r="A67" s="6">
        <f t="shared" si="8"/>
        <v>46221</v>
      </c>
      <c r="B67" s="21">
        <f>'CHICLETS MASTER S1'!AL10</f>
        <v>0.5</v>
      </c>
      <c r="C67" s="8" t="s">
        <v>163</v>
      </c>
      <c r="D67" s="334" t="str">
        <f t="shared" si="9"/>
        <v>SONORA HS</v>
      </c>
      <c r="E67" s="8">
        <v>23</v>
      </c>
      <c r="F67" s="54" t="str">
        <f>B14</f>
        <v>H2(17)-WEST VALLEY</v>
      </c>
      <c r="G67" s="56"/>
      <c r="H67" s="54" t="str">
        <f>B15</f>
        <v>H3(32)-CHULA VISTA PREMIER</v>
      </c>
      <c r="I67" s="54"/>
      <c r="J67" s="54"/>
      <c r="K67" s="54"/>
      <c r="L67" s="8" t="str">
        <f>IF(E67="","",$L$17&amp;"-"&amp;TEXT(E67,"000"))</f>
        <v>18GX-023</v>
      </c>
    </row>
    <row r="68" spans="1:12" ht="13.95" customHeight="1">
      <c r="A68" s="6">
        <f t="shared" si="8"/>
        <v>46221</v>
      </c>
      <c r="B68" s="21">
        <f>'CHICLETS MASTER S1'!AL11</f>
        <v>0.53472222222222199</v>
      </c>
      <c r="C68" s="8" t="s">
        <v>163</v>
      </c>
      <c r="D68" s="334" t="str">
        <f t="shared" si="9"/>
        <v>SONORA HS</v>
      </c>
      <c r="E68" s="8">
        <v>27</v>
      </c>
      <c r="F68" s="8" t="str">
        <f>IF(G63="","W3",IF(G63&gt;I63,_xlfn.CONCAT("W3-",RIGHT(F63,LEN(F63) - FIND("-",F63))), _xlfn.CONCAT("W3-",RIGHT(H63,LEN(H63) - FIND("-",H63)))))</f>
        <v>W3</v>
      </c>
      <c r="G68" s="335"/>
      <c r="H68" s="8" t="str">
        <f>IF(G64="","W7",IF(G64&gt;I64,_xlfn.CONCAT("W7-",RIGHT(F64,LEN(F64) - FIND("-",F64))), _xlfn.CONCAT("W7-",RIGHT(H64,LEN(H64) - FIND("-",H64)))))</f>
        <v>W7</v>
      </c>
      <c r="I68" s="8"/>
      <c r="J68" s="8" t="s">
        <v>1618</v>
      </c>
      <c r="K68" s="8">
        <v>52</v>
      </c>
      <c r="L68" s="8" t="str">
        <f>IF(E68="","",$L$17&amp;"-"&amp;TEXT(E68,"000"))</f>
        <v>18GX-027</v>
      </c>
    </row>
    <row r="69" spans="1:12" ht="13.95" customHeight="1">
      <c r="A69" s="6">
        <f t="shared" si="8"/>
        <v>46221</v>
      </c>
      <c r="B69" s="21">
        <f>'CHICLETS MASTER S1'!AL12</f>
        <v>0.56944444444444497</v>
      </c>
      <c r="C69" s="8" t="s">
        <v>163</v>
      </c>
      <c r="D69" s="334" t="str">
        <f t="shared" si="9"/>
        <v>SONORA HS</v>
      </c>
      <c r="E69" s="8">
        <v>31</v>
      </c>
      <c r="F69" s="8" t="str">
        <f>IF(G63="","L3",IF(G63&lt;I63,_xlfn.CONCAT("L3-",RIGHT(F63,LEN(F63) - FIND("-",F63))), _xlfn.CONCAT("L3-",RIGHT(H63,LEN(H63) - FIND("-",H63)))))</f>
        <v>L3</v>
      </c>
      <c r="G69" s="335"/>
      <c r="H69" s="8" t="str">
        <f>IF(G64="","L7",IF(G64&lt;I64,_xlfn.CONCAT("L7-",RIGHT(F64,LEN(F64) - FIND("-",F64))), _xlfn.CONCAT("L7-",RIGHT(H64,LEN(H64) - FIND("-",H64)))))</f>
        <v>L7</v>
      </c>
      <c r="I69" s="8"/>
      <c r="J69" s="8">
        <v>51</v>
      </c>
      <c r="K69" s="8" t="s">
        <v>1797</v>
      </c>
      <c r="L69" s="8" t="str">
        <f>IF(E69="","",$L$17&amp;"-"&amp;TEXT(E69,"000"))</f>
        <v>18GX-031</v>
      </c>
    </row>
    <row r="70" spans="1:12" ht="13.95" customHeight="1">
      <c r="B70" s="21"/>
    </row>
    <row r="71" spans="1:12" ht="13.95" customHeight="1">
      <c r="A71" s="6">
        <f t="shared" si="8"/>
        <v>46221</v>
      </c>
      <c r="B71" s="21">
        <f>'CHICLETS MASTER S1'!AL14</f>
        <v>0.63888888888888895</v>
      </c>
      <c r="C71" s="8" t="s">
        <v>163</v>
      </c>
      <c r="D71" s="334" t="str">
        <f t="shared" si="9"/>
        <v>SONORA HS</v>
      </c>
      <c r="E71" s="8">
        <v>35</v>
      </c>
      <c r="F71" s="54" t="str">
        <f>A13</f>
        <v>G1(7)-SANTA BARBARA WPC C</v>
      </c>
      <c r="G71" s="290"/>
      <c r="H71" s="54" t="str">
        <f>A14</f>
        <v>G2(18)-A TOWN</v>
      </c>
      <c r="I71" s="54"/>
      <c r="J71" s="54"/>
      <c r="K71" s="54"/>
      <c r="L71" s="8" t="str">
        <f>IF(E71="","",$L$17&amp;"-"&amp;TEXT(E71,"000"))</f>
        <v>18GX-035</v>
      </c>
    </row>
    <row r="72" spans="1:12" ht="13.95" customHeight="1">
      <c r="A72" s="6">
        <f t="shared" si="8"/>
        <v>46221</v>
      </c>
      <c r="B72" s="21">
        <f>'CHICLETS MASTER S1'!AL15</f>
        <v>0.67361111111111105</v>
      </c>
      <c r="C72" s="8" t="s">
        <v>163</v>
      </c>
      <c r="D72" s="334" t="str">
        <f t="shared" si="9"/>
        <v>SONORA HS</v>
      </c>
      <c r="E72" s="8">
        <v>39</v>
      </c>
      <c r="F72" s="54" t="str">
        <f>B13</f>
        <v>H1(8)-COMMERCE</v>
      </c>
      <c r="G72" s="290"/>
      <c r="H72" s="54" t="str">
        <f>B14</f>
        <v>H2(17)-WEST VALLEY</v>
      </c>
      <c r="I72" s="54"/>
      <c r="J72" s="54"/>
      <c r="K72" s="54"/>
      <c r="L72" s="8" t="str">
        <f>IF(E72="","",$L$17&amp;"-"&amp;TEXT(E72,"000"))</f>
        <v>18GX-039</v>
      </c>
    </row>
    <row r="73" spans="1:12" s="2" customFormat="1" ht="13.95" customHeight="1">
      <c r="C73" s="18"/>
    </row>
    <row r="74" spans="1:12" s="2" customFormat="1" ht="13.95" customHeight="1">
      <c r="C74" s="18"/>
    </row>
    <row r="75" spans="1:12" ht="13.95" customHeight="1">
      <c r="A75" s="6">
        <f t="shared" ref="A75:A77" si="10">$A$4</f>
        <v>46221</v>
      </c>
      <c r="B75" s="21">
        <f>'CHICLETS MASTER S1'!AL18</f>
        <v>0.77777777777777801</v>
      </c>
      <c r="C75" s="8" t="s">
        <v>275</v>
      </c>
      <c r="D75" s="334" t="str">
        <f t="shared" si="9"/>
        <v>SONORA HS</v>
      </c>
      <c r="E75" s="8">
        <v>51</v>
      </c>
      <c r="F75" s="52" t="str">
        <f>IF(G87="","L28-2ndJ",IF(G87&lt;I87,_xlfn.CONCAT("L28-2ndJ-",RIGHT(F87,LEN(F87) - FIND("-",F87))), _xlfn.CONCAT("L28-2ndJ-",RIGHT(H87,LEN(H87) - FIND("-",H87)))))</f>
        <v>L28-2ndJ</v>
      </c>
      <c r="G75" s="335"/>
      <c r="H75" s="8" t="str">
        <f>IF(G69="","W31-3rdI",IF(G69&gt;I69,_xlfn.CONCAT("W31-3rdI-",RIGHT(F69,LEN(F69) - FIND("-",F69))), _xlfn.CONCAT("W31-3rdI-",RIGHT(H69,LEN(H69) - FIND("-",H69)))))</f>
        <v>W31-3rdI</v>
      </c>
      <c r="I75" s="8"/>
      <c r="J75" s="8" t="s">
        <v>1454</v>
      </c>
      <c r="K75" s="8" t="s">
        <v>1455</v>
      </c>
      <c r="L75" s="8" t="str">
        <f>IF(E75="","",$L$17&amp;"-"&amp;TEXT(E75,"000"))</f>
        <v>18GX-051</v>
      </c>
    </row>
    <row r="76" spans="1:12" ht="13.95" customHeight="1">
      <c r="A76" s="6">
        <f t="shared" si="10"/>
        <v>46221</v>
      </c>
      <c r="B76" s="21">
        <f>'CHICLETS MASTER S1'!AL19</f>
        <v>0.8125</v>
      </c>
      <c r="C76" s="8" t="s">
        <v>275</v>
      </c>
      <c r="D76" s="334" t="str">
        <f t="shared" si="9"/>
        <v>SONORA HS</v>
      </c>
      <c r="E76" s="8">
        <v>55</v>
      </c>
      <c r="F76" s="8" t="s">
        <v>1798</v>
      </c>
      <c r="G76" s="335"/>
      <c r="H76" s="8" t="s">
        <v>1799</v>
      </c>
      <c r="I76" s="8"/>
      <c r="J76" s="8" t="s">
        <v>1450</v>
      </c>
      <c r="K76" s="8" t="s">
        <v>1451</v>
      </c>
      <c r="L76" s="8" t="str">
        <f>IF(E76="","",$L$17&amp;"-"&amp;TEXT(E76,"000"))</f>
        <v>18GX-055</v>
      </c>
    </row>
    <row r="77" spans="1:12" ht="13.95" customHeight="1">
      <c r="A77" s="6">
        <f t="shared" si="10"/>
        <v>46221</v>
      </c>
      <c r="B77" s="21">
        <f>'CHICLETS MASTER S1'!AL20</f>
        <v>0.84722222222222199</v>
      </c>
      <c r="C77" s="8" t="s">
        <v>275</v>
      </c>
      <c r="D77" s="334" t="str">
        <f t="shared" si="9"/>
        <v>SONORA HS</v>
      </c>
      <c r="E77" s="8">
        <v>59</v>
      </c>
      <c r="F77" s="8" t="s">
        <v>1800</v>
      </c>
      <c r="G77" s="335"/>
      <c r="H77" s="8" t="s">
        <v>1801</v>
      </c>
      <c r="I77" s="8"/>
      <c r="J77" s="8" t="s">
        <v>1457</v>
      </c>
      <c r="K77" s="8" t="s">
        <v>1458</v>
      </c>
      <c r="L77" s="8" t="str">
        <f>IF(E77="","",$L$17&amp;"-"&amp;TEXT(E77,"000"))</f>
        <v>18GX-059</v>
      </c>
    </row>
    <row r="78" spans="1:12" ht="13.95" customHeight="1" thickBot="1">
      <c r="A78" s="23"/>
      <c r="B78" s="27"/>
      <c r="C78" s="2"/>
      <c r="D78" s="2"/>
      <c r="E78" s="2"/>
      <c r="I78" s="2"/>
      <c r="J78" s="2"/>
      <c r="K78" s="2"/>
      <c r="L78" s="2"/>
    </row>
    <row r="79" spans="1:12" ht="13.95" customHeight="1" thickBot="1">
      <c r="A79" s="2"/>
      <c r="B79" s="2"/>
      <c r="C79" s="2"/>
      <c r="D79" s="244" t="str">
        <f>'CHICLETS MASTER S1'!$AP$3</f>
        <v>FULLERTON HS</v>
      </c>
      <c r="F79" s="18" t="s">
        <v>1802</v>
      </c>
      <c r="I79" s="2"/>
      <c r="J79" s="2"/>
      <c r="K79" s="2"/>
      <c r="L79" s="2"/>
    </row>
    <row r="80" spans="1:12" ht="13.95" customHeight="1">
      <c r="A80" s="333" t="s">
        <v>110</v>
      </c>
      <c r="B80" s="333" t="s">
        <v>111</v>
      </c>
      <c r="C80" s="333" t="s">
        <v>112</v>
      </c>
      <c r="D80" s="333" t="s">
        <v>113</v>
      </c>
      <c r="E80" s="333" t="s">
        <v>114</v>
      </c>
      <c r="F80" s="333" t="s">
        <v>115</v>
      </c>
      <c r="G80" s="333" t="s">
        <v>116</v>
      </c>
      <c r="H80" s="333" t="s">
        <v>117</v>
      </c>
      <c r="I80" s="333" t="s">
        <v>116</v>
      </c>
      <c r="J80" s="333" t="s">
        <v>118</v>
      </c>
      <c r="K80" s="333" t="s">
        <v>119</v>
      </c>
      <c r="L80" s="333" t="s">
        <v>120</v>
      </c>
    </row>
    <row r="81" spans="1:12" ht="13.95" customHeight="1">
      <c r="A81" s="6">
        <f t="shared" ref="A81:A92" si="11">$A$4</f>
        <v>46221</v>
      </c>
      <c r="B81" s="21">
        <f>'CHICLETS MASTER S1'!AL4</f>
        <v>0.29166666666666669</v>
      </c>
      <c r="C81" s="8" t="s">
        <v>163</v>
      </c>
      <c r="D81" s="15" t="str">
        <f>$D$79</f>
        <v>FULLERTON HS</v>
      </c>
      <c r="E81" s="8">
        <v>4</v>
      </c>
      <c r="F81" s="8" t="str">
        <f>D13</f>
        <v>J1(10)-SOCAL GOLD</v>
      </c>
      <c r="G81" s="13"/>
      <c r="H81" s="8" t="str">
        <f>D16</f>
        <v>J4(39)-WILDKIT</v>
      </c>
      <c r="I81" s="8"/>
      <c r="J81" s="8">
        <v>28</v>
      </c>
      <c r="K81" s="8">
        <v>32</v>
      </c>
      <c r="L81" s="8" t="str">
        <f t="shared" ref="L81:L92" si="12">IF(E81="","",$L$17&amp;"-"&amp;TEXT(E81,"000"))</f>
        <v>18GX-004</v>
      </c>
    </row>
    <row r="82" spans="1:12" ht="13.95" customHeight="1">
      <c r="A82" s="6">
        <f t="shared" si="11"/>
        <v>46221</v>
      </c>
      <c r="B82" s="21">
        <f>'CHICLETS MASTER S1'!AL5</f>
        <v>0.3263888888888889</v>
      </c>
      <c r="C82" s="8" t="s">
        <v>163</v>
      </c>
      <c r="D82" s="15" t="str">
        <f t="shared" ref="D82:D97" si="13">$D$79</f>
        <v>FULLERTON HS</v>
      </c>
      <c r="E82" s="8">
        <v>8</v>
      </c>
      <c r="F82" s="8" t="str">
        <f>D14</f>
        <v>J2(15)-SAN JOSE ALMADEN</v>
      </c>
      <c r="G82" s="13"/>
      <c r="H82" s="8" t="str">
        <f>D15</f>
        <v>J3(34)-MAVERICKS</v>
      </c>
      <c r="I82" s="8"/>
      <c r="J82" s="8">
        <v>28</v>
      </c>
      <c r="K82" s="8">
        <v>32</v>
      </c>
      <c r="L82" s="8" t="str">
        <f t="shared" si="12"/>
        <v>18GX-008</v>
      </c>
    </row>
    <row r="83" spans="1:12" ht="13.95" customHeight="1">
      <c r="A83" s="6">
        <f t="shared" si="11"/>
        <v>46221</v>
      </c>
      <c r="B83" s="21">
        <f>'CHICLETS MASTER S1'!AL6</f>
        <v>0.36111111111111099</v>
      </c>
      <c r="C83" s="8" t="s">
        <v>163</v>
      </c>
      <c r="D83" s="15" t="str">
        <f t="shared" si="13"/>
        <v>FULLERTON HS</v>
      </c>
      <c r="E83" s="8">
        <v>12</v>
      </c>
      <c r="F83" s="8" t="str">
        <f>E13</f>
        <v>K1(11)-AMERICAN RIVER</v>
      </c>
      <c r="G83" s="13"/>
      <c r="H83" s="8" t="str">
        <f>E16</f>
        <v>K4(38)-LONGHORN</v>
      </c>
      <c r="I83" s="8"/>
      <c r="J83" s="8">
        <v>36</v>
      </c>
      <c r="K83" s="8">
        <v>40</v>
      </c>
      <c r="L83" s="8" t="str">
        <f t="shared" si="12"/>
        <v>18GX-012</v>
      </c>
    </row>
    <row r="84" spans="1:12" ht="13.95" customHeight="1">
      <c r="A84" s="6">
        <f t="shared" si="11"/>
        <v>46221</v>
      </c>
      <c r="B84" s="21">
        <f>'CHICLETS MASTER S1'!AL7</f>
        <v>0.39583333333333398</v>
      </c>
      <c r="C84" s="8" t="s">
        <v>163</v>
      </c>
      <c r="D84" s="15" t="str">
        <f t="shared" si="13"/>
        <v>FULLERTON HS</v>
      </c>
      <c r="E84" s="8">
        <v>16</v>
      </c>
      <c r="F84" s="8" t="str">
        <f>E14</f>
        <v>K2(14)-LA VERNE LEGENDS</v>
      </c>
      <c r="G84" s="13"/>
      <c r="H84" s="8" t="str">
        <f>E15</f>
        <v>K3(35)-NWC</v>
      </c>
      <c r="I84" s="8"/>
      <c r="J84" s="8">
        <v>36</v>
      </c>
      <c r="K84" s="8">
        <v>40</v>
      </c>
      <c r="L84" s="8" t="str">
        <f t="shared" si="12"/>
        <v>18GX-016</v>
      </c>
    </row>
    <row r="85" spans="1:12" ht="13.95" customHeight="1">
      <c r="A85" s="6">
        <f t="shared" si="11"/>
        <v>46221</v>
      </c>
      <c r="B85" s="21">
        <f>'CHICLETS MASTER S1'!AL8</f>
        <v>0.43055555555555602</v>
      </c>
      <c r="C85" s="8" t="s">
        <v>163</v>
      </c>
      <c r="D85" s="15" t="str">
        <f t="shared" si="13"/>
        <v>FULLERTON HS</v>
      </c>
      <c r="E85" s="8">
        <v>20</v>
      </c>
      <c r="F85" s="8" t="str">
        <f>F13</f>
        <v>L1(12)-MID VALLEY WHITE</v>
      </c>
      <c r="G85" s="13"/>
      <c r="H85" s="8" t="str">
        <f>F16</f>
        <v>L4(37)-HILO HAMMAHZ</v>
      </c>
      <c r="I85" s="8"/>
      <c r="J85" s="8">
        <v>44</v>
      </c>
      <c r="K85" s="8">
        <v>48</v>
      </c>
      <c r="L85" s="8" t="str">
        <f t="shared" si="12"/>
        <v>18GX-020</v>
      </c>
    </row>
    <row r="86" spans="1:12" ht="13.95" customHeight="1">
      <c r="A86" s="6">
        <f t="shared" si="11"/>
        <v>46221</v>
      </c>
      <c r="B86" s="21">
        <f>'CHICLETS MASTER S1'!AL9</f>
        <v>0.46527777777777801</v>
      </c>
      <c r="C86" s="8" t="s">
        <v>163</v>
      </c>
      <c r="D86" s="15" t="str">
        <f t="shared" si="13"/>
        <v>FULLERTON HS</v>
      </c>
      <c r="E86" s="8">
        <v>24</v>
      </c>
      <c r="F86" s="8" t="str">
        <f>F14</f>
        <v>L2(13)-PRAETORIAN</v>
      </c>
      <c r="G86" s="13"/>
      <c r="H86" s="8" t="str">
        <f>F15</f>
        <v>L3(36)-KEARNS</v>
      </c>
      <c r="I86" s="8"/>
      <c r="J86" s="8">
        <v>44</v>
      </c>
      <c r="K86" s="8">
        <v>48</v>
      </c>
      <c r="L86" s="8" t="str">
        <f t="shared" si="12"/>
        <v>18GX-024</v>
      </c>
    </row>
    <row r="87" spans="1:12" ht="13.95" customHeight="1">
      <c r="A87" s="6">
        <f t="shared" si="11"/>
        <v>46221</v>
      </c>
      <c r="B87" s="21">
        <f>'CHICLETS MASTER S1'!AL10</f>
        <v>0.5</v>
      </c>
      <c r="C87" s="8" t="s">
        <v>163</v>
      </c>
      <c r="D87" s="15" t="str">
        <f t="shared" si="13"/>
        <v>FULLERTON HS</v>
      </c>
      <c r="E87" s="8">
        <v>28</v>
      </c>
      <c r="F87" s="8" t="str">
        <f>IF(G81="","W4",IF(G81&gt;I81,_xlfn.CONCAT("W4-",RIGHT(F81,LEN(F81) - FIND("-",F81))), _xlfn.CONCAT("W4-",RIGHT(H81,LEN(H81) - FIND("-",H81)))))</f>
        <v>W4</v>
      </c>
      <c r="G87" s="335"/>
      <c r="H87" s="8" t="str">
        <f>IF(G82="","W8",IF(G82&gt;I82,_xlfn.CONCAT("W8-",RIGHT(F82,LEN(F82) - FIND("-",F82))), _xlfn.CONCAT("W8-",RIGHT(H82,LEN(H82) - FIND("-",H82)))))</f>
        <v>W8</v>
      </c>
      <c r="I87" s="8"/>
      <c r="J87" s="8" t="s">
        <v>1611</v>
      </c>
      <c r="K87" s="8">
        <v>51</v>
      </c>
      <c r="L87" s="8" t="str">
        <f t="shared" si="12"/>
        <v>18GX-028</v>
      </c>
    </row>
    <row r="88" spans="1:12" ht="13.95" customHeight="1">
      <c r="A88" s="6">
        <f t="shared" si="11"/>
        <v>46221</v>
      </c>
      <c r="B88" s="21">
        <f>'CHICLETS MASTER S1'!AL11</f>
        <v>0.53472222222222199</v>
      </c>
      <c r="C88" s="8" t="s">
        <v>163</v>
      </c>
      <c r="D88" s="15" t="str">
        <f t="shared" si="13"/>
        <v>FULLERTON HS</v>
      </c>
      <c r="E88" s="8">
        <v>32</v>
      </c>
      <c r="F88" s="8" t="str">
        <f>IF(G81="","L4",IF(G81&lt;I81,_xlfn.CONCAT("L4-",RIGHT(F81,LEN(F81) - FIND("-",F81))), _xlfn.CONCAT("L4-",RIGHT(H81,LEN(H81) - FIND("-",H81)))))</f>
        <v>L4</v>
      </c>
      <c r="G88" s="335"/>
      <c r="H88" s="8" t="str">
        <f>IF(G82="","L8",IF(G82&lt;I82,_xlfn.CONCAT("L8-",RIGHT(F82,LEN(F82) - FIND("-",F82))), _xlfn.CONCAT("L8-",RIGHT(H82,LEN(H82) - FIND("-",H82)))))</f>
        <v>L8</v>
      </c>
      <c r="I88" s="8"/>
      <c r="J88" s="8">
        <v>52</v>
      </c>
      <c r="K88" s="8" t="s">
        <v>1612</v>
      </c>
      <c r="L88" s="8" t="str">
        <f t="shared" si="12"/>
        <v>18GX-032</v>
      </c>
    </row>
    <row r="89" spans="1:12" ht="13.95" customHeight="1">
      <c r="A89" s="6">
        <f t="shared" si="11"/>
        <v>46221</v>
      </c>
      <c r="B89" s="21">
        <f>'CHICLETS MASTER S1'!AL12</f>
        <v>0.56944444444444497</v>
      </c>
      <c r="C89" s="8" t="s">
        <v>163</v>
      </c>
      <c r="D89" s="15" t="str">
        <f t="shared" si="13"/>
        <v>FULLERTON HS</v>
      </c>
      <c r="E89" s="8">
        <v>36</v>
      </c>
      <c r="F89" s="8" t="str">
        <f>IF(G83="","W12",IF(G83&gt;I83,_xlfn.CONCAT("W12-",RIGHT(F83,LEN(F83) - FIND("-",F83))), _xlfn.CONCAT("W12-",RIGHT(H83,LEN(H83) - FIND("-",H83)))))</f>
        <v>W12</v>
      </c>
      <c r="G89" s="335"/>
      <c r="H89" s="8" t="str">
        <f>IF(G84="","W16",IF(G84&gt;I84,_xlfn.CONCAT("W16-",RIGHT(F84,LEN(F84) - FIND("-",F84))), _xlfn.CONCAT("W16-",RIGHT(H84,LEN(H84) - FIND("-",H84)))))</f>
        <v>W16</v>
      </c>
      <c r="I89" s="8"/>
      <c r="J89" s="8" t="s">
        <v>1613</v>
      </c>
      <c r="K89" s="8">
        <v>60</v>
      </c>
      <c r="L89" s="8" t="str">
        <f t="shared" si="12"/>
        <v>18GX-036</v>
      </c>
    </row>
    <row r="90" spans="1:12" ht="13.95" customHeight="1">
      <c r="A90" s="6">
        <f t="shared" si="11"/>
        <v>46221</v>
      </c>
      <c r="B90" s="21">
        <f>'CHICLETS MASTER S1'!AL13</f>
        <v>0.60416666666666696</v>
      </c>
      <c r="C90" s="8" t="s">
        <v>163</v>
      </c>
      <c r="D90" s="15" t="str">
        <f t="shared" si="13"/>
        <v>FULLERTON HS</v>
      </c>
      <c r="E90" s="8">
        <v>40</v>
      </c>
      <c r="F90" s="8" t="str">
        <f>IF(G83="","L12",IF(G83&lt;I83,_xlfn.CONCAT("L12-",RIGHT(F83,LEN(F83) - FIND("-",F83))), _xlfn.CONCAT("L12-",RIGHT(H83,LEN(H83) - FIND("-",H83)))))</f>
        <v>L12</v>
      </c>
      <c r="G90" s="335"/>
      <c r="H90" s="8" t="str">
        <f>IF(G84="","L16",IF(G84&lt;I84,_xlfn.CONCAT("L16-",RIGHT(F84,LEN(F84) - FIND("-",F84))), _xlfn.CONCAT("L16-",RIGHT(H84,LEN(H84) - FIND("-",H84)))))</f>
        <v>L16</v>
      </c>
      <c r="I90" s="8"/>
      <c r="J90" s="8">
        <v>56</v>
      </c>
      <c r="K90" s="8" t="s">
        <v>1615</v>
      </c>
      <c r="L90" s="8" t="str">
        <f t="shared" si="12"/>
        <v>18GX-040</v>
      </c>
    </row>
    <row r="91" spans="1:12" ht="13.95" customHeight="1">
      <c r="A91" s="6">
        <f t="shared" si="11"/>
        <v>46221</v>
      </c>
      <c r="B91" s="21">
        <f>'CHICLETS MASTER S1'!AL14</f>
        <v>0.63888888888888895</v>
      </c>
      <c r="C91" s="8" t="s">
        <v>163</v>
      </c>
      <c r="D91" s="15" t="str">
        <f t="shared" si="13"/>
        <v>FULLERTON HS</v>
      </c>
      <c r="E91" s="8">
        <v>44</v>
      </c>
      <c r="F91" s="8" t="str">
        <f>IF(G85="","W20",IF(G85&gt;I85,_xlfn.CONCAT("W20-",RIGHT(F85,LEN(F85) - FIND("-",F85))), _xlfn.CONCAT("W20-",RIGHT(H85,LEN(H85) - FIND("-",H85)))))</f>
        <v>W20</v>
      </c>
      <c r="G91" s="335"/>
      <c r="H91" s="8" t="str">
        <f>IF(G86="","W24",IF(G86&gt;I86,_xlfn.CONCAT("W24-",RIGHT(F86,LEN(F86) - FIND("-",F86))), _xlfn.CONCAT("W24-",RIGHT(H86,LEN(H86) - FIND("-",H86)))))</f>
        <v>W24</v>
      </c>
      <c r="I91" s="8"/>
      <c r="J91" s="8" t="s">
        <v>1459</v>
      </c>
      <c r="K91" s="8">
        <v>56</v>
      </c>
      <c r="L91" s="8" t="str">
        <f t="shared" si="12"/>
        <v>18GX-044</v>
      </c>
    </row>
    <row r="92" spans="1:12" ht="13.95" customHeight="1">
      <c r="A92" s="6">
        <f t="shared" si="11"/>
        <v>46221</v>
      </c>
      <c r="B92" s="21">
        <f>'CHICLETS MASTER S1'!AL15</f>
        <v>0.67361111111111105</v>
      </c>
      <c r="C92" s="8" t="s">
        <v>163</v>
      </c>
      <c r="D92" s="15" t="str">
        <f t="shared" si="13"/>
        <v>FULLERTON HS</v>
      </c>
      <c r="E92" s="8">
        <v>48</v>
      </c>
      <c r="F92" s="8" t="str">
        <f>IF(G85="","L20",IF(G85&lt;I85,_xlfn.CONCAT("L20-",RIGHT(F85,LEN(F85) - FIND("-",F85))), _xlfn.CONCAT("L20-",RIGHT(H85,LEN(H85) - FIND("-",H85)))))</f>
        <v>L20</v>
      </c>
      <c r="G92" s="335"/>
      <c r="H92" s="8" t="str">
        <f>IF(G86="","L24",IF(G86&lt;I86,_xlfn.CONCAT("L24-",RIGHT(F86,LEN(F86) - FIND("-",F86))), _xlfn.CONCAT("L24-",RIGHT(H86,LEN(H86) - FIND("-",H86)))))</f>
        <v>L24</v>
      </c>
      <c r="I92" s="8"/>
      <c r="J92" s="8">
        <v>60</v>
      </c>
      <c r="K92" s="8" t="s">
        <v>1616</v>
      </c>
      <c r="L92" s="8" t="str">
        <f t="shared" si="12"/>
        <v>18GX-048</v>
      </c>
    </row>
    <row r="93" spans="1:12" s="2" customFormat="1" ht="13.95" customHeight="1">
      <c r="C93" s="18"/>
    </row>
    <row r="94" spans="1:12" s="2" customFormat="1" ht="13.95" customHeight="1">
      <c r="C94" s="18"/>
    </row>
    <row r="95" spans="1:12" ht="13.95" customHeight="1">
      <c r="A95" s="6">
        <f t="shared" ref="A95:A97" si="14">$A$4</f>
        <v>46221</v>
      </c>
      <c r="B95" s="21">
        <f>'CHICLETS MASTER S1'!AL18</f>
        <v>0.77777777777777801</v>
      </c>
      <c r="C95" s="8" t="s">
        <v>275</v>
      </c>
      <c r="D95" s="15" t="str">
        <f t="shared" si="13"/>
        <v>FULLERTON HS</v>
      </c>
      <c r="E95" s="8">
        <v>52</v>
      </c>
      <c r="F95" s="52" t="str">
        <f>IF(G68="","L27-2ndI",IF(G68&lt;I68,_xlfn.CONCAT("L27-2ndI-",RIGHT(F68,LEN(F68) - FIND("-",F68))), _xlfn.CONCAT("L27-2ndI-",RIGHT(H68,LEN(H68) - FIND("-",H68)))))</f>
        <v>L27-2ndI</v>
      </c>
      <c r="G95" s="335"/>
      <c r="H95" s="8" t="str">
        <f>IF(G88="","W32-3rdJ",IF(G88&gt;I88,_xlfn.CONCAT("W32-3rdJ-",RIGHT(F88,LEN(F88) - FIND("-",F88))), _xlfn.CONCAT("W32-3rdJ-",RIGHT(H88,LEN(H88) - FIND("-",H88)))))</f>
        <v>W32-3rdJ</v>
      </c>
      <c r="I95" s="8"/>
      <c r="J95" s="8" t="s">
        <v>1466</v>
      </c>
      <c r="K95" s="8" t="s">
        <v>1463</v>
      </c>
      <c r="L95" s="8" t="str">
        <f>IF(E95="","",$L$17&amp;"-"&amp;TEXT(E95,"000"))</f>
        <v>18GX-052</v>
      </c>
    </row>
    <row r="96" spans="1:12" ht="13.95" customHeight="1">
      <c r="A96" s="6">
        <f t="shared" si="14"/>
        <v>46221</v>
      </c>
      <c r="B96" s="21">
        <f>'CHICLETS MASTER S1'!AL19</f>
        <v>0.8125</v>
      </c>
      <c r="C96" s="8" t="s">
        <v>275</v>
      </c>
      <c r="D96" s="15" t="str">
        <f t="shared" si="13"/>
        <v>FULLERTON HS</v>
      </c>
      <c r="E96" s="8">
        <v>56</v>
      </c>
      <c r="F96" s="291" t="str">
        <f>IF(G91="","L44-2ndL",IF(G91&lt;I91,_xlfn.CONCAT("L44-2ndL-",RIGHT(F91,LEN(F91) - FIND("-",F91))), _xlfn.CONCAT("L44-2ndL-",RIGHT(H91,LEN(H91) - FIND("-",H91)))))</f>
        <v>L44-2ndL</v>
      </c>
      <c r="G96" s="335"/>
      <c r="H96" s="8" t="str">
        <f>IF(G90="","W40-3rdK",IF(G90&gt;I90,_xlfn.CONCAT("W40-3rdK-",RIGHT(F90,LEN(F90) - FIND("-",F90))), _xlfn.CONCAT("W40-3rdK-",RIGHT(H90,LEN(H90) - FIND("-",H90)))))</f>
        <v>W40-3rdK</v>
      </c>
      <c r="I96" s="8"/>
      <c r="J96" s="8" t="s">
        <v>1462</v>
      </c>
      <c r="K96" s="8" t="s">
        <v>1460</v>
      </c>
      <c r="L96" s="8" t="str">
        <f>IF(E96="","",$L$17&amp;"-"&amp;TEXT(E96,"000"))</f>
        <v>18GX-056</v>
      </c>
    </row>
    <row r="97" spans="1:12" ht="13.95" customHeight="1">
      <c r="A97" s="6">
        <f t="shared" si="14"/>
        <v>46221</v>
      </c>
      <c r="B97" s="21">
        <f>'CHICLETS MASTER S1'!AL20</f>
        <v>0.84722222222222199</v>
      </c>
      <c r="C97" s="8" t="s">
        <v>275</v>
      </c>
      <c r="D97" s="15" t="str">
        <f t="shared" si="13"/>
        <v>FULLERTON HS</v>
      </c>
      <c r="E97" s="8">
        <v>60</v>
      </c>
      <c r="F97" s="291" t="str">
        <f>IF(G89="","L36-2ndK",IF(G89&lt;I89,_xlfn.CONCAT("L36-2ndK-",RIGHT(F89,LEN(F89) - FIND("-",F89))), _xlfn.CONCAT("L36-2ndK-",RIGHT(H89,LEN(H89) - FIND("-",H89)))))</f>
        <v>L36-2ndK</v>
      </c>
      <c r="G97" s="335"/>
      <c r="H97" s="8" t="str">
        <f>IF(G92="","W48-3rdL",IF(G92&gt;I92,_xlfn.CONCAT("W48-3rdL-",RIGHT(F92,LEN(F92) - FIND("-",F92))), _xlfn.CONCAT("W48-3rdL-",RIGHT(H92,LEN(H92) - FIND("-",H92)))))</f>
        <v>W48-3rdL</v>
      </c>
      <c r="I97" s="8"/>
      <c r="J97" s="8" t="s">
        <v>1469</v>
      </c>
      <c r="K97" s="8" t="s">
        <v>1470</v>
      </c>
      <c r="L97" s="8" t="str">
        <f>IF(E97="","",$L$17&amp;"-"&amp;TEXT(E97,"000"))</f>
        <v>18GX-060</v>
      </c>
    </row>
    <row r="98" spans="1:12" s="2" customFormat="1" ht="13.95" customHeight="1">
      <c r="B98" s="18"/>
      <c r="C98" s="18"/>
    </row>
    <row r="99" spans="1:12" ht="13.95" customHeight="1" thickBot="1"/>
    <row r="100" spans="1:12" ht="13.95" customHeight="1" thickTop="1" thickBot="1">
      <c r="A100" s="244" t="s">
        <v>326</v>
      </c>
      <c r="B100" s="292"/>
      <c r="C100" s="292"/>
      <c r="D100" s="292"/>
      <c r="E100" s="292"/>
      <c r="F100" s="292"/>
      <c r="G100" s="293"/>
      <c r="H100" s="292"/>
      <c r="I100" s="292"/>
      <c r="J100" s="292"/>
      <c r="K100" s="292"/>
      <c r="L100" s="292"/>
    </row>
    <row r="101" spans="1:12" s="2" customFormat="1" ht="13.95" customHeight="1">
      <c r="A101" s="3">
        <v>46222</v>
      </c>
    </row>
    <row r="102" spans="1:12" ht="13.95" customHeight="1">
      <c r="B102" s="294" t="s">
        <v>148</v>
      </c>
      <c r="C102" s="2"/>
      <c r="D102" s="2"/>
      <c r="E102" s="2"/>
    </row>
    <row r="103" spans="1:12" ht="13.95" customHeight="1">
      <c r="A103" s="2" t="s">
        <v>1803</v>
      </c>
      <c r="B103" s="17" t="s">
        <v>1494</v>
      </c>
      <c r="C103" s="17" t="s">
        <v>1495</v>
      </c>
      <c r="D103" s="17" t="s">
        <v>1496</v>
      </c>
      <c r="E103" s="17" t="s">
        <v>1497</v>
      </c>
    </row>
    <row r="104" spans="1:12" ht="13.95" customHeight="1">
      <c r="A104" s="2">
        <v>1</v>
      </c>
      <c r="B104" s="295" t="s">
        <v>1051</v>
      </c>
      <c r="C104" s="295" t="s">
        <v>493</v>
      </c>
      <c r="D104" s="295" t="str">
        <f>IF(G27="","W25-1stC",IF(G27&gt;I27,_xlfn.CONCAT("W25-1stC-",RIGHT(F27,LEN(F27) - FIND("-",F27))), _xlfn.CONCAT("W25-1stC-",RIGHT(H27,LEN(H27) - FIND("-",H27)))))</f>
        <v>W25-1stC</v>
      </c>
      <c r="E104" s="295" t="str">
        <f>IF(G46="","W26-1stD",IF(G46&gt;I46,_xlfn.CONCAT("W26-1stD-",RIGHT(F46,LEN(F46) - FIND("-",F46))), _xlfn.CONCAT("W26-1stD-",RIGHT(H46,LEN(H46) - FIND("-",H46)))))</f>
        <v>W26-1stD</v>
      </c>
    </row>
    <row r="105" spans="1:12" ht="13.95" customHeight="1">
      <c r="A105" s="2">
        <v>2</v>
      </c>
      <c r="B105" s="295" t="s">
        <v>1062</v>
      </c>
      <c r="C105" s="295" t="s">
        <v>1061</v>
      </c>
      <c r="D105" s="295" t="str">
        <f>IF(G50="","W42-1stF",IF(G50&gt;I50,_xlfn.CONCAT("W42-1stF-",RIGHT(F50,LEN(F50) - FIND("-",F50))), _xlfn.CONCAT("W42-1stF-",RIGHT(H50,LEN(H50) - FIND("-",H50)))))</f>
        <v>W42-1stF</v>
      </c>
      <c r="E105" s="296" t="str">
        <f>IF(G48="","W34-1stE",IF(G48&gt;I48,_xlfn.CONCAT("W34-1stE-",RIGHT(F48,LEN(F48) - FIND("-",F48))), _xlfn.CONCAT("W34-1stE-",RIGHT(H48,LEN(H48) - FIND("-",H48)))))</f>
        <v>W34-1stE</v>
      </c>
    </row>
    <row r="106" spans="1:12" ht="13.95" customHeight="1">
      <c r="A106" s="2">
        <v>3</v>
      </c>
      <c r="B106" s="295" t="str">
        <f>IF(G68="","W27-1stI",IF(G68&gt;I68,_xlfn.CONCAT("W27-1stI-",RIGHT(F68,LEN(F68) - FIND("-",F68))), _xlfn.CONCAT("W27-1stI-",RIGHT(H68,LEN(H68) - FIND("-",H68)))))</f>
        <v>W27-1stI</v>
      </c>
      <c r="C106" s="295" t="str">
        <f>IF(G87="","W28-1stJ",IF(G87&gt;I87,_xlfn.CONCAT("W28-1stJ",RIGHT(F87,LEN(F87) - FIND("-",F87))), _xlfn.CONCAT("W28-1stJ",RIGHT(H87,LEN(H87) - FIND("-",H87)))))</f>
        <v>W28-1stJ</v>
      </c>
      <c r="D106" s="295" t="str">
        <f>IF(G89="","W36-1stK",IF(G89&gt;I89,_xlfn.CONCAT("W36-1stK-",RIGHT(F89,LEN(F89) - FIND("-",F89))), _xlfn.CONCAT("W36-1stK-",RIGHT(H89,LEN(H89) - FIND("-",H89)))))</f>
        <v>W36-1stK</v>
      </c>
      <c r="E106" s="295" t="str">
        <f>IF(G91="","W44-1stL",IF(G91&gt;I91,_xlfn.CONCAT("W44-1stL-",RIGHT(F91,LEN(F91) - FIND("-",F91))), _xlfn.CONCAT("W44-1stL-",RIGHT(H91,LEN(H91) - FIND("-",H91)))))</f>
        <v>W44-1stL</v>
      </c>
    </row>
    <row r="108" spans="1:12" ht="13.95" customHeight="1">
      <c r="A108" s="2" t="s">
        <v>1803</v>
      </c>
      <c r="B108" s="17" t="s">
        <v>1507</v>
      </c>
      <c r="C108" s="17" t="s">
        <v>1508</v>
      </c>
      <c r="D108" s="17" t="s">
        <v>1509</v>
      </c>
      <c r="E108" s="17" t="s">
        <v>1510</v>
      </c>
    </row>
    <row r="109" spans="1:12" ht="13.95" customHeight="1">
      <c r="A109" s="2">
        <v>1</v>
      </c>
      <c r="B109" s="295" t="str">
        <f>IF(G96="","W56",IF(G96&gt;I96,_xlfn.CONCAT("W56-",RIGHT(F96,LEN(F96) - FIND("-",F96))), _xlfn.CONCAT("W56-",RIGHT(H96,LEN(H96) - FIND("-",H96)))))</f>
        <v>W56</v>
      </c>
      <c r="C109" s="295" t="str">
        <f>IF(G97="","W60",IF(G97&gt;I97,_xlfn.CONCAT("W60-",RIGHT(F97,LEN(F97) - FIND("-",F97))), _xlfn.CONCAT("W60-",RIGHT(H97,LEN(H97) - FIND("-",H97)))))</f>
        <v>W60</v>
      </c>
      <c r="D109" s="295" t="str">
        <f>IF(G75="","W51",IF(G75&gt;I75,_xlfn.CONCAT("W51-",RIGHT(F75,LEN(F75) - FIND("-",F75))), _xlfn.CONCAT("W51-",RIGHT(H75,LEN(H75) - FIND("-",H75)))))</f>
        <v>W51</v>
      </c>
      <c r="E109" s="295" t="str">
        <f>IF(G95="","W52",IF(G95&gt;I95,_xlfn.CONCAT("W52-",RIGHT(F95,LEN(F95) - FIND("-",F95))), _xlfn.CONCAT("W52-",RIGHT(H95,LEN(H95) - FIND("-",H95)))))</f>
        <v>W52</v>
      </c>
    </row>
    <row r="110" spans="1:12" ht="13.95" customHeight="1">
      <c r="A110" s="2">
        <v>2</v>
      </c>
      <c r="B110" s="295" t="str">
        <f>IF(G56="","W58",IF(G56&gt;I56,_xlfn.CONCAT("W58-",RIGHT(F56,LEN(F56) - FIND("-",F56))), _xlfn.CONCAT("W58-",RIGHT(H56,LEN(H56) - FIND("-",H56)))))</f>
        <v>W58</v>
      </c>
      <c r="C110" s="295" t="str">
        <f>IF(G55="","W54",IF(G55&gt;I55,_xlfn.CONCAT("W54-",RIGHT(F55,LEN(F55) - FIND("-",F55))), _xlfn.CONCAT("W54-",RIGHT(H55,LEN(H55) - FIND("-",H55)))))</f>
        <v>W54</v>
      </c>
      <c r="D110" s="295" t="str">
        <f>IF(G77="","W59",IF(G77&gt;I77,_xlfn.CONCAT("W59-",RIGHT(F77,LEN(F77) - FIND("-",F77))), _xlfn.CONCAT("W59-",RIGHT(H77,LEN(H77) - FIND("-",H77)))))</f>
        <v>W59</v>
      </c>
      <c r="E110" s="295" t="str">
        <f>IF(G76="","W55",IF(G76&gt;I76,_xlfn.CONCAT("W55-",RIGHT(F76,LEN(F76) - FIND("-",F76))), _xlfn.CONCAT("W55-",RIGHT(H76,LEN(H76) - FIND("-",H76)))))</f>
        <v>W55</v>
      </c>
    </row>
    <row r="111" spans="1:12" ht="13.95" customHeight="1">
      <c r="A111" s="2">
        <v>3</v>
      </c>
      <c r="B111" s="295" t="str">
        <f>IF(G34="","W49",IF(G34&gt;I34,_xlfn.CONCAT("W49-",RIGHT(F34,LEN(F34) - FIND("-",F34))), _xlfn.CONCAT("W49-",RIGHT(H34,LEN(H34) - FIND("-",H34)))))</f>
        <v>W49</v>
      </c>
      <c r="C111" s="295" t="str">
        <f>IF(G54="","W50",IF(G54&gt;I54,_xlfn.CONCAT("W50-",RIGHT(F54,LEN(F54) - FIND("-",F54))), _xlfn.CONCAT("W50-",RIGHT(H54,LEN(H54) - FIND("-",H54)))))</f>
        <v>W50</v>
      </c>
      <c r="D111" s="295" t="str">
        <f>IF(G35="","W53",IF(G35&gt;I35,_xlfn.CONCAT("W53-",RIGHT(F35,LEN(F35) - FIND("-",F35))), _xlfn.CONCAT("W53-",RIGHT(H35,LEN(H35) - FIND("-",H35)))))</f>
        <v>W53</v>
      </c>
      <c r="E111" s="295" t="str">
        <f>IF(G36="","W57",IF(G36&gt;I36,_xlfn.CONCAT("W57-",RIGHT(F36,LEN(F36) - FIND("-",F36))), _xlfn.CONCAT("W57-",RIGHT(H36,LEN(H36) - FIND("-",H36)))))</f>
        <v>W57</v>
      </c>
    </row>
    <row r="113" spans="1:15" ht="13.95" customHeight="1">
      <c r="A113" s="2"/>
      <c r="B113" s="294" t="s">
        <v>368</v>
      </c>
      <c r="C113" s="2"/>
      <c r="D113" s="2"/>
      <c r="E113" s="2"/>
    </row>
    <row r="114" spans="1:15" ht="13.95" customHeight="1">
      <c r="A114" s="2" t="s">
        <v>1803</v>
      </c>
      <c r="B114" s="297" t="s">
        <v>1511</v>
      </c>
      <c r="C114" s="297" t="s">
        <v>1512</v>
      </c>
      <c r="D114" s="297" t="s">
        <v>1513</v>
      </c>
      <c r="E114" s="297" t="s">
        <v>1514</v>
      </c>
    </row>
    <row r="115" spans="1:15" ht="13.95" customHeight="1">
      <c r="A115" s="2">
        <v>1</v>
      </c>
      <c r="B115" s="295" t="str">
        <f>IF(G35="","L53",IF(G35&lt;I35,_xlfn.CONCAT("L53-",RIGHT(F35,LEN(F35) - FIND("-",F35))), _xlfn.CONCAT("L53-",RIGHT(H35,LEN(H35) - FIND("-",H35)))))</f>
        <v>L53</v>
      </c>
      <c r="C115" s="295" t="str">
        <f>IF(G36="","L57",IF(G36&lt;I36,_xlfn.CONCAT("L57-",RIGHT(F36,LEN(F36) - FIND("-",F36))), _xlfn.CONCAT("L57-",RIGHT(H36,LEN(H36) - FIND("-",H36)))))</f>
        <v>L57</v>
      </c>
      <c r="D115" s="295" t="str">
        <f>IF(G34="","L49",IF(G34&lt;I34,_xlfn.CONCAT("L49-",RIGHT(F34,LEN(F34) - FIND("-",F34))), _xlfn.CONCAT("L49-",RIGHT(H34,LEN(H34) - FIND("-",H34)))))</f>
        <v>L49</v>
      </c>
      <c r="E115" s="295" t="str">
        <f>IF(G54="","L50",IF(G54&lt;I54,_xlfn.CONCAT("L50-",RIGHT(F54,LEN(F54) - FIND("-",F54))), _xlfn.CONCAT("L50-",RIGHT(H54,LEN(H54) - FIND("-",H54)))))</f>
        <v>L50</v>
      </c>
    </row>
    <row r="116" spans="1:15" ht="13.95" customHeight="1">
      <c r="A116" s="2">
        <v>2</v>
      </c>
      <c r="B116" s="295" t="str">
        <f>IF(G77="","L59",IF(G77&lt;I77,_xlfn.CONCAT("L59-",RIGHT(F77,LEN(F77) - FIND("-",F77))), _xlfn.CONCAT("L59-",RIGHT(H77,LEN(H77) - FIND("-",H77)))))</f>
        <v>L59</v>
      </c>
      <c r="C116" s="295" t="str">
        <f>IF(G76="","L55",IF(G76&lt;I76,_xlfn.CONCAT("L55-",RIGHT(F76,LEN(F76) - FIND("-",F76))), _xlfn.CONCAT("L55-",RIGHT(H76,LEN(H76) - FIND("-",H76)))))</f>
        <v>L55</v>
      </c>
      <c r="D116" s="295" t="str">
        <f>IF(G56="","L58",IF(G56&lt;I56,_xlfn.CONCAT("L58-",RIGHT(F56,LEN(F56) - FIND("-",F56))), _xlfn.CONCAT("L58-",RIGHT(H56,LEN(H56) - FIND("-",H56)))))</f>
        <v>L58</v>
      </c>
      <c r="E116" s="295" t="str">
        <f>IF(G55="","L54",IF(G55&lt;I55,_xlfn.CONCAT("L54-",RIGHT(F55,LEN(F55) - FIND("-",F55))), _xlfn.CONCAT("L54-",RIGHT(H55,LEN(H55) - FIND("-",H55)))))</f>
        <v>L54</v>
      </c>
    </row>
    <row r="117" spans="1:15" ht="13.95" customHeight="1">
      <c r="A117" s="2">
        <v>3</v>
      </c>
      <c r="B117" s="295" t="str">
        <f>IF(G75="","L51",IF(G75&lt;I75,_xlfn.CONCAT("L51-",RIGHT(F75,LEN(F75) - FIND("-",F75))), _xlfn.CONCAT("L51-",RIGHT(H75,LEN(H75) - FIND("-",H75)))))</f>
        <v>L51</v>
      </c>
      <c r="C117" s="295" t="str">
        <f>IF(G95="","L52",IF(G95&lt;I95,_xlfn.CONCAT("L52-",RIGHT(F95,LEN(F95) - FIND("-",F95))), _xlfn.CONCAT("L52-",RIGHT(H95,LEN(H95) - FIND("-",H95)))))</f>
        <v>L52</v>
      </c>
      <c r="D117" s="295" t="str">
        <f>IF(G96="","L56",IF(G96&lt;I96,_xlfn.CONCAT("L56-",RIGHT(F96,LEN(F96) - FIND("-",F96))), _xlfn.CONCAT("L56-",RIGHT(H96,LEN(H96) - FIND("-",H96)))))</f>
        <v>L56</v>
      </c>
      <c r="E117" s="295" t="str">
        <f>IF(G97="","L60",IF(G97&lt;I97,_xlfn.CONCAT("L60-",RIGHT(F97,LEN(F97) - FIND("-",F97))), _xlfn.CONCAT("L60-",RIGHT(H97,LEN(H97) - FIND("-",H97)))))</f>
        <v>L60</v>
      </c>
    </row>
    <row r="118" spans="1:15" ht="13.95" customHeight="1">
      <c r="B118" s="2"/>
      <c r="C118" s="2"/>
      <c r="D118" s="2"/>
      <c r="E118" s="2"/>
    </row>
    <row r="119" spans="1:15" ht="13.95" customHeight="1">
      <c r="A119" s="18" t="s">
        <v>1804</v>
      </c>
      <c r="B119" s="297" t="s">
        <v>1623</v>
      </c>
      <c r="C119" s="297" t="s">
        <v>1624</v>
      </c>
      <c r="D119" s="297" t="s">
        <v>1625</v>
      </c>
      <c r="E119" s="297" t="s">
        <v>1626</v>
      </c>
    </row>
    <row r="120" spans="1:15" ht="13.95" customHeight="1">
      <c r="A120" s="2">
        <v>1</v>
      </c>
      <c r="B120" s="295" t="str">
        <f>IF(G92="","L48-4thL",IF(G92&lt;I92,_xlfn.CONCAT("L48-4thL-",RIGHT(F92,LEN(F92) - FIND("-",F92))), _xlfn.CONCAT("L48-4thL-",RIGHT(H92,LEN(H92) - FIND("-",H92)))))</f>
        <v>L48-4thL</v>
      </c>
      <c r="C120" s="295" t="str">
        <f>IF(G90="","L40-4thK",IF(G90&lt;I90,_xlfn.CONCAT("L40-4thK-",RIGHT(F90,LEN(F90) - FIND("-",F90))), _xlfn.CONCAT("L40-4thK-",RIGHT(H90,LEN(H90) - FIND("-",H90)))))</f>
        <v>L40-4thK</v>
      </c>
      <c r="D120" s="295" t="str">
        <f>IF(G88="","L32-4thJ",IF(G88&lt;I88,_xlfn.CONCAT("L32-4thJ-",RIGHT(F88,LEN(F88) - FIND("-",F88))), _xlfn.CONCAT("L32-4thJ-",RIGHT(H88,LEN(H88) - FIND("-",H88)))))</f>
        <v>L32-4thJ</v>
      </c>
      <c r="E120" s="295" t="str">
        <f>IF(G69="","L31-4thI",IF(G69&lt;I69,_xlfn.CONCAT("L31-4thI-",RIGHT(F69,LEN(F69) - FIND("-",F69))), _xlfn.CONCAT("L31-4thI-",RIGHT(H69,LEN(H69) - FIND("-",H69)))))</f>
        <v>L31-4thI</v>
      </c>
    </row>
    <row r="121" spans="1:15" ht="13.95" customHeight="1">
      <c r="A121" s="2">
        <v>2</v>
      </c>
      <c r="B121" s="298" t="str">
        <f>IF(G47="","L30-4thD",IF(G47&lt;I47,_xlfn.CONCAT("L30-4thD-",RIGHT(F47,LEN(F47) - FIND("-",F47))), _xlfn.CONCAT("L30-4thD-",RIGHT(H47,LEN(H47) - FIND("-",H47)))))</f>
        <v>L30-4thD</v>
      </c>
      <c r="C121" s="298" t="str">
        <f>IF(G28="","L29-4thC",IF(G28&lt;I28,_xlfn.CONCAT("L29-4thC-",RIGHT(F28,LEN(F28) - FIND("-",F28))), _xlfn.CONCAT("L29-4thC-",RIGHT(H28,LEN(H28) - FIND("-",H28)))))</f>
        <v>L29-4thC</v>
      </c>
      <c r="D121" s="298" t="str">
        <f>IF(G49="","L38-4thE",IF(G49&lt;I49,_xlfn.CONCAT("L38-4thE-",RIGHT(F49,LEN(F49) - FIND("-",F49))), _xlfn.CONCAT("L38-4thE-",RIGHT(H49,LEN(H49) - FIND("-",H49)))))</f>
        <v>L38-4thE</v>
      </c>
      <c r="E121" s="298" t="str">
        <f>IF(G51="","L46-4thF",IF(G51&lt;I51,_xlfn.CONCAT("L46-4thF-",RIGHT(F51,LEN(F51) - FIND("-",F51))), _xlfn.CONCAT("L46-4thF-",RIGHT(H51,LEN(H51) - FIND("-",H51)))))</f>
        <v>L46-4thF</v>
      </c>
    </row>
    <row r="122" spans="1:15" ht="13.95" customHeight="1">
      <c r="A122" s="2"/>
      <c r="B122" s="2"/>
      <c r="C122" s="2"/>
      <c r="D122" s="2"/>
      <c r="E122" s="2"/>
    </row>
    <row r="123" spans="1:15" ht="13.95" customHeight="1" thickBot="1">
      <c r="B123" s="2"/>
      <c r="C123" s="2"/>
      <c r="D123" s="2"/>
      <c r="E123" s="2"/>
      <c r="F123" s="2"/>
      <c r="G123" s="19"/>
      <c r="H123" s="2"/>
      <c r="I123" s="2"/>
      <c r="J123" s="2"/>
      <c r="K123" s="2"/>
      <c r="L123" s="2"/>
    </row>
    <row r="124" spans="1:15" ht="13.95" customHeight="1" thickBot="1">
      <c r="B124" s="2"/>
      <c r="C124" s="2"/>
      <c r="D124" s="244" t="str">
        <f>'CHICLETS MASTER S1'!$AD$27</f>
        <v>BUENA PARK HS</v>
      </c>
      <c r="E124" s="2"/>
      <c r="F124" s="2" t="s">
        <v>1805</v>
      </c>
      <c r="G124" s="19"/>
      <c r="H124" s="2"/>
      <c r="I124" s="2"/>
      <c r="J124" s="2"/>
      <c r="K124" s="2"/>
      <c r="L124" s="2" t="s">
        <v>1806</v>
      </c>
    </row>
    <row r="125" spans="1:15" ht="13.95" customHeight="1">
      <c r="A125" s="333" t="s">
        <v>110</v>
      </c>
      <c r="B125" s="333" t="s">
        <v>111</v>
      </c>
      <c r="C125" s="333" t="s">
        <v>112</v>
      </c>
      <c r="D125" s="333" t="s">
        <v>113</v>
      </c>
      <c r="E125" s="333" t="s">
        <v>114</v>
      </c>
      <c r="F125" s="333" t="s">
        <v>115</v>
      </c>
      <c r="G125" s="333" t="s">
        <v>116</v>
      </c>
      <c r="H125" s="333" t="s">
        <v>117</v>
      </c>
      <c r="I125" s="333" t="s">
        <v>116</v>
      </c>
      <c r="J125" s="333" t="s">
        <v>118</v>
      </c>
      <c r="K125" s="333" t="s">
        <v>119</v>
      </c>
      <c r="L125" s="333" t="s">
        <v>120</v>
      </c>
    </row>
    <row r="126" spans="1:15" ht="13.95" customHeight="1">
      <c r="A126" s="20">
        <f>$A$101</f>
        <v>46222</v>
      </c>
      <c r="B126" s="21">
        <f>'CHICLETS MASTER S1'!Z28</f>
        <v>0.29166666666666669</v>
      </c>
      <c r="C126" s="8" t="s">
        <v>163</v>
      </c>
      <c r="D126" s="334" t="str">
        <f>$D$124</f>
        <v>BUENA PARK HS</v>
      </c>
      <c r="E126" s="8">
        <v>61</v>
      </c>
      <c r="F126" s="22" t="s">
        <v>1516</v>
      </c>
      <c r="G126" s="22"/>
      <c r="H126" s="22" t="str">
        <f>IF(G68="","ag_M3",IF(G68&gt;I68,_xlfn.CONCAT("ag_M3-",RIGHT(F68,LEN(F68) - FIND("-",F68))), _xlfn.CONCAT("ag_M3-",RIGHT(H68,LEN(H68) - FIND("-",H68)))))</f>
        <v>ag_M3</v>
      </c>
      <c r="I126" s="22"/>
      <c r="J126" s="22"/>
      <c r="K126" s="22"/>
      <c r="L126" s="22" t="str">
        <f t="shared" ref="L126:L137" si="15">IF(E126="","",$L$17&amp;"-"&amp;TEXT(E126,"000"))</f>
        <v>18GX-061</v>
      </c>
      <c r="O126" s="18" t="str">
        <f>$L$124&amp;" "&amp;C126</f>
        <v>ag Group</v>
      </c>
    </row>
    <row r="127" spans="1:15" ht="13.95" customHeight="1">
      <c r="A127" s="20">
        <f t="shared" ref="A127:A137" si="16">$A$101</f>
        <v>46222</v>
      </c>
      <c r="B127" s="21">
        <f>'CHICLETS MASTER S1'!Z29</f>
        <v>0.3263888888888889</v>
      </c>
      <c r="C127" s="8" t="s">
        <v>163</v>
      </c>
      <c r="D127" s="334" t="str">
        <f t="shared" ref="D127:D137" si="17">$D$124</f>
        <v>BUENA PARK HS</v>
      </c>
      <c r="E127" s="8">
        <v>65</v>
      </c>
      <c r="F127" s="22" t="s">
        <v>1520</v>
      </c>
      <c r="G127" s="22"/>
      <c r="H127" s="22" t="str">
        <f>IF(G87="","ag_N3",IF(G87&gt;I87,_xlfn.CONCAT("ag_N3-",RIGHT(F87,LEN(F87) - FIND("-",F87))), _xlfn.CONCAT("ag_N3-",RIGHT(H87,LEN(H87) - FIND("-",H87)))))</f>
        <v>ag_N3</v>
      </c>
      <c r="I127" s="22"/>
      <c r="J127" s="22"/>
      <c r="K127" s="22"/>
      <c r="L127" s="22" t="str">
        <f t="shared" si="15"/>
        <v>18GX-065</v>
      </c>
      <c r="O127" s="18" t="str">
        <f t="shared" ref="O127:O137" si="18">$L$124&amp;" "&amp;C127</f>
        <v>ag Group</v>
      </c>
    </row>
    <row r="128" spans="1:15" ht="13.95" customHeight="1">
      <c r="A128" s="20">
        <f t="shared" si="16"/>
        <v>46222</v>
      </c>
      <c r="B128" s="21">
        <f>'CHICLETS MASTER S1'!Z30</f>
        <v>0.36111111111111099</v>
      </c>
      <c r="C128" s="8" t="s">
        <v>163</v>
      </c>
      <c r="D128" s="334" t="str">
        <f t="shared" si="17"/>
        <v>BUENA PARK HS</v>
      </c>
      <c r="E128" s="8">
        <v>69</v>
      </c>
      <c r="F128" s="22" t="str">
        <f>IF(G97="","ag_S1",IF(G97&gt;I97,_xlfn.CONCAT("ag_S1-",RIGHT(F97,LEN(F97) - FIND("-",F97))), _xlfn.CONCAT("ag_S1-",RIGHT(H97,LEN(H97) - FIND("-",H97)))))</f>
        <v>ag_S1</v>
      </c>
      <c r="G128" s="22"/>
      <c r="H128" s="22" t="str">
        <f>IF(G55="","ag_S2",IF(G55&gt;I55,_xlfn.CONCAT("ag_S2-",RIGHT(F55,LEN(F55) - FIND("-",F55))), _xlfn.CONCAT("ag_S2-",RIGHT(H55,LEN(H55) - FIND("-",H55)))))</f>
        <v>ag_S2</v>
      </c>
      <c r="I128" s="22"/>
      <c r="J128" s="22"/>
      <c r="K128" s="22"/>
      <c r="L128" s="22" t="str">
        <f t="shared" si="15"/>
        <v>18GX-069</v>
      </c>
      <c r="O128" s="18" t="str">
        <f t="shared" si="18"/>
        <v>ag Group</v>
      </c>
    </row>
    <row r="129" spans="1:15" ht="13.95" customHeight="1">
      <c r="A129" s="20">
        <f t="shared" si="16"/>
        <v>46222</v>
      </c>
      <c r="B129" s="21">
        <f>'CHICLETS MASTER S1'!Z31</f>
        <v>0.39583333333333398</v>
      </c>
      <c r="C129" s="8" t="s">
        <v>163</v>
      </c>
      <c r="D129" s="334" t="str">
        <f t="shared" si="17"/>
        <v>BUENA PARK HS</v>
      </c>
      <c r="E129" s="8">
        <v>73</v>
      </c>
      <c r="F129" s="22" t="str">
        <f>IF(G96="","ag_R1",IF(G96&gt;I96,_xlfn.CONCAT("ag_R1-",RIGHT(F96,LEN(F96) - FIND("-",F96))), _xlfn.CONCAT("ag_R1-",RIGHT(H96,LEN(H96) - FIND("-",H96)))))</f>
        <v>ag_R1</v>
      </c>
      <c r="G129" s="22"/>
      <c r="H129" s="22" t="str">
        <f>IF(G56="","ag_R2",IF(G56&gt;I56,_xlfn.CONCAT("ag_R2-",RIGHT(F56,LEN(F56) - FIND("-",F56))), _xlfn.CONCAT("ag_R2-",RIGHT(H56,LEN(H56) - FIND("-",H56)))))</f>
        <v>ag_R2</v>
      </c>
      <c r="I129" s="22"/>
      <c r="J129" s="22"/>
      <c r="K129" s="22"/>
      <c r="L129" s="22" t="str">
        <f t="shared" si="15"/>
        <v>18GX-073</v>
      </c>
      <c r="O129" s="18" t="str">
        <f t="shared" si="18"/>
        <v>ag Group</v>
      </c>
    </row>
    <row r="130" spans="1:15" ht="13.95" customHeight="1">
      <c r="A130" s="20">
        <f t="shared" si="16"/>
        <v>46222</v>
      </c>
      <c r="B130" s="21">
        <f>'CHICLETS MASTER S1'!Z32</f>
        <v>0.43055555555555602</v>
      </c>
      <c r="C130" s="8" t="s">
        <v>163</v>
      </c>
      <c r="D130" s="334" t="str">
        <f t="shared" si="17"/>
        <v>BUENA PARK HS</v>
      </c>
      <c r="E130" s="8">
        <v>77</v>
      </c>
      <c r="F130" s="22" t="s">
        <v>1807</v>
      </c>
      <c r="G130" s="22"/>
      <c r="H130" s="22" t="str">
        <f>IF(G68="","ag_M3",IF(G68&gt;I68,_xlfn.CONCAT("ag_M3-",RIGHT(F68,LEN(F68) - FIND("-",F68))), _xlfn.CONCAT("ag_M3-",RIGHT(H68,LEN(H68) - FIND("-",H68)))))</f>
        <v>ag_M3</v>
      </c>
      <c r="I130" s="22"/>
      <c r="J130" s="22"/>
      <c r="K130" s="22"/>
      <c r="L130" s="22" t="str">
        <f t="shared" si="15"/>
        <v>18GX-077</v>
      </c>
      <c r="O130" s="18" t="str">
        <f t="shared" si="18"/>
        <v>ag Group</v>
      </c>
    </row>
    <row r="131" spans="1:15" ht="13.95" customHeight="1">
      <c r="A131" s="20">
        <f t="shared" si="16"/>
        <v>46222</v>
      </c>
      <c r="B131" s="21">
        <f>'CHICLETS MASTER S1'!Z33</f>
        <v>0.46527777777777801</v>
      </c>
      <c r="C131" s="8" t="s">
        <v>163</v>
      </c>
      <c r="D131" s="334" t="str">
        <f t="shared" si="17"/>
        <v>BUENA PARK HS</v>
      </c>
      <c r="E131" s="8">
        <v>81</v>
      </c>
      <c r="F131" s="22" t="s">
        <v>1522</v>
      </c>
      <c r="G131" s="22"/>
      <c r="H131" s="22" t="str">
        <f>IF(G87="","ag_N3",IF(G87&gt;I87,_xlfn.CONCAT("ag_N3-",RIGHT(F87,LEN(F87) - FIND("-",F87))), _xlfn.CONCAT("ag_N3-",RIGHT(H87,LEN(H87) - FIND("-",H87)))))</f>
        <v>ag_N3</v>
      </c>
      <c r="I131" s="22"/>
      <c r="J131" s="22"/>
      <c r="K131" s="22"/>
      <c r="L131" s="22" t="str">
        <f t="shared" si="15"/>
        <v>18GX-081</v>
      </c>
      <c r="O131" s="18" t="str">
        <f t="shared" si="18"/>
        <v>ag Group</v>
      </c>
    </row>
    <row r="132" spans="1:15" ht="13.95" customHeight="1">
      <c r="A132" s="20">
        <f t="shared" si="16"/>
        <v>46222</v>
      </c>
      <c r="B132" s="21">
        <f>'CHICLETS MASTER S1'!Z34</f>
        <v>0.5</v>
      </c>
      <c r="C132" s="8" t="s">
        <v>163</v>
      </c>
      <c r="D132" s="334" t="str">
        <f t="shared" si="17"/>
        <v>BUENA PARK HS</v>
      </c>
      <c r="E132" s="8">
        <v>85</v>
      </c>
      <c r="F132" s="22" t="str">
        <f>IF(G97="","ag_S1",IF(G97&gt;I97,_xlfn.CONCAT("ag_S1-",RIGHT(F97,LEN(F97) - FIND("-",F97))), _xlfn.CONCAT("ag_S1-",RIGHT(H97,LEN(H97) - FIND("-",H97)))))</f>
        <v>ag_S1</v>
      </c>
      <c r="G132" s="22"/>
      <c r="H132" s="22" t="str">
        <f>IF(G54="","ag_S3",IF(G54&gt;I54,_xlfn.CONCAT("ag_S3-",RIGHT(F54,LEN(F54) - FIND("-",F54))), _xlfn.CONCAT("ag_S3-",RIGHT(H54,LEN(H54) - FIND("-",H54)))))</f>
        <v>ag_S3</v>
      </c>
      <c r="I132" s="22"/>
      <c r="J132" s="22"/>
      <c r="K132" s="22"/>
      <c r="L132" s="22" t="str">
        <f t="shared" si="15"/>
        <v>18GX-085</v>
      </c>
      <c r="O132" s="18" t="str">
        <f t="shared" si="18"/>
        <v>ag Group</v>
      </c>
    </row>
    <row r="133" spans="1:15" ht="13.95" customHeight="1">
      <c r="A133" s="20">
        <f t="shared" si="16"/>
        <v>46222</v>
      </c>
      <c r="B133" s="21">
        <f>'CHICLETS MASTER S1'!Z35</f>
        <v>0.53472222222222199</v>
      </c>
      <c r="C133" s="8" t="s">
        <v>163</v>
      </c>
      <c r="D133" s="334" t="str">
        <f t="shared" si="17"/>
        <v>BUENA PARK HS</v>
      </c>
      <c r="E133" s="8">
        <v>89</v>
      </c>
      <c r="F133" s="22" t="str">
        <f>IF(G96="","ag_R1",IF(G96&gt;I96,_xlfn.CONCAT("ag_R1-",RIGHT(F96,LEN(F96) - FIND("-",F96))), _xlfn.CONCAT("ag_R1-",RIGHT(H96,LEN(H96) - FIND("-",H96)))))</f>
        <v>ag_R1</v>
      </c>
      <c r="G133" s="22"/>
      <c r="H133" s="22" t="str">
        <f>IF(G34="","ag_R3",IF(G34&gt;I34,_xlfn.CONCAT("ag_R3-",RIGHT(F34,LEN(F34) - FIND("-",F34))), _xlfn.CONCAT("ag_R3-",RIGHT(H34,LEN(H34) - FIND("-",H34)))))</f>
        <v>ag_R3</v>
      </c>
      <c r="I133" s="22"/>
      <c r="J133" s="22"/>
      <c r="K133" s="22"/>
      <c r="L133" s="22" t="str">
        <f t="shared" si="15"/>
        <v>18GX-089</v>
      </c>
      <c r="O133" s="18" t="str">
        <f t="shared" si="18"/>
        <v>ag Group</v>
      </c>
    </row>
    <row r="134" spans="1:15" ht="13.95" customHeight="1">
      <c r="A134" s="20">
        <f t="shared" si="16"/>
        <v>46222</v>
      </c>
      <c r="B134" s="21">
        <f>'CHICLETS MASTER S1'!Z36</f>
        <v>0.56944444444444497</v>
      </c>
      <c r="C134" s="8" t="s">
        <v>163</v>
      </c>
      <c r="D134" s="334" t="str">
        <f t="shared" si="17"/>
        <v>BUENA PARK HS</v>
      </c>
      <c r="E134" s="8">
        <v>93</v>
      </c>
      <c r="F134" s="22" t="s">
        <v>1516</v>
      </c>
      <c r="G134" s="22"/>
      <c r="H134" s="22" t="s">
        <v>1807</v>
      </c>
      <c r="I134" s="22"/>
      <c r="J134" s="22"/>
      <c r="K134" s="22"/>
      <c r="L134" s="22" t="str">
        <f t="shared" si="15"/>
        <v>18GX-093</v>
      </c>
      <c r="O134" s="18" t="str">
        <f t="shared" si="18"/>
        <v>ag Group</v>
      </c>
    </row>
    <row r="135" spans="1:15" ht="13.95" customHeight="1">
      <c r="A135" s="20">
        <f t="shared" si="16"/>
        <v>46222</v>
      </c>
      <c r="B135" s="21">
        <f>'CHICLETS MASTER S1'!Z37</f>
        <v>0.60416666666666696</v>
      </c>
      <c r="C135" s="8" t="s">
        <v>163</v>
      </c>
      <c r="D135" s="334" t="str">
        <f t="shared" si="17"/>
        <v>BUENA PARK HS</v>
      </c>
      <c r="E135" s="8">
        <v>97</v>
      </c>
      <c r="F135" s="22" t="s">
        <v>1522</v>
      </c>
      <c r="G135" s="22"/>
      <c r="H135" s="22" t="s">
        <v>1520</v>
      </c>
      <c r="I135" s="22"/>
      <c r="J135" s="22"/>
      <c r="K135" s="22"/>
      <c r="L135" s="22" t="str">
        <f t="shared" si="15"/>
        <v>18GX-097</v>
      </c>
      <c r="O135" s="18" t="str">
        <f t="shared" si="18"/>
        <v>ag Group</v>
      </c>
    </row>
    <row r="136" spans="1:15" ht="13.95" customHeight="1">
      <c r="A136" s="20">
        <f t="shared" si="16"/>
        <v>46222</v>
      </c>
      <c r="B136" s="21">
        <f>'CHICLETS MASTER S1'!Z38</f>
        <v>0.63888888888888895</v>
      </c>
      <c r="C136" s="8" t="s">
        <v>163</v>
      </c>
      <c r="D136" s="334" t="str">
        <f t="shared" si="17"/>
        <v>BUENA PARK HS</v>
      </c>
      <c r="E136" s="8">
        <v>101</v>
      </c>
      <c r="F136" s="22" t="str">
        <f>IF(G55="","ag_S2",IF(G55&gt;I55,_xlfn.CONCAT("ag_S2-",RIGHT(F55,LEN(F55) - FIND("-",F55))), _xlfn.CONCAT("ag_S2-",RIGHT(H55,LEN(H55) - FIND("-",H55)))))</f>
        <v>ag_S2</v>
      </c>
      <c r="G136" s="22"/>
      <c r="H136" s="22" t="str">
        <f>IF(G54="","ag_S3",IF(G54&gt;I54,_xlfn.CONCAT("ag_S3-",RIGHT(F54,LEN(F54) - FIND("-",F54))), _xlfn.CONCAT("ag_S3-",RIGHT(H54,LEN(H54) - FIND("-",H54)))))</f>
        <v>ag_S3</v>
      </c>
      <c r="I136" s="22"/>
      <c r="J136" s="22"/>
      <c r="K136" s="22"/>
      <c r="L136" s="22" t="str">
        <f t="shared" si="15"/>
        <v>18GX-101</v>
      </c>
      <c r="O136" s="18" t="str">
        <f t="shared" si="18"/>
        <v>ag Group</v>
      </c>
    </row>
    <row r="137" spans="1:15" ht="13.95" customHeight="1">
      <c r="A137" s="20">
        <f t="shared" si="16"/>
        <v>46222</v>
      </c>
      <c r="B137" s="21">
        <f>'CHICLETS MASTER S1'!Z39</f>
        <v>0.67361111111111105</v>
      </c>
      <c r="C137" s="8" t="s">
        <v>163</v>
      </c>
      <c r="D137" s="334" t="str">
        <f t="shared" si="17"/>
        <v>BUENA PARK HS</v>
      </c>
      <c r="E137" s="8">
        <v>105</v>
      </c>
      <c r="F137" s="22" t="str">
        <f>IF(G56="","ag_R2",IF(G56&gt;I56,_xlfn.CONCAT("ag_R2-",RIGHT(F56,LEN(F56) - FIND("-",F56))), _xlfn.CONCAT("ag_R2-",RIGHT(H56,LEN(H56) - FIND("-",H56)))))</f>
        <v>ag_R2</v>
      </c>
      <c r="G137" s="22"/>
      <c r="H137" s="22" t="str">
        <f>IF(G34="","ag_R3",IF(G34&gt;I34,_xlfn.CONCAT("ag_R3-",RIGHT(F34,LEN(F34) - FIND("-",F34))), _xlfn.CONCAT("ag_R3-",RIGHT(H34,LEN(H34) - FIND("-",H34)))))</f>
        <v>ag_R3</v>
      </c>
      <c r="I137" s="22"/>
      <c r="J137" s="22"/>
      <c r="K137" s="22"/>
      <c r="L137" s="22" t="str">
        <f t="shared" si="15"/>
        <v>18GX-105</v>
      </c>
      <c r="O137" s="18" t="str">
        <f t="shared" si="18"/>
        <v>ag Group</v>
      </c>
    </row>
    <row r="138" spans="1:15" s="2" customFormat="1" ht="13.95" customHeight="1">
      <c r="B138" s="23"/>
    </row>
    <row r="139" spans="1:15" s="2" customFormat="1" ht="13.95" customHeight="1">
      <c r="B139" s="23"/>
    </row>
    <row r="140" spans="1:15" ht="13.95" customHeight="1">
      <c r="A140" s="20">
        <f t="shared" ref="A140:A141" si="19">$A$101</f>
        <v>46222</v>
      </c>
      <c r="B140" s="21">
        <f>'CHICLETS MASTER S1'!Z42</f>
        <v>0.77777777777777801</v>
      </c>
      <c r="C140" s="8" t="s">
        <v>166</v>
      </c>
      <c r="D140" s="334" t="str">
        <f>$D$124</f>
        <v>BUENA PARK HS</v>
      </c>
      <c r="E140" s="8">
        <v>109</v>
      </c>
      <c r="F140" s="22" t="s">
        <v>1808</v>
      </c>
      <c r="G140" s="22"/>
      <c r="H140" s="22" t="s">
        <v>1809</v>
      </c>
      <c r="I140" s="22"/>
      <c r="J140" s="22">
        <v>129</v>
      </c>
      <c r="K140" s="22">
        <v>134</v>
      </c>
      <c r="L140" s="22" t="str">
        <f>IF(E140="","",$L$17&amp;"-"&amp;TEXT(E140,"000"))</f>
        <v>18GX-109</v>
      </c>
      <c r="O140" s="18" t="str">
        <f t="shared" ref="O140:O141" si="20">$L$124&amp;" "&amp;C140</f>
        <v>ag Play-in</v>
      </c>
    </row>
    <row r="141" spans="1:15" ht="13.95" customHeight="1">
      <c r="A141" s="20">
        <f t="shared" si="19"/>
        <v>46222</v>
      </c>
      <c r="B141" s="21">
        <f>'CHICLETS MASTER S1'!Z43</f>
        <v>0.8125</v>
      </c>
      <c r="C141" s="8" t="s">
        <v>166</v>
      </c>
      <c r="D141" s="334" t="str">
        <f>$D$124</f>
        <v>BUENA PARK HS</v>
      </c>
      <c r="E141" s="8">
        <v>113</v>
      </c>
      <c r="F141" s="22" t="s">
        <v>1810</v>
      </c>
      <c r="G141" s="22"/>
      <c r="H141" s="22" t="s">
        <v>1811</v>
      </c>
      <c r="I141" s="22"/>
      <c r="J141" s="22">
        <v>121</v>
      </c>
      <c r="K141" s="22">
        <v>126</v>
      </c>
      <c r="L141" s="22" t="str">
        <f>IF(E141="","",$L$17&amp;"-"&amp;TEXT(E141,"000"))</f>
        <v>18GX-113</v>
      </c>
      <c r="O141" s="18" t="str">
        <f t="shared" si="20"/>
        <v>ag Play-in</v>
      </c>
    </row>
    <row r="142" spans="1:15" ht="13.95" customHeight="1" thickBot="1">
      <c r="A142" s="23"/>
      <c r="B142" s="23"/>
      <c r="C142" s="2"/>
      <c r="D142" s="2"/>
      <c r="E142" s="2"/>
      <c r="F142" s="2" t="s">
        <v>173</v>
      </c>
      <c r="G142" s="19" t="s">
        <v>173</v>
      </c>
      <c r="H142" s="2" t="s">
        <v>173</v>
      </c>
      <c r="I142" s="2"/>
      <c r="J142" s="2"/>
      <c r="K142" s="2"/>
      <c r="L142" s="2"/>
    </row>
    <row r="143" spans="1:15" ht="13.95" customHeight="1" thickBot="1">
      <c r="A143" s="23"/>
      <c r="B143" s="27"/>
      <c r="C143" s="2"/>
      <c r="D143" s="244" t="str">
        <f>'CHICLETS MASTER S1'!$AQ$27</f>
        <v>EDISON HS</v>
      </c>
      <c r="E143" s="2"/>
      <c r="F143" s="2" t="s">
        <v>1812</v>
      </c>
      <c r="G143" s="19"/>
      <c r="H143" s="2"/>
      <c r="I143" s="2"/>
      <c r="J143" s="2"/>
      <c r="K143" s="2"/>
      <c r="L143" s="2"/>
    </row>
    <row r="144" spans="1:15" ht="13.95" customHeight="1">
      <c r="A144" s="333" t="s">
        <v>110</v>
      </c>
      <c r="B144" s="333" t="s">
        <v>111</v>
      </c>
      <c r="C144" s="333" t="s">
        <v>112</v>
      </c>
      <c r="D144" s="333" t="s">
        <v>113</v>
      </c>
      <c r="E144" s="333" t="s">
        <v>114</v>
      </c>
      <c r="F144" s="333" t="s">
        <v>115</v>
      </c>
      <c r="G144" s="333" t="s">
        <v>116</v>
      </c>
      <c r="H144" s="333" t="s">
        <v>117</v>
      </c>
      <c r="I144" s="333" t="s">
        <v>116</v>
      </c>
      <c r="J144" s="333" t="s">
        <v>118</v>
      </c>
      <c r="K144" s="333" t="s">
        <v>119</v>
      </c>
      <c r="L144" s="333" t="s">
        <v>120</v>
      </c>
    </row>
    <row r="145" spans="1:15" ht="13.95" customHeight="1">
      <c r="A145" s="20">
        <f t="shared" ref="A145:A156" si="21">$A$101</f>
        <v>46222</v>
      </c>
      <c r="B145" s="21">
        <f>'CHICLETS MASTER S1'!AL28</f>
        <v>0.29166666666666669</v>
      </c>
      <c r="C145" s="8" t="s">
        <v>163</v>
      </c>
      <c r="D145" s="334" t="str">
        <f t="shared" ref="D145:D156" si="22">$D$143</f>
        <v>EDISON HS</v>
      </c>
      <c r="E145" s="8">
        <v>62</v>
      </c>
      <c r="F145" s="22" t="str">
        <f>IF(G50="","ag_O2",IF(G50&gt;I50,_xlfn.CONCAT("ag_O2-",RIGHT(F50,LEN(F50) - FIND("-",F50))), _xlfn.CONCAT("ag_O2-",RIGHT(H50,LEN(H50) - FIND("-",H50)))))</f>
        <v>ag_O2</v>
      </c>
      <c r="G145" s="22"/>
      <c r="H145" s="22" t="str">
        <f>IF(G89="","ag_O3",IF(G89&gt;I89,_xlfn.CONCAT("ag_O3-",RIGHT(F89,LEN(F89) - FIND("-",F89))), _xlfn.CONCAT("ag_O3-",RIGHT(H89,LEN(H89) - FIND("-",H89)))))</f>
        <v>ag_O3</v>
      </c>
      <c r="I145" s="22"/>
      <c r="J145" s="22"/>
      <c r="K145" s="22"/>
      <c r="L145" s="22" t="str">
        <f t="shared" ref="L145:L156" si="23">IF(E145="","",$L$17&amp;"-"&amp;TEXT(E145,"000"))</f>
        <v>18GX-062</v>
      </c>
      <c r="O145" s="18" t="str">
        <f t="shared" ref="O145:O156" si="24">$L$124&amp;" "&amp;C145</f>
        <v>ag Group</v>
      </c>
    </row>
    <row r="146" spans="1:15" ht="13.95" customHeight="1">
      <c r="A146" s="20">
        <f t="shared" si="21"/>
        <v>46222</v>
      </c>
      <c r="B146" s="21">
        <f>'CHICLETS MASTER S1'!AL29</f>
        <v>0.3263888888888889</v>
      </c>
      <c r="C146" s="8" t="s">
        <v>163</v>
      </c>
      <c r="D146" s="334" t="str">
        <f t="shared" si="22"/>
        <v>EDISON HS</v>
      </c>
      <c r="E146" s="8">
        <v>66</v>
      </c>
      <c r="F146" s="22" t="str">
        <f>IF(G48="","ag_P2",IF(G48&gt;I48,_xlfn.CONCAT("ag_P2-",RIGHT(F48,LEN(F48) - FIND("-",F48))), _xlfn.CONCAT("ag_P2-",RIGHT(H48,LEN(H48) - FIND("-",H48)))))</f>
        <v>ag_P2</v>
      </c>
      <c r="G146" s="22"/>
      <c r="H146" s="22" t="str">
        <f>IF(G91="","ag_P3",IF(G91&gt;I91,_xlfn.CONCAT("ag_P3-",RIGHT(F91,LEN(F91) - FIND("-",F91))), _xlfn.CONCAT("ag_P3-",RIGHT(H91,LEN(H91) - FIND("-",H91)))))</f>
        <v>ag_P3</v>
      </c>
      <c r="I146" s="22"/>
      <c r="J146" s="22"/>
      <c r="K146" s="22"/>
      <c r="L146" s="22" t="str">
        <f t="shared" si="23"/>
        <v>18GX-066</v>
      </c>
      <c r="O146" s="18" t="str">
        <f t="shared" si="24"/>
        <v>ag Group</v>
      </c>
    </row>
    <row r="147" spans="1:15" ht="13.95" customHeight="1">
      <c r="A147" s="20">
        <f t="shared" si="21"/>
        <v>46222</v>
      </c>
      <c r="B147" s="21">
        <f>'CHICLETS MASTER S1'!AL30</f>
        <v>0.36111111111111099</v>
      </c>
      <c r="C147" s="8" t="s">
        <v>163</v>
      </c>
      <c r="D147" s="334" t="str">
        <f t="shared" si="22"/>
        <v>EDISON HS</v>
      </c>
      <c r="E147" s="8">
        <v>70</v>
      </c>
      <c r="F147" s="22" t="str">
        <f>IF(G95="","ag_U1",IF(G95&gt;I95,_xlfn.CONCAT("ag_U1-",RIGHT(F95,LEN(F95) - FIND("-",F95))), _xlfn.CONCAT("ag_U1-",RIGHT(H95,LEN(H95) - FIND("-",H95)))))</f>
        <v>ag_U1</v>
      </c>
      <c r="G147" s="22"/>
      <c r="H147" s="22" t="str">
        <f>IF(G76="","ag_U2",IF(G76&gt;I76,_xlfn.CONCAT("ag_U2-",RIGHT(F76,LEN(F76) - FIND("-",F76))), _xlfn.CONCAT("ag_U2-",RIGHT(H76,LEN(H76) - FIND("-",H76)))))</f>
        <v>ag_U2</v>
      </c>
      <c r="I147" s="22"/>
      <c r="J147" s="22"/>
      <c r="K147" s="22"/>
      <c r="L147" s="22" t="str">
        <f t="shared" si="23"/>
        <v>18GX-070</v>
      </c>
      <c r="O147" s="18" t="str">
        <f t="shared" si="24"/>
        <v>ag Group</v>
      </c>
    </row>
    <row r="148" spans="1:15" ht="13.95" customHeight="1">
      <c r="A148" s="20">
        <f t="shared" si="21"/>
        <v>46222</v>
      </c>
      <c r="B148" s="21">
        <f>'CHICLETS MASTER S1'!AL31</f>
        <v>0.39583333333333398</v>
      </c>
      <c r="C148" s="8" t="s">
        <v>163</v>
      </c>
      <c r="D148" s="334" t="str">
        <f t="shared" si="22"/>
        <v>EDISON HS</v>
      </c>
      <c r="E148" s="8">
        <v>74</v>
      </c>
      <c r="F148" s="22" t="str">
        <f>IF(G75="","ag_T1",IF(G75&gt;I75,_xlfn.CONCAT("ag_T1-",RIGHT(F75,LEN(F75) - FIND("-",F75))), _xlfn.CONCAT("ag_T1-",RIGHT(H75,LEN(H75) - FIND("-",H75)))))</f>
        <v>ag_T1</v>
      </c>
      <c r="G148" s="22"/>
      <c r="H148" s="22" t="str">
        <f>IF(G77="","ag_T2",IF(G77&gt;I77,_xlfn.CONCAT("ag_T2-",RIGHT(F77,LEN(F77) - FIND("-",F77))), _xlfn.CONCAT("ag_T2-",RIGHT(H77,LEN(H77) - FIND("-",H77)))))</f>
        <v>ag_T2</v>
      </c>
      <c r="I148" s="22"/>
      <c r="J148" s="22"/>
      <c r="K148" s="22"/>
      <c r="L148" s="22" t="str">
        <f t="shared" si="23"/>
        <v>18GX-074</v>
      </c>
      <c r="O148" s="18" t="str">
        <f t="shared" si="24"/>
        <v>ag Group</v>
      </c>
    </row>
    <row r="149" spans="1:15" ht="13.95" customHeight="1">
      <c r="A149" s="20">
        <f t="shared" si="21"/>
        <v>46222</v>
      </c>
      <c r="B149" s="21">
        <f>'CHICLETS MASTER S1'!AL32</f>
        <v>0.43055555555555602</v>
      </c>
      <c r="C149" s="8" t="s">
        <v>163</v>
      </c>
      <c r="D149" s="334" t="str">
        <f t="shared" si="22"/>
        <v>EDISON HS</v>
      </c>
      <c r="E149" s="8">
        <v>78</v>
      </c>
      <c r="F149" s="22" t="str">
        <f>IF(G27="","ag_O1",IF(G27&gt;I27,_xlfn.CONCAT("ag_O1-",RIGHT(F27,LEN(F27) - FIND("-",F27))), _xlfn.CONCAT("ag_O1-",RIGHT(H27,LEN(H27) - FIND("-",H27)))))</f>
        <v>ag_O1</v>
      </c>
      <c r="G149" s="22"/>
      <c r="H149" s="22" t="str">
        <f>IF(G89="","ag_O3",IF(G89&gt;I89,_xlfn.CONCAT("ag_O3-",RIGHT(F89,LEN(F89) - FIND("-",F89))), _xlfn.CONCAT("ag_O3-",RIGHT(H89,LEN(H89) - FIND("-",H89)))))</f>
        <v>ag_O3</v>
      </c>
      <c r="I149" s="22"/>
      <c r="J149" s="22"/>
      <c r="K149" s="22"/>
      <c r="L149" s="22" t="str">
        <f t="shared" si="23"/>
        <v>18GX-078</v>
      </c>
      <c r="O149" s="18" t="str">
        <f t="shared" si="24"/>
        <v>ag Group</v>
      </c>
    </row>
    <row r="150" spans="1:15" ht="13.95" customHeight="1">
      <c r="A150" s="20">
        <f t="shared" si="21"/>
        <v>46222</v>
      </c>
      <c r="B150" s="21">
        <f>'CHICLETS MASTER S1'!AL33</f>
        <v>0.46527777777777801</v>
      </c>
      <c r="C150" s="8" t="s">
        <v>163</v>
      </c>
      <c r="D150" s="334" t="str">
        <f t="shared" si="22"/>
        <v>EDISON HS</v>
      </c>
      <c r="E150" s="8">
        <v>82</v>
      </c>
      <c r="F150" s="22" t="str">
        <f>IF(G46="","ag_P1",IF(G46&gt;I46,_xlfn.CONCAT("ag_P1-",RIGHT(F46,LEN(F46) - FIND("-",F46))), _xlfn.CONCAT("ag_P1-",RIGHT(H46,LEN(H46) - FIND("-",H46)))))</f>
        <v>ag_P1</v>
      </c>
      <c r="G150" s="22"/>
      <c r="H150" s="22" t="str">
        <f>IF(G91="","ag_P3",IF(G91&gt;I91,_xlfn.CONCAT("ag_P3-",RIGHT(F91,LEN(F91) - FIND("-",F91))), _xlfn.CONCAT("ag_P3-",RIGHT(H91,LEN(H91) - FIND("-",H91)))))</f>
        <v>ag_P3</v>
      </c>
      <c r="I150" s="22"/>
      <c r="J150" s="22"/>
      <c r="K150" s="22"/>
      <c r="L150" s="22" t="str">
        <f t="shared" si="23"/>
        <v>18GX-082</v>
      </c>
      <c r="O150" s="18" t="str">
        <f t="shared" si="24"/>
        <v>ag Group</v>
      </c>
    </row>
    <row r="151" spans="1:15" ht="13.95" customHeight="1">
      <c r="A151" s="20">
        <f t="shared" si="21"/>
        <v>46222</v>
      </c>
      <c r="B151" s="21">
        <f>'CHICLETS MASTER S1'!AL34</f>
        <v>0.5</v>
      </c>
      <c r="C151" s="8" t="s">
        <v>163</v>
      </c>
      <c r="D151" s="334" t="str">
        <f t="shared" si="22"/>
        <v>EDISON HS</v>
      </c>
      <c r="E151" s="8">
        <v>86</v>
      </c>
      <c r="F151" s="22" t="str">
        <f>IF(G95="","ag_U1",IF(G95&gt;I95,_xlfn.CONCAT("ag_U1-",RIGHT(F95,LEN(F95) - FIND("-",F95))), _xlfn.CONCAT("ag_U1-",RIGHT(H95,LEN(H95) - FIND("-",H95)))))</f>
        <v>ag_U1</v>
      </c>
      <c r="G151" s="22"/>
      <c r="H151" s="22" t="str">
        <f>IF(G36="","ag_U3",IF(G36&gt;I36,_xlfn.CONCAT("ag_U3-",RIGHT(F36,LEN(F36) - FIND("-",F36))), _xlfn.CONCAT("ag_U3-",RIGHT(H36,LEN(H36) - FIND("-",H36)))))</f>
        <v>ag_U3</v>
      </c>
      <c r="I151" s="22"/>
      <c r="J151" s="22"/>
      <c r="K151" s="22"/>
      <c r="L151" s="22" t="str">
        <f t="shared" si="23"/>
        <v>18GX-086</v>
      </c>
      <c r="O151" s="18" t="str">
        <f t="shared" si="24"/>
        <v>ag Group</v>
      </c>
    </row>
    <row r="152" spans="1:15" ht="13.95" customHeight="1">
      <c r="A152" s="20">
        <f t="shared" si="21"/>
        <v>46222</v>
      </c>
      <c r="B152" s="21">
        <f>'CHICLETS MASTER S1'!AL35</f>
        <v>0.53472222222222199</v>
      </c>
      <c r="C152" s="8" t="s">
        <v>163</v>
      </c>
      <c r="D152" s="334" t="str">
        <f t="shared" si="22"/>
        <v>EDISON HS</v>
      </c>
      <c r="E152" s="8">
        <v>90</v>
      </c>
      <c r="F152" s="22" t="str">
        <f>IF(G75="","ag_T1",IF(G75&gt;I75,_xlfn.CONCAT("ag_T1-",RIGHT(F75,LEN(F75) - FIND("-",F75))), _xlfn.CONCAT("ag_T1-",RIGHT(H75,LEN(H75) - FIND("-",H75)))))</f>
        <v>ag_T1</v>
      </c>
      <c r="G152" s="22"/>
      <c r="H152" s="22" t="str">
        <f>IF(G35="","ag_T3",IF(G35&gt;I35,_xlfn.CONCAT("ag_T3-",RIGHT(F35,LEN(F35) - FIND("-",F35))), _xlfn.CONCAT("ag_T3-",RIGHT(H35,LEN(H35) - FIND("-",H35)))))</f>
        <v>ag_T3</v>
      </c>
      <c r="I152" s="22"/>
      <c r="J152" s="22"/>
      <c r="K152" s="22"/>
      <c r="L152" s="22" t="str">
        <f t="shared" si="23"/>
        <v>18GX-090</v>
      </c>
      <c r="O152" s="18" t="str">
        <f t="shared" si="24"/>
        <v>ag Group</v>
      </c>
    </row>
    <row r="153" spans="1:15" ht="13.95" customHeight="1">
      <c r="A153" s="20">
        <f t="shared" si="21"/>
        <v>46222</v>
      </c>
      <c r="B153" s="21">
        <f>'CHICLETS MASTER S1'!AL36</f>
        <v>0.56944444444444497</v>
      </c>
      <c r="C153" s="8" t="s">
        <v>163</v>
      </c>
      <c r="D153" s="334" t="str">
        <f t="shared" si="22"/>
        <v>EDISON HS</v>
      </c>
      <c r="E153" s="8">
        <v>94</v>
      </c>
      <c r="F153" s="22" t="str">
        <f>IF(G27="","ag_O1",IF(G27&gt;I27,_xlfn.CONCAT("ag_O1-",RIGHT(F27,LEN(F27) - FIND("-",F27))), _xlfn.CONCAT("ag_O1-",RIGHT(H27,LEN(H27) - FIND("-",H27)))))</f>
        <v>ag_O1</v>
      </c>
      <c r="G153" s="22"/>
      <c r="H153" s="22" t="str">
        <f>IF(G50="","ag_O2",IF(G50&gt;I50,_xlfn.CONCAT("ag_O2-",RIGHT(F50,LEN(F50) - FIND("-",F50))), _xlfn.CONCAT("ag_O2-",RIGHT(H50,LEN(H50) - FIND("-",H50)))))</f>
        <v>ag_O2</v>
      </c>
      <c r="I153" s="22"/>
      <c r="J153" s="22"/>
      <c r="K153" s="22"/>
      <c r="L153" s="22" t="str">
        <f t="shared" si="23"/>
        <v>18GX-094</v>
      </c>
      <c r="O153" s="18" t="str">
        <f t="shared" si="24"/>
        <v>ag Group</v>
      </c>
    </row>
    <row r="154" spans="1:15" ht="13.95" customHeight="1">
      <c r="A154" s="20">
        <f t="shared" si="21"/>
        <v>46222</v>
      </c>
      <c r="B154" s="21">
        <f>'CHICLETS MASTER S1'!AL37</f>
        <v>0.60416666666666696</v>
      </c>
      <c r="C154" s="8" t="s">
        <v>163</v>
      </c>
      <c r="D154" s="334" t="str">
        <f t="shared" si="22"/>
        <v>EDISON HS</v>
      </c>
      <c r="E154" s="8">
        <v>98</v>
      </c>
      <c r="F154" s="22" t="str">
        <f>IF(G46="","ag_P1",IF(G46&gt;I46,_xlfn.CONCAT("ag_P1-",RIGHT(F46,LEN(F46) - FIND("-",F46))), _xlfn.CONCAT("ag_P1-",RIGHT(H46,LEN(H46) - FIND("-",H46)))))</f>
        <v>ag_P1</v>
      </c>
      <c r="G154" s="22"/>
      <c r="H154" s="22" t="str">
        <f>IF(G48="","ag_P2",IF(G48&gt;I48,_xlfn.CONCAT("ag_P2-",RIGHT(F48,LEN(F48) - FIND("-",F48))), _xlfn.CONCAT("ag_P2-",RIGHT(H48,LEN(H48) - FIND("-",H48)))))</f>
        <v>ag_P2</v>
      </c>
      <c r="I154" s="22"/>
      <c r="J154" s="22"/>
      <c r="K154" s="22"/>
      <c r="L154" s="22" t="str">
        <f t="shared" si="23"/>
        <v>18GX-098</v>
      </c>
      <c r="O154" s="18" t="str">
        <f t="shared" si="24"/>
        <v>ag Group</v>
      </c>
    </row>
    <row r="155" spans="1:15" ht="13.95" customHeight="1">
      <c r="A155" s="20">
        <f t="shared" si="21"/>
        <v>46222</v>
      </c>
      <c r="B155" s="21">
        <f>'CHICLETS MASTER S1'!AL38</f>
        <v>0.63888888888888895</v>
      </c>
      <c r="C155" s="8" t="s">
        <v>163</v>
      </c>
      <c r="D155" s="334" t="str">
        <f t="shared" si="22"/>
        <v>EDISON HS</v>
      </c>
      <c r="E155" s="8">
        <v>102</v>
      </c>
      <c r="F155" s="22" t="str">
        <f>IF(G76="","ag_U2",IF(G76&gt;I76,_xlfn.CONCAT("ag_U2-",RIGHT(F76,LEN(F76) - FIND("-",F76))), _xlfn.CONCAT("ag_U2-",RIGHT(H76,LEN(H76) - FIND("-",H76)))))</f>
        <v>ag_U2</v>
      </c>
      <c r="G155" s="22"/>
      <c r="H155" s="22" t="str">
        <f>IF(G36="","ag_U3",IF(G36&gt;I36,_xlfn.CONCAT("ag_U3-",RIGHT(F36,LEN(F36) - FIND("-",F36))), _xlfn.CONCAT("ag_U3-",RIGHT(H36,LEN(H36) - FIND("-",H36)))))</f>
        <v>ag_U3</v>
      </c>
      <c r="I155" s="22"/>
      <c r="J155" s="22"/>
      <c r="K155" s="22"/>
      <c r="L155" s="22" t="str">
        <f t="shared" si="23"/>
        <v>18GX-102</v>
      </c>
      <c r="O155" s="18" t="str">
        <f t="shared" si="24"/>
        <v>ag Group</v>
      </c>
    </row>
    <row r="156" spans="1:15" ht="13.95" customHeight="1">
      <c r="A156" s="20">
        <f t="shared" si="21"/>
        <v>46222</v>
      </c>
      <c r="B156" s="21">
        <f>'CHICLETS MASTER S1'!AL39</f>
        <v>0.67361111111111105</v>
      </c>
      <c r="C156" s="8" t="s">
        <v>163</v>
      </c>
      <c r="D156" s="334" t="str">
        <f t="shared" si="22"/>
        <v>EDISON HS</v>
      </c>
      <c r="E156" s="8">
        <v>106</v>
      </c>
      <c r="F156" s="22" t="str">
        <f>IF(G77="","ag_T2",IF(G77&gt;I77,_xlfn.CONCAT("ag_T2-",RIGHT(F77,LEN(F77) - FIND("-",F77))), _xlfn.CONCAT("ag_T2-",RIGHT(H77,LEN(H77) - FIND("-",H77)))))</f>
        <v>ag_T2</v>
      </c>
      <c r="G156" s="22"/>
      <c r="H156" s="22" t="str">
        <f>IF(G35="","ag_T3",IF(G35&gt;I35,_xlfn.CONCAT("ag_T3-",RIGHT(F35,LEN(F35) - FIND("-",F35))), _xlfn.CONCAT("ag_T3-",RIGHT(H35,LEN(H35) - FIND("-",H35)))))</f>
        <v>ag_T3</v>
      </c>
      <c r="I156" s="22"/>
      <c r="J156" s="22"/>
      <c r="K156" s="22"/>
      <c r="L156" s="22" t="str">
        <f t="shared" si="23"/>
        <v>18GX-106</v>
      </c>
      <c r="O156" s="18" t="str">
        <f t="shared" si="24"/>
        <v>ag Group</v>
      </c>
    </row>
    <row r="157" spans="1:15" s="2" customFormat="1" ht="13.95" customHeight="1">
      <c r="B157" s="23"/>
    </row>
    <row r="158" spans="1:15" s="2" customFormat="1" ht="13.95" customHeight="1">
      <c r="B158" s="23"/>
    </row>
    <row r="159" spans="1:15" ht="13.95" customHeight="1">
      <c r="A159" s="20">
        <f t="shared" ref="A159:A160" si="25">$A$101</f>
        <v>46222</v>
      </c>
      <c r="B159" s="21">
        <f>'CHICLETS MASTER S1'!AL42</f>
        <v>0.77777777777777801</v>
      </c>
      <c r="C159" s="8" t="s">
        <v>166</v>
      </c>
      <c r="D159" s="334" t="str">
        <f>$D$143</f>
        <v>EDISON HS</v>
      </c>
      <c r="E159" s="8">
        <v>110</v>
      </c>
      <c r="F159" s="22" t="s">
        <v>1813</v>
      </c>
      <c r="G159" s="22"/>
      <c r="H159" s="22" t="s">
        <v>1814</v>
      </c>
      <c r="I159" s="22"/>
      <c r="J159" s="22">
        <v>117</v>
      </c>
      <c r="K159" s="22">
        <v>138</v>
      </c>
      <c r="L159" s="22" t="str">
        <f>IF(E159="","",$L$17&amp;"-"&amp;TEXT(E159,"000"))</f>
        <v>18GX-110</v>
      </c>
      <c r="O159" s="18" t="str">
        <f t="shared" ref="O159:O160" si="26">$L$124&amp;" "&amp;C159</f>
        <v>ag Play-in</v>
      </c>
    </row>
    <row r="160" spans="1:15" ht="13.95" customHeight="1">
      <c r="A160" s="20">
        <f t="shared" si="25"/>
        <v>46222</v>
      </c>
      <c r="B160" s="21">
        <f>'CHICLETS MASTER S1'!AL43</f>
        <v>0.8125</v>
      </c>
      <c r="C160" s="8" t="s">
        <v>166</v>
      </c>
      <c r="D160" s="334" t="str">
        <f>$D$143</f>
        <v>EDISON HS</v>
      </c>
      <c r="E160" s="8">
        <v>114</v>
      </c>
      <c r="F160" s="22" t="s">
        <v>1815</v>
      </c>
      <c r="G160" s="22"/>
      <c r="H160" s="22" t="s">
        <v>1816</v>
      </c>
      <c r="I160" s="22"/>
      <c r="J160" s="22">
        <v>125</v>
      </c>
      <c r="K160" s="22">
        <v>130</v>
      </c>
      <c r="L160" s="22" t="str">
        <f>IF(E160="","",$L$17&amp;"-"&amp;TEXT(E160,"000"))</f>
        <v>18GX-114</v>
      </c>
      <c r="O160" s="18" t="str">
        <f t="shared" si="26"/>
        <v>ag Play-in</v>
      </c>
    </row>
    <row r="161" spans="1:15" ht="13.95" customHeight="1" thickBot="1">
      <c r="A161" s="23"/>
      <c r="B161" s="2"/>
      <c r="C161" s="2"/>
      <c r="D161" s="2"/>
      <c r="E161" s="2"/>
      <c r="F161" s="2" t="s">
        <v>173</v>
      </c>
      <c r="G161" s="19" t="s">
        <v>173</v>
      </c>
      <c r="H161" s="2" t="s">
        <v>173</v>
      </c>
      <c r="I161" s="2"/>
      <c r="J161" s="2"/>
      <c r="K161" s="2"/>
      <c r="L161" s="2"/>
    </row>
    <row r="162" spans="1:15" ht="13.95" customHeight="1" thickBot="1">
      <c r="B162" s="2"/>
      <c r="C162" s="2"/>
      <c r="D162" s="244" t="str">
        <f>'CHICLETS MASTER S1'!$AR$27</f>
        <v>SONORA HS</v>
      </c>
      <c r="F162" s="2" t="s">
        <v>1817</v>
      </c>
      <c r="G162" s="19"/>
      <c r="H162" s="2"/>
      <c r="I162" s="2"/>
      <c r="J162" s="2"/>
      <c r="K162" s="2"/>
      <c r="L162" s="2" t="s">
        <v>1818</v>
      </c>
    </row>
    <row r="163" spans="1:15" ht="13.95" customHeight="1">
      <c r="A163" s="333" t="s">
        <v>110</v>
      </c>
      <c r="B163" s="333" t="s">
        <v>111</v>
      </c>
      <c r="C163" s="333" t="s">
        <v>112</v>
      </c>
      <c r="D163" s="333" t="s">
        <v>113</v>
      </c>
      <c r="E163" s="333" t="s">
        <v>114</v>
      </c>
      <c r="F163" s="333" t="s">
        <v>115</v>
      </c>
      <c r="G163" s="333" t="s">
        <v>116</v>
      </c>
      <c r="H163" s="333" t="s">
        <v>117</v>
      </c>
      <c r="I163" s="333" t="s">
        <v>116</v>
      </c>
      <c r="J163" s="333" t="s">
        <v>118</v>
      </c>
      <c r="K163" s="333" t="s">
        <v>119</v>
      </c>
      <c r="L163" s="333" t="s">
        <v>120</v>
      </c>
    </row>
    <row r="164" spans="1:15" ht="13.95" customHeight="1">
      <c r="A164" s="20">
        <f t="shared" ref="A164:A175" si="27">$A$101</f>
        <v>46222</v>
      </c>
      <c r="B164" s="21">
        <f>'CHICLETS MASTER S1'!AL28</f>
        <v>0.29166666666666669</v>
      </c>
      <c r="C164" s="8" t="s">
        <v>163</v>
      </c>
      <c r="D164" s="334" t="str">
        <f t="shared" ref="D164:D175" si="28">$D$162</f>
        <v>SONORA HS</v>
      </c>
      <c r="E164" s="8">
        <v>63</v>
      </c>
      <c r="F164" s="337" t="str">
        <f>IF(G90="","bz_S1",IF(G90&lt;I90,_xlfn.CONCAT("bz_S1-",RIGHT(F90,LEN(F90) - FIND("-",F90))), _xlfn.CONCAT("bz_S1-",RIGHT(H90,LEN(H90) - FIND("-",H90)))))</f>
        <v>bz_S1</v>
      </c>
      <c r="G164" s="337"/>
      <c r="H164" s="337" t="str">
        <f>IF(G28="","bz_S2",IF(G28&lt;I28,_xlfn.CONCAT("bz_S2-",RIGHT(F28,LEN(F28) - FIND("-",F28))), _xlfn.CONCAT("bz_S2-",RIGHT(H28,LEN(H28) - FIND("-",H28)))))</f>
        <v>bz_S2</v>
      </c>
      <c r="I164" s="337"/>
      <c r="J164" s="337">
        <v>95</v>
      </c>
      <c r="K164" s="337">
        <v>99</v>
      </c>
      <c r="L164" s="337" t="str">
        <f t="shared" ref="L164:L175" si="29">IF(E164="","",$L$17&amp;"-"&amp;TEXT(E164,"000"))</f>
        <v>18GX-063</v>
      </c>
      <c r="O164" s="18" t="str">
        <f>$L$162&amp;" "&amp;C164</f>
        <v>bz Group</v>
      </c>
    </row>
    <row r="165" spans="1:15" ht="13.95" customHeight="1">
      <c r="A165" s="20">
        <f t="shared" si="27"/>
        <v>46222</v>
      </c>
      <c r="B165" s="21">
        <f>'CHICLETS MASTER S1'!AL29</f>
        <v>0.3263888888888889</v>
      </c>
      <c r="C165" s="8" t="s">
        <v>163</v>
      </c>
      <c r="D165" s="334" t="str">
        <f t="shared" si="28"/>
        <v>SONORA HS</v>
      </c>
      <c r="E165" s="8">
        <v>67</v>
      </c>
      <c r="F165" s="337" t="str">
        <f>IF(G92="","bz_R1",IF(G92&lt;I92,_xlfn.CONCAT("bz_R1-",RIGHT(F92,LEN(F92) - FIND("-",F92))), _xlfn.CONCAT("bz_R1-",RIGHT(H92,LEN(H92) - FIND("-",H92)))))</f>
        <v>bz_R1</v>
      </c>
      <c r="G165" s="337"/>
      <c r="H165" s="337" t="str">
        <f>IF(G47="","bz_R2",IF(G47&lt;I47,_xlfn.CONCAT("bz_R2-",RIGHT(F47,LEN(F47) - FIND("-",F47))), _xlfn.CONCAT("bz_R2-",RIGHT(H47,LEN(H47) - FIND("-",H47)))))</f>
        <v>bz_R2</v>
      </c>
      <c r="I165" s="337"/>
      <c r="J165" s="337">
        <v>99</v>
      </c>
      <c r="K165" s="337">
        <v>95</v>
      </c>
      <c r="L165" s="337" t="str">
        <f t="shared" si="29"/>
        <v>18GX-067</v>
      </c>
      <c r="O165" s="18" t="str">
        <f t="shared" ref="O165:O175" si="30">$L$162&amp;" "&amp;C165</f>
        <v>bz Group</v>
      </c>
    </row>
    <row r="166" spans="1:15" ht="13.95" customHeight="1">
      <c r="A166" s="20">
        <f t="shared" si="27"/>
        <v>46222</v>
      </c>
      <c r="B166" s="21">
        <f>'CHICLETS MASTER S1'!AL30</f>
        <v>0.36111111111111099</v>
      </c>
      <c r="C166" s="8" t="s">
        <v>163</v>
      </c>
      <c r="D166" s="334" t="str">
        <f t="shared" si="28"/>
        <v>SONORA HS</v>
      </c>
      <c r="E166" s="8">
        <v>71</v>
      </c>
      <c r="F166" s="337" t="str">
        <f>IF(G77="","bz_M2",IF(G77&lt;I77,_xlfn.CONCAT("bz_M2-",RIGHT(F77,LEN(F77) - FIND("-",F77))), _xlfn.CONCAT("bz_M2-",RIGHT(H77,LEN(H77) - FIND("-",H77)))))</f>
        <v>bz_M2</v>
      </c>
      <c r="G166" s="337"/>
      <c r="H166" s="337" t="str">
        <f>IF(G75="","bz_M3",IF(G75&lt;I75,_xlfn.CONCAT("bz_M3-",RIGHT(F75,LEN(F75) - FIND("-",F75))), _xlfn.CONCAT("bz_M3-",RIGHT(H75,LEN(H75) - FIND("-",H75)))))</f>
        <v>bz_M3</v>
      </c>
      <c r="I166" s="337"/>
      <c r="J166" s="337"/>
      <c r="K166" s="337"/>
      <c r="L166" s="337" t="str">
        <f t="shared" si="29"/>
        <v>18GX-071</v>
      </c>
      <c r="O166" s="18" t="str">
        <f t="shared" si="30"/>
        <v>bz Group</v>
      </c>
    </row>
    <row r="167" spans="1:15" ht="13.95" customHeight="1">
      <c r="A167" s="20">
        <f t="shared" si="27"/>
        <v>46222</v>
      </c>
      <c r="B167" s="21">
        <f>'CHICLETS MASTER S1'!AL31</f>
        <v>0.39583333333333398</v>
      </c>
      <c r="C167" s="8" t="s">
        <v>163</v>
      </c>
      <c r="D167" s="334" t="str">
        <f t="shared" si="28"/>
        <v>SONORA HS</v>
      </c>
      <c r="E167" s="8">
        <v>75</v>
      </c>
      <c r="F167" s="337" t="str">
        <f>IF(G76="","bz_N2",IF(G76&lt;I76,_xlfn.CONCAT("bz_N2-",RIGHT(F76,LEN(F76) - FIND("-",F76))), _xlfn.CONCAT("bz_N2-",RIGHT(H76,LEN(H76) - FIND("-",H76)))))</f>
        <v>bz_N2</v>
      </c>
      <c r="G167" s="337"/>
      <c r="H167" s="337" t="str">
        <f>IF(G95="","bz_N3",IF(G95&lt;I95,_xlfn.CONCAT("bz_N3-",RIGHT(F95,LEN(F95) - FIND("-",F95))), _xlfn.CONCAT("bz_N3-",RIGHT(H95,LEN(H95) - FIND("-",H95)))))</f>
        <v>bz_N3</v>
      </c>
      <c r="I167" s="337"/>
      <c r="J167" s="337"/>
      <c r="K167" s="337"/>
      <c r="L167" s="337" t="str">
        <f t="shared" si="29"/>
        <v>18GX-075</v>
      </c>
      <c r="O167" s="18" t="str">
        <f t="shared" si="30"/>
        <v>bz Group</v>
      </c>
    </row>
    <row r="168" spans="1:15" s="2" customFormat="1" ht="13.95" customHeight="1">
      <c r="B168" s="338"/>
    </row>
    <row r="169" spans="1:15" s="2" customFormat="1" ht="13.95" customHeight="1">
      <c r="B169" s="338"/>
    </row>
    <row r="170" spans="1:15" ht="13.95" customHeight="1">
      <c r="A170" s="20">
        <f t="shared" si="27"/>
        <v>46222</v>
      </c>
      <c r="B170" s="21">
        <f>'CHICLETS MASTER S1'!AL34</f>
        <v>0.5</v>
      </c>
      <c r="C170" s="8" t="s">
        <v>163</v>
      </c>
      <c r="D170" s="334" t="str">
        <f t="shared" si="28"/>
        <v>SONORA HS</v>
      </c>
      <c r="E170" s="8">
        <v>87</v>
      </c>
      <c r="F170" s="337" t="str">
        <f>IF(G35="","bz_M1",IF(G35&lt;I35,_xlfn.CONCAT("bz_M1-",RIGHT(F35,LEN(F35) - FIND("-",F35))), _xlfn.CONCAT("bz_M1-",RIGHT(H35,LEN(H35) - FIND("-",H35)))))</f>
        <v>bz_M1</v>
      </c>
      <c r="G170" s="337"/>
      <c r="H170" s="337" t="str">
        <f>IF(G75="","bz_M3",IF(G75&lt;I75,_xlfn.CONCAT("bz_M3-",RIGHT(F75,LEN(F75) - FIND("-",F75))), _xlfn.CONCAT("bz_M3-",RIGHT(H75,LEN(H75) - FIND("-",H75)))))</f>
        <v>bz_M3</v>
      </c>
      <c r="I170" s="337"/>
      <c r="J170" s="337"/>
      <c r="K170" s="337"/>
      <c r="L170" s="337" t="str">
        <f t="shared" si="29"/>
        <v>18GX-087</v>
      </c>
      <c r="O170" s="18" t="str">
        <f t="shared" si="30"/>
        <v>bz Group</v>
      </c>
    </row>
    <row r="171" spans="1:15" ht="13.95" customHeight="1">
      <c r="A171" s="20">
        <f t="shared" si="27"/>
        <v>46222</v>
      </c>
      <c r="B171" s="21">
        <f>'CHICLETS MASTER S1'!AL35</f>
        <v>0.53472222222222199</v>
      </c>
      <c r="C171" s="8" t="s">
        <v>163</v>
      </c>
      <c r="D171" s="334" t="str">
        <f t="shared" si="28"/>
        <v>SONORA HS</v>
      </c>
      <c r="E171" s="8">
        <v>91</v>
      </c>
      <c r="F171" s="337" t="str">
        <f>IF(G36="","bz_N1",IF(G36&lt;I36,_xlfn.CONCAT("bz_N1-",RIGHT(F36,LEN(F36) - FIND("-",F36))), _xlfn.CONCAT("bz_N1-",RIGHT(H36,LEN(H36) - FIND("-",H36)))))</f>
        <v>bz_N1</v>
      </c>
      <c r="G171" s="337"/>
      <c r="H171" s="337" t="str">
        <f>IF(G95="","bz_N3",IF(G95&lt;I95,_xlfn.CONCAT("bz_N3-",RIGHT(F95,LEN(F95) - FIND("-",F95))), _xlfn.CONCAT("bz_N3-",RIGHT(H95,LEN(H95) - FIND("-",H95)))))</f>
        <v>bz_N3</v>
      </c>
      <c r="I171" s="337"/>
      <c r="J171" s="337"/>
      <c r="K171" s="337"/>
      <c r="L171" s="337" t="str">
        <f t="shared" si="29"/>
        <v>18GX-091</v>
      </c>
      <c r="O171" s="18" t="str">
        <f t="shared" si="30"/>
        <v>bz Group</v>
      </c>
    </row>
    <row r="172" spans="1:15" ht="13.95" customHeight="1">
      <c r="A172" s="20">
        <f t="shared" si="27"/>
        <v>46222</v>
      </c>
      <c r="B172" s="21">
        <f>'CHICLETS MASTER S1'!AL36</f>
        <v>0.56944444444444497</v>
      </c>
      <c r="C172" s="8" t="s">
        <v>163</v>
      </c>
      <c r="D172" s="334" t="str">
        <f t="shared" si="28"/>
        <v>SONORA HS</v>
      </c>
      <c r="E172" s="8">
        <v>95</v>
      </c>
      <c r="F172" s="337" t="str">
        <f>IF(G164="","W63",IF(G164&gt;I164,_xlfn.CONCAT("W63-",RIGHT(F164,LEN(F164) - FIND("-",F164))), _xlfn.CONCAT("W63-",RIGHT(H164,LEN(H164) - FIND("-",H164)))))</f>
        <v>W63</v>
      </c>
      <c r="G172" s="337"/>
      <c r="H172" s="337" t="str">
        <f>IF(G165="","L67",IF(G165&lt;I165,_xlfn.CONCAT("L67-",RIGHT(F165,LEN(F165) - FIND("-",F165))), _xlfn.CONCAT("L67-",RIGHT(H165,LEN(H165) - FIND("-",H165)))))</f>
        <v>L67</v>
      </c>
      <c r="I172" s="337"/>
      <c r="J172" s="337">
        <v>111</v>
      </c>
      <c r="K172" s="337">
        <v>140</v>
      </c>
      <c r="L172" s="337" t="str">
        <f t="shared" si="29"/>
        <v>18GX-095</v>
      </c>
      <c r="M172" s="28"/>
      <c r="O172" s="18" t="str">
        <f t="shared" si="30"/>
        <v>bz Group</v>
      </c>
    </row>
    <row r="173" spans="1:15" ht="13.95" customHeight="1">
      <c r="A173" s="20">
        <f t="shared" si="27"/>
        <v>46222</v>
      </c>
      <c r="B173" s="21">
        <f>'CHICLETS MASTER S1'!AL37</f>
        <v>0.60416666666666696</v>
      </c>
      <c r="C173" s="8" t="s">
        <v>163</v>
      </c>
      <c r="D173" s="334" t="str">
        <f t="shared" si="28"/>
        <v>SONORA HS</v>
      </c>
      <c r="E173" s="8">
        <v>99</v>
      </c>
      <c r="F173" s="337" t="str">
        <f>IF(G165="","W67",IF(G165&gt;I165,_xlfn.CONCAT("W67-",RIGHT(F165,LEN(F165) - FIND("-",F165))), _xlfn.CONCAT("W67-",RIGHT(H165,LEN(H165) - FIND("-",H165)))))</f>
        <v>W67</v>
      </c>
      <c r="G173" s="337"/>
      <c r="H173" s="337" t="str">
        <f>IF(G164="","L63",IF(G164&lt;I164,_xlfn.CONCAT("L63-",RIGHT(F164,LEN(F164) - FIND("-",F164))), _xlfn.CONCAT("L63-",RIGHT(H164,LEN(H164) - FIND("-",H164)))))</f>
        <v>L63</v>
      </c>
      <c r="I173" s="337"/>
      <c r="J173" s="337">
        <v>115</v>
      </c>
      <c r="K173" s="337">
        <v>132</v>
      </c>
      <c r="L173" s="337" t="str">
        <f t="shared" si="29"/>
        <v>18GX-099</v>
      </c>
      <c r="M173" s="28"/>
      <c r="O173" s="18" t="str">
        <f t="shared" si="30"/>
        <v>bz Group</v>
      </c>
    </row>
    <row r="174" spans="1:15" ht="13.95" customHeight="1">
      <c r="A174" s="20">
        <f t="shared" si="27"/>
        <v>46222</v>
      </c>
      <c r="B174" s="21">
        <f>'CHICLETS MASTER S1'!AL38</f>
        <v>0.63888888888888895</v>
      </c>
      <c r="C174" s="8" t="s">
        <v>163</v>
      </c>
      <c r="D174" s="334" t="str">
        <f t="shared" si="28"/>
        <v>SONORA HS</v>
      </c>
      <c r="E174" s="8">
        <v>103</v>
      </c>
      <c r="F174" s="337" t="str">
        <f>IF(G35="","bz_M1",IF(G35&lt;I35,_xlfn.CONCAT("bz_M1-",RIGHT(F35,LEN(F35) - FIND("-",F35))), _xlfn.CONCAT("bz_M1-",RIGHT(H35,LEN(H35) - FIND("-",H35)))))</f>
        <v>bz_M1</v>
      </c>
      <c r="G174" s="337"/>
      <c r="H174" s="337" t="str">
        <f>IF(G77="","bz_M2",IF(G77&lt;I77,_xlfn.CONCAT("bz_M2-",RIGHT(F77,LEN(F77) - FIND("-",F77))), _xlfn.CONCAT("bz_M2-",RIGHT(H77,LEN(H77) - FIND("-",H77)))))</f>
        <v>bz_M2</v>
      </c>
      <c r="I174" s="337"/>
      <c r="J174" s="337"/>
      <c r="K174" s="337"/>
      <c r="L174" s="337" t="str">
        <f t="shared" si="29"/>
        <v>18GX-103</v>
      </c>
      <c r="O174" s="18" t="str">
        <f t="shared" si="30"/>
        <v>bz Group</v>
      </c>
    </row>
    <row r="175" spans="1:15" ht="13.95" customHeight="1">
      <c r="A175" s="20">
        <f t="shared" si="27"/>
        <v>46222</v>
      </c>
      <c r="B175" s="21">
        <f>'CHICLETS MASTER S1'!AL39</f>
        <v>0.67361111111111105</v>
      </c>
      <c r="C175" s="8" t="s">
        <v>163</v>
      </c>
      <c r="D175" s="334" t="str">
        <f t="shared" si="28"/>
        <v>SONORA HS</v>
      </c>
      <c r="E175" s="8">
        <v>107</v>
      </c>
      <c r="F175" s="337" t="str">
        <f>IF(G36="","bz_N1",IF(G36&lt;I36,_xlfn.CONCAT("bz_N1-",RIGHT(F36,LEN(F36) - FIND("-",F36))), _xlfn.CONCAT("bz_N1-",RIGHT(H36,LEN(H36) - FIND("-",H36)))))</f>
        <v>bz_N1</v>
      </c>
      <c r="G175" s="337"/>
      <c r="H175" s="337" t="str">
        <f>IF(G76="","bz_N2",IF(G76&lt;I76,_xlfn.CONCAT("bz_N2-",RIGHT(F76,LEN(F76) - FIND("-",F76))), _xlfn.CONCAT("bz_N2-",RIGHT(H76,LEN(H76) - FIND("-",H76)))))</f>
        <v>bz_N2</v>
      </c>
      <c r="I175" s="337"/>
      <c r="J175" s="337"/>
      <c r="K175" s="337"/>
      <c r="L175" s="337" t="str">
        <f t="shared" si="29"/>
        <v>18GX-107</v>
      </c>
      <c r="O175" s="18" t="str">
        <f t="shared" si="30"/>
        <v>bz Group</v>
      </c>
    </row>
    <row r="176" spans="1:15" s="2" customFormat="1" ht="13.95" customHeight="1">
      <c r="B176" s="23"/>
    </row>
    <row r="177" spans="1:15" s="2" customFormat="1" ht="13.95" customHeight="1">
      <c r="B177" s="23"/>
    </row>
    <row r="178" spans="1:15" ht="13.95" customHeight="1">
      <c r="A178" s="20">
        <f t="shared" ref="A178:A179" si="31">$A$101</f>
        <v>46222</v>
      </c>
      <c r="B178" s="21">
        <f>'CHICLETS MASTER S1'!AL42</f>
        <v>0.77777777777777801</v>
      </c>
      <c r="C178" s="8" t="s">
        <v>166</v>
      </c>
      <c r="D178" s="334" t="str">
        <f>$D$162</f>
        <v>SONORA HS</v>
      </c>
      <c r="E178" s="8">
        <v>111</v>
      </c>
      <c r="F178" s="337" t="s">
        <v>402</v>
      </c>
      <c r="G178" s="337"/>
      <c r="H178" s="337" t="str">
        <f>IF(G172="","W95",IF(G172&gt;I172,_xlfn.CONCAT("W95-",RIGHT(F172,LEN(F172) - FIND("-",F172))), _xlfn.CONCAT("W95-",RIGHT(H172,LEN(H172) - FIND("-",H172)))))</f>
        <v>W95</v>
      </c>
      <c r="I178" s="337"/>
      <c r="J178" s="337">
        <v>131</v>
      </c>
      <c r="K178" s="337">
        <v>136</v>
      </c>
      <c r="L178" s="337" t="str">
        <f>IF(E178="","",$L$17&amp;"-"&amp;TEXT(E178,"000"))</f>
        <v>18GX-111</v>
      </c>
      <c r="O178" s="18" t="str">
        <f t="shared" ref="O178:O179" si="32">$L$162&amp;" "&amp;C178</f>
        <v>bz Play-in</v>
      </c>
    </row>
    <row r="179" spans="1:15" ht="13.95" customHeight="1">
      <c r="A179" s="20">
        <f t="shared" si="31"/>
        <v>46222</v>
      </c>
      <c r="B179" s="21">
        <f>'CHICLETS MASTER S1'!AL43</f>
        <v>0.8125</v>
      </c>
      <c r="C179" s="8" t="s">
        <v>166</v>
      </c>
      <c r="D179" s="334" t="str">
        <f>$D$162</f>
        <v>SONORA HS</v>
      </c>
      <c r="E179" s="8">
        <v>115</v>
      </c>
      <c r="F179" s="337" t="s">
        <v>400</v>
      </c>
      <c r="G179" s="337"/>
      <c r="H179" s="337" t="str">
        <f>IF(G173="","W99",IF(G173&gt;I173,_xlfn.CONCAT("W99-",RIGHT(F173,LEN(F173) - FIND("-",F173))), _xlfn.CONCAT("W99-",RIGHT(H173,LEN(H173) - FIND("-",H173)))))</f>
        <v>W99</v>
      </c>
      <c r="I179" s="337"/>
      <c r="J179" s="337">
        <v>123</v>
      </c>
      <c r="K179" s="337">
        <v>128</v>
      </c>
      <c r="L179" s="337" t="str">
        <f>IF(E179="","",$L$17&amp;"-"&amp;TEXT(E179,"000"))</f>
        <v>18GX-115</v>
      </c>
      <c r="O179" s="18" t="str">
        <f t="shared" si="32"/>
        <v>bz Play-in</v>
      </c>
    </row>
    <row r="180" spans="1:15" ht="13.95" customHeight="1" thickBot="1">
      <c r="A180" s="23"/>
      <c r="B180" s="27"/>
      <c r="C180" s="2"/>
      <c r="D180" s="2"/>
      <c r="E180" s="2"/>
      <c r="F180" s="2" t="s">
        <v>173</v>
      </c>
      <c r="G180" s="19" t="s">
        <v>173</v>
      </c>
      <c r="H180" s="2" t="s">
        <v>173</v>
      </c>
      <c r="I180" s="2"/>
      <c r="J180" s="2"/>
      <c r="K180" s="2"/>
      <c r="L180" s="2"/>
    </row>
    <row r="181" spans="1:15" ht="13.95" customHeight="1" thickBot="1">
      <c r="A181" s="2"/>
      <c r="B181" s="2"/>
      <c r="C181" s="2"/>
      <c r="D181" s="244" t="str">
        <f>'CHICLETS MASTER S1'!$AJ$27</f>
        <v>LA SERNA HS</v>
      </c>
      <c r="F181" s="2" t="s">
        <v>1819</v>
      </c>
      <c r="G181" s="19"/>
      <c r="H181" s="2"/>
      <c r="I181" s="2"/>
    </row>
    <row r="182" spans="1:15" ht="13.95" customHeight="1">
      <c r="A182" s="333" t="s">
        <v>110</v>
      </c>
      <c r="B182" s="333" t="s">
        <v>111</v>
      </c>
      <c r="C182" s="333" t="s">
        <v>112</v>
      </c>
      <c r="D182" s="333" t="s">
        <v>113</v>
      </c>
      <c r="E182" s="333" t="s">
        <v>114</v>
      </c>
      <c r="F182" s="333" t="s">
        <v>115</v>
      </c>
      <c r="G182" s="333" t="s">
        <v>116</v>
      </c>
      <c r="H182" s="333" t="s">
        <v>117</v>
      </c>
      <c r="I182" s="333" t="s">
        <v>116</v>
      </c>
      <c r="J182" s="333" t="s">
        <v>118</v>
      </c>
      <c r="K182" s="333" t="s">
        <v>119</v>
      </c>
      <c r="L182" s="333" t="s">
        <v>120</v>
      </c>
    </row>
    <row r="183" spans="1:15" ht="13.95" customHeight="1">
      <c r="A183" s="20">
        <f t="shared" ref="A183:A194" si="33">$A$101</f>
        <v>46222</v>
      </c>
      <c r="B183" s="21">
        <f>'CHICLETS MASTER S1'!AL28</f>
        <v>0.29166666666666669</v>
      </c>
      <c r="C183" s="8" t="s">
        <v>163</v>
      </c>
      <c r="D183" s="334" t="str">
        <f>$D$181</f>
        <v>LA SERNA HS</v>
      </c>
      <c r="E183" s="8">
        <v>64</v>
      </c>
      <c r="F183" s="337" t="str">
        <f>IF(G69="","bz_U1",IF(G69&lt;I69,_xlfn.CONCAT("bz_U1-",RIGHT(F69,LEN(F69) - FIND("-",F69))), _xlfn.CONCAT("bz_U1-",RIGHT(H69,LEN(H69) - FIND("-",H69)))))</f>
        <v>bz_U1</v>
      </c>
      <c r="G183" s="337"/>
      <c r="H183" s="337" t="str">
        <f>IF(G51="","bz_U2",IF(G51&lt;I51,_xlfn.CONCAT("bz_U2-",RIGHT(F51,LEN(F51) - FIND("-",F51))), _xlfn.CONCAT("bz_U2-",RIGHT(H51,LEN(H51) - FIND("-",H51)))))</f>
        <v>bz_U2</v>
      </c>
      <c r="I183" s="337"/>
      <c r="J183" s="337">
        <v>96</v>
      </c>
      <c r="K183" s="337">
        <v>100</v>
      </c>
      <c r="L183" s="337" t="str">
        <f t="shared" ref="L183:L194" si="34">IF(E183="","",$L$17&amp;"-"&amp;TEXT(E183,"000"))</f>
        <v>18GX-064</v>
      </c>
      <c r="O183" s="18" t="str">
        <f t="shared" ref="O183:O194" si="35">$L$162&amp;" "&amp;C183</f>
        <v>bz Group</v>
      </c>
    </row>
    <row r="184" spans="1:15" ht="13.95" customHeight="1">
      <c r="A184" s="20">
        <f t="shared" si="33"/>
        <v>46222</v>
      </c>
      <c r="B184" s="21">
        <f>'CHICLETS MASTER S1'!AL29</f>
        <v>0.3263888888888889</v>
      </c>
      <c r="C184" s="8" t="s">
        <v>163</v>
      </c>
      <c r="D184" s="334" t="str">
        <f t="shared" ref="D184:D194" si="36">$D$181</f>
        <v>LA SERNA HS</v>
      </c>
      <c r="E184" s="8">
        <v>68</v>
      </c>
      <c r="F184" s="337" t="str">
        <f>IF(G88="","bz_T1",IF(G88&lt;I88,_xlfn.CONCAT("bz_T1-",RIGHT(F88,LEN(F88) - FIND("-",F88))), _xlfn.CONCAT("bz_T1-",RIGHT(H88,LEN(H88) - FIND("-",H88)))))</f>
        <v>bz_T1</v>
      </c>
      <c r="G184" s="337"/>
      <c r="H184" s="337" t="str">
        <f>IF(G49="","bz_T2",IF(G49&lt;I49,_xlfn.CONCAT("bz_T2-",RIGHT(F49,LEN(F49) - FIND("-",F49))), _xlfn.CONCAT("bz_T2-",RIGHT(H49,LEN(H49) - FIND("-",H49)))))</f>
        <v>bz_T2</v>
      </c>
      <c r="I184" s="337"/>
      <c r="J184" s="337">
        <v>100</v>
      </c>
      <c r="K184" s="337">
        <v>96</v>
      </c>
      <c r="L184" s="337" t="str">
        <f t="shared" si="34"/>
        <v>18GX-068</v>
      </c>
      <c r="O184" s="18" t="str">
        <f t="shared" si="35"/>
        <v>bz Group</v>
      </c>
    </row>
    <row r="185" spans="1:15" ht="13.95" customHeight="1">
      <c r="A185" s="20">
        <f t="shared" si="33"/>
        <v>46222</v>
      </c>
      <c r="B185" s="21">
        <f>'CHICLETS MASTER S1'!AL30</f>
        <v>0.36111111111111099</v>
      </c>
      <c r="C185" s="8" t="s">
        <v>163</v>
      </c>
      <c r="D185" s="334" t="str">
        <f t="shared" si="36"/>
        <v>LA SERNA HS</v>
      </c>
      <c r="E185" s="8">
        <v>72</v>
      </c>
      <c r="F185" s="337" t="str">
        <f>IF(G56="","bz_O2",IF(G56&lt;I56,_xlfn.CONCAT("bz_O2-",RIGHT(F56,LEN(F56) - FIND("-",F56))), _xlfn.CONCAT("bz_O2-",RIGHT(H56,LEN(H56) - FIND("-",H56)))))</f>
        <v>bz_O2</v>
      </c>
      <c r="G185" s="337"/>
      <c r="H185" s="337" t="str">
        <f>IF(G96="","bz_O3",IF(G96&lt;I96,_xlfn.CONCAT("bz_O3-",RIGHT(F96,LEN(F96) - FIND("-",F96))), _xlfn.CONCAT("bz_O3-",RIGHT(H96,LEN(H96) - FIND("-",H96)))))</f>
        <v>bz_O3</v>
      </c>
      <c r="I185" s="337"/>
      <c r="J185" s="337"/>
      <c r="K185" s="337"/>
      <c r="L185" s="337" t="str">
        <f t="shared" si="34"/>
        <v>18GX-072</v>
      </c>
      <c r="O185" s="18" t="str">
        <f t="shared" si="35"/>
        <v>bz Group</v>
      </c>
    </row>
    <row r="186" spans="1:15" ht="13.95" customHeight="1">
      <c r="A186" s="20">
        <f t="shared" si="33"/>
        <v>46222</v>
      </c>
      <c r="B186" s="21">
        <f>'CHICLETS MASTER S1'!AL31</f>
        <v>0.39583333333333398</v>
      </c>
      <c r="C186" s="8" t="s">
        <v>163</v>
      </c>
      <c r="D186" s="334" t="str">
        <f t="shared" si="36"/>
        <v>LA SERNA HS</v>
      </c>
      <c r="E186" s="8">
        <v>76</v>
      </c>
      <c r="F186" s="337" t="str">
        <f>IF(G55="","bz_P2",IF(G55&lt;I55,_xlfn.CONCAT("bz_P2-",RIGHT(F55,LEN(F55) - FIND("-",F55))), _xlfn.CONCAT("bz_P2-",RIGHT(H55,LEN(H55) - FIND("-",H55)))))</f>
        <v>bz_P2</v>
      </c>
      <c r="G186" s="337"/>
      <c r="H186" s="337" t="str">
        <f>IF(G97="","bz_P3",IF(G97&lt;I97,_xlfn.CONCAT("bz_P3-",RIGHT(F97,LEN(F97) - FIND("-",F97))), _xlfn.CONCAT("bz_P3-",RIGHT(H97,LEN(H97) - FIND("-",H97)))))</f>
        <v>bz_P3</v>
      </c>
      <c r="I186" s="337"/>
      <c r="J186" s="337"/>
      <c r="K186" s="337"/>
      <c r="L186" s="337" t="str">
        <f t="shared" si="34"/>
        <v>18GX-076</v>
      </c>
      <c r="O186" s="18" t="str">
        <f t="shared" si="35"/>
        <v>bz Group</v>
      </c>
    </row>
    <row r="187" spans="1:15" s="2" customFormat="1" ht="13.95" customHeight="1"/>
    <row r="188" spans="1:15" s="2" customFormat="1" ht="13.95" customHeight="1"/>
    <row r="189" spans="1:15" ht="13.95" customHeight="1">
      <c r="A189" s="20">
        <f t="shared" si="33"/>
        <v>46222</v>
      </c>
      <c r="B189" s="21">
        <f>'CHICLETS MASTER S1'!AL34</f>
        <v>0.5</v>
      </c>
      <c r="C189" s="8" t="s">
        <v>163</v>
      </c>
      <c r="D189" s="334" t="str">
        <f t="shared" si="36"/>
        <v>LA SERNA HS</v>
      </c>
      <c r="E189" s="8">
        <v>88</v>
      </c>
      <c r="F189" s="337" t="str">
        <f>IF(G34="","bz_O1",IF(G34&lt;I34,_xlfn.CONCAT("bz_O1-",RIGHT(F34,LEN(F34) - FIND("-",F34))), _xlfn.CONCAT("bz_O1-",RIGHT(H34,LEN(H34) - FIND("-",H34)))))</f>
        <v>bz_O1</v>
      </c>
      <c r="G189" s="337"/>
      <c r="H189" s="337" t="str">
        <f>IF(G96="","bz_O3",IF(G96&lt;I96,_xlfn.CONCAT("bz_O3-",RIGHT(F96,LEN(F96) - FIND("-",F96))), _xlfn.CONCAT("bz_O3-",RIGHT(H96,LEN(H96) - FIND("-",H96)))))</f>
        <v>bz_O3</v>
      </c>
      <c r="I189" s="337"/>
      <c r="J189" s="337"/>
      <c r="K189" s="337"/>
      <c r="L189" s="337" t="str">
        <f t="shared" si="34"/>
        <v>18GX-088</v>
      </c>
      <c r="O189" s="18" t="str">
        <f t="shared" si="35"/>
        <v>bz Group</v>
      </c>
    </row>
    <row r="190" spans="1:15" ht="13.95" customHeight="1">
      <c r="A190" s="20">
        <f t="shared" si="33"/>
        <v>46222</v>
      </c>
      <c r="B190" s="21">
        <f>'CHICLETS MASTER S1'!AL35</f>
        <v>0.53472222222222199</v>
      </c>
      <c r="C190" s="8" t="s">
        <v>163</v>
      </c>
      <c r="D190" s="334" t="str">
        <f t="shared" si="36"/>
        <v>LA SERNA HS</v>
      </c>
      <c r="E190" s="8">
        <v>92</v>
      </c>
      <c r="F190" s="337" t="str">
        <f>IF(G54="","bz_P1",IF(G54&lt;I54,_xlfn.CONCAT("bz_P1-",RIGHT(F54,LEN(F54) - FIND("-",F54))), _xlfn.CONCAT("bz_P1-",RIGHT(H54,LEN(H54) - FIND("-",H54)))))</f>
        <v>bz_P1</v>
      </c>
      <c r="G190" s="337"/>
      <c r="H190" s="337" t="str">
        <f>IF(G97="","bz_P3",IF(G97&lt;I97,_xlfn.CONCAT("bz_P3-",RIGHT(F97,LEN(F97) - FIND("-",F97))), _xlfn.CONCAT("bz_P3-",RIGHT(H97,LEN(H97) - FIND("-",H97)))))</f>
        <v>bz_P3</v>
      </c>
      <c r="I190" s="337"/>
      <c r="J190" s="337"/>
      <c r="K190" s="337"/>
      <c r="L190" s="337" t="str">
        <f t="shared" si="34"/>
        <v>18GX-092</v>
      </c>
      <c r="O190" s="18" t="str">
        <f t="shared" si="35"/>
        <v>bz Group</v>
      </c>
    </row>
    <row r="191" spans="1:15" ht="13.95" customHeight="1">
      <c r="A191" s="20">
        <f t="shared" si="33"/>
        <v>46222</v>
      </c>
      <c r="B191" s="21">
        <f>'CHICLETS MASTER S1'!AL36</f>
        <v>0.56944444444444497</v>
      </c>
      <c r="C191" s="8" t="s">
        <v>163</v>
      </c>
      <c r="D191" s="334" t="str">
        <f t="shared" si="36"/>
        <v>LA SERNA HS</v>
      </c>
      <c r="E191" s="8">
        <v>96</v>
      </c>
      <c r="F191" s="337" t="str">
        <f>IF(G183="","W64",IF(G183&gt;I183,_xlfn.CONCAT("W64-",RIGHT(F183,LEN(F183) - FIND("-",F183))), _xlfn.CONCAT("W64-",RIGHT(H183,LEN(H183) - FIND("-",H183)))))</f>
        <v>W64</v>
      </c>
      <c r="G191" s="337"/>
      <c r="H191" s="337" t="str">
        <f>IF(G184="","L68",IF(G184&lt;I184,_xlfn.CONCAT("L68-",RIGHT(F184,LEN(F184) - FIND("-",F184))), _xlfn.CONCAT("L68-",RIGHT(H184,LEN(H184) - FIND("-",H184)))))</f>
        <v>L68</v>
      </c>
      <c r="I191" s="337"/>
      <c r="J191" s="337">
        <v>112</v>
      </c>
      <c r="K191" s="337">
        <v>136</v>
      </c>
      <c r="L191" s="337" t="str">
        <f t="shared" si="34"/>
        <v>18GX-096</v>
      </c>
      <c r="O191" s="18" t="str">
        <f t="shared" si="35"/>
        <v>bz Group</v>
      </c>
    </row>
    <row r="192" spans="1:15" ht="13.95" customHeight="1">
      <c r="A192" s="20">
        <f t="shared" si="33"/>
        <v>46222</v>
      </c>
      <c r="B192" s="21">
        <f>'CHICLETS MASTER S1'!AL37</f>
        <v>0.60416666666666696</v>
      </c>
      <c r="C192" s="8" t="s">
        <v>163</v>
      </c>
      <c r="D192" s="334" t="str">
        <f t="shared" si="36"/>
        <v>LA SERNA HS</v>
      </c>
      <c r="E192" s="8">
        <v>100</v>
      </c>
      <c r="F192" s="337" t="str">
        <f>IF(G184="","W68",IF(G184&gt;I184,_xlfn.CONCAT("W68-",RIGHT(F184,LEN(F184) - FIND("-",F184))), _xlfn.CONCAT("W68-",RIGHT(H184,LEN(H184) - FIND("-",H184)))))</f>
        <v>W68</v>
      </c>
      <c r="G192" s="337"/>
      <c r="H192" s="337" t="str">
        <f>IF(G183="","L64",IF(G183&lt;I183,_xlfn.CONCAT("L64-",RIGHT(F183,LEN(F183) - FIND("-",F183))), _xlfn.CONCAT("L64-",RIGHT(H183,LEN(H183) - FIND("-",H183)))))</f>
        <v>L64</v>
      </c>
      <c r="I192" s="337"/>
      <c r="J192" s="337">
        <v>116</v>
      </c>
      <c r="K192" s="337">
        <v>128</v>
      </c>
      <c r="L192" s="337" t="str">
        <f t="shared" si="34"/>
        <v>18GX-100</v>
      </c>
      <c r="O192" s="18" t="str">
        <f t="shared" si="35"/>
        <v>bz Group</v>
      </c>
    </row>
    <row r="193" spans="1:15" ht="13.95" customHeight="1">
      <c r="A193" s="20">
        <f t="shared" si="33"/>
        <v>46222</v>
      </c>
      <c r="B193" s="21">
        <f>'CHICLETS MASTER S1'!AL38</f>
        <v>0.63888888888888895</v>
      </c>
      <c r="C193" s="8" t="s">
        <v>163</v>
      </c>
      <c r="D193" s="334" t="str">
        <f t="shared" si="36"/>
        <v>LA SERNA HS</v>
      </c>
      <c r="E193" s="8">
        <v>104</v>
      </c>
      <c r="F193" s="337" t="str">
        <f>IF(G34="","bz_O1",IF(G34&lt;I34,_xlfn.CONCAT("bz_O1-",RIGHT(F34,LEN(F34) - FIND("-",F34))), _xlfn.CONCAT("bz_O1-",RIGHT(H34,LEN(H34) - FIND("-",H34)))))</f>
        <v>bz_O1</v>
      </c>
      <c r="G193" s="337"/>
      <c r="H193" s="337" t="str">
        <f>IF(G56="","bz_O2",IF(G56&lt;I56,_xlfn.CONCAT("bz_O2-",RIGHT(F56,LEN(F56) - FIND("-",F56))), _xlfn.CONCAT("bz_O2-",RIGHT(H56,LEN(H56) - FIND("-",H56)))))</f>
        <v>bz_O2</v>
      </c>
      <c r="I193" s="337"/>
      <c r="J193" s="337"/>
      <c r="K193" s="337"/>
      <c r="L193" s="337" t="str">
        <f t="shared" si="34"/>
        <v>18GX-104</v>
      </c>
      <c r="O193" s="18" t="str">
        <f t="shared" si="35"/>
        <v>bz Group</v>
      </c>
    </row>
    <row r="194" spans="1:15" ht="13.95" customHeight="1">
      <c r="A194" s="20">
        <f t="shared" si="33"/>
        <v>46222</v>
      </c>
      <c r="B194" s="21">
        <f>'CHICLETS MASTER S1'!AL39</f>
        <v>0.67361111111111105</v>
      </c>
      <c r="C194" s="8" t="s">
        <v>163</v>
      </c>
      <c r="D194" s="334" t="str">
        <f t="shared" si="36"/>
        <v>LA SERNA HS</v>
      </c>
      <c r="E194" s="8">
        <v>108</v>
      </c>
      <c r="F194" s="337" t="str">
        <f>IF(G54="","bz_P1",IF(G54&lt;I54,_xlfn.CONCAT("bz_P1-",RIGHT(F54,LEN(F54) - FIND("-",F54))), _xlfn.CONCAT("bz_P1-",RIGHT(H54,LEN(H54) - FIND("-",H54)))))</f>
        <v>bz_P1</v>
      </c>
      <c r="G194" s="337"/>
      <c r="H194" s="337" t="str">
        <f>IF(G55="","bz_P2",IF(G55&lt;I55,_xlfn.CONCAT("bz_P2-",RIGHT(F55,LEN(F55) - FIND("-",F55))), _xlfn.CONCAT("bz_P2-",RIGHT(H55,LEN(H55) - FIND("-",H55)))))</f>
        <v>bz_P2</v>
      </c>
      <c r="I194" s="337"/>
      <c r="J194" s="337"/>
      <c r="K194" s="337"/>
      <c r="L194" s="337" t="str">
        <f t="shared" si="34"/>
        <v>18GX-108</v>
      </c>
      <c r="O194" s="18" t="str">
        <f t="shared" si="35"/>
        <v>bz Group</v>
      </c>
    </row>
    <row r="195" spans="1:15" s="2" customFormat="1" ht="13.95" customHeight="1">
      <c r="B195" s="23"/>
    </row>
    <row r="196" spans="1:15" s="2" customFormat="1" ht="13.95" customHeight="1">
      <c r="B196" s="23"/>
    </row>
    <row r="197" spans="1:15" ht="13.95" customHeight="1">
      <c r="A197" s="20">
        <f t="shared" ref="A197:A198" si="37">$A$101</f>
        <v>46222</v>
      </c>
      <c r="B197" s="21">
        <f>'CHICLETS MASTER S1'!AL42</f>
        <v>0.77777777777777801</v>
      </c>
      <c r="C197" s="8" t="s">
        <v>166</v>
      </c>
      <c r="D197" s="334" t="str">
        <f>$D$181</f>
        <v>LA SERNA HS</v>
      </c>
      <c r="E197" s="8">
        <v>112</v>
      </c>
      <c r="F197" s="337" t="s">
        <v>1547</v>
      </c>
      <c r="G197" s="337"/>
      <c r="H197" s="337" t="str">
        <f>IF(G191="","W96",IF(G191&gt;I191,_xlfn.CONCAT("W96-",RIGHT(F191,LEN(F191) - FIND("-",F191))), _xlfn.CONCAT("W96-",RIGHT(H191,LEN(H191) - FIND("-",H191)))))</f>
        <v>W96</v>
      </c>
      <c r="I197" s="337"/>
      <c r="J197" s="337">
        <v>119</v>
      </c>
      <c r="K197" s="337">
        <v>140</v>
      </c>
      <c r="L197" s="337" t="str">
        <f>IF(E197="","",$L$17&amp;"-"&amp;TEXT(E197,"000"))</f>
        <v>18GX-112</v>
      </c>
      <c r="O197" s="18" t="str">
        <f t="shared" ref="O197:O198" si="38">$L$162&amp;" "&amp;C197</f>
        <v>bz Play-in</v>
      </c>
    </row>
    <row r="198" spans="1:15" ht="13.95" customHeight="1">
      <c r="A198" s="20">
        <f t="shared" si="37"/>
        <v>46222</v>
      </c>
      <c r="B198" s="21">
        <f>'CHICLETS MASTER S1'!AL43</f>
        <v>0.8125</v>
      </c>
      <c r="C198" s="8" t="s">
        <v>166</v>
      </c>
      <c r="D198" s="334" t="str">
        <f>$D$181</f>
        <v>LA SERNA HS</v>
      </c>
      <c r="E198" s="8">
        <v>116</v>
      </c>
      <c r="F198" s="337" t="s">
        <v>1820</v>
      </c>
      <c r="G198" s="337"/>
      <c r="H198" s="337" t="str">
        <f>IF(G192="","W100",IF(G192&gt;I192,_xlfn.CONCAT("W100-",RIGHT(F192,LEN(F192) - FIND("-",F192))), _xlfn.CONCAT("W100-",RIGHT(H192,LEN(H192) - FIND("-",H192)))))</f>
        <v>W100</v>
      </c>
      <c r="I198" s="337"/>
      <c r="J198" s="337">
        <v>127</v>
      </c>
      <c r="K198" s="337">
        <v>132</v>
      </c>
      <c r="L198" s="337" t="str">
        <f>IF(E198="","",$L$17&amp;"-"&amp;TEXT(E198,"000"))</f>
        <v>18GX-116</v>
      </c>
      <c r="O198" s="18" t="str">
        <f t="shared" si="38"/>
        <v>bz Play-in</v>
      </c>
    </row>
    <row r="199" spans="1:15" ht="13.95" customHeight="1" thickBot="1">
      <c r="F199" s="18" t="s">
        <v>173</v>
      </c>
      <c r="G199" s="289" t="s">
        <v>173</v>
      </c>
      <c r="H199" s="18" t="s">
        <v>173</v>
      </c>
    </row>
    <row r="200" spans="1:15" ht="13.95" customHeight="1" thickTop="1" thickBot="1">
      <c r="A200" s="244" t="s">
        <v>188</v>
      </c>
      <c r="B200" s="292"/>
      <c r="C200" s="292"/>
      <c r="D200" s="292"/>
      <c r="E200" s="292"/>
      <c r="F200" s="292"/>
      <c r="G200" s="293"/>
      <c r="H200" s="292"/>
      <c r="I200" s="292"/>
      <c r="J200" s="292"/>
      <c r="K200" s="292"/>
      <c r="L200" s="292"/>
    </row>
    <row r="201" spans="1:15" ht="13.95" customHeight="1" thickBot="1">
      <c r="A201" s="3">
        <v>46223</v>
      </c>
      <c r="G201" s="18"/>
    </row>
    <row r="202" spans="1:15" ht="13.95" customHeight="1" thickBot="1">
      <c r="D202" s="244" t="str">
        <f>'CHICLETS MASTER S1'!$AS$51</f>
        <v>SERVITE HS</v>
      </c>
      <c r="G202" s="18"/>
    </row>
    <row r="203" spans="1:15" ht="13.95" customHeight="1">
      <c r="A203" s="333" t="s">
        <v>110</v>
      </c>
      <c r="B203" s="333" t="s">
        <v>111</v>
      </c>
      <c r="C203" s="333" t="s">
        <v>112</v>
      </c>
      <c r="D203" s="333" t="s">
        <v>113</v>
      </c>
      <c r="E203" s="333" t="s">
        <v>114</v>
      </c>
      <c r="F203" s="333" t="s">
        <v>115</v>
      </c>
      <c r="G203" s="333" t="s">
        <v>116</v>
      </c>
      <c r="H203" s="333" t="s">
        <v>117</v>
      </c>
      <c r="I203" s="333" t="s">
        <v>116</v>
      </c>
      <c r="J203" s="333" t="s">
        <v>118</v>
      </c>
      <c r="K203" s="333" t="s">
        <v>119</v>
      </c>
      <c r="L203" s="333" t="s">
        <v>120</v>
      </c>
    </row>
    <row r="204" spans="1:15" ht="13.95" customHeight="1">
      <c r="A204" s="6">
        <f>$A$201</f>
        <v>46223</v>
      </c>
      <c r="B204" s="21">
        <f>'CHICLETS MASTER S1'!AL53</f>
        <v>0.33333333333333331</v>
      </c>
      <c r="C204" s="8" t="s">
        <v>189</v>
      </c>
      <c r="D204" s="334" t="str">
        <f>$D$202</f>
        <v>SERVITE HS</v>
      </c>
      <c r="E204" s="8">
        <v>117</v>
      </c>
      <c r="F204" s="22" t="s">
        <v>1821</v>
      </c>
      <c r="G204" s="22"/>
      <c r="H204" s="22" t="str">
        <f>IF(G159="","W110",IF(G159&gt;I159,_xlfn.CONCAT("W110-",RIGHT(F159,LEN(F159) - FIND("-",F159))), _xlfn.CONCAT("W110-",RIGHT(H159,LEN(H159) - FIND("-",H159)))))</f>
        <v>W110</v>
      </c>
      <c r="I204" s="22"/>
      <c r="J204" s="22">
        <v>141</v>
      </c>
      <c r="K204" s="22">
        <v>149</v>
      </c>
      <c r="L204" s="22" t="str">
        <f t="shared" ref="L204:L215" si="39">IF(E204="","",$L$17&amp;"-"&amp;TEXT(E204,"000"))</f>
        <v>18GX-117</v>
      </c>
      <c r="O204" s="18" t="str">
        <f t="shared" ref="O204:O215" si="40">$L$124&amp;" "&amp;C204</f>
        <v>ag 5-8 v 9-12</v>
      </c>
    </row>
    <row r="205" spans="1:15" ht="13.95" customHeight="1">
      <c r="A205" s="6">
        <f t="shared" ref="A205:A215" si="41">$A$201</f>
        <v>46223</v>
      </c>
      <c r="B205" s="21">
        <f>'CHICLETS MASTER S1'!AL54</f>
        <v>0.375</v>
      </c>
      <c r="C205" s="8" t="s">
        <v>189</v>
      </c>
      <c r="D205" s="334" t="str">
        <f t="shared" ref="D205:D215" si="42">$D$202</f>
        <v>SERVITE HS</v>
      </c>
      <c r="E205" s="8">
        <v>121</v>
      </c>
      <c r="F205" s="22" t="s">
        <v>1822</v>
      </c>
      <c r="G205" s="22"/>
      <c r="H205" s="22" t="str">
        <f>IF(G141="","W113",IF(G141&gt;I141,_xlfn.CONCAT("W113-",RIGHT(F141,LEN(F141) - FIND("-",F141))), _xlfn.CONCAT("W113-",RIGHT(H141,LEN(H141) - FIND("-",H141)))))</f>
        <v>W113</v>
      </c>
      <c r="I205" s="65"/>
      <c r="J205" s="22">
        <v>141</v>
      </c>
      <c r="K205" s="22">
        <v>149</v>
      </c>
      <c r="L205" s="22" t="str">
        <f t="shared" si="39"/>
        <v>18GX-121</v>
      </c>
      <c r="O205" s="18" t="str">
        <f t="shared" si="40"/>
        <v>ag 5-8 v 9-12</v>
      </c>
    </row>
    <row r="206" spans="1:15" ht="13.95" customHeight="1">
      <c r="A206" s="6">
        <f t="shared" si="41"/>
        <v>46223</v>
      </c>
      <c r="B206" s="21">
        <f>'CHICLETS MASTER S1'!AL55</f>
        <v>0.41666666666666702</v>
      </c>
      <c r="C206" s="8" t="s">
        <v>189</v>
      </c>
      <c r="D206" s="334" t="str">
        <f t="shared" si="42"/>
        <v>SERVITE HS</v>
      </c>
      <c r="E206" s="8">
        <v>125</v>
      </c>
      <c r="F206" s="22" t="s">
        <v>1823</v>
      </c>
      <c r="G206" s="22"/>
      <c r="H206" s="22" t="str">
        <f>IF(G160="","W114",IF(G160&gt;I160,_xlfn.CONCAT("W114-",RIGHT(F160,LEN(F160) - FIND("-",F160))), _xlfn.CONCAT("W114-",RIGHT(H160,LEN(H160) - FIND("-",H160)))))</f>
        <v>W114</v>
      </c>
      <c r="I206" s="22"/>
      <c r="J206" s="22">
        <v>145</v>
      </c>
      <c r="K206" s="22">
        <v>153</v>
      </c>
      <c r="L206" s="22" t="str">
        <f t="shared" si="39"/>
        <v>18GX-125</v>
      </c>
      <c r="O206" s="18" t="str">
        <f t="shared" si="40"/>
        <v>ag 5-8 v 9-12</v>
      </c>
    </row>
    <row r="207" spans="1:15" ht="13.95" customHeight="1">
      <c r="A207" s="6">
        <f t="shared" si="41"/>
        <v>46223</v>
      </c>
      <c r="B207" s="21">
        <f>'CHICLETS MASTER S1'!AL56</f>
        <v>0.45833333333333298</v>
      </c>
      <c r="C207" s="8" t="s">
        <v>189</v>
      </c>
      <c r="D207" s="334" t="str">
        <f t="shared" si="42"/>
        <v>SERVITE HS</v>
      </c>
      <c r="E207" s="8">
        <v>129</v>
      </c>
      <c r="F207" s="22" t="s">
        <v>1824</v>
      </c>
      <c r="G207" s="22"/>
      <c r="H207" s="22" t="str">
        <f>IF(G140="","W109",IF(G140&gt;I140,_xlfn.CONCAT("W109-",RIGHT(F140,LEN(F140) - FIND("-",F140))), _xlfn.CONCAT("W109-",RIGHT(H140,LEN(H140) - FIND("-",H140)))))</f>
        <v>W109</v>
      </c>
      <c r="I207" s="22"/>
      <c r="J207" s="22">
        <v>145</v>
      </c>
      <c r="K207" s="22">
        <v>153</v>
      </c>
      <c r="L207" s="22" t="str">
        <f t="shared" si="39"/>
        <v>18GX-129</v>
      </c>
      <c r="O207" s="18" t="str">
        <f t="shared" si="40"/>
        <v>ag 5-8 v 9-12</v>
      </c>
    </row>
    <row r="208" spans="1:15" ht="13.95" customHeight="1">
      <c r="A208" s="6">
        <f t="shared" si="41"/>
        <v>46223</v>
      </c>
      <c r="B208" s="21">
        <f>'CHICLETS MASTER S1'!AL57</f>
        <v>0.5</v>
      </c>
      <c r="C208" s="8" t="s">
        <v>194</v>
      </c>
      <c r="D208" s="334" t="str">
        <f t="shared" si="42"/>
        <v>SERVITE HS</v>
      </c>
      <c r="E208" s="8">
        <v>133</v>
      </c>
      <c r="F208" s="22" t="s">
        <v>1825</v>
      </c>
      <c r="G208" s="22"/>
      <c r="H208" s="22" t="s">
        <v>1826</v>
      </c>
      <c r="I208" s="22"/>
      <c r="J208" s="22">
        <v>174</v>
      </c>
      <c r="K208" s="22">
        <v>157</v>
      </c>
      <c r="L208" s="22" t="str">
        <f t="shared" si="39"/>
        <v>18GX-133</v>
      </c>
      <c r="O208" s="18" t="str">
        <f t="shared" si="40"/>
        <v>ag 1-2 v 3-4</v>
      </c>
    </row>
    <row r="209" spans="1:15" ht="13.95" customHeight="1">
      <c r="A209" s="6">
        <f t="shared" si="41"/>
        <v>46223</v>
      </c>
      <c r="B209" s="21">
        <f>'CHICLETS MASTER S1'!AL58</f>
        <v>0.54166666666666696</v>
      </c>
      <c r="C209" s="8" t="s">
        <v>194</v>
      </c>
      <c r="D209" s="334" t="str">
        <f t="shared" si="42"/>
        <v>SERVITE HS</v>
      </c>
      <c r="E209" s="8">
        <v>137</v>
      </c>
      <c r="F209" s="22" t="s">
        <v>1827</v>
      </c>
      <c r="G209" s="22"/>
      <c r="H209" s="22" t="s">
        <v>1828</v>
      </c>
      <c r="I209" s="22"/>
      <c r="J209" s="22">
        <v>173</v>
      </c>
      <c r="K209" s="22">
        <v>161</v>
      </c>
      <c r="L209" s="22" t="str">
        <f t="shared" si="39"/>
        <v>18GX-137</v>
      </c>
      <c r="O209" s="18" t="str">
        <f t="shared" si="40"/>
        <v>ag 1-2 v 3-4</v>
      </c>
    </row>
    <row r="210" spans="1:15" ht="13.95" customHeight="1">
      <c r="A210" s="6">
        <f t="shared" si="41"/>
        <v>46223</v>
      </c>
      <c r="B210" s="21">
        <f>'CHICLETS MASTER S1'!AL59</f>
        <v>0.58333333333333304</v>
      </c>
      <c r="C210" s="8" t="s">
        <v>199</v>
      </c>
      <c r="D210" s="334" t="str">
        <f t="shared" si="42"/>
        <v>SERVITE HS</v>
      </c>
      <c r="E210" s="8">
        <v>141</v>
      </c>
      <c r="F210" s="22" t="str">
        <f>IF(G204="","W117",IF(G204&gt;I204,_xlfn.CONCAT("W117-",RIGHT(F204,LEN(F204) - FIND("-",F204))), _xlfn.CONCAT("W117-",RIGHT(H204,LEN(H204) - FIND("-",H204)))))</f>
        <v>W117</v>
      </c>
      <c r="G210" s="22"/>
      <c r="H210" s="22" t="str">
        <f>IF(G205="","W121",IF(G205&gt;I205,_xlfn.CONCAT("W121-",RIGHT(F205,LEN(F205) - FIND("-",F205))), _xlfn.CONCAT("W121-",RIGHT(H205,LEN(H205) - FIND("-",H205)))))</f>
        <v>W121</v>
      </c>
      <c r="I210" s="22"/>
      <c r="J210" s="22">
        <v>157</v>
      </c>
      <c r="K210" s="22">
        <v>185</v>
      </c>
      <c r="L210" s="22" t="str">
        <f t="shared" si="39"/>
        <v>18GX-141</v>
      </c>
      <c r="O210" s="18" t="str">
        <f t="shared" si="40"/>
        <v>ag 5-6 v 7-8</v>
      </c>
    </row>
    <row r="211" spans="1:15" ht="13.95" customHeight="1">
      <c r="A211" s="6">
        <f t="shared" si="41"/>
        <v>46223</v>
      </c>
      <c r="B211" s="21">
        <f>'CHICLETS MASTER S1'!AL60</f>
        <v>0.625</v>
      </c>
      <c r="C211" s="8" t="s">
        <v>199</v>
      </c>
      <c r="D211" s="334" t="str">
        <f t="shared" si="42"/>
        <v>SERVITE HS</v>
      </c>
      <c r="E211" s="8">
        <v>145</v>
      </c>
      <c r="F211" s="22" t="str">
        <f>IF(G206="","W125",IF(G206&gt;I206,_xlfn.CONCAT("W125-",RIGHT(F206,LEN(F206) - FIND("-",F206))), _xlfn.CONCAT("W125-",RIGHT(H206,LEN(H206) - FIND("-",H206)))))</f>
        <v>W125</v>
      </c>
      <c r="G211" s="22"/>
      <c r="H211" s="22" t="str">
        <f>IF(G207="","W129",IF(G207&gt;I207,_xlfn.CONCAT("W129-",RIGHT(F207,LEN(F207) - FIND("-",F207))), _xlfn.CONCAT("W129-",RIGHT(H207,LEN(H207) - FIND("-",H207)))))</f>
        <v>W129</v>
      </c>
      <c r="I211" s="22"/>
      <c r="J211" s="22">
        <v>161</v>
      </c>
      <c r="K211" s="22">
        <v>185</v>
      </c>
      <c r="L211" s="22" t="str">
        <f t="shared" si="39"/>
        <v>18GX-145</v>
      </c>
      <c r="O211" s="18" t="str">
        <f t="shared" si="40"/>
        <v>ag 5-6 v 7-8</v>
      </c>
    </row>
    <row r="212" spans="1:15" ht="13.95" customHeight="1">
      <c r="A212" s="6">
        <f t="shared" si="41"/>
        <v>46223</v>
      </c>
      <c r="B212" s="21">
        <f>'CHICLETS MASTER S1'!AL61</f>
        <v>0.66666666666666696</v>
      </c>
      <c r="C212" s="8" t="s">
        <v>200</v>
      </c>
      <c r="D212" s="334" t="str">
        <f t="shared" si="42"/>
        <v>SERVITE HS</v>
      </c>
      <c r="E212" s="8">
        <v>149</v>
      </c>
      <c r="F212" s="22" t="str">
        <f>IF(G205="","L121",IF(G205&lt;I205,_xlfn.CONCAT("L121-",RIGHT(F205,LEN(F205) - FIND("-",F205))), _xlfn.CONCAT("L121-",RIGHT(H205,LEN(H205) - FIND("-",H205)))))</f>
        <v>L121</v>
      </c>
      <c r="G212" s="22"/>
      <c r="H212" s="22" t="str">
        <f>IF(G204="","L117",IF(G204&lt;I204,_xlfn.CONCAT("L117-",RIGHT(F204,LEN(F204) - FIND("-",F204))), _xlfn.CONCAT("L117-",RIGHT(H204,LEN(H204) - FIND("-",H204)))))</f>
        <v>L117</v>
      </c>
      <c r="I212" s="22"/>
      <c r="J212" s="22">
        <v>182</v>
      </c>
      <c r="K212" s="22">
        <v>181</v>
      </c>
      <c r="L212" s="22" t="str">
        <f t="shared" si="39"/>
        <v>18GX-149</v>
      </c>
      <c r="O212" s="18" t="str">
        <f t="shared" si="40"/>
        <v>ag 9-12 semi</v>
      </c>
    </row>
    <row r="213" spans="1:15" ht="13.95" customHeight="1">
      <c r="A213" s="6">
        <f t="shared" si="41"/>
        <v>46223</v>
      </c>
      <c r="B213" s="21">
        <f>'CHICLETS MASTER S1'!AL62</f>
        <v>0.70833333333333304</v>
      </c>
      <c r="C213" s="8" t="s">
        <v>200</v>
      </c>
      <c r="D213" s="334" t="str">
        <f t="shared" si="42"/>
        <v>SERVITE HS</v>
      </c>
      <c r="E213" s="8">
        <v>153</v>
      </c>
      <c r="F213" s="22" t="str">
        <f>IF(G207="","L129",IF(G207&lt;I207,_xlfn.CONCAT("L129-",RIGHT(F207,LEN(F207) - FIND("-",F207))), _xlfn.CONCAT("L129-",RIGHT(H207,LEN(H207) - FIND("-",H207)))))</f>
        <v>L129</v>
      </c>
      <c r="G213" s="22"/>
      <c r="H213" s="22" t="str">
        <f>IF(G206="","L125",IF(G206&lt;I206,_xlfn.CONCAT("L125-",RIGHT(F206,LEN(F206) - FIND("-",F206))), _xlfn.CONCAT("L125-",RIGHT(H206,LEN(H206) - FIND("-",H206)))))</f>
        <v>L125</v>
      </c>
      <c r="I213" s="22"/>
      <c r="J213" s="22">
        <v>182</v>
      </c>
      <c r="K213" s="22">
        <v>181</v>
      </c>
      <c r="L213" s="22" t="str">
        <f t="shared" si="39"/>
        <v>18GX-153</v>
      </c>
      <c r="O213" s="18" t="str">
        <f t="shared" si="40"/>
        <v>ag 9-12 semi</v>
      </c>
    </row>
    <row r="214" spans="1:15" ht="13.95" customHeight="1">
      <c r="A214" s="6">
        <f t="shared" si="41"/>
        <v>46223</v>
      </c>
      <c r="B214" s="21">
        <f>'CHICLETS MASTER S1'!AL63</f>
        <v>0.75</v>
      </c>
      <c r="C214" s="8" t="s">
        <v>201</v>
      </c>
      <c r="D214" s="334" t="str">
        <f t="shared" si="42"/>
        <v>SERVITE HS</v>
      </c>
      <c r="E214" s="8">
        <v>157</v>
      </c>
      <c r="F214" s="22" t="str">
        <f>IF(G208="","L133",IF(G208&lt;I208,_xlfn.CONCAT("L133-",RIGHT(F208,LEN(F208) - FIND("-",F208))), _xlfn.CONCAT("L133-",RIGHT(H208,LEN(H208) - FIND("-",H208)))))</f>
        <v>L133</v>
      </c>
      <c r="G214" s="22"/>
      <c r="H214" s="22" t="str">
        <f>IF(G210="","W141",IF(G210&gt;I210,_xlfn.CONCAT("W141-",RIGHT(F210,LEN(F210) - FIND("-",F210))), _xlfn.CONCAT("W141-",RIGHT(H210,LEN(H210) - FIND("-",H210)))))</f>
        <v>W141</v>
      </c>
      <c r="I214" s="22"/>
      <c r="J214" s="22">
        <v>173</v>
      </c>
      <c r="K214" s="22">
        <v>186</v>
      </c>
      <c r="L214" s="22" t="str">
        <f t="shared" si="39"/>
        <v>18GX-157</v>
      </c>
      <c r="O214" s="18" t="str">
        <f t="shared" si="40"/>
        <v>ag play to semi</v>
      </c>
    </row>
    <row r="215" spans="1:15" ht="13.95" customHeight="1">
      <c r="A215" s="6">
        <f t="shared" si="41"/>
        <v>46223</v>
      </c>
      <c r="B215" s="21">
        <f>'CHICLETS MASTER S1'!AL64</f>
        <v>0.79166666666666696</v>
      </c>
      <c r="C215" s="8" t="s">
        <v>201</v>
      </c>
      <c r="D215" s="334" t="str">
        <f t="shared" si="42"/>
        <v>SERVITE HS</v>
      </c>
      <c r="E215" s="8">
        <v>161</v>
      </c>
      <c r="F215" s="22" t="str">
        <f>IF(G209="","L137",IF(G209&lt;I209,_xlfn.CONCAT("L137-",RIGHT(F209,LEN(F209) - FIND("-",F209))), _xlfn.CONCAT("L137-",RIGHT(H209,LEN(H209) - FIND("-",H209)))))</f>
        <v>L137</v>
      </c>
      <c r="G215" s="22"/>
      <c r="H215" s="22" t="str">
        <f>IF(G211="","W145",IF(G211&gt;I211,_xlfn.CONCAT("W145-",RIGHT(F211,LEN(F211) - FIND("-",F211))), _xlfn.CONCAT("W145-",RIGHT(H211,LEN(H211) - FIND("-",H211)))))</f>
        <v>W145</v>
      </c>
      <c r="I215" s="22"/>
      <c r="J215" s="22">
        <v>174</v>
      </c>
      <c r="K215" s="22">
        <v>186</v>
      </c>
      <c r="L215" s="22" t="str">
        <f t="shared" si="39"/>
        <v>18GX-161</v>
      </c>
      <c r="O215" s="18" t="str">
        <f t="shared" si="40"/>
        <v>ag play to semi</v>
      </c>
    </row>
    <row r="216" spans="1:15" ht="13.95" customHeight="1" thickBot="1">
      <c r="G216" s="18"/>
    </row>
    <row r="217" spans="1:15" ht="13.95" customHeight="1" thickBot="1">
      <c r="A217" s="23"/>
      <c r="B217" s="27"/>
      <c r="D217" s="244" t="str">
        <f>'CHICLETS MASTER S1'!$AP$51</f>
        <v>FULLERTON HS</v>
      </c>
      <c r="F217" s="18" t="s">
        <v>173</v>
      </c>
      <c r="G217" s="289" t="s">
        <v>173</v>
      </c>
      <c r="H217" s="18" t="s">
        <v>173</v>
      </c>
      <c r="I217" s="2"/>
      <c r="J217" s="2"/>
      <c r="K217" s="2"/>
      <c r="L217" s="2"/>
    </row>
    <row r="218" spans="1:15" ht="13.95" customHeight="1">
      <c r="A218" s="333" t="s">
        <v>110</v>
      </c>
      <c r="B218" s="333" t="s">
        <v>111</v>
      </c>
      <c r="C218" s="333" t="s">
        <v>112</v>
      </c>
      <c r="D218" s="333" t="s">
        <v>113</v>
      </c>
      <c r="E218" s="333" t="s">
        <v>114</v>
      </c>
      <c r="F218" s="333" t="s">
        <v>115</v>
      </c>
      <c r="G218" s="333" t="s">
        <v>116</v>
      </c>
      <c r="H218" s="333" t="s">
        <v>117</v>
      </c>
      <c r="I218" s="333" t="s">
        <v>116</v>
      </c>
      <c r="J218" s="333" t="s">
        <v>118</v>
      </c>
      <c r="K218" s="333" t="s">
        <v>119</v>
      </c>
      <c r="L218" s="333" t="s">
        <v>120</v>
      </c>
    </row>
    <row r="219" spans="1:15" ht="13.95" customHeight="1">
      <c r="A219" s="6">
        <f t="shared" ref="A219:A230" si="43">$A$201</f>
        <v>46223</v>
      </c>
      <c r="B219" s="21">
        <f>'CHICLETS MASTER S1'!AL53</f>
        <v>0.33333333333333331</v>
      </c>
      <c r="C219" s="8" t="s">
        <v>383</v>
      </c>
      <c r="D219" s="334" t="str">
        <f>$D$217</f>
        <v>FULLERTON HS</v>
      </c>
      <c r="E219" s="8">
        <v>118</v>
      </c>
      <c r="F219" s="22" t="s">
        <v>1829</v>
      </c>
      <c r="G219" s="22"/>
      <c r="H219" s="22" t="s">
        <v>1830</v>
      </c>
      <c r="I219" s="22"/>
      <c r="J219" s="22"/>
      <c r="K219" s="22"/>
      <c r="L219" s="22" t="str">
        <f t="shared" ref="L219:L230" si="44">IF(E219="","",$L$17&amp;"-"&amp;TEXT(E219,"000"))</f>
        <v>18GX-118</v>
      </c>
      <c r="O219" s="18" t="str">
        <f t="shared" ref="O219:O230" si="45">$L$124&amp;" "&amp;C219</f>
        <v>ag 21-24 RR</v>
      </c>
    </row>
    <row r="220" spans="1:15" ht="13.95" customHeight="1">
      <c r="A220" s="6">
        <f t="shared" si="43"/>
        <v>46223</v>
      </c>
      <c r="B220" s="21">
        <f>'CHICLETS MASTER S1'!AL54</f>
        <v>0.375</v>
      </c>
      <c r="C220" s="8" t="s">
        <v>383</v>
      </c>
      <c r="D220" s="334" t="str">
        <f t="shared" ref="D220:D230" si="46">$D$217</f>
        <v>FULLERTON HS</v>
      </c>
      <c r="E220" s="8">
        <v>122</v>
      </c>
      <c r="F220" s="22" t="s">
        <v>1831</v>
      </c>
      <c r="G220" s="22"/>
      <c r="H220" s="22" t="s">
        <v>1832</v>
      </c>
      <c r="I220" s="22"/>
      <c r="J220" s="22"/>
      <c r="K220" s="22"/>
      <c r="L220" s="22" t="str">
        <f t="shared" si="44"/>
        <v>18GX-122</v>
      </c>
      <c r="O220" s="18" t="str">
        <f t="shared" si="45"/>
        <v>ag 21-24 RR</v>
      </c>
    </row>
    <row r="221" spans="1:15" ht="13.95" customHeight="1">
      <c r="A221" s="6">
        <f t="shared" si="43"/>
        <v>46223</v>
      </c>
      <c r="B221" s="21">
        <f>'CHICLETS MASTER S1'!AL55</f>
        <v>0.41666666666666702</v>
      </c>
      <c r="C221" s="8" t="s">
        <v>388</v>
      </c>
      <c r="D221" s="334" t="str">
        <f t="shared" si="46"/>
        <v>FULLERTON HS</v>
      </c>
      <c r="E221" s="8">
        <v>126</v>
      </c>
      <c r="F221" s="22" t="str">
        <f>IF(G141="","L113",IF(G141&lt;I141,_xlfn.CONCAT("L113-",RIGHT(F141,LEN(F141) - FIND("-",F141))), _xlfn.CONCAT("L113-",RIGHT(H141,LEN(H141) - FIND("-",H141)))))</f>
        <v>L113</v>
      </c>
      <c r="G221" s="22"/>
      <c r="H221" s="22" t="s">
        <v>1833</v>
      </c>
      <c r="I221" s="22"/>
      <c r="J221" s="22">
        <v>150</v>
      </c>
      <c r="K221" s="22">
        <v>154</v>
      </c>
      <c r="L221" s="22" t="str">
        <f t="shared" si="44"/>
        <v>18GX-126</v>
      </c>
      <c r="O221" s="18" t="str">
        <f t="shared" si="45"/>
        <v>ag 13-20 qtr</v>
      </c>
    </row>
    <row r="222" spans="1:15" ht="13.95" customHeight="1">
      <c r="A222" s="6">
        <f t="shared" si="43"/>
        <v>46223</v>
      </c>
      <c r="B222" s="21">
        <f>'CHICLETS MASTER S1'!AL56</f>
        <v>0.45833333333333298</v>
      </c>
      <c r="C222" s="8" t="s">
        <v>388</v>
      </c>
      <c r="D222" s="334" t="str">
        <f t="shared" si="46"/>
        <v>FULLERTON HS</v>
      </c>
      <c r="E222" s="8">
        <v>130</v>
      </c>
      <c r="F222" s="22" t="str">
        <f>IF(G160="","L114",IF(G160&lt;I160,_xlfn.CONCAT("L114-",RIGHT(F160,LEN(F160) - FIND("-",F160))), _xlfn.CONCAT("L114-",RIGHT(H160,LEN(H160) - FIND("-",H160)))))</f>
        <v>L114</v>
      </c>
      <c r="G222" s="22"/>
      <c r="H222" s="22" t="s">
        <v>1834</v>
      </c>
      <c r="I222" s="22"/>
      <c r="J222" s="22">
        <v>150</v>
      </c>
      <c r="K222" s="22">
        <v>154</v>
      </c>
      <c r="L222" s="22" t="str">
        <f t="shared" si="44"/>
        <v>18GX-130</v>
      </c>
      <c r="O222" s="18" t="str">
        <f t="shared" si="45"/>
        <v>ag 13-20 qtr</v>
      </c>
    </row>
    <row r="223" spans="1:15" ht="13.95" customHeight="1">
      <c r="A223" s="6">
        <f t="shared" si="43"/>
        <v>46223</v>
      </c>
      <c r="B223" s="21">
        <f>'CHICLETS MASTER S1'!AL57</f>
        <v>0.5</v>
      </c>
      <c r="C223" s="8" t="s">
        <v>388</v>
      </c>
      <c r="D223" s="334" t="str">
        <f t="shared" si="46"/>
        <v>FULLERTON HS</v>
      </c>
      <c r="E223" s="8">
        <v>134</v>
      </c>
      <c r="F223" s="22" t="str">
        <f>IF(G140="","L109",IF(G140&lt;I140,_xlfn.CONCAT("L109-",RIGHT(F140,LEN(F140) - FIND("-",F140))), _xlfn.CONCAT("L109-",RIGHT(H140,LEN(H140) - FIND("-",H140)))))</f>
        <v>L109</v>
      </c>
      <c r="G223" s="22"/>
      <c r="H223" s="22" t="s">
        <v>1835</v>
      </c>
      <c r="I223" s="22"/>
      <c r="J223" s="22">
        <v>158</v>
      </c>
      <c r="K223" s="22">
        <v>162</v>
      </c>
      <c r="L223" s="22" t="str">
        <f t="shared" si="44"/>
        <v>18GX-134</v>
      </c>
      <c r="O223" s="18" t="str">
        <f t="shared" si="45"/>
        <v>ag 13-20 qtr</v>
      </c>
    </row>
    <row r="224" spans="1:15" ht="13.95" customHeight="1">
      <c r="A224" s="6">
        <f t="shared" si="43"/>
        <v>46223</v>
      </c>
      <c r="B224" s="21">
        <f>'CHICLETS MASTER S1'!AL58</f>
        <v>0.54166666666666696</v>
      </c>
      <c r="C224" s="8" t="s">
        <v>388</v>
      </c>
      <c r="D224" s="334" t="str">
        <f t="shared" si="46"/>
        <v>FULLERTON HS</v>
      </c>
      <c r="E224" s="8">
        <v>138</v>
      </c>
      <c r="F224" s="22" t="str">
        <f>IF(G159="","L110",IF(G159&lt;I159,_xlfn.CONCAT("L110-",RIGHT(F159,LEN(F159) - FIND("-",F159))), _xlfn.CONCAT("L110-",RIGHT(H159,LEN(H159) - FIND("-",H159)))))</f>
        <v>L110</v>
      </c>
      <c r="G224" s="22"/>
      <c r="H224" s="22" t="s">
        <v>1836</v>
      </c>
      <c r="I224" s="22"/>
      <c r="J224" s="22">
        <v>158</v>
      </c>
      <c r="K224" s="22">
        <v>162</v>
      </c>
      <c r="L224" s="22" t="str">
        <f t="shared" si="44"/>
        <v>18GX-138</v>
      </c>
      <c r="O224" s="18" t="str">
        <f t="shared" si="45"/>
        <v>ag 13-20 qtr</v>
      </c>
    </row>
    <row r="225" spans="1:15" ht="13.95" customHeight="1">
      <c r="A225" s="6">
        <f t="shared" si="43"/>
        <v>46223</v>
      </c>
      <c r="B225" s="21">
        <f>'CHICLETS MASTER S1'!AL59</f>
        <v>0.58333333333333304</v>
      </c>
      <c r="C225" s="8" t="s">
        <v>383</v>
      </c>
      <c r="D225" s="334" t="str">
        <f t="shared" si="46"/>
        <v>FULLERTON HS</v>
      </c>
      <c r="E225" s="8">
        <v>142</v>
      </c>
      <c r="F225" s="22" t="s">
        <v>1829</v>
      </c>
      <c r="G225" s="22"/>
      <c r="H225" s="22" t="s">
        <v>1832</v>
      </c>
      <c r="I225" s="22"/>
      <c r="J225" s="22"/>
      <c r="K225" s="22"/>
      <c r="L225" s="22" t="str">
        <f t="shared" si="44"/>
        <v>18GX-142</v>
      </c>
      <c r="O225" s="18" t="str">
        <f t="shared" si="45"/>
        <v>ag 21-24 RR</v>
      </c>
    </row>
    <row r="226" spans="1:15" ht="13.95" customHeight="1">
      <c r="A226" s="6">
        <f t="shared" si="43"/>
        <v>46223</v>
      </c>
      <c r="B226" s="21">
        <f>'CHICLETS MASTER S1'!AL60</f>
        <v>0.625</v>
      </c>
      <c r="C226" s="8" t="s">
        <v>383</v>
      </c>
      <c r="D226" s="334" t="str">
        <f t="shared" si="46"/>
        <v>FULLERTON HS</v>
      </c>
      <c r="E226" s="8">
        <v>146</v>
      </c>
      <c r="F226" s="22" t="s">
        <v>1831</v>
      </c>
      <c r="G226" s="22"/>
      <c r="H226" s="22" t="s">
        <v>1830</v>
      </c>
      <c r="I226" s="22"/>
      <c r="J226" s="22"/>
      <c r="K226" s="22"/>
      <c r="L226" s="22" t="str">
        <f t="shared" si="44"/>
        <v>18GX-146</v>
      </c>
      <c r="O226" s="18" t="str">
        <f t="shared" si="45"/>
        <v>ag 21-24 RR</v>
      </c>
    </row>
    <row r="227" spans="1:15" ht="13.95" customHeight="1">
      <c r="A227" s="6">
        <f t="shared" si="43"/>
        <v>46223</v>
      </c>
      <c r="B227" s="21">
        <f>'CHICLETS MASTER S1'!AL61</f>
        <v>0.66666666666666696</v>
      </c>
      <c r="C227" s="8" t="s">
        <v>393</v>
      </c>
      <c r="D227" s="334" t="str">
        <f t="shared" si="46"/>
        <v>FULLERTON HS</v>
      </c>
      <c r="E227" s="8">
        <v>150</v>
      </c>
      <c r="F227" s="22" t="str">
        <f>IF(G221="","W126",IF(G221&gt;I221,_xlfn.CONCAT("W126-",RIGHT(F221,LEN(F221) - FIND("-",F221))), _xlfn.CONCAT("W126-",RIGHT(H221,LEN(H221) - FIND("-",H221)))))</f>
        <v>W126</v>
      </c>
      <c r="G227" s="22"/>
      <c r="H227" s="22" t="str">
        <f>IF(G222="","W130",IF(G222&gt;I222,_xlfn.CONCAT("W130-",RIGHT(F222,LEN(F222) - FIND("-",F222))), _xlfn.CONCAT("W130-",RIGHT(H222,LEN(H222) - FIND("-",H222)))))</f>
        <v>W130</v>
      </c>
      <c r="I227" s="22"/>
      <c r="J227" s="22">
        <v>178</v>
      </c>
      <c r="K227" s="22">
        <v>177</v>
      </c>
      <c r="L227" s="22" t="str">
        <f t="shared" si="44"/>
        <v>18GX-150</v>
      </c>
      <c r="O227" s="18" t="str">
        <f t="shared" si="45"/>
        <v>ag 13-16 semi</v>
      </c>
    </row>
    <row r="228" spans="1:15" ht="13.95" customHeight="1">
      <c r="A228" s="6">
        <f t="shared" si="43"/>
        <v>46223</v>
      </c>
      <c r="B228" s="21">
        <f>'CHICLETS MASTER S1'!AL62</f>
        <v>0.70833333333333304</v>
      </c>
      <c r="C228" s="8" t="s">
        <v>394</v>
      </c>
      <c r="D228" s="334" t="str">
        <f t="shared" si="46"/>
        <v>FULLERTON HS</v>
      </c>
      <c r="E228" s="8">
        <v>154</v>
      </c>
      <c r="F228" s="22" t="str">
        <f>IF(G222="","L130",IF(G222&lt;I222,_xlfn.CONCAT("L130-",RIGHT(F222,LEN(F222) - FIND("-",F222))), _xlfn.CONCAT("L130-",RIGHT(H222,LEN(H222) - FIND("-",H222)))))</f>
        <v>L130</v>
      </c>
      <c r="G228" s="22"/>
      <c r="H228" s="22" t="str">
        <f>IF(G221="","L126",IF(G221&lt;I221,_xlfn.CONCAT("L126-",RIGHT(F221,LEN(F221) - FIND("-",F221))), _xlfn.CONCAT("L126-",RIGHT(H221,LEN(H221) - FIND("-",H221)))))</f>
        <v>L126</v>
      </c>
      <c r="I228" s="22"/>
      <c r="J228" s="22">
        <v>170</v>
      </c>
      <c r="K228" s="22">
        <v>169</v>
      </c>
      <c r="L228" s="22" t="str">
        <f t="shared" si="44"/>
        <v>18GX-154</v>
      </c>
      <c r="O228" s="18" t="str">
        <f t="shared" si="45"/>
        <v>ag 17-20 semi</v>
      </c>
    </row>
    <row r="229" spans="1:15" ht="13.95" customHeight="1">
      <c r="A229" s="6">
        <f t="shared" si="43"/>
        <v>46223</v>
      </c>
      <c r="B229" s="21">
        <f>'CHICLETS MASTER S1'!AL63</f>
        <v>0.75</v>
      </c>
      <c r="C229" s="8" t="s">
        <v>393</v>
      </c>
      <c r="D229" s="334" t="str">
        <f t="shared" si="46"/>
        <v>FULLERTON HS</v>
      </c>
      <c r="E229" s="8">
        <v>158</v>
      </c>
      <c r="F229" s="22" t="str">
        <f>IF(G212="","W134",IF(G223&gt;I223,_xlfn.CONCAT("W134-",RIGHT(F223,LEN(F223) - FIND("-",F223))), _xlfn.CONCAT("W134-",RIGHT(H223,LEN(H223) - FIND("-",H223)))))</f>
        <v>W134</v>
      </c>
      <c r="G229" s="22"/>
      <c r="H229" s="22" t="str">
        <f>IF(G224="","W138",IF(G224&gt;I224,_xlfn.CONCAT("W138-",RIGHT(F224,LEN(F224) - FIND("-",F224))), _xlfn.CONCAT("W138-",RIGHT(H224,LEN(H224) - FIND("-",H224)))))</f>
        <v>W138</v>
      </c>
      <c r="I229" s="22"/>
      <c r="J229" s="22">
        <v>178</v>
      </c>
      <c r="K229" s="22">
        <v>177</v>
      </c>
      <c r="L229" s="22" t="str">
        <f t="shared" si="44"/>
        <v>18GX-158</v>
      </c>
      <c r="O229" s="18" t="str">
        <f t="shared" si="45"/>
        <v>ag 13-16 semi</v>
      </c>
    </row>
    <row r="230" spans="1:15" ht="13.95" customHeight="1">
      <c r="A230" s="6">
        <f t="shared" si="43"/>
        <v>46223</v>
      </c>
      <c r="B230" s="21">
        <f>'CHICLETS MASTER S1'!AL64</f>
        <v>0.79166666666666696</v>
      </c>
      <c r="C230" s="8" t="s">
        <v>394</v>
      </c>
      <c r="D230" s="334" t="str">
        <f t="shared" si="46"/>
        <v>FULLERTON HS</v>
      </c>
      <c r="E230" s="8">
        <v>162</v>
      </c>
      <c r="F230" s="22" t="str">
        <f>IF(G224="","L138",IF(G224&lt;I224,_xlfn.CONCAT("L138-",RIGHT(F224,LEN(F224) - FIND("-",F224))), _xlfn.CONCAT("L138-",RIGHT(H224,LEN(H224) - FIND("-",H224)))))</f>
        <v>L138</v>
      </c>
      <c r="G230" s="22"/>
      <c r="H230" s="22" t="str">
        <f>IF(G223="","L134",IF(G223&lt;I223,_xlfn.CONCAT("L134-",RIGHT(F223,LEN(F223) - FIND("-",F223))), _xlfn.CONCAT("L134-",RIGHT(H223,LEN(H223) - FIND("-",H223)))))</f>
        <v>L134</v>
      </c>
      <c r="I230" s="22"/>
      <c r="J230" s="22">
        <v>170</v>
      </c>
      <c r="K230" s="22">
        <v>169</v>
      </c>
      <c r="L230" s="22" t="str">
        <f t="shared" si="44"/>
        <v>18GX-162</v>
      </c>
      <c r="O230" s="18" t="str">
        <f t="shared" si="45"/>
        <v>ag 17-20 semi</v>
      </c>
    </row>
    <row r="231" spans="1:15" ht="13.95" customHeight="1" thickBot="1">
      <c r="A231" s="23"/>
      <c r="B231" s="27"/>
      <c r="C231" s="2"/>
      <c r="D231" s="2"/>
      <c r="E231" s="2"/>
      <c r="F231" s="2"/>
      <c r="G231" s="19"/>
      <c r="H231" s="2"/>
      <c r="I231" s="2"/>
      <c r="J231" s="2"/>
      <c r="K231" s="2"/>
      <c r="L231" s="2"/>
    </row>
    <row r="232" spans="1:15" ht="13.95" customHeight="1" thickBot="1">
      <c r="B232" s="2"/>
      <c r="C232" s="2"/>
      <c r="D232" s="244" t="str">
        <f>'CHICLETS MASTER S1'!$AR$51</f>
        <v>SONORA HS</v>
      </c>
      <c r="E232" s="2"/>
      <c r="F232" s="2"/>
      <c r="G232" s="19"/>
      <c r="H232" s="2"/>
      <c r="I232" s="2"/>
      <c r="J232" s="2"/>
      <c r="K232" s="2"/>
      <c r="L232" s="2"/>
    </row>
    <row r="233" spans="1:15" ht="13.95" customHeight="1">
      <c r="A233" s="333" t="s">
        <v>110</v>
      </c>
      <c r="B233" s="333" t="s">
        <v>111</v>
      </c>
      <c r="C233" s="333" t="s">
        <v>112</v>
      </c>
      <c r="D233" s="333" t="s">
        <v>113</v>
      </c>
      <c r="E233" s="333" t="s">
        <v>114</v>
      </c>
      <c r="F233" s="333" t="s">
        <v>115</v>
      </c>
      <c r="G233" s="333" t="s">
        <v>116</v>
      </c>
      <c r="H233" s="333" t="s">
        <v>117</v>
      </c>
      <c r="I233" s="333" t="s">
        <v>116</v>
      </c>
      <c r="J233" s="333" t="s">
        <v>118</v>
      </c>
      <c r="K233" s="333" t="s">
        <v>119</v>
      </c>
      <c r="L233" s="333" t="s">
        <v>120</v>
      </c>
    </row>
    <row r="234" spans="1:15" ht="13.95" customHeight="1">
      <c r="A234" s="6">
        <f t="shared" ref="A234:A245" si="47">$A$201</f>
        <v>46223</v>
      </c>
      <c r="B234" s="21">
        <f>'CHICLETS MASTER S1'!AL53</f>
        <v>0.33333333333333331</v>
      </c>
      <c r="C234" s="8" t="s">
        <v>189</v>
      </c>
      <c r="D234" s="334" t="str">
        <f>$D$232</f>
        <v>SONORA HS</v>
      </c>
      <c r="E234" s="8">
        <v>119</v>
      </c>
      <c r="F234" s="337" t="s">
        <v>1837</v>
      </c>
      <c r="G234" s="337"/>
      <c r="H234" s="337" t="str">
        <f>IF(G197="","W112",IF(G197&gt;I197,_xlfn.CONCAT("W112-",RIGHT(F197,LEN(F197) - FIND("-",F197))), _xlfn.CONCAT("W112-",RIGHT(H197,LEN(H197) - FIND("-",H197)))))</f>
        <v>W112</v>
      </c>
      <c r="I234" s="337"/>
      <c r="J234" s="337">
        <v>143</v>
      </c>
      <c r="K234" s="337">
        <v>151</v>
      </c>
      <c r="L234" s="337" t="str">
        <f t="shared" ref="L234:L245" si="48">IF(E234="","",$L$17&amp;"-"&amp;TEXT(E234,"000"))</f>
        <v>18GX-119</v>
      </c>
      <c r="O234" s="18" t="str">
        <f t="shared" ref="O234:O245" si="49">$L$162&amp;" "&amp;C234</f>
        <v>bz 5-8 v 9-12</v>
      </c>
    </row>
    <row r="235" spans="1:15" ht="13.95" customHeight="1">
      <c r="A235" s="6">
        <f t="shared" si="47"/>
        <v>46223</v>
      </c>
      <c r="B235" s="21">
        <f>'CHICLETS MASTER S1'!AL54</f>
        <v>0.375</v>
      </c>
      <c r="C235" s="8" t="s">
        <v>189</v>
      </c>
      <c r="D235" s="334" t="str">
        <f t="shared" ref="D235:D245" si="50">$D$232</f>
        <v>SONORA HS</v>
      </c>
      <c r="E235" s="8">
        <v>123</v>
      </c>
      <c r="F235" s="337" t="s">
        <v>1838</v>
      </c>
      <c r="G235" s="337"/>
      <c r="H235" s="337" t="str">
        <f>IF(G179="","W115",IF(G179&gt;I179,_xlfn.CONCAT("W115-",RIGHT(F179,LEN(F179) - FIND("-",F179))), _xlfn.CONCAT("W115-",RIGHT(H179,LEN(H179) - FIND("-",H179)))))</f>
        <v>W115</v>
      </c>
      <c r="I235" s="337"/>
      <c r="J235" s="337">
        <v>143</v>
      </c>
      <c r="K235" s="337">
        <v>151</v>
      </c>
      <c r="L235" s="337" t="str">
        <f t="shared" si="48"/>
        <v>18GX-123</v>
      </c>
      <c r="O235" s="18" t="str">
        <f t="shared" si="49"/>
        <v>bz 5-8 v 9-12</v>
      </c>
    </row>
    <row r="236" spans="1:15" ht="13.95" customHeight="1">
      <c r="A236" s="6">
        <f t="shared" si="47"/>
        <v>46223</v>
      </c>
      <c r="B236" s="21">
        <f>'CHICLETS MASTER S1'!AL55</f>
        <v>0.41666666666666702</v>
      </c>
      <c r="C236" s="8" t="s">
        <v>189</v>
      </c>
      <c r="D236" s="334" t="str">
        <f t="shared" si="50"/>
        <v>SONORA HS</v>
      </c>
      <c r="E236" s="8">
        <v>127</v>
      </c>
      <c r="F236" s="337" t="s">
        <v>1548</v>
      </c>
      <c r="G236" s="337"/>
      <c r="H236" s="337" t="str">
        <f>IF(G198="","W116",IF(G198&gt;I198,_xlfn.CONCAT("W116-",RIGHT(F198,LEN(F198) - FIND("-",F198))), _xlfn.CONCAT("W116-",RIGHT(H198,LEN(H198) - FIND("-",H198)))))</f>
        <v>W116</v>
      </c>
      <c r="I236" s="337"/>
      <c r="J236" s="337">
        <v>147</v>
      </c>
      <c r="K236" s="337">
        <v>155</v>
      </c>
      <c r="L236" s="337" t="str">
        <f t="shared" si="48"/>
        <v>18GX-127</v>
      </c>
      <c r="O236" s="18" t="str">
        <f t="shared" si="49"/>
        <v>bz 5-8 v 9-12</v>
      </c>
    </row>
    <row r="237" spans="1:15" ht="13.95" customHeight="1">
      <c r="A237" s="6">
        <f t="shared" si="47"/>
        <v>46223</v>
      </c>
      <c r="B237" s="21">
        <f>'CHICLETS MASTER S1'!AL56</f>
        <v>0.45833333333333298</v>
      </c>
      <c r="C237" s="8" t="s">
        <v>189</v>
      </c>
      <c r="D237" s="334" t="str">
        <f t="shared" si="50"/>
        <v>SONORA HS</v>
      </c>
      <c r="E237" s="8">
        <v>131</v>
      </c>
      <c r="F237" s="337" t="s">
        <v>1839</v>
      </c>
      <c r="G237" s="337"/>
      <c r="H237" s="337" t="str">
        <f>IF(G178="","W111",IF(G178&gt;I178,_xlfn.CONCAT("W111-",RIGHT(F178,LEN(F178) - FIND("-",F178))), _xlfn.CONCAT("W111-",RIGHT(H178,LEN(H178) - FIND("-",H178)))))</f>
        <v>W111</v>
      </c>
      <c r="I237" s="337"/>
      <c r="J237" s="337">
        <v>147</v>
      </c>
      <c r="K237" s="337">
        <v>155</v>
      </c>
      <c r="L237" s="337" t="str">
        <f t="shared" si="48"/>
        <v>18GX-131</v>
      </c>
      <c r="O237" s="18" t="str">
        <f t="shared" si="49"/>
        <v>bz 5-8 v 9-12</v>
      </c>
    </row>
    <row r="238" spans="1:15" ht="13.95" customHeight="1">
      <c r="A238" s="6">
        <f t="shared" si="47"/>
        <v>46223</v>
      </c>
      <c r="B238" s="21">
        <f>'CHICLETS MASTER S1'!AL57</f>
        <v>0.5</v>
      </c>
      <c r="C238" s="8" t="s">
        <v>194</v>
      </c>
      <c r="D238" s="334" t="str">
        <f t="shared" si="50"/>
        <v>SONORA HS</v>
      </c>
      <c r="E238" s="8">
        <v>135</v>
      </c>
      <c r="F238" s="337" t="s">
        <v>1840</v>
      </c>
      <c r="G238" s="337"/>
      <c r="H238" s="337" t="s">
        <v>1543</v>
      </c>
      <c r="I238" s="337"/>
      <c r="J238" s="337">
        <v>172</v>
      </c>
      <c r="K238" s="337">
        <v>159</v>
      </c>
      <c r="L238" s="337" t="str">
        <f t="shared" si="48"/>
        <v>18GX-135</v>
      </c>
      <c r="O238" s="18" t="str">
        <f t="shared" si="49"/>
        <v>bz 1-2 v 3-4</v>
      </c>
    </row>
    <row r="239" spans="1:15" ht="13.95" customHeight="1">
      <c r="A239" s="6">
        <f t="shared" si="47"/>
        <v>46223</v>
      </c>
      <c r="B239" s="21">
        <f>'CHICLETS MASTER S1'!AL58</f>
        <v>0.54166666666666696</v>
      </c>
      <c r="C239" s="8" t="s">
        <v>194</v>
      </c>
      <c r="D239" s="334" t="str">
        <f t="shared" si="50"/>
        <v>SONORA HS</v>
      </c>
      <c r="E239" s="8">
        <v>139</v>
      </c>
      <c r="F239" s="337" t="s">
        <v>1841</v>
      </c>
      <c r="G239" s="337"/>
      <c r="H239" s="337" t="s">
        <v>1842</v>
      </c>
      <c r="I239" s="337"/>
      <c r="J239" s="337">
        <v>171</v>
      </c>
      <c r="K239" s="337">
        <v>163</v>
      </c>
      <c r="L239" s="337" t="str">
        <f t="shared" si="48"/>
        <v>18GX-139</v>
      </c>
      <c r="O239" s="18" t="str">
        <f t="shared" si="49"/>
        <v>bz 1-2 v 3-4</v>
      </c>
    </row>
    <row r="240" spans="1:15" ht="13.95" customHeight="1">
      <c r="A240" s="6">
        <f t="shared" si="47"/>
        <v>46223</v>
      </c>
      <c r="B240" s="21">
        <f>'CHICLETS MASTER S1'!AL59</f>
        <v>0.58333333333333304</v>
      </c>
      <c r="C240" s="8" t="s">
        <v>199</v>
      </c>
      <c r="D240" s="334" t="str">
        <f t="shared" si="50"/>
        <v>SONORA HS</v>
      </c>
      <c r="E240" s="8">
        <v>143</v>
      </c>
      <c r="F240" s="337" t="str">
        <f>IF(G234="","W119",IF(G234&gt;I234,_xlfn.CONCAT("W119-",RIGHT(F234,LEN(F234) - FIND("-",F234))), _xlfn.CONCAT("W119-",RIGHT(H234,LEN(H234) - FIND("-",H234)))))</f>
        <v>W119</v>
      </c>
      <c r="G240" s="337"/>
      <c r="H240" s="337" t="str">
        <f>IF(G235="","W123",IF(G235&gt;I235,_xlfn.CONCAT("W123-",RIGHT(F235,LEN(F235) - FIND("-",F235))), _xlfn.CONCAT("W123-",RIGHT(H235,LEN(H235) - FIND("-",H235)))))</f>
        <v>W123</v>
      </c>
      <c r="I240" s="337"/>
      <c r="J240" s="337">
        <v>159</v>
      </c>
      <c r="K240" s="337">
        <v>188</v>
      </c>
      <c r="L240" s="337" t="str">
        <f t="shared" si="48"/>
        <v>18GX-143</v>
      </c>
      <c r="O240" s="18" t="str">
        <f t="shared" si="49"/>
        <v>bz 5-6 v 7-8</v>
      </c>
    </row>
    <row r="241" spans="1:15" ht="13.95" customHeight="1">
      <c r="A241" s="6">
        <f t="shared" si="47"/>
        <v>46223</v>
      </c>
      <c r="B241" s="21">
        <f>'CHICLETS MASTER S1'!AL60</f>
        <v>0.625</v>
      </c>
      <c r="C241" s="8" t="s">
        <v>199</v>
      </c>
      <c r="D241" s="334" t="str">
        <f t="shared" si="50"/>
        <v>SONORA HS</v>
      </c>
      <c r="E241" s="8">
        <v>147</v>
      </c>
      <c r="F241" s="337" t="str">
        <f>IF(G236="","W127",IF(G236&gt;I236,_xlfn.CONCAT("W127-",RIGHT(F236,LEN(F236) - FIND("-",F236))), _xlfn.CONCAT("W127-",RIGHT(H236,LEN(H236) - FIND("-",H236)))))</f>
        <v>W127</v>
      </c>
      <c r="G241" s="337"/>
      <c r="H241" s="337" t="str">
        <f>IF(G237="","W131",IF(G237&gt;I237,_xlfn.CONCAT("W131-",RIGHT(F237,LEN(F237) - FIND("-",F237))), _xlfn.CONCAT("W131-",RIGHT(H237,LEN(H237) - FIND("-",H237)))))</f>
        <v>W131</v>
      </c>
      <c r="I241" s="337"/>
      <c r="J241" s="337">
        <v>163</v>
      </c>
      <c r="K241" s="337">
        <v>188</v>
      </c>
      <c r="L241" s="337" t="str">
        <f t="shared" si="48"/>
        <v>18GX-147</v>
      </c>
      <c r="O241" s="18" t="str">
        <f t="shared" si="49"/>
        <v>bz 5-6 v 7-8</v>
      </c>
    </row>
    <row r="242" spans="1:15" ht="13.95" customHeight="1">
      <c r="A242" s="6">
        <f t="shared" si="47"/>
        <v>46223</v>
      </c>
      <c r="B242" s="21">
        <f>'CHICLETS MASTER S1'!AL61</f>
        <v>0.66666666666666696</v>
      </c>
      <c r="C242" s="8" t="s">
        <v>200</v>
      </c>
      <c r="D242" s="334" t="str">
        <f t="shared" si="50"/>
        <v>SONORA HS</v>
      </c>
      <c r="E242" s="8">
        <v>151</v>
      </c>
      <c r="F242" s="337" t="str">
        <f>IF(G235="","L123",IF(G235&lt;I235,_xlfn.CONCAT("L123-",RIGHT(F235,LEN(F235) - FIND("-",F235))), _xlfn.CONCAT("L123-",RIGHT(H235,LEN(H235) - FIND("-",H235)))))</f>
        <v>L123</v>
      </c>
      <c r="G242" s="337"/>
      <c r="H242" s="337" t="str">
        <f>IF(G234="","L119",IF(G234&lt;I234,_xlfn.CONCAT("L119-",RIGHT(F234,LEN(F234) - FIND("-",F234))), _xlfn.CONCAT("L119-",RIGHT(H234,LEN(H234) - FIND("-",H234)))))</f>
        <v>L119</v>
      </c>
      <c r="I242" s="337"/>
      <c r="J242" s="337">
        <v>183</v>
      </c>
      <c r="K242" s="337">
        <v>184</v>
      </c>
      <c r="L242" s="337" t="str">
        <f t="shared" si="48"/>
        <v>18GX-151</v>
      </c>
      <c r="O242" s="18" t="str">
        <f t="shared" si="49"/>
        <v>bz 9-12 semi</v>
      </c>
    </row>
    <row r="243" spans="1:15" ht="13.95" customHeight="1">
      <c r="A243" s="6">
        <f t="shared" si="47"/>
        <v>46223</v>
      </c>
      <c r="B243" s="21">
        <f>'CHICLETS MASTER S1'!AL62</f>
        <v>0.70833333333333304</v>
      </c>
      <c r="C243" s="8" t="s">
        <v>200</v>
      </c>
      <c r="D243" s="334" t="str">
        <f t="shared" si="50"/>
        <v>SONORA HS</v>
      </c>
      <c r="E243" s="8">
        <v>155</v>
      </c>
      <c r="F243" s="337" t="str">
        <f>IF(G237="","L131",IF(G237&lt;I237,_xlfn.CONCAT("L131-",RIGHT(F237,LEN(F237) - FIND("-",F237))), _xlfn.CONCAT("L131-",RIGHT(H237,LEN(H237) - FIND("-",H237)))))</f>
        <v>L131</v>
      </c>
      <c r="G243" s="337"/>
      <c r="H243" s="337" t="str">
        <f>IF(G236="","L127",IF(G236&lt;I236,_xlfn.CONCAT("L127-",RIGHT(F236,LEN(F236) - FIND("-",F236))), _xlfn.CONCAT("L127-",RIGHT(H236,LEN(H236) - FIND("-",H236)))))</f>
        <v>L127</v>
      </c>
      <c r="I243" s="337"/>
      <c r="J243" s="337">
        <v>183</v>
      </c>
      <c r="K243" s="337">
        <v>184</v>
      </c>
      <c r="L243" s="337" t="str">
        <f t="shared" si="48"/>
        <v>18GX-155</v>
      </c>
      <c r="O243" s="18" t="str">
        <f t="shared" si="49"/>
        <v>bz 9-12 semi</v>
      </c>
    </row>
    <row r="244" spans="1:15" ht="13.95" customHeight="1">
      <c r="A244" s="6">
        <f t="shared" si="47"/>
        <v>46223</v>
      </c>
      <c r="B244" s="21">
        <f>'CHICLETS MASTER S1'!AL63</f>
        <v>0.75</v>
      </c>
      <c r="C244" s="8" t="s">
        <v>201</v>
      </c>
      <c r="D244" s="334" t="str">
        <f t="shared" si="50"/>
        <v>SONORA HS</v>
      </c>
      <c r="E244" s="8">
        <v>159</v>
      </c>
      <c r="F244" s="337" t="str">
        <f>IF(G238="","L135",IF(G238&lt;I238,_xlfn.CONCAT("L135-",RIGHT(F238,LEN(F238) - FIND("-",F238))), _xlfn.CONCAT("L135-",RIGHT(H238,LEN(H238) - FIND("-",H238)))))</f>
        <v>L135</v>
      </c>
      <c r="G244" s="337"/>
      <c r="H244" s="337" t="str">
        <f>IF(G240="","W143",IF(G240&gt;I240,_xlfn.CONCAT("W143-",RIGHT(F240,LEN(F240) - FIND("-",F240))), _xlfn.CONCAT("W143-",RIGHT(H240,LEN(H240) - FIND("-",H240)))))</f>
        <v>W143</v>
      </c>
      <c r="I244" s="337"/>
      <c r="J244" s="337">
        <v>171</v>
      </c>
      <c r="K244" s="337">
        <v>187</v>
      </c>
      <c r="L244" s="337" t="str">
        <f t="shared" si="48"/>
        <v>18GX-159</v>
      </c>
      <c r="O244" s="18" t="str">
        <f t="shared" si="49"/>
        <v>bz play to semi</v>
      </c>
    </row>
    <row r="245" spans="1:15" ht="13.95" customHeight="1">
      <c r="A245" s="6">
        <f t="shared" si="47"/>
        <v>46223</v>
      </c>
      <c r="B245" s="21">
        <f>'CHICLETS MASTER S1'!AL64</f>
        <v>0.79166666666666696</v>
      </c>
      <c r="C245" s="8" t="s">
        <v>201</v>
      </c>
      <c r="D245" s="334" t="str">
        <f t="shared" si="50"/>
        <v>SONORA HS</v>
      </c>
      <c r="E245" s="8">
        <v>163</v>
      </c>
      <c r="F245" s="337" t="str">
        <f>IF(G239="","L139",IF(G239&lt;I239,_xlfn.CONCAT("L139-",RIGHT(F239,LEN(F239) - FIND("-",F239))), _xlfn.CONCAT("L139-",RIGHT(H239,LEN(H239) - FIND("-",H239)))))</f>
        <v>L139</v>
      </c>
      <c r="G245" s="337"/>
      <c r="H245" s="337" t="str">
        <f>IF(G241="","W147",IF(G241&gt;I241,_xlfn.CONCAT("W147-",RIGHT(F241,LEN(F241) - FIND("-",F241))), _xlfn.CONCAT("W147-",RIGHT(H241,LEN(H241) - FIND("-",H241)))))</f>
        <v>W147</v>
      </c>
      <c r="I245" s="337"/>
      <c r="J245" s="337">
        <v>172</v>
      </c>
      <c r="K245" s="337">
        <v>187</v>
      </c>
      <c r="L245" s="337" t="str">
        <f t="shared" si="48"/>
        <v>18GX-163</v>
      </c>
      <c r="O245" s="18" t="str">
        <f t="shared" si="49"/>
        <v>bz play to semi</v>
      </c>
    </row>
    <row r="246" spans="1:15" ht="13.95" customHeight="1" thickBot="1">
      <c r="G246" s="18"/>
    </row>
    <row r="247" spans="1:15" ht="13.95" customHeight="1" thickBot="1">
      <c r="A247" s="23"/>
      <c r="B247" s="27"/>
      <c r="C247" s="2"/>
      <c r="D247" s="244" t="str">
        <f>'CHICLETS MASTER S1'!$AE$51</f>
        <v>OCEAN VIEW HS 1</v>
      </c>
      <c r="E247" s="2"/>
      <c r="F247" s="2"/>
      <c r="G247" s="19"/>
      <c r="H247" s="2"/>
      <c r="I247" s="2"/>
      <c r="J247" s="2"/>
      <c r="K247" s="2"/>
      <c r="L247" s="2"/>
    </row>
    <row r="248" spans="1:15" ht="13.95" customHeight="1">
      <c r="A248" s="333" t="s">
        <v>110</v>
      </c>
      <c r="B248" s="333" t="s">
        <v>111</v>
      </c>
      <c r="C248" s="333" t="s">
        <v>112</v>
      </c>
      <c r="D248" s="333" t="s">
        <v>113</v>
      </c>
      <c r="E248" s="333" t="s">
        <v>114</v>
      </c>
      <c r="F248" s="333" t="s">
        <v>115</v>
      </c>
      <c r="G248" s="333" t="s">
        <v>116</v>
      </c>
      <c r="H248" s="333" t="s">
        <v>117</v>
      </c>
      <c r="I248" s="333" t="s">
        <v>116</v>
      </c>
      <c r="J248" s="333" t="s">
        <v>118</v>
      </c>
      <c r="K248" s="333" t="s">
        <v>119</v>
      </c>
      <c r="L248" s="333" t="s">
        <v>120</v>
      </c>
    </row>
    <row r="249" spans="1:15" ht="13.95" customHeight="1">
      <c r="A249" s="6">
        <f t="shared" ref="A249:A259" si="51">$A$201</f>
        <v>46223</v>
      </c>
      <c r="B249" s="21">
        <f>'CHICLETS MASTER S1'!AL53</f>
        <v>0.33333333333333331</v>
      </c>
      <c r="C249" s="8" t="s">
        <v>388</v>
      </c>
      <c r="D249" s="334" t="str">
        <f t="shared" ref="D249:D252" si="52">$D$247</f>
        <v>OCEAN VIEW HS 1</v>
      </c>
      <c r="E249" s="8">
        <v>128</v>
      </c>
      <c r="F249" s="337" t="str">
        <f>IF(G179="","L115",IF(G179&lt;I179,_xlfn.CONCAT("L115-",RIGHT(F179,LEN(F179) - FIND("-",F179))), _xlfn.CONCAT("L115-",RIGHT(H179,LEN(H179) - FIND("-",H179)))))</f>
        <v>L115</v>
      </c>
      <c r="G249" s="337"/>
      <c r="H249" s="337" t="str">
        <f>IF(G192="","L100",IF(G192&lt;I192,_xlfn.CONCAT("L100-",RIGHT(F192,LEN(F192) - FIND("-",F192))), _xlfn.CONCAT("L100-",RIGHT(H192,LEN(H192) - FIND("-",H192)))))</f>
        <v>L100</v>
      </c>
      <c r="I249" s="337"/>
      <c r="J249" s="337">
        <v>152</v>
      </c>
      <c r="K249" s="337">
        <v>156</v>
      </c>
      <c r="L249" s="337" t="str">
        <f t="shared" ref="L249:L259" si="53">IF(E249="","",$L$17&amp;"-"&amp;TEXT(E249,"000"))</f>
        <v>18GX-128</v>
      </c>
      <c r="O249" s="18" t="str">
        <f t="shared" ref="O249:O259" si="54">$L$162&amp;" "&amp;C249</f>
        <v>bz 13-20 qtr</v>
      </c>
    </row>
    <row r="250" spans="1:15" ht="13.95" customHeight="1">
      <c r="A250" s="6">
        <f t="shared" si="51"/>
        <v>46223</v>
      </c>
      <c r="B250" s="21">
        <f>'CHICLETS MASTER S1'!AL54</f>
        <v>0.375</v>
      </c>
      <c r="C250" s="8" t="s">
        <v>388</v>
      </c>
      <c r="D250" s="334" t="str">
        <f t="shared" si="52"/>
        <v>OCEAN VIEW HS 1</v>
      </c>
      <c r="E250" s="8">
        <v>132</v>
      </c>
      <c r="F250" s="337" t="str">
        <f>IF(G198="","L116",IF(G198&lt;I198,_xlfn.CONCAT("L116-",RIGHT(F198,LEN(F198) - FIND("-",F198))), _xlfn.CONCAT("L116-",RIGHT(H198,LEN(H198) - FIND("-",H198)))))</f>
        <v>L116</v>
      </c>
      <c r="G250" s="337"/>
      <c r="H250" s="337" t="str">
        <f>IF(G173="","L99",IF(G173&lt;I173,_xlfn.CONCAT("L99-",RIGHT(F173,LEN(F173) - FIND("-",F173))), _xlfn.CONCAT("L99-",RIGHT(H173,LEN(H173) - FIND("-",H173)))))</f>
        <v>L99</v>
      </c>
      <c r="I250" s="337"/>
      <c r="J250" s="337">
        <v>152</v>
      </c>
      <c r="K250" s="337">
        <v>156</v>
      </c>
      <c r="L250" s="337" t="str">
        <f t="shared" si="53"/>
        <v>18GX-132</v>
      </c>
      <c r="O250" s="18" t="str">
        <f t="shared" si="54"/>
        <v>bz 13-20 qtr</v>
      </c>
    </row>
    <row r="251" spans="1:15" ht="13.95" customHeight="1">
      <c r="A251" s="6">
        <f t="shared" si="51"/>
        <v>46223</v>
      </c>
      <c r="B251" s="21">
        <f>'CHICLETS MASTER S1'!AL55</f>
        <v>0.41666666666666702</v>
      </c>
      <c r="C251" s="8" t="s">
        <v>388</v>
      </c>
      <c r="D251" s="334" t="str">
        <f t="shared" si="52"/>
        <v>OCEAN VIEW HS 1</v>
      </c>
      <c r="E251" s="8">
        <v>136</v>
      </c>
      <c r="F251" s="337" t="str">
        <f>IF(G178="","L111",IF(G178&lt;I178,_xlfn.CONCAT("L111-",RIGHT(F178,LEN(F178) - FIND("-",F178))), _xlfn.CONCAT("L111-",RIGHT(H178,LEN(H178) - FIND("-",H178)))))</f>
        <v>L111</v>
      </c>
      <c r="G251" s="337"/>
      <c r="H251" s="337" t="str">
        <f>IF(G191="","L96",IF(G191&lt;I191,_xlfn.CONCAT("L96-",RIGHT(F191,LEN(F191) - FIND("-",F191))), _xlfn.CONCAT("L96-",RIGHT(H191,LEN(H191) - FIND("-",H191)))))</f>
        <v>L96</v>
      </c>
      <c r="I251" s="337"/>
      <c r="J251" s="337">
        <v>160</v>
      </c>
      <c r="K251" s="337">
        <v>164</v>
      </c>
      <c r="L251" s="337" t="str">
        <f t="shared" si="53"/>
        <v>18GX-136</v>
      </c>
      <c r="O251" s="18" t="str">
        <f t="shared" si="54"/>
        <v>bz 13-20 qtr</v>
      </c>
    </row>
    <row r="252" spans="1:15" ht="13.95" customHeight="1">
      <c r="A252" s="6">
        <f t="shared" si="51"/>
        <v>46223</v>
      </c>
      <c r="B252" s="21">
        <f>'CHICLETS MASTER S1'!AL56</f>
        <v>0.45833333333333298</v>
      </c>
      <c r="C252" s="8" t="s">
        <v>388</v>
      </c>
      <c r="D252" s="334" t="str">
        <f t="shared" si="52"/>
        <v>OCEAN VIEW HS 1</v>
      </c>
      <c r="E252" s="8">
        <v>140</v>
      </c>
      <c r="F252" s="337" t="str">
        <f>IF(G197="","L112",IF(G197&lt;I197,_xlfn.CONCAT("L112-",RIGHT(F197,LEN(F197) - FIND("-",F197))), _xlfn.CONCAT("L112-",RIGHT(H197,LEN(H197) - FIND("-",H197)))))</f>
        <v>L112</v>
      </c>
      <c r="G252" s="337"/>
      <c r="H252" s="337" t="str">
        <f>IF(G172="","L95",IF(G172&lt;I172,_xlfn.CONCAT("L95-",RIGHT(F172,LEN(F172) - FIND("-",F172))), _xlfn.CONCAT("L95-",RIGHT(H172,LEN(H172) - FIND("-",H172)))))</f>
        <v>L95</v>
      </c>
      <c r="I252" s="337"/>
      <c r="J252" s="337">
        <v>160</v>
      </c>
      <c r="K252" s="337">
        <v>164</v>
      </c>
      <c r="L252" s="337" t="str">
        <f t="shared" si="53"/>
        <v>18GX-140</v>
      </c>
      <c r="O252" s="18" t="str">
        <f t="shared" si="54"/>
        <v>bz 13-20 qtr</v>
      </c>
    </row>
    <row r="253" spans="1:15" ht="13.95" customHeight="1" thickBot="1">
      <c r="G253" s="18"/>
    </row>
    <row r="254" spans="1:15" ht="13.95" customHeight="1" thickBot="1">
      <c r="A254" s="23"/>
      <c r="B254" s="27"/>
      <c r="C254" s="2"/>
      <c r="D254" s="244" t="str">
        <f>'CHICLETS MASTER S1'!$AQ$51</f>
        <v>EDISON HS</v>
      </c>
      <c r="E254" s="2"/>
      <c r="F254" s="2"/>
      <c r="G254" s="19"/>
      <c r="H254" s="2"/>
      <c r="I254" s="2"/>
      <c r="J254" s="2"/>
      <c r="K254" s="2"/>
      <c r="L254" s="2"/>
    </row>
    <row r="255" spans="1:15" ht="13.95" customHeight="1">
      <c r="A255" s="333" t="s">
        <v>110</v>
      </c>
      <c r="B255" s="333" t="s">
        <v>111</v>
      </c>
      <c r="C255" s="333" t="s">
        <v>112</v>
      </c>
      <c r="D255" s="333" t="s">
        <v>113</v>
      </c>
      <c r="E255" s="333" t="s">
        <v>114</v>
      </c>
      <c r="F255" s="333" t="s">
        <v>115</v>
      </c>
      <c r="G255" s="333" t="s">
        <v>116</v>
      </c>
      <c r="H255" s="333" t="s">
        <v>117</v>
      </c>
      <c r="I255" s="333" t="s">
        <v>116</v>
      </c>
      <c r="J255" s="333" t="s">
        <v>118</v>
      </c>
      <c r="K255" s="333" t="s">
        <v>119</v>
      </c>
      <c r="L255" s="333" t="s">
        <v>120</v>
      </c>
    </row>
    <row r="256" spans="1:15" ht="13.95" customHeight="1">
      <c r="A256" s="6">
        <f t="shared" si="51"/>
        <v>46223</v>
      </c>
      <c r="B256" s="21">
        <f>'CHICLETS MASTER S1'!AL59</f>
        <v>0.58333333333333304</v>
      </c>
      <c r="C256" s="8" t="s">
        <v>393</v>
      </c>
      <c r="D256" s="334" t="str">
        <f>$D$254</f>
        <v>EDISON HS</v>
      </c>
      <c r="E256" s="8">
        <v>152</v>
      </c>
      <c r="F256" s="337" t="str">
        <f>IF(G249="","W128",IF(G249&gt;I249,_xlfn.CONCAT("W128-",RIGHT(F249,LEN(F249) - FIND("-",F249))), _xlfn.CONCAT("W128-",RIGHT(H249,LEN(H249) - FIND("-",H249)))))</f>
        <v>W128</v>
      </c>
      <c r="G256" s="337"/>
      <c r="H256" s="337" t="str">
        <f>IF(G250="","W132",IF(G250&gt;I250,_xlfn.CONCAT("W132-",RIGHT(F250,LEN(F250) - FIND("-",F250))), _xlfn.CONCAT("W132-",RIGHT(H250,LEN(H250) - FIND("-",H250)))))</f>
        <v>W132</v>
      </c>
      <c r="I256" s="337"/>
      <c r="J256" s="337">
        <v>179</v>
      </c>
      <c r="K256" s="337">
        <v>180</v>
      </c>
      <c r="L256" s="337" t="str">
        <f t="shared" si="53"/>
        <v>18GX-152</v>
      </c>
      <c r="O256" s="18" t="str">
        <f t="shared" si="54"/>
        <v>bz 13-16 semi</v>
      </c>
    </row>
    <row r="257" spans="1:15" ht="13.95" customHeight="1">
      <c r="A257" s="6">
        <f t="shared" si="51"/>
        <v>46223</v>
      </c>
      <c r="B257" s="21">
        <f>'CHICLETS MASTER S1'!AL60</f>
        <v>0.625</v>
      </c>
      <c r="C257" s="8" t="s">
        <v>394</v>
      </c>
      <c r="D257" s="334" t="str">
        <f>$D$254</f>
        <v>EDISON HS</v>
      </c>
      <c r="E257" s="8">
        <v>156</v>
      </c>
      <c r="F257" s="337" t="str">
        <f>IF(G250="","L132",IF(G250&lt;I250,_xlfn.CONCAT("L132-",RIGHT(F250,LEN(F250) - FIND("-",F250))), _xlfn.CONCAT("L132-",RIGHT(H250,LEN(H250) - FIND("-",H250)))))</f>
        <v>L132</v>
      </c>
      <c r="G257" s="337"/>
      <c r="H257" s="337" t="str">
        <f>IF(G249="","L128",IF(G249&lt;I249,_xlfn.CONCAT("L128-",RIGHT(F249,LEN(F249) - FIND("-",F249))), _xlfn.CONCAT("L128-",RIGHT(H249,LEN(H249) - FIND("-",H249)))))</f>
        <v>L128</v>
      </c>
      <c r="I257" s="337"/>
      <c r="J257" s="337">
        <v>175</v>
      </c>
      <c r="K257" s="337">
        <v>176</v>
      </c>
      <c r="L257" s="337" t="str">
        <f t="shared" si="53"/>
        <v>18GX-156</v>
      </c>
      <c r="O257" s="18" t="str">
        <f t="shared" si="54"/>
        <v>bz 17-20 semi</v>
      </c>
    </row>
    <row r="258" spans="1:15" ht="13.95" customHeight="1">
      <c r="A258" s="6">
        <f t="shared" si="51"/>
        <v>46223</v>
      </c>
      <c r="B258" s="21">
        <f>'CHICLETS MASTER S1'!AL61</f>
        <v>0.66666666666666696</v>
      </c>
      <c r="C258" s="8" t="s">
        <v>393</v>
      </c>
      <c r="D258" s="334" t="str">
        <f>$D$254</f>
        <v>EDISON HS</v>
      </c>
      <c r="E258" s="8">
        <v>160</v>
      </c>
      <c r="F258" s="337" t="str">
        <f>IF(G251="","W136",IF(G251&gt;I251,_xlfn.CONCAT("W136-",RIGHT(F251,LEN(F251) - FIND("-",F251))), _xlfn.CONCAT("W136-",RIGHT(H251,LEN(H251) - FIND("-",H251)))))</f>
        <v>W136</v>
      </c>
      <c r="G258" s="337"/>
      <c r="H258" s="337" t="str">
        <f>IF(G252="","W140",IF(G252&gt;I252,_xlfn.CONCAT("W140-",RIGHT(F252,LEN(F252) - FIND("-",F252))), _xlfn.CONCAT("W140-",RIGHT(H252,LEN(H252) - FIND("-",H252)))))</f>
        <v>W140</v>
      </c>
      <c r="I258" s="337"/>
      <c r="J258" s="337">
        <v>179</v>
      </c>
      <c r="K258" s="337">
        <v>180</v>
      </c>
      <c r="L258" s="337" t="str">
        <f t="shared" si="53"/>
        <v>18GX-160</v>
      </c>
      <c r="O258" s="18" t="str">
        <f t="shared" si="54"/>
        <v>bz 13-16 semi</v>
      </c>
    </row>
    <row r="259" spans="1:15" ht="13.95" customHeight="1">
      <c r="A259" s="6">
        <f t="shared" si="51"/>
        <v>46223</v>
      </c>
      <c r="B259" s="21">
        <f>'CHICLETS MASTER S1'!AL62</f>
        <v>0.70833333333333304</v>
      </c>
      <c r="C259" s="8" t="s">
        <v>394</v>
      </c>
      <c r="D259" s="334" t="str">
        <f>$D$254</f>
        <v>EDISON HS</v>
      </c>
      <c r="E259" s="8">
        <v>164</v>
      </c>
      <c r="F259" s="337" t="str">
        <f>IF(G252="","L140",IF(G252&lt;I252,_xlfn.CONCAT("L140-",RIGHT(F252,LEN(F252) - FIND("-",F252))), _xlfn.CONCAT("L140-",RIGHT(H252,LEN(H252) - FIND("-",H252)))))</f>
        <v>L140</v>
      </c>
      <c r="G259" s="337"/>
      <c r="H259" s="337" t="str">
        <f>IF(G251="","L136",IF(G251&lt;I251,_xlfn.CONCAT("L136-",RIGHT(F251,LEN(F251) - FIND("-",F251))), _xlfn.CONCAT("L136-",RIGHT(H251,LEN(H251) - FIND("-",H251)))))</f>
        <v>L136</v>
      </c>
      <c r="I259" s="337"/>
      <c r="J259" s="337">
        <v>175</v>
      </c>
      <c r="K259" s="337">
        <v>176</v>
      </c>
      <c r="L259" s="337" t="str">
        <f t="shared" si="53"/>
        <v>18GX-164</v>
      </c>
      <c r="O259" s="18" t="str">
        <f t="shared" si="54"/>
        <v>bz 17-20 semi</v>
      </c>
    </row>
    <row r="260" spans="1:15" ht="13.95" customHeight="1" thickBot="1">
      <c r="A260" s="23"/>
      <c r="B260" s="27"/>
      <c r="C260" s="2"/>
      <c r="D260" s="2"/>
      <c r="E260" s="2"/>
      <c r="F260" s="2"/>
      <c r="G260" s="19"/>
      <c r="H260" s="2"/>
      <c r="I260" s="2"/>
      <c r="J260" s="2"/>
      <c r="K260" s="2"/>
      <c r="L260" s="2"/>
    </row>
    <row r="261" spans="1:15" ht="13.95" customHeight="1" thickTop="1" thickBot="1">
      <c r="A261" s="244" t="s">
        <v>205</v>
      </c>
      <c r="B261" s="292"/>
      <c r="C261" s="292"/>
      <c r="D261" s="292"/>
      <c r="E261" s="292"/>
      <c r="F261" s="292"/>
      <c r="G261" s="293"/>
      <c r="H261" s="292"/>
      <c r="I261" s="292"/>
      <c r="J261" s="292"/>
      <c r="K261" s="292"/>
      <c r="L261" s="292"/>
    </row>
    <row r="262" spans="1:15" ht="13.95" customHeight="1" thickBot="1">
      <c r="A262" s="3">
        <v>46224</v>
      </c>
      <c r="G262" s="18"/>
    </row>
    <row r="263" spans="1:15" ht="13.95" customHeight="1" thickBot="1">
      <c r="A263" s="2"/>
      <c r="B263" s="2"/>
      <c r="C263" s="2"/>
      <c r="D263" s="4" t="str">
        <f>'CHICLETS MASTER S1'!$AS$72</f>
        <v>SERVITE HS</v>
      </c>
      <c r="E263" s="2"/>
      <c r="F263" s="2"/>
      <c r="G263" s="19"/>
      <c r="H263" s="2"/>
      <c r="I263" s="19"/>
      <c r="J263" s="2"/>
      <c r="K263" s="2"/>
      <c r="L263" s="2"/>
    </row>
    <row r="264" spans="1:15" ht="13.95" customHeight="1">
      <c r="A264" s="333" t="s">
        <v>110</v>
      </c>
      <c r="B264" s="333" t="s">
        <v>111</v>
      </c>
      <c r="C264" s="333" t="s">
        <v>112</v>
      </c>
      <c r="D264" s="333" t="s">
        <v>113</v>
      </c>
      <c r="E264" s="333" t="s">
        <v>114</v>
      </c>
      <c r="F264" s="333" t="s">
        <v>115</v>
      </c>
      <c r="G264" s="333" t="s">
        <v>116</v>
      </c>
      <c r="H264" s="333" t="s">
        <v>117</v>
      </c>
      <c r="I264" s="333" t="s">
        <v>116</v>
      </c>
      <c r="J264" s="333" t="s">
        <v>118</v>
      </c>
      <c r="K264" s="333" t="s">
        <v>119</v>
      </c>
      <c r="L264" s="333" t="s">
        <v>120</v>
      </c>
    </row>
    <row r="265" spans="1:15" ht="13.95" customHeight="1">
      <c r="A265" s="6">
        <f t="shared" ref="A265:A286" si="55">$A$262</f>
        <v>46224</v>
      </c>
      <c r="B265" s="21">
        <f>'CHICLETS MASTER S1'!AL74</f>
        <v>0.33333333333333298</v>
      </c>
      <c r="C265" s="8" t="s">
        <v>222</v>
      </c>
      <c r="D265" s="334" t="str">
        <f t="shared" ref="D265:D270" si="56">$D$263</f>
        <v>SERVITE HS</v>
      </c>
      <c r="E265" s="8">
        <v>182</v>
      </c>
      <c r="F265" s="22" t="str">
        <f>IF(G259="","W149",IF(G212&gt;I212,_xlfn.CONCAT("W149-",RIGHT(F212,LEN(F212) - FIND("-",F212))), _xlfn.CONCAT("W149-",RIGHT(H212,LEN(H212) - FIND("-",H212)))))</f>
        <v>W149</v>
      </c>
      <c r="G265" s="65"/>
      <c r="H265" s="22" t="str">
        <f>IF(G213="","W153",IF(G213&gt;I213,_xlfn.CONCAT("W153-",RIGHT(F213,LEN(F213) - FIND("-",F213))), _xlfn.CONCAT("W153-",RIGHT(H213,LEN(H213) - FIND("-",H213)))))</f>
        <v>W153</v>
      </c>
      <c r="I265" s="65"/>
      <c r="J265" s="22" t="s">
        <v>222</v>
      </c>
      <c r="K265" s="22" t="s">
        <v>223</v>
      </c>
      <c r="L265" s="22" t="str">
        <f t="shared" ref="L265:L270" si="57">$L$17&amp;"-"&amp;TEXT(E265,"000")</f>
        <v>18GX-182</v>
      </c>
      <c r="M265" s="28" t="s">
        <v>1843</v>
      </c>
      <c r="N265" s="18" t="s">
        <v>938</v>
      </c>
      <c r="O265" s="18" t="str">
        <f t="shared" ref="O265:O270" si="58">$L$124&amp;" "&amp;C265</f>
        <v>ag 9th</v>
      </c>
    </row>
    <row r="266" spans="1:15" ht="13.95" customHeight="1">
      <c r="A266" s="6">
        <f t="shared" si="55"/>
        <v>46224</v>
      </c>
      <c r="B266" s="21">
        <f>'CHICLETS MASTER S1'!AL75</f>
        <v>0.375</v>
      </c>
      <c r="C266" s="8" t="s">
        <v>220</v>
      </c>
      <c r="D266" s="334" t="str">
        <f t="shared" si="56"/>
        <v>SERVITE HS</v>
      </c>
      <c r="E266" s="8">
        <v>185</v>
      </c>
      <c r="F266" s="22" t="str">
        <f>IF(G210="","L141",IF(G210&lt;I210,_xlfn.CONCAT("L141-",RIGHT(F210,LEN(F210) - FIND("-",F210))), _xlfn.CONCAT("L141-",RIGHT(H210,LEN(H210) - FIND("-",H210)))))</f>
        <v>L141</v>
      </c>
      <c r="G266" s="65"/>
      <c r="H266" s="22" t="str">
        <f>IF(G211="","L145",IF(G211&lt;I211,_xlfn.CONCAT("L145-",RIGHT(F211,LEN(F211) - FIND("-",F211))), _xlfn.CONCAT("L145-",RIGHT(H211,LEN(H211) - FIND("-",H211)))))</f>
        <v>L145</v>
      </c>
      <c r="I266" s="65"/>
      <c r="J266" s="22" t="s">
        <v>220</v>
      </c>
      <c r="K266" s="22" t="s">
        <v>221</v>
      </c>
      <c r="L266" s="22" t="str">
        <f t="shared" si="57"/>
        <v>18GX-185</v>
      </c>
      <c r="M266" s="28" t="s">
        <v>1844</v>
      </c>
      <c r="N266" s="18" t="s">
        <v>934</v>
      </c>
      <c r="O266" s="18" t="str">
        <f t="shared" si="58"/>
        <v>ag 7th</v>
      </c>
    </row>
    <row r="267" spans="1:15" ht="13.95" customHeight="1">
      <c r="A267" s="6">
        <f t="shared" si="55"/>
        <v>46224</v>
      </c>
      <c r="B267" s="21">
        <f>'CHICLETS MASTER S1'!AL76</f>
        <v>0.41666666666666702</v>
      </c>
      <c r="C267" s="8" t="s">
        <v>206</v>
      </c>
      <c r="D267" s="334" t="str">
        <f t="shared" si="56"/>
        <v>SERVITE HS</v>
      </c>
      <c r="E267" s="8">
        <v>186</v>
      </c>
      <c r="F267" s="22" t="str">
        <f>IF(G214="","L157",IF(G214&lt;I214,_xlfn.CONCAT("L157-",RIGHT(F214,LEN(F214) - FIND("-",F214))), _xlfn.CONCAT("L157-",RIGHT(H214,LEN(H214) - FIND("-",H214)))))</f>
        <v>L157</v>
      </c>
      <c r="G267" s="65"/>
      <c r="H267" s="22" t="str">
        <f>IF(G215="","L161",IF(G215&lt;I215,_xlfn.CONCAT("L161-",RIGHT(F215,LEN(F215) - FIND("-",F215))), _xlfn.CONCAT("L161-",RIGHT(H215,LEN(H215) - FIND("-",H215)))))</f>
        <v>L161</v>
      </c>
      <c r="I267" s="65"/>
      <c r="J267" s="22" t="s">
        <v>206</v>
      </c>
      <c r="K267" s="22" t="s">
        <v>209</v>
      </c>
      <c r="L267" s="22" t="str">
        <f t="shared" si="57"/>
        <v>18GX-186</v>
      </c>
      <c r="N267" s="18" t="s">
        <v>930</v>
      </c>
      <c r="O267" s="18" t="str">
        <f t="shared" si="58"/>
        <v>ag 5th</v>
      </c>
    </row>
    <row r="268" spans="1:15" ht="13.95" customHeight="1">
      <c r="A268" s="6">
        <f t="shared" si="55"/>
        <v>46224</v>
      </c>
      <c r="B268" s="21">
        <f>'CHICLETS MASTER S1'!AL77</f>
        <v>0.45833333333333298</v>
      </c>
      <c r="C268" s="8" t="s">
        <v>218</v>
      </c>
      <c r="D268" s="334" t="str">
        <f t="shared" si="56"/>
        <v>SERVITE HS</v>
      </c>
      <c r="E268" s="8">
        <v>181</v>
      </c>
      <c r="F268" s="22" t="str">
        <f>IF(G259="","L149",IF(G212&lt;I212,_xlfn.CONCAT("L149-",RIGHT(F212,LEN(F212) - FIND("-",F212))), _xlfn.CONCAT("L149-",RIGHT(H212,LEN(H212) - FIND("-",H212)))))</f>
        <v>L149</v>
      </c>
      <c r="G268" s="67"/>
      <c r="H268" s="22" t="str">
        <f>IF(G213="","L153",IF(G213&lt;I213,_xlfn.CONCAT("L153-",RIGHT(F213,LEN(F213) - FIND("-",F213))), _xlfn.CONCAT("L153-",RIGHT(H213,LEN(H213) - FIND("-",H213)))))</f>
        <v>L153</v>
      </c>
      <c r="I268" s="67"/>
      <c r="J268" s="22" t="s">
        <v>218</v>
      </c>
      <c r="K268" s="22" t="s">
        <v>219</v>
      </c>
      <c r="L268" s="22" t="str">
        <f t="shared" si="57"/>
        <v>18GX-181</v>
      </c>
      <c r="N268" s="18" t="s">
        <v>902</v>
      </c>
      <c r="O268" s="18" t="str">
        <f t="shared" si="58"/>
        <v>ag 11th</v>
      </c>
    </row>
    <row r="269" spans="1:15" ht="13.95" customHeight="1">
      <c r="A269" s="6">
        <f t="shared" si="55"/>
        <v>46224</v>
      </c>
      <c r="B269" s="21">
        <f>'CHICLETS MASTER S1'!AL78</f>
        <v>0.5</v>
      </c>
      <c r="C269" s="8" t="s">
        <v>413</v>
      </c>
      <c r="D269" s="334" t="str">
        <f t="shared" si="56"/>
        <v>SERVITE HS</v>
      </c>
      <c r="E269" s="8">
        <v>178</v>
      </c>
      <c r="F269" s="22" t="str">
        <f>IF(G227="","W150",IF(G227&gt;I227,_xlfn.CONCAT("W150-",RIGHT(F227,LEN(F227) - FIND("-",F227))), _xlfn.CONCAT("W150-",RIGHT(H227,LEN(H227) - FIND("-",H227)))))</f>
        <v>W150</v>
      </c>
      <c r="G269" s="65"/>
      <c r="H269" s="22" t="str">
        <f>IF(G229="","W158",IF(G229&gt;I229,_xlfn.CONCAT("W158-",RIGHT(F229,LEN(F229) - FIND("-",F229))), _xlfn.CONCAT("W158-",RIGHT(H229,LEN(H229) - FIND("-",H229)))))</f>
        <v>W158</v>
      </c>
      <c r="I269" s="65"/>
      <c r="J269" s="22" t="s">
        <v>413</v>
      </c>
      <c r="K269" s="22" t="s">
        <v>414</v>
      </c>
      <c r="L269" s="22" t="str">
        <f t="shared" si="57"/>
        <v>18GX-178</v>
      </c>
      <c r="N269" s="18" t="s">
        <v>906</v>
      </c>
      <c r="O269" s="18" t="str">
        <f t="shared" si="58"/>
        <v>ag 13th</v>
      </c>
    </row>
    <row r="270" spans="1:15" ht="13.95" customHeight="1">
      <c r="A270" s="6">
        <f t="shared" si="55"/>
        <v>46224</v>
      </c>
      <c r="B270" s="21">
        <f>'CHICLETS MASTER S1'!AL79</f>
        <v>0.54166666666666696</v>
      </c>
      <c r="C270" s="8" t="s">
        <v>407</v>
      </c>
      <c r="D270" s="334" t="str">
        <f t="shared" si="56"/>
        <v>SERVITE HS</v>
      </c>
      <c r="E270" s="8">
        <v>177</v>
      </c>
      <c r="F270" s="22" t="str">
        <f>IF(G227="","L150",IF(G227&lt;I227,_xlfn.CONCAT("L150-",RIGHT(F227,LEN(F227) - FIND("-",F227))), _xlfn.CONCAT("L150-",RIGHT(H227,LEN(H227) - FIND("-",H227)))))</f>
        <v>L150</v>
      </c>
      <c r="G270" s="65"/>
      <c r="H270" s="22" t="str">
        <f>IF(G229="","L158",IF(G229&lt;I229,_xlfn.CONCAT("L158-",RIGHT(F229,LEN(F229) - FIND("-",F229))), _xlfn.CONCAT("L158-",RIGHT(H229,LEN(H229) - FIND("-",H229)))))</f>
        <v>L158</v>
      </c>
      <c r="I270" s="65"/>
      <c r="J270" s="22" t="s">
        <v>407</v>
      </c>
      <c r="K270" s="22" t="s">
        <v>408</v>
      </c>
      <c r="L270" s="22" t="str">
        <f t="shared" si="57"/>
        <v>18GX-177</v>
      </c>
      <c r="N270" s="18" t="s">
        <v>910</v>
      </c>
      <c r="O270" s="18" t="str">
        <f t="shared" si="58"/>
        <v>ag 15th</v>
      </c>
    </row>
    <row r="271" spans="1:15" ht="13.95" customHeight="1" thickBot="1">
      <c r="A271" s="24"/>
      <c r="B271" s="27"/>
      <c r="C271" s="2"/>
      <c r="D271" s="2"/>
      <c r="E271" s="2"/>
      <c r="F271" s="2"/>
      <c r="G271" s="19"/>
      <c r="H271" s="2"/>
      <c r="I271" s="19"/>
      <c r="J271" s="2"/>
      <c r="K271" s="2"/>
      <c r="L271" s="2"/>
    </row>
    <row r="272" spans="1:15" ht="13.95" customHeight="1" thickBot="1">
      <c r="A272" s="2"/>
      <c r="B272" s="28"/>
      <c r="C272" s="2"/>
      <c r="D272" s="4" t="str">
        <f>'CHICLETS MASTER S1'!$AJ$72</f>
        <v>LA SERNA HS</v>
      </c>
      <c r="E272" s="2"/>
      <c r="F272" s="2"/>
      <c r="G272" s="19"/>
      <c r="H272" s="2"/>
      <c r="I272" s="19"/>
      <c r="J272" s="2"/>
      <c r="K272" s="2"/>
      <c r="L272" s="2"/>
    </row>
    <row r="273" spans="1:15" ht="13.95" customHeight="1">
      <c r="A273" s="333" t="s">
        <v>110</v>
      </c>
      <c r="B273" s="333" t="s">
        <v>111</v>
      </c>
      <c r="C273" s="333" t="s">
        <v>112</v>
      </c>
      <c r="D273" s="333" t="s">
        <v>113</v>
      </c>
      <c r="E273" s="333" t="s">
        <v>114</v>
      </c>
      <c r="F273" s="333" t="s">
        <v>115</v>
      </c>
      <c r="G273" s="333" t="s">
        <v>116</v>
      </c>
      <c r="H273" s="333" t="s">
        <v>117</v>
      </c>
      <c r="I273" s="333" t="s">
        <v>116</v>
      </c>
      <c r="J273" s="333" t="s">
        <v>118</v>
      </c>
      <c r="K273" s="333" t="s">
        <v>119</v>
      </c>
      <c r="L273" s="333" t="s">
        <v>120</v>
      </c>
    </row>
    <row r="274" spans="1:15" ht="13.95" customHeight="1">
      <c r="A274" s="6">
        <f t="shared" ref="A274:A297" si="59">$A$262</f>
        <v>46224</v>
      </c>
      <c r="B274" s="21">
        <f>'CHICLETS MASTER S1'!AL73</f>
        <v>0.29166666666666669</v>
      </c>
      <c r="C274" s="8" t="s">
        <v>222</v>
      </c>
      <c r="D274" s="334" t="str">
        <f>$D$272</f>
        <v>LA SERNA HS</v>
      </c>
      <c r="E274" s="8">
        <v>183</v>
      </c>
      <c r="F274" s="337" t="str">
        <f>IF(G242="","W151",IF(G242&gt;I242,_xlfn.CONCAT("W151-",RIGHT(F242,LEN(F242) - FIND("-",F242))), _xlfn.CONCAT("W151-",RIGHT(H242,LEN(H242) - FIND("-",H242)))))</f>
        <v>W151</v>
      </c>
      <c r="G274" s="337"/>
      <c r="H274" s="337" t="str">
        <f>IF(G243="","W155",IF(G243&gt;I243,_xlfn.CONCAT("W155-",RIGHT(F243,LEN(F243) - FIND("-",F243))), _xlfn.CONCAT("W155-",RIGHT(H243,LEN(H243) - FIND("-",H243)))))</f>
        <v>W155</v>
      </c>
      <c r="I274" s="337"/>
      <c r="J274" s="337" t="s">
        <v>222</v>
      </c>
      <c r="K274" s="337" t="s">
        <v>223</v>
      </c>
      <c r="L274" s="337" t="str">
        <f t="shared" ref="L274:L279" si="60">$L$17&amp;"-"&amp;TEXT(E274,"000")</f>
        <v>18GX-183</v>
      </c>
      <c r="N274" s="18" t="s">
        <v>898</v>
      </c>
      <c r="O274" s="18" t="str">
        <f t="shared" ref="O274:O279" si="61">$L$162&amp;" "&amp;C274</f>
        <v>bz 9th</v>
      </c>
    </row>
    <row r="275" spans="1:15" ht="13.95" customHeight="1">
      <c r="A275" s="6">
        <f t="shared" si="59"/>
        <v>46224</v>
      </c>
      <c r="B275" s="21">
        <f>'CHICLETS MASTER S1'!AL74</f>
        <v>0.33333333333333298</v>
      </c>
      <c r="C275" s="8" t="s">
        <v>220</v>
      </c>
      <c r="D275" s="334" t="str">
        <f t="shared" ref="D275:D279" si="62">$D$272</f>
        <v>LA SERNA HS</v>
      </c>
      <c r="E275" s="8">
        <v>188</v>
      </c>
      <c r="F275" s="337" t="str">
        <f>IF(G240="","L143",IF(G240&lt;I240,_xlfn.CONCAT("L143-",RIGHT(F240,LEN(F240) - FIND("-",F240))), _xlfn.CONCAT("L143-",RIGHT(H240,LEN(H240) - FIND("-",H240)))))</f>
        <v>L143</v>
      </c>
      <c r="G275" s="337"/>
      <c r="H275" s="337" t="str">
        <f>IF(G241="","L147",IF(G241&lt;I241,_xlfn.CONCAT("L147-",RIGHT(F241,LEN(F241) - FIND("-",F241))), _xlfn.CONCAT("L147-",RIGHT(H241,LEN(H241) - FIND("-",H241)))))</f>
        <v>L147</v>
      </c>
      <c r="I275" s="337"/>
      <c r="J275" s="337" t="s">
        <v>220</v>
      </c>
      <c r="K275" s="337" t="s">
        <v>221</v>
      </c>
      <c r="L275" s="337" t="str">
        <f t="shared" si="60"/>
        <v>18GX-188</v>
      </c>
      <c r="N275" s="18" t="s">
        <v>874</v>
      </c>
      <c r="O275" s="18" t="str">
        <f t="shared" si="61"/>
        <v>bz 7th</v>
      </c>
    </row>
    <row r="276" spans="1:15" ht="13.95" customHeight="1">
      <c r="A276" s="6">
        <f t="shared" si="59"/>
        <v>46224</v>
      </c>
      <c r="B276" s="21">
        <f>'CHICLETS MASTER S1'!AL75</f>
        <v>0.375</v>
      </c>
      <c r="C276" s="8" t="s">
        <v>206</v>
      </c>
      <c r="D276" s="334" t="str">
        <f t="shared" si="62"/>
        <v>LA SERNA HS</v>
      </c>
      <c r="E276" s="8">
        <v>187</v>
      </c>
      <c r="F276" s="337" t="str">
        <f>IF(G244="","L159",IF(G244&lt;I244,_xlfn.CONCAT("L159-",RIGHT(F244,LEN(F244) - FIND("-",F244))), _xlfn.CONCAT("L159-",RIGHT(H244,LEN(H244) - FIND("-",H244)))))</f>
        <v>L159</v>
      </c>
      <c r="G276" s="337"/>
      <c r="H276" s="337" t="str">
        <f>IF(G245="","L163",IF(G245&lt;I245,_xlfn.CONCAT("L163-",RIGHT(F245,LEN(F245) - FIND("-",F245))), _xlfn.CONCAT("L163-",RIGHT(H245,LEN(H245) - FIND("-",H245)))))</f>
        <v>L163</v>
      </c>
      <c r="I276" s="337"/>
      <c r="J276" s="337" t="s">
        <v>206</v>
      </c>
      <c r="K276" s="337" t="s">
        <v>209</v>
      </c>
      <c r="L276" s="337" t="str">
        <f t="shared" si="60"/>
        <v>18GX-187</v>
      </c>
      <c r="N276" s="18" t="s">
        <v>871</v>
      </c>
      <c r="O276" s="18" t="str">
        <f t="shared" si="61"/>
        <v>bz 5th</v>
      </c>
    </row>
    <row r="277" spans="1:15" ht="13.95" customHeight="1">
      <c r="A277" s="6">
        <f t="shared" si="59"/>
        <v>46224</v>
      </c>
      <c r="B277" s="21">
        <f>'CHICLETS MASTER S1'!AL76</f>
        <v>0.41666666666666702</v>
      </c>
      <c r="C277" s="8" t="s">
        <v>218</v>
      </c>
      <c r="D277" s="334" t="str">
        <f t="shared" si="62"/>
        <v>LA SERNA HS</v>
      </c>
      <c r="E277" s="8">
        <v>184</v>
      </c>
      <c r="F277" s="337" t="str">
        <f>IF(G242="","L151",IF(G242&lt;I242,_xlfn.CONCAT("L151-",RIGHT(F242,LEN(F242) - FIND("-",F242))), _xlfn.CONCAT("L151-",RIGHT(H242,LEN(H242) - FIND("-",H242)))))</f>
        <v>L151</v>
      </c>
      <c r="G277" s="337"/>
      <c r="H277" s="337" t="str">
        <f>IF(G243="","L155",IF(G243&lt;I243,_xlfn.CONCAT("L155-",RIGHT(F243,LEN(F243) - FIND("-",F243))), _xlfn.CONCAT("L155-",RIGHT(H243,LEN(H243) - FIND("-",H243)))))</f>
        <v>L155</v>
      </c>
      <c r="I277" s="337"/>
      <c r="J277" s="337" t="s">
        <v>218</v>
      </c>
      <c r="K277" s="337" t="s">
        <v>219</v>
      </c>
      <c r="L277" s="337" t="str">
        <f t="shared" si="60"/>
        <v>18GX-184</v>
      </c>
      <c r="N277" s="18" t="s">
        <v>894</v>
      </c>
      <c r="O277" s="18" t="str">
        <f t="shared" si="61"/>
        <v>bz 11th</v>
      </c>
    </row>
    <row r="278" spans="1:15" ht="13.95" customHeight="1">
      <c r="A278" s="6">
        <f t="shared" si="59"/>
        <v>46224</v>
      </c>
      <c r="B278" s="21">
        <f>'CHICLETS MASTER S1'!AL77</f>
        <v>0.45833333333333298</v>
      </c>
      <c r="C278" s="8" t="s">
        <v>413</v>
      </c>
      <c r="D278" s="334" t="str">
        <f t="shared" si="62"/>
        <v>LA SERNA HS</v>
      </c>
      <c r="E278" s="8">
        <v>179</v>
      </c>
      <c r="F278" s="337" t="str">
        <f>IF(G256="","W152",IF(G256&gt;I256,_xlfn.CONCAT("W152-",RIGHT(F256,LEN(F256) - FIND("-",F256))), _xlfn.CONCAT("W152-",RIGHT(H256,LEN(H256) - FIND("-",H256)))))</f>
        <v>W152</v>
      </c>
      <c r="G278" s="337"/>
      <c r="H278" s="337" t="str">
        <f>IF(G258="","W160",IF(G258&gt;I258,_xlfn.CONCAT("W160-",RIGHT(F258,LEN(F258) - FIND("-",F258))), _xlfn.CONCAT("W160-",RIGHT(H258,LEN(H258) - FIND("-",H258)))))</f>
        <v>W160</v>
      </c>
      <c r="I278" s="337"/>
      <c r="J278" s="337" t="s">
        <v>413</v>
      </c>
      <c r="K278" s="337" t="s">
        <v>414</v>
      </c>
      <c r="L278" s="337" t="str">
        <f t="shared" si="60"/>
        <v>18GX-179</v>
      </c>
      <c r="N278" s="18" t="s">
        <v>890</v>
      </c>
      <c r="O278" s="18" t="str">
        <f t="shared" si="61"/>
        <v>bz 13th</v>
      </c>
    </row>
    <row r="279" spans="1:15" ht="13.95" customHeight="1">
      <c r="A279" s="6">
        <f t="shared" si="59"/>
        <v>46224</v>
      </c>
      <c r="B279" s="21">
        <f>'CHICLETS MASTER S1'!AL78</f>
        <v>0.5</v>
      </c>
      <c r="C279" s="8" t="s">
        <v>407</v>
      </c>
      <c r="D279" s="334" t="str">
        <f t="shared" si="62"/>
        <v>LA SERNA HS</v>
      </c>
      <c r="E279" s="8">
        <v>180</v>
      </c>
      <c r="F279" s="337" t="str">
        <f>IF(G256="","L152",IF(G256&lt;I256,_xlfn.CONCAT("L152-",RIGHT(F256,LEN(F256) - FIND("-",F256))), _xlfn.CONCAT("L152-",RIGHT(H256,LEN(H256) - FIND("-",H256)))))</f>
        <v>L152</v>
      </c>
      <c r="G279" s="337"/>
      <c r="H279" s="337" t="str">
        <f>IF(G258="","L160",IF(G258&lt;I258,_xlfn.CONCAT("L160-",RIGHT(F258,LEN(F258) - FIND("-",F258))), _xlfn.CONCAT("L160-",RIGHT(H258,LEN(H258) - FIND("-",H258)))))</f>
        <v>L160</v>
      </c>
      <c r="I279" s="337"/>
      <c r="J279" s="337" t="s">
        <v>407</v>
      </c>
      <c r="K279" s="337" t="s">
        <v>408</v>
      </c>
      <c r="L279" s="337" t="str">
        <f t="shared" si="60"/>
        <v>18GX-180</v>
      </c>
      <c r="N279" s="18" t="s">
        <v>918</v>
      </c>
      <c r="O279" s="18" t="str">
        <f t="shared" si="61"/>
        <v>bz 15th</v>
      </c>
    </row>
    <row r="280" spans="1:15" ht="13.95" customHeight="1" thickBot="1">
      <c r="A280" s="2"/>
      <c r="B280" s="2"/>
      <c r="C280" s="2"/>
      <c r="D280" s="2"/>
      <c r="E280" s="2"/>
      <c r="F280" s="2"/>
      <c r="G280" s="19"/>
      <c r="H280" s="2"/>
      <c r="I280" s="19"/>
      <c r="J280" s="2"/>
      <c r="K280" s="2"/>
      <c r="L280" s="2"/>
    </row>
    <row r="281" spans="1:15" ht="13.95" customHeight="1" thickBot="1">
      <c r="A281" s="2"/>
      <c r="B281" s="2"/>
      <c r="C281" s="2"/>
      <c r="D281" s="4" t="str">
        <f>'CHICLETS MASTER S1'!$AR$72</f>
        <v>SONORA HS</v>
      </c>
      <c r="E281" s="2"/>
      <c r="F281" s="2"/>
      <c r="G281" s="19"/>
      <c r="H281" s="2"/>
      <c r="I281" s="19"/>
      <c r="J281" s="2"/>
      <c r="K281" s="2"/>
      <c r="L281" s="2"/>
    </row>
    <row r="282" spans="1:15" ht="13.95" customHeight="1">
      <c r="A282" s="333" t="s">
        <v>110</v>
      </c>
      <c r="B282" s="333" t="s">
        <v>111</v>
      </c>
      <c r="C282" s="333" t="s">
        <v>112</v>
      </c>
      <c r="D282" s="333" t="s">
        <v>113</v>
      </c>
      <c r="E282" s="333" t="s">
        <v>114</v>
      </c>
      <c r="F282" s="333" t="s">
        <v>115</v>
      </c>
      <c r="G282" s="333" t="s">
        <v>116</v>
      </c>
      <c r="H282" s="333" t="s">
        <v>117</v>
      </c>
      <c r="I282" s="333"/>
      <c r="J282" s="333" t="s">
        <v>118</v>
      </c>
      <c r="K282" s="333" t="s">
        <v>119</v>
      </c>
      <c r="L282" s="333" t="s">
        <v>120</v>
      </c>
    </row>
    <row r="283" spans="1:15" ht="13.95" customHeight="1">
      <c r="A283" s="6">
        <f>$A$262</f>
        <v>46224</v>
      </c>
      <c r="B283" s="21">
        <f>'CHICLETS MASTER S1'!AL73</f>
        <v>0.29166666666666669</v>
      </c>
      <c r="C283" s="8" t="s">
        <v>383</v>
      </c>
      <c r="D283" s="30" t="str">
        <f>$D$281</f>
        <v>SONORA HS</v>
      </c>
      <c r="E283" s="8">
        <v>165</v>
      </c>
      <c r="F283" s="22" t="s">
        <v>1831</v>
      </c>
      <c r="G283" s="65"/>
      <c r="H283" s="22" t="s">
        <v>1829</v>
      </c>
      <c r="I283" s="65"/>
      <c r="J283" s="22"/>
      <c r="K283" s="22"/>
      <c r="L283" s="22" t="str">
        <f t="shared" ref="L283:L288" si="63">$L$17&amp;"-"&amp;TEXT(E283,"000")</f>
        <v>18GX-165</v>
      </c>
      <c r="N283" s="18" t="s">
        <v>785</v>
      </c>
      <c r="O283" s="18" t="str">
        <f t="shared" ref="O283:O284" si="64">$L$124&amp;" "&amp;C283</f>
        <v>ag 21-24 RR</v>
      </c>
    </row>
    <row r="284" spans="1:15" ht="13.95" customHeight="1">
      <c r="A284" s="6">
        <f t="shared" si="59"/>
        <v>46224</v>
      </c>
      <c r="B284" s="21">
        <f>'CHICLETS MASTER S1'!AL74</f>
        <v>0.33333333333333298</v>
      </c>
      <c r="C284" s="8" t="s">
        <v>383</v>
      </c>
      <c r="D284" s="30" t="str">
        <f t="shared" ref="D284:D288" si="65">$D$281</f>
        <v>SONORA HS</v>
      </c>
      <c r="E284" s="8">
        <v>166</v>
      </c>
      <c r="F284" s="22" t="s">
        <v>1830</v>
      </c>
      <c r="G284" s="65"/>
      <c r="H284" s="22" t="s">
        <v>1832</v>
      </c>
      <c r="I284" s="65"/>
      <c r="J284" s="22"/>
      <c r="K284" s="22"/>
      <c r="L284" s="22" t="str">
        <f t="shared" si="63"/>
        <v>18GX-166</v>
      </c>
      <c r="N284" s="18" t="s">
        <v>785</v>
      </c>
      <c r="O284" s="18" t="str">
        <f t="shared" si="64"/>
        <v>ag 21-24 RR</v>
      </c>
    </row>
    <row r="285" spans="1:15" ht="13.95" customHeight="1">
      <c r="A285" s="6">
        <f t="shared" si="55"/>
        <v>46224</v>
      </c>
      <c r="B285" s="21">
        <f>'CHICLETS MASTER S1'!AL75</f>
        <v>0.375</v>
      </c>
      <c r="C285" s="8" t="s">
        <v>411</v>
      </c>
      <c r="D285" s="30" t="str">
        <f t="shared" si="65"/>
        <v>SONORA HS</v>
      </c>
      <c r="E285" s="8">
        <v>170</v>
      </c>
      <c r="F285" s="22" t="str">
        <f>IF(G228="","W154",IF(G228&gt;I228,_xlfn.CONCAT("W154-",RIGHT(F228,LEN(F228) - FIND("-",F228))), _xlfn.CONCAT("W154-",RIGHT(H228,LEN(H228) - FIND("-",H228)))))</f>
        <v>W154</v>
      </c>
      <c r="G285" s="65"/>
      <c r="H285" s="22" t="str">
        <f>IF(G230="","W162",IF(G230&gt;I230,_xlfn.CONCAT("W162-",RIGHT(F230,LEN(F230) - FIND("-",F230))), _xlfn.CONCAT("W162-",RIGHT(H230,LEN(H230) - FIND("-",H230)))))</f>
        <v>W162</v>
      </c>
      <c r="I285" s="65"/>
      <c r="J285" s="22" t="s">
        <v>411</v>
      </c>
      <c r="K285" s="22" t="s">
        <v>412</v>
      </c>
      <c r="L285" s="22" t="str">
        <f>$L$17&amp;"-"&amp;TEXT(E285,"000")</f>
        <v>18GX-170</v>
      </c>
      <c r="N285" s="18" t="s">
        <v>922</v>
      </c>
      <c r="O285" s="18" t="str">
        <f>$L$124&amp;" "&amp;C285</f>
        <v>ag 17th</v>
      </c>
    </row>
    <row r="286" spans="1:15" ht="13.95" customHeight="1">
      <c r="A286" s="6">
        <f t="shared" si="55"/>
        <v>46224</v>
      </c>
      <c r="B286" s="21">
        <f>'CHICLETS MASTER S1'!AL76</f>
        <v>0.41666666666666702</v>
      </c>
      <c r="C286" s="8" t="s">
        <v>409</v>
      </c>
      <c r="D286" s="30" t="str">
        <f t="shared" si="65"/>
        <v>SONORA HS</v>
      </c>
      <c r="E286" s="8">
        <v>169</v>
      </c>
      <c r="F286" s="22" t="str">
        <f>IF(G228="","L154",IF(G228&lt;I228,_xlfn.CONCAT("L154-",RIGHT(F228,LEN(F228) - FIND("-",F228))), _xlfn.CONCAT("L154-",RIGHT(H228,LEN(H228) - FIND("-",H228)))))</f>
        <v>L154</v>
      </c>
      <c r="G286" s="65"/>
      <c r="H286" s="22" t="str">
        <f>IF(G230="","L162",IF(G230&lt;I230,_xlfn.CONCAT("L162-",RIGHT(F230,LEN(F230) - FIND("-",F230))), _xlfn.CONCAT("L162-",RIGHT(H230,LEN(H230) - FIND("-",H230)))))</f>
        <v>L162</v>
      </c>
      <c r="I286" s="65"/>
      <c r="J286" s="22" t="s">
        <v>409</v>
      </c>
      <c r="K286" s="22" t="s">
        <v>410</v>
      </c>
      <c r="L286" s="22" t="str">
        <f>$L$17&amp;"-"&amp;TEXT(E286,"000")</f>
        <v>18GX-169</v>
      </c>
      <c r="N286" s="18" t="s">
        <v>914</v>
      </c>
      <c r="O286" s="18" t="str">
        <f>$L$124&amp;" "&amp;C286</f>
        <v>ag 19th</v>
      </c>
    </row>
    <row r="287" spans="1:15" ht="13.95" customHeight="1">
      <c r="A287" s="6">
        <f t="shared" si="59"/>
        <v>46224</v>
      </c>
      <c r="B287" s="21">
        <f>'CHICLETS MASTER S1'!AL77</f>
        <v>0.45833333333333298</v>
      </c>
      <c r="C287" s="8" t="s">
        <v>411</v>
      </c>
      <c r="D287" s="30" t="str">
        <f t="shared" si="65"/>
        <v>SONORA HS</v>
      </c>
      <c r="E287" s="8">
        <v>175</v>
      </c>
      <c r="F287" s="337" t="str">
        <f>IF(G257="","W156",IF(G257&gt;I257,_xlfn.CONCAT("W156-",RIGHT(F257,LEN(F257) - FIND("-",F257))), _xlfn.CONCAT("W156-",RIGHT(H257,LEN(H257) - FIND("-",H257)))))</f>
        <v>W156</v>
      </c>
      <c r="G287" s="337"/>
      <c r="H287" s="337" t="str">
        <f>IF(G259="","W164",IF(G259&gt;I259,_xlfn.CONCAT("W164-",RIGHT(F259,LEN(F259) - FIND("-",F259))), _xlfn.CONCAT("W164-",RIGHT(H259,LEN(H259) - FIND("-",H259)))))</f>
        <v>W164</v>
      </c>
      <c r="I287" s="337"/>
      <c r="J287" s="337" t="s">
        <v>411</v>
      </c>
      <c r="K287" s="337" t="s">
        <v>412</v>
      </c>
      <c r="L287" s="337" t="str">
        <f t="shared" si="63"/>
        <v>18GX-175</v>
      </c>
      <c r="N287" s="18" t="s">
        <v>886</v>
      </c>
      <c r="O287" s="18" t="str">
        <f t="shared" ref="O287:O288" si="66">$L$162&amp;" "&amp;C287</f>
        <v>bz 17th</v>
      </c>
    </row>
    <row r="288" spans="1:15" ht="13.95" customHeight="1">
      <c r="A288" s="6">
        <f t="shared" si="59"/>
        <v>46224</v>
      </c>
      <c r="B288" s="21">
        <f>'CHICLETS MASTER S1'!AL78</f>
        <v>0.5</v>
      </c>
      <c r="C288" s="8" t="s">
        <v>409</v>
      </c>
      <c r="D288" s="30" t="str">
        <f t="shared" si="65"/>
        <v>SONORA HS</v>
      </c>
      <c r="E288" s="8">
        <v>176</v>
      </c>
      <c r="F288" s="337" t="str">
        <f>IF(G257="","L156",IF(G257&lt;I257,_xlfn.CONCAT("L156-",RIGHT(F257,LEN(F257) - FIND("-",F257))), _xlfn.CONCAT("L156-",RIGHT(H257,LEN(H257) - FIND("-",H257)))))</f>
        <v>L156</v>
      </c>
      <c r="G288" s="337"/>
      <c r="H288" s="337" t="str">
        <f>IF(G259="","L164",IF(G259&lt;I259,_xlfn.CONCAT("L164-",RIGHT(F259,LEN(F259) - FIND("-",F259))), _xlfn.CONCAT("L164-",RIGHT(H259,LEN(H259) - FIND("-",H259)))))</f>
        <v>L164</v>
      </c>
      <c r="I288" s="337"/>
      <c r="J288" s="337" t="s">
        <v>409</v>
      </c>
      <c r="K288" s="337" t="s">
        <v>410</v>
      </c>
      <c r="L288" s="337" t="str">
        <f t="shared" si="63"/>
        <v>18GX-176</v>
      </c>
      <c r="N288" s="18" t="s">
        <v>1845</v>
      </c>
      <c r="O288" s="18" t="str">
        <f t="shared" si="66"/>
        <v>bz 19th</v>
      </c>
    </row>
    <row r="289" spans="1:15" ht="13.5" customHeight="1" thickBot="1">
      <c r="A289" s="99"/>
      <c r="B289" s="27"/>
      <c r="C289" s="12"/>
      <c r="D289" s="12"/>
    </row>
    <row r="290" spans="1:15" ht="13.95" customHeight="1" thickBot="1">
      <c r="A290" s="2"/>
      <c r="B290" s="2"/>
      <c r="C290" s="2"/>
      <c r="D290" s="4" t="str">
        <f>'CHICLETS MASTER S1'!$AQ$72</f>
        <v>EDISON HS</v>
      </c>
      <c r="G290" s="18"/>
    </row>
    <row r="291" spans="1:15" ht="13.95" customHeight="1">
      <c r="A291" s="333" t="s">
        <v>110</v>
      </c>
      <c r="B291" s="333" t="s">
        <v>111</v>
      </c>
      <c r="C291" s="333" t="s">
        <v>112</v>
      </c>
      <c r="D291" s="333" t="s">
        <v>113</v>
      </c>
      <c r="E291" s="333" t="s">
        <v>114</v>
      </c>
      <c r="F291" s="333" t="s">
        <v>115</v>
      </c>
      <c r="G291" s="333" t="s">
        <v>116</v>
      </c>
      <c r="H291" s="333" t="s">
        <v>117</v>
      </c>
      <c r="I291" s="333" t="s">
        <v>116</v>
      </c>
      <c r="J291" s="333" t="s">
        <v>118</v>
      </c>
      <c r="K291" s="333" t="s">
        <v>119</v>
      </c>
      <c r="L291" s="333" t="s">
        <v>120</v>
      </c>
    </row>
    <row r="292" spans="1:15" ht="13.95" customHeight="1">
      <c r="A292" s="6">
        <f t="shared" si="59"/>
        <v>46224</v>
      </c>
      <c r="B292" s="21">
        <f>'CHICLETS MASTER S1'!AL73</f>
        <v>0.29166666666666669</v>
      </c>
      <c r="C292" s="8" t="s">
        <v>581</v>
      </c>
      <c r="D292" s="30" t="str">
        <f t="shared" ref="D292:D293" si="67">$D$290</f>
        <v>EDISON HS</v>
      </c>
      <c r="E292" s="8">
        <v>171</v>
      </c>
      <c r="F292" s="337" t="str">
        <f>IF(G239="","W139",IF(G239&gt;I239,_xlfn.CONCAT("W139-",RIGHT(F239,LEN(F239) - FIND("-",F239))), _xlfn.CONCAT("W139-",RIGHT(H239,LEN(H239) - FIND("-",H239)))))</f>
        <v>W139</v>
      </c>
      <c r="G292" s="337"/>
      <c r="H292" s="337" t="str">
        <f>IF(G244="","W159",IF(G244&gt;I244,_xlfn.CONCAT("W159-",RIGHT(F244,LEN(F244) - FIND("-",F244))), _xlfn.CONCAT("W159-",RIGHT(H244,LEN(H244) - FIND("-",H244)))))</f>
        <v>W159</v>
      </c>
      <c r="I292" s="337"/>
      <c r="J292" s="337">
        <v>190</v>
      </c>
      <c r="K292" s="337">
        <v>189</v>
      </c>
      <c r="L292" s="337" t="str">
        <f>$L$17&amp;"-"&amp;TEXT(E292,"000")</f>
        <v>18GX-171</v>
      </c>
      <c r="N292" s="18" t="s">
        <v>1846</v>
      </c>
      <c r="O292" s="18" t="str">
        <f>$L$162&amp;" "&amp;C292</f>
        <v>bz Semi</v>
      </c>
    </row>
    <row r="293" spans="1:15" ht="13.95" customHeight="1">
      <c r="A293" s="6">
        <f t="shared" si="59"/>
        <v>46224</v>
      </c>
      <c r="B293" s="21">
        <f>'CHICLETS MASTER S1'!AL74</f>
        <v>0.33333333333333298</v>
      </c>
      <c r="C293" s="8" t="s">
        <v>581</v>
      </c>
      <c r="D293" s="30" t="str">
        <f t="shared" si="67"/>
        <v>EDISON HS</v>
      </c>
      <c r="E293" s="8">
        <v>172</v>
      </c>
      <c r="F293" s="337" t="str">
        <f>IF(G238="","W135",IF(G238&gt;I238,_xlfn.CONCAT("W135-",RIGHT(F238,LEN(F238) - FIND("-",F238))), _xlfn.CONCAT("W135-",RIGHT(H238,LEN(H238) - FIND("-",H238)))))</f>
        <v>W135</v>
      </c>
      <c r="G293" s="337"/>
      <c r="H293" s="337" t="str">
        <f>IF(G245="","W163",IF(G245&gt;I245,_xlfn.CONCAT("W163-",RIGHT(F245,LEN(F245) - FIND("-",F245))), _xlfn.CONCAT("W163-",RIGHT(H245,LEN(H245) - FIND("-",H245)))))</f>
        <v>W163</v>
      </c>
      <c r="I293" s="337"/>
      <c r="J293" s="337">
        <v>190</v>
      </c>
      <c r="K293" s="337">
        <v>189</v>
      </c>
      <c r="L293" s="337" t="str">
        <f>$L$17&amp;"-"&amp;TEXT(E293,"000")</f>
        <v>18GX-172</v>
      </c>
      <c r="N293" s="18" t="s">
        <v>1846</v>
      </c>
      <c r="O293" s="18" t="str">
        <f>$L$162&amp;" "&amp;C293</f>
        <v>bz Semi</v>
      </c>
    </row>
    <row r="294" spans="1:15" ht="13.95" customHeight="1">
      <c r="A294" s="6">
        <f t="shared" ref="A294:A295" si="68">$A$262</f>
        <v>46224</v>
      </c>
      <c r="B294" s="21">
        <f>'CHICLETS MASTER S1'!AL75</f>
        <v>0.375</v>
      </c>
      <c r="C294" s="8" t="s">
        <v>224</v>
      </c>
      <c r="D294" s="30" t="str">
        <f>$D$290</f>
        <v>EDISON HS</v>
      </c>
      <c r="E294" s="8">
        <v>173</v>
      </c>
      <c r="F294" s="65" t="str">
        <f>IF(G209="","W137",IF(G209&gt;I209,_xlfn.CONCAT("W137-",RIGHT(F209,LEN(F209) - FIND("-",F209))), _xlfn.CONCAT("W137-",RIGHT(H209,LEN(H209) - FIND("-",H209)))))</f>
        <v>W137</v>
      </c>
      <c r="G294" s="65"/>
      <c r="H294" s="22" t="str">
        <f>IF(G214="","W157",IF(G214&gt;I214,_xlfn.CONCAT("W157-",RIGHT(F214,LEN(F214) - FIND("-",F214))), _xlfn.CONCAT("W157-",RIGHT(H214,LEN(H214) - FIND("-",H214)))))</f>
        <v>W157</v>
      </c>
      <c r="I294" s="65"/>
      <c r="J294" s="22">
        <v>192</v>
      </c>
      <c r="K294" s="22">
        <v>191</v>
      </c>
      <c r="L294" s="22" t="str">
        <f>$L$17&amp;"-"&amp;TEXT(E294,"000")</f>
        <v>18GX-173</v>
      </c>
      <c r="N294" s="18" t="s">
        <v>1847</v>
      </c>
      <c r="O294" s="18" t="str">
        <f t="shared" ref="O294:O299" si="69">$L$124&amp;" "&amp;C294</f>
        <v>ag semi</v>
      </c>
    </row>
    <row r="295" spans="1:15" ht="13.95" customHeight="1">
      <c r="A295" s="6">
        <f t="shared" si="68"/>
        <v>46224</v>
      </c>
      <c r="B295" s="21">
        <f>'CHICLETS MASTER S1'!AL76</f>
        <v>0.41666666666666702</v>
      </c>
      <c r="C295" s="8" t="s">
        <v>224</v>
      </c>
      <c r="D295" s="30" t="str">
        <f t="shared" ref="D295:D298" si="70">$D$290</f>
        <v>EDISON HS</v>
      </c>
      <c r="E295" s="8">
        <v>174</v>
      </c>
      <c r="F295" s="22" t="str">
        <f>IF(G208="","W133",IF(G208&gt;I208,_xlfn.CONCAT("W133-",RIGHT(F208,LEN(F208) - FIND("-",F208))), _xlfn.CONCAT("W133-",RIGHT(H208,LEN(H208) - FIND("-",H208)))))</f>
        <v>W133</v>
      </c>
      <c r="G295" s="65"/>
      <c r="H295" s="22" t="str">
        <f>IF(G215="","W161",IF(G215&gt;I215,_xlfn.CONCAT("W161-",RIGHT(F215,LEN(F215) - FIND("-",F215))), _xlfn.CONCAT("W161-",RIGHT(H215,LEN(H215) - FIND("-",H215)))))</f>
        <v>W161</v>
      </c>
      <c r="I295" s="65"/>
      <c r="J295" s="22">
        <v>192</v>
      </c>
      <c r="K295" s="22">
        <v>191</v>
      </c>
      <c r="L295" s="22" t="str">
        <f>$L$17&amp;"-"&amp;TEXT(E295,"000")</f>
        <v>18GX-174</v>
      </c>
      <c r="N295" s="18" t="s">
        <v>1847</v>
      </c>
      <c r="O295" s="18" t="str">
        <f t="shared" si="69"/>
        <v>ag semi</v>
      </c>
    </row>
    <row r="296" spans="1:15" ht="13.95" customHeight="1">
      <c r="A296" s="6">
        <f t="shared" si="59"/>
        <v>46224</v>
      </c>
      <c r="B296" s="21">
        <f>'CHICLETS MASTER S1'!AL77</f>
        <v>0.45833333333333298</v>
      </c>
      <c r="C296" s="8" t="s">
        <v>210</v>
      </c>
      <c r="D296" s="30" t="str">
        <f t="shared" si="70"/>
        <v>EDISON HS</v>
      </c>
      <c r="E296" s="8">
        <v>189</v>
      </c>
      <c r="F296" s="337" t="str">
        <f>IF(G292="","L171",IF(G292&lt;I292,_xlfn.CONCAT("L171-",RIGHT(F292,LEN(F292) - FIND("-",F292))), _xlfn.CONCAT("L171-",RIGHT(H292,LEN(H292) - FIND("-",H292)))))</f>
        <v>L171</v>
      </c>
      <c r="G296" s="337"/>
      <c r="H296" s="337" t="str">
        <f>IF(G293="","L172",IF(G293&lt;I293,_xlfn.CONCAT("L172-",RIGHT(F293,LEN(F293) - FIND("-",F293))), _xlfn.CONCAT("L172-",RIGHT(H293,LEN(H293) - FIND("-",H293)))))</f>
        <v>L172</v>
      </c>
      <c r="I296" s="337"/>
      <c r="J296" s="337" t="s">
        <v>210</v>
      </c>
      <c r="K296" s="337" t="s">
        <v>213</v>
      </c>
      <c r="L296" s="337" t="str">
        <f t="shared" ref="L296:L297" si="71">$L$17&amp;"-"&amp;TEXT(E296,"000")</f>
        <v>18GX-189</v>
      </c>
      <c r="N296" s="18" t="s">
        <v>878</v>
      </c>
      <c r="O296" s="18" t="str">
        <f t="shared" ref="O296:O297" si="72">$L$162&amp;" "&amp;C296</f>
        <v>bz 3rd</v>
      </c>
    </row>
    <row r="297" spans="1:15" ht="13.95" customHeight="1">
      <c r="A297" s="6">
        <f t="shared" si="59"/>
        <v>46224</v>
      </c>
      <c r="B297" s="21">
        <f>'CHICLETS MASTER S1'!AL78</f>
        <v>0.5</v>
      </c>
      <c r="C297" s="8" t="s">
        <v>214</v>
      </c>
      <c r="D297" s="30" t="str">
        <f t="shared" si="70"/>
        <v>EDISON HS</v>
      </c>
      <c r="E297" s="8">
        <v>190</v>
      </c>
      <c r="F297" s="337" t="str">
        <f>IF(G292="","W171",IF(G292&gt;I292,_xlfn.CONCAT("W171-",RIGHT(F292,LEN(F292) - FIND("-",F292))), _xlfn.CONCAT("W171-",RIGHT(H292,LEN(H292) - FIND("-",H292)))))</f>
        <v>W171</v>
      </c>
      <c r="G297" s="337"/>
      <c r="H297" s="337" t="str">
        <f>IF(G293="","W172",IF(G293&gt;I293,_xlfn.CONCAT("W172-",RIGHT(F293,LEN(F293) - FIND("-",F293))), _xlfn.CONCAT("W172-",RIGHT(H293,LEN(H293) - FIND("-",H293)))))</f>
        <v>W172</v>
      </c>
      <c r="I297" s="337"/>
      <c r="J297" s="337" t="s">
        <v>214</v>
      </c>
      <c r="K297" s="337" t="s">
        <v>217</v>
      </c>
      <c r="L297" s="337" t="str">
        <f t="shared" si="71"/>
        <v>18GX-190</v>
      </c>
      <c r="N297" s="18" t="s">
        <v>882</v>
      </c>
      <c r="O297" s="18" t="str">
        <f t="shared" si="72"/>
        <v>bz 1st</v>
      </c>
    </row>
    <row r="298" spans="1:15" ht="13.95" customHeight="1">
      <c r="A298" s="6">
        <f>$A$262</f>
        <v>46224</v>
      </c>
      <c r="B298" s="21">
        <f>'CHICLETS MASTER S1'!AL79</f>
        <v>0.54166666666666696</v>
      </c>
      <c r="C298" s="8" t="s">
        <v>210</v>
      </c>
      <c r="D298" s="30" t="str">
        <f t="shared" si="70"/>
        <v>EDISON HS</v>
      </c>
      <c r="E298" s="8">
        <v>191</v>
      </c>
      <c r="F298" s="22" t="str">
        <f>IF(G294="","L173",IF(G294&lt;I294,_xlfn.CONCAT("L173-",RIGHT(F294,LEN(F294) - FIND("-",F294))), _xlfn.CONCAT("L173-",RIGHT(H294,LEN(H294) - FIND("-",H294)))))</f>
        <v>L173</v>
      </c>
      <c r="G298" s="65"/>
      <c r="H298" s="22" t="str">
        <f>IF(G295="","L174",IF(G295&lt;I295,_xlfn.CONCAT("L174-",RIGHT(F295,LEN(F295) - FIND("-",F295))), _xlfn.CONCAT("L174-",RIGHT(H295,LEN(H295) - FIND("-",H295)))))</f>
        <v>L174</v>
      </c>
      <c r="I298" s="65"/>
      <c r="J298" s="22" t="s">
        <v>210</v>
      </c>
      <c r="K298" s="22" t="s">
        <v>213</v>
      </c>
      <c r="L298" s="22" t="str">
        <f>$L$17&amp;"-"&amp;TEXT(E298,"000")</f>
        <v>18GX-191</v>
      </c>
      <c r="N298" s="18" t="s">
        <v>942</v>
      </c>
      <c r="O298" s="18" t="str">
        <f t="shared" si="69"/>
        <v>ag 3rd</v>
      </c>
    </row>
    <row r="299" spans="1:15" ht="13.95" customHeight="1">
      <c r="A299" s="6">
        <f>$A$262</f>
        <v>46224</v>
      </c>
      <c r="B299" s="21">
        <f>'CHICLETS MASTER S1'!AL80</f>
        <v>0.58333333333333304</v>
      </c>
      <c r="C299" s="8" t="s">
        <v>214</v>
      </c>
      <c r="D299" s="30" t="str">
        <f>$D$290</f>
        <v>EDISON HS</v>
      </c>
      <c r="E299" s="8">
        <v>192</v>
      </c>
      <c r="F299" s="22" t="str">
        <f>IF(G294="","W173",IF(G294&gt;I294,_xlfn.CONCAT("W173-",RIGHT(F294,LEN(F294) - FIND("-",F294))), _xlfn.CONCAT("W173-",RIGHT(H294,LEN(H294) - FIND("-",H294)))))</f>
        <v>W173</v>
      </c>
      <c r="G299" s="65"/>
      <c r="H299" s="22" t="str">
        <f>IF(G295="","W174",IF(G295&gt;I295,_xlfn.CONCAT("W174-",RIGHT(F295,LEN(F295) - FIND("-",F295))), _xlfn.CONCAT("W174-",RIGHT(H295,LEN(H295) - FIND("-",H295)))))</f>
        <v>W174</v>
      </c>
      <c r="I299" s="65"/>
      <c r="J299" s="22" t="s">
        <v>214</v>
      </c>
      <c r="K299" s="22" t="s">
        <v>217</v>
      </c>
      <c r="L299" s="22" t="str">
        <f>$L$17&amp;"-"&amp;TEXT(E299,"000")</f>
        <v>18GX-192</v>
      </c>
      <c r="N299" s="18" t="s">
        <v>946</v>
      </c>
      <c r="O299" s="18" t="str">
        <f t="shared" si="69"/>
        <v>ag 1st</v>
      </c>
    </row>
    <row r="303" spans="1:15" ht="13.95" customHeight="1">
      <c r="A303" s="22" t="s">
        <v>1240</v>
      </c>
      <c r="C303" s="337" t="s">
        <v>1560</v>
      </c>
    </row>
    <row r="304" spans="1:15" ht="13.95" customHeight="1">
      <c r="A304" s="22" t="s">
        <v>214</v>
      </c>
      <c r="B304" s="267" t="str">
        <f>IF(G299="","W192",IF(G299&gt;I299,_xlfn.CONCAT("W192-",RIGHT(F299,LEN(F299) - FIND("-",F299))), _xlfn.CONCAT("W192-",RIGHT(H299,LEN(H299) - FIND("-",H299)))))</f>
        <v>W192</v>
      </c>
      <c r="C304" s="337" t="s">
        <v>214</v>
      </c>
      <c r="D304" s="299" t="str">
        <f>IF(G297="","W190",IF(G297&gt;I297,_xlfn.CONCAT("W190-",RIGHT(F297,LEN(F297) - FIND("-",F297))), _xlfn.CONCAT("W190-",RIGHT(H297,LEN(H297) - FIND("-",H297)))))</f>
        <v>W190</v>
      </c>
    </row>
    <row r="305" spans="1:4" ht="13.95" customHeight="1">
      <c r="A305" s="22" t="s">
        <v>217</v>
      </c>
      <c r="B305" s="267" t="str">
        <f>IF(G299="","L192",IF(G299&lt;I299,_xlfn.CONCAT("L192-",RIGHT(F299,LEN(F299) - FIND("-",F299))), _xlfn.CONCAT("L192-",RIGHT(H299,LEN(H299) - FIND("-",H299)))))</f>
        <v>L192</v>
      </c>
      <c r="C305" s="337" t="s">
        <v>217</v>
      </c>
      <c r="D305" s="299" t="str">
        <f>IF(G297="","L190",IF(G297&lt;I297,_xlfn.CONCAT("L190-",RIGHT(F297,LEN(F297) - FIND("-",F297))), _xlfn.CONCAT("L190-",RIGHT(H297,LEN(H297) - FIND("-",H297)))))</f>
        <v>L190</v>
      </c>
    </row>
    <row r="306" spans="1:4" ht="13.95" customHeight="1">
      <c r="A306" s="22" t="s">
        <v>210</v>
      </c>
      <c r="B306" s="267" t="str">
        <f>IF(G298="","W191",IF(G298&gt;I298,_xlfn.CONCAT("W191-",RIGHT(F298,LEN(F298) - FIND("-",F298))), _xlfn.CONCAT("W191-",RIGHT(H298,LEN(H298) - FIND("-",H298)))))</f>
        <v>W191</v>
      </c>
      <c r="C306" s="337" t="s">
        <v>210</v>
      </c>
      <c r="D306" s="299" t="str">
        <f>IF(G296="","W189",IF(G296&gt;I296,_xlfn.CONCAT("W189-",RIGHT(F296,LEN(F296) - FIND("-",F296))), _xlfn.CONCAT("W189-",RIGHT(H296,LEN(H296) - FIND("-",H296)))))</f>
        <v>W189</v>
      </c>
    </row>
    <row r="307" spans="1:4" ht="13.95" customHeight="1">
      <c r="A307" s="22" t="s">
        <v>213</v>
      </c>
      <c r="B307" s="267" t="str">
        <f>IF(G298="","L191",IF(G298&lt;I298,_xlfn.CONCAT("L191-",RIGHT(F298,LEN(F298) - FIND("-",F298))), _xlfn.CONCAT("L191-",RIGHT(H298,LEN(H298) - FIND("-",H298)))))</f>
        <v>L191</v>
      </c>
      <c r="C307" s="337" t="s">
        <v>213</v>
      </c>
      <c r="D307" s="299" t="str">
        <f>IF(G296="","L189",IF(G296&lt;I296,_xlfn.CONCAT("L189-",RIGHT(F296,LEN(F296) - FIND("-",F296))), _xlfn.CONCAT("L189-",RIGHT(H296,LEN(H296) - FIND("-",H296)))))</f>
        <v>L189</v>
      </c>
    </row>
    <row r="308" spans="1:4" ht="13.95" customHeight="1">
      <c r="A308" s="22" t="s">
        <v>206</v>
      </c>
      <c r="B308" s="267" t="str">
        <f>IF(G267="","W186",IF(G267&gt;I267,_xlfn.CONCAT("W186-",RIGHT(F267,LEN(F267) - FIND("-",F267))), _xlfn.CONCAT("W186-",RIGHT(H267,LEN(H267) - FIND("-",H267)))))</f>
        <v>W186</v>
      </c>
      <c r="C308" s="337" t="s">
        <v>206</v>
      </c>
      <c r="D308" s="299" t="str">
        <f>IF(G276="","W187",IF(G276&gt;I276,_xlfn.CONCAT("W187-",RIGHT(F276,LEN(F276) - FIND("-",F276))), _xlfn.CONCAT("W187-",RIGHT(H276,LEN(H276) - FIND("-",H276)))))</f>
        <v>W187</v>
      </c>
    </row>
    <row r="309" spans="1:4" ht="13.95" customHeight="1">
      <c r="A309" s="22" t="s">
        <v>209</v>
      </c>
      <c r="B309" s="267" t="str">
        <f>IF(G267="","L186",IF(G267&lt;I267,_xlfn.CONCAT("L186-",RIGHT(F267,LEN(F267) - FIND("-",F267))), _xlfn.CONCAT("L186-",RIGHT(H267,LEN(H267) - FIND("-",H267)))))</f>
        <v>L186</v>
      </c>
      <c r="C309" s="337" t="s">
        <v>209</v>
      </c>
      <c r="D309" s="299" t="str">
        <f>IF(G276="","L187",IF(G276&lt;I276,_xlfn.CONCAT("L187-",RIGHT(F276,LEN(F276) - FIND("-",F276))), _xlfn.CONCAT("L187-",RIGHT(H276,LEN(H276) - FIND("-",H276)))))</f>
        <v>L187</v>
      </c>
    </row>
    <row r="310" spans="1:4" ht="13.95" customHeight="1">
      <c r="A310" s="22" t="s">
        <v>220</v>
      </c>
      <c r="B310" s="267" t="str">
        <f>IF(G266="","W185",IF(G266&gt;I266,_xlfn.CONCAT("W185-",RIGHT(F266,LEN(F266) - FIND("-",F266))), _xlfn.CONCAT("W185-",RIGHT(H266,LEN(H266) - FIND("-",H266)))))</f>
        <v>W185</v>
      </c>
      <c r="C310" s="337" t="s">
        <v>220</v>
      </c>
      <c r="D310" s="299" t="str">
        <f>IF(G275="","W188",IF(G275&gt;I275,_xlfn.CONCAT("W188-",RIGHT(F275,LEN(F275) - FIND("-",F275))), _xlfn.CONCAT("W188-",RIGHT(H275,LEN(H275) - FIND("-",H275)))))</f>
        <v>W188</v>
      </c>
    </row>
    <row r="311" spans="1:4" ht="13.95" customHeight="1">
      <c r="A311" s="22" t="s">
        <v>221</v>
      </c>
      <c r="B311" s="267" t="str">
        <f>IF(G266="","L185",IF(G266&lt;I266,_xlfn.CONCAT("L185-",RIGHT(F266,LEN(F266) - FIND("-",F266))), _xlfn.CONCAT("L185-",RIGHT(H266,LEN(H266) - FIND("-",H266)))))</f>
        <v>L185</v>
      </c>
      <c r="C311" s="337" t="s">
        <v>221</v>
      </c>
      <c r="D311" s="299" t="str">
        <f>IF(G275="","L188",IF(G275&lt;I275,_xlfn.CONCAT("L188-",RIGHT(F275,LEN(F275) - FIND("-",F275))), _xlfn.CONCAT("L188-",RIGHT(H275,LEN(H275) - FIND("-",H275)))))</f>
        <v>L188</v>
      </c>
    </row>
    <row r="312" spans="1:4" ht="13.95" customHeight="1">
      <c r="A312" s="22" t="s">
        <v>222</v>
      </c>
      <c r="B312" s="267" t="str">
        <f>IF(G265="","W182",IF(G265&gt;I265,_xlfn.CONCAT("W182-",RIGHT(F265,LEN(F265) - FIND("-",F265))), _xlfn.CONCAT("W182-",RIGHT(H265,LEN(H265) - FIND("-",H265)))))</f>
        <v>W182</v>
      </c>
      <c r="C312" s="337" t="s">
        <v>222</v>
      </c>
      <c r="D312" s="299" t="str">
        <f>IF(G274="","W183",IF(G274&gt;I274,_xlfn.CONCAT("W183-",RIGHT(F274,LEN(F274) - FIND("-",F274))), _xlfn.CONCAT("W183-",RIGHT(H274,LEN(H274) - FIND("-",H274)))))</f>
        <v>W183</v>
      </c>
    </row>
    <row r="313" spans="1:4" ht="13.95" customHeight="1">
      <c r="A313" s="22" t="s">
        <v>223</v>
      </c>
      <c r="B313" s="267" t="str">
        <f>IF(G265="","L182",IF(G265&lt;I265,_xlfn.CONCAT("L182-",RIGHT(F265,LEN(F265) - FIND("-",F265))), _xlfn.CONCAT("L182-",RIGHT(H265,LEN(H265) - FIND("-",H265)))))</f>
        <v>L182</v>
      </c>
      <c r="C313" s="337" t="s">
        <v>223</v>
      </c>
      <c r="D313" s="299" t="str">
        <f>IF(G274="","L183",IF(G274&lt;I274,_xlfn.CONCAT("L183-",RIGHT(F274,LEN(F274) - FIND("-",F274))), _xlfn.CONCAT("L183-",RIGHT(H274,LEN(H274) - FIND("-",H274)))))</f>
        <v>L183</v>
      </c>
    </row>
    <row r="314" spans="1:4" ht="13.95" customHeight="1">
      <c r="A314" s="22" t="s">
        <v>218</v>
      </c>
      <c r="B314" s="267" t="str">
        <f>IF(G268="","W181",IF(G268&gt;I268,_xlfn.CONCAT("W181-",RIGHT(F268,LEN(F268) - FIND("-",F268))), _xlfn.CONCAT("W181-",RIGHT(H268,LEN(H268) - FIND("-",H268)))))</f>
        <v>W181</v>
      </c>
      <c r="C314" s="337" t="s">
        <v>218</v>
      </c>
      <c r="D314" s="299" t="str">
        <f>IF(G277="","W184",IF(G277&gt;I277,_xlfn.CONCAT("W184-",RIGHT(F277,LEN(F277) - FIND("-",F277))), _xlfn.CONCAT("W184-",RIGHT(H277,LEN(H277) - FIND("-",H277)))))</f>
        <v>W184</v>
      </c>
    </row>
    <row r="315" spans="1:4" ht="13.95" customHeight="1">
      <c r="A315" s="22" t="s">
        <v>219</v>
      </c>
      <c r="B315" s="267" t="str">
        <f>IF(G268="","L181",IF(G268&lt;I268,_xlfn.CONCAT("L181-",RIGHT(F268,LEN(F268) - FIND("-",F268))), _xlfn.CONCAT("L181-",RIGHT(H268,LEN(H268) - FIND("-",H268)))))</f>
        <v>L181</v>
      </c>
      <c r="C315" s="337" t="s">
        <v>219</v>
      </c>
      <c r="D315" s="299" t="str">
        <f>IF(G277="","L184",IF(G277&lt;I277,_xlfn.CONCAT("L184-",RIGHT(F277,LEN(F277) - FIND("-",F277))), _xlfn.CONCAT("L184-",RIGHT(H277,LEN(H277) - FIND("-",H277)))))</f>
        <v>L184</v>
      </c>
    </row>
    <row r="316" spans="1:4" ht="13.95" customHeight="1">
      <c r="A316" s="22" t="s">
        <v>413</v>
      </c>
      <c r="B316" s="267" t="str">
        <f>IF(G269="","W178",IF(G269&gt;I269,_xlfn.CONCAT("W178-",RIGHT(F269,LEN(F269) - FIND("-",F269))), _xlfn.CONCAT("W178-",RIGHT(H269,LEN(H269) - FIND("-",H269)))))</f>
        <v>W178</v>
      </c>
      <c r="C316" s="337" t="s">
        <v>413</v>
      </c>
      <c r="D316" s="299" t="str">
        <f>IF(G278="","W179",IF(G278&gt;I278,_xlfn.CONCAT("W179-",RIGHT(F278,LEN(F278) - FIND("-",F278))), _xlfn.CONCAT("W179-",RIGHT(H278,LEN(H278) - FIND("-",H278)))))</f>
        <v>W179</v>
      </c>
    </row>
    <row r="317" spans="1:4" ht="13.95" customHeight="1">
      <c r="A317" s="22" t="s">
        <v>414</v>
      </c>
      <c r="B317" s="267" t="str">
        <f>IF(G269="","L178",IF(G269&lt;I269,_xlfn.CONCAT("L178-",RIGHT(F269,LEN(F269) - FIND("-",F269))), _xlfn.CONCAT("L178-",RIGHT(H269,LEN(H269) - FIND("-",H269)))))</f>
        <v>L178</v>
      </c>
      <c r="C317" s="337" t="s">
        <v>414</v>
      </c>
      <c r="D317" s="299" t="str">
        <f>IF(G278="","L179",IF(G278&lt;I278,_xlfn.CONCAT("L179-",RIGHT(F278,LEN(F278) - FIND("-",F278))), _xlfn.CONCAT("L179-",RIGHT(H278,LEN(H278) - FIND("-",H278)))))</f>
        <v>L179</v>
      </c>
    </row>
    <row r="318" spans="1:4" ht="13.95" customHeight="1">
      <c r="A318" s="22" t="s">
        <v>407</v>
      </c>
      <c r="B318" s="267" t="str">
        <f>IF(G270="","W177",IF(G270&gt;I270,_xlfn.CONCAT("W177-",RIGHT(F270,LEN(F270) - FIND("-",F270))), _xlfn.CONCAT("W177-",RIGHT(H270,LEN(H270) - FIND("-",H270)))))</f>
        <v>W177</v>
      </c>
      <c r="C318" s="337" t="s">
        <v>407</v>
      </c>
      <c r="D318" s="299" t="str">
        <f>IF(G279="","W180",IF(G279&gt;I279,_xlfn.CONCAT("W180-",RIGHT(F279,LEN(F279) - FIND("-",F279))), _xlfn.CONCAT("W180-",RIGHT(H279,LEN(H279) - FIND("-",H279)))))</f>
        <v>W180</v>
      </c>
    </row>
    <row r="319" spans="1:4" ht="13.95" customHeight="1">
      <c r="A319" s="22" t="s">
        <v>408</v>
      </c>
      <c r="B319" s="267" t="str">
        <f>IF(G270="","L177",IF(G270&lt;I270,_xlfn.CONCAT("L177-",RIGHT(F270,LEN(F270) - FIND("-",F270))), _xlfn.CONCAT("L177-",RIGHT(H270,LEN(H270) - FIND("-",H270)))))</f>
        <v>L177</v>
      </c>
      <c r="C319" s="337" t="s">
        <v>408</v>
      </c>
      <c r="D319" s="299" t="str">
        <f>IF(G279="","L180",IF(G279&lt;I279,_xlfn.CONCAT("L180-",RIGHT(F279,LEN(F279) - FIND("-",F279))), _xlfn.CONCAT("L180-",RIGHT(H279,LEN(H279) - FIND("-",H279)))))</f>
        <v>L180</v>
      </c>
    </row>
    <row r="320" spans="1:4" ht="13.95" customHeight="1">
      <c r="A320" s="22" t="s">
        <v>411</v>
      </c>
      <c r="B320" s="267" t="str">
        <f>IF(G285="","W170",IF(G285&gt;I285,_xlfn.CONCAT("W170-",RIGHT(F285,LEN(F285) - FIND("-",F285))), _xlfn.CONCAT("W170-",RIGHT(H285,LEN(H285) - FIND("-",H285)))))</f>
        <v>W170</v>
      </c>
      <c r="C320" s="337" t="s">
        <v>411</v>
      </c>
      <c r="D320" s="299" t="str">
        <f>IF(G287="","W175",IF(G287&gt;I287,_xlfn.CONCAT("W175-",RIGHT(F287,LEN(F287) - FIND("-",F287))), _xlfn.CONCAT("W175-",RIGHT(H287,LEN(H287) - FIND("-",H287)))))</f>
        <v>W175</v>
      </c>
    </row>
    <row r="321" spans="1:4" ht="13.95" customHeight="1">
      <c r="A321" s="22" t="s">
        <v>412</v>
      </c>
      <c r="B321" s="267" t="str">
        <f>IF(G285="","L170",IF(G285&lt;I285,_xlfn.CONCAT("L170-",RIGHT(F285,LEN(F285) - FIND("-",F285))), _xlfn.CONCAT("L170-",RIGHT(H285,LEN(H285) - FIND("-",H285)))))</f>
        <v>L170</v>
      </c>
      <c r="C321" s="337" t="s">
        <v>412</v>
      </c>
      <c r="D321" s="299" t="str">
        <f>IF(G287="","L175",IF(G287&lt;I287,_xlfn.CONCAT("L175-",RIGHT(F287,LEN(F287) - FIND("-",F287))), _xlfn.CONCAT("L175-",RIGHT(H287,LEN(H287) - FIND("-",H287)))))</f>
        <v>L175</v>
      </c>
    </row>
    <row r="322" spans="1:4" ht="13.95" customHeight="1">
      <c r="A322" s="22" t="s">
        <v>409</v>
      </c>
      <c r="B322" s="267" t="str">
        <f>IF(G286="","W169",IF(G286&gt;I286,_xlfn.CONCAT("W169-",RIGHT(F286,LEN(F286) - FIND("-",F286))), _xlfn.CONCAT("W169-",RIGHT(H286,LEN(H286) - FIND("-",H286)))))</f>
        <v>W169</v>
      </c>
      <c r="C322" s="337" t="s">
        <v>409</v>
      </c>
      <c r="D322" s="299" t="str">
        <f>IF(G288="","W176",IF(G288&gt;I288,_xlfn.CONCAT("W176-",RIGHT(F288,LEN(F288) - FIND("-",F288))), _xlfn.CONCAT("W176-",RIGHT(H288,LEN(H288) - FIND("-",H288)))))</f>
        <v>W176</v>
      </c>
    </row>
    <row r="323" spans="1:4" ht="13.95" customHeight="1">
      <c r="A323" s="22" t="s">
        <v>410</v>
      </c>
      <c r="B323" s="267" t="str">
        <f>IF(G286="","L169",IF(G286&lt;I286,_xlfn.CONCAT("L169-",RIGHT(F286,LEN(F286) - FIND("-",F286))), _xlfn.CONCAT("L169-",RIGHT(H286,LEN(H286) - FIND("-",H286)))))</f>
        <v>L169</v>
      </c>
      <c r="C323" s="337" t="s">
        <v>410</v>
      </c>
      <c r="D323" s="299" t="str">
        <f>IF(G288="","L176",IF(G288&lt;I288,_xlfn.CONCAT("L176-",RIGHT(F288,LEN(F288) - FIND("-",F288))), _xlfn.CONCAT("L176-",RIGHT(H288,LEN(H288) - FIND("-",H288)))))</f>
        <v>L176</v>
      </c>
    </row>
    <row r="324" spans="1:4" ht="13.95" customHeight="1">
      <c r="A324" s="22" t="s">
        <v>415</v>
      </c>
      <c r="B324" s="267"/>
    </row>
    <row r="325" spans="1:4" ht="13.95" customHeight="1">
      <c r="A325" s="22" t="s">
        <v>416</v>
      </c>
      <c r="B325" s="267"/>
    </row>
    <row r="326" spans="1:4" ht="13.95" customHeight="1">
      <c r="A326" s="22" t="s">
        <v>417</v>
      </c>
      <c r="B326" s="267"/>
    </row>
    <row r="327" spans="1:4" ht="13.95" customHeight="1">
      <c r="A327" s="22" t="s">
        <v>418</v>
      </c>
      <c r="B327" s="267"/>
    </row>
  </sheetData>
  <hyperlinks>
    <hyperlink ref="F194:K194" location="'BOYS 12U CHAMP - 48 TEAMS'!F144" display="Au_N1-SET" xr:uid="{BA4831FF-43AA-4378-B310-F0C02BC39FC2}"/>
  </hyperlinks>
  <pageMargins left="0.75" right="0.75" top="1" bottom="1" header="0.25" footer="0.5"/>
  <pageSetup fitToHeight="0" orientation="landscape" r:id="rId1"/>
  <rowBreaks count="5" manualBreakCount="5">
    <brk id="58" max="16383" man="1"/>
    <brk id="99" max="16383" man="1"/>
    <brk id="161" max="16383" man="1"/>
    <brk id="199" max="16383" man="1"/>
    <brk id="26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CHICLETS MASTER S1</vt:lpstr>
      <vt:lpstr>10U_F_Champ-18 teams</vt:lpstr>
      <vt:lpstr>10U_Coed_Champ_36</vt:lpstr>
      <vt:lpstr>10U_Coed_Classic 22 from 23</vt:lpstr>
      <vt:lpstr>12U_Coed_Champ-45</vt:lpstr>
      <vt:lpstr>12U_F_Champ-52</vt:lpstr>
      <vt:lpstr>14U_F_Champ</vt:lpstr>
      <vt:lpstr>16U_F_Champ</vt:lpstr>
      <vt:lpstr>18U_F_Champ</vt:lpstr>
      <vt:lpstr>14U_F_Classic-39 from 40</vt:lpstr>
      <vt:lpstr>16U_F_Classic-45</vt:lpstr>
      <vt:lpstr>18U_F_Classic-44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Nicholas J Baba</dc:creator>
  <cp:keywords/>
  <dc:description/>
  <cp:lastModifiedBy>miles li</cp:lastModifiedBy>
  <cp:revision/>
  <dcterms:created xsi:type="dcterms:W3CDTF">2026-07-01T18:44:51Z</dcterms:created>
  <dcterms:modified xsi:type="dcterms:W3CDTF">2026-07-15T20:00:07Z</dcterms:modified>
  <cp:category/>
  <cp:contentStatus/>
</cp:coreProperties>
</file>